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VERNANDA\SKILL\excell\Bootcamp Excell\BOOTCAMP EXCEL BATCH 13\01. Mini Task dan Poat test\2.Intermediate\"/>
    </mc:Choice>
  </mc:AlternateContent>
  <xr:revisionPtr revIDLastSave="0" documentId="13_ncr:1_{00AEFB87-0354-40A4-8331-6F1415B8061B}" xr6:coauthVersionLast="47" xr6:coauthVersionMax="47" xr10:uidLastSave="{00000000-0000-0000-0000-000000000000}"/>
  <bookViews>
    <workbookView xWindow="-120" yWindow="-120" windowWidth="20730" windowHeight="11040" activeTab="4" xr2:uid="{00000000-000D-0000-FFFF-FFFF00000000}"/>
  </bookViews>
  <sheets>
    <sheet name="Cara" sheetId="10" r:id="rId1"/>
    <sheet name="Main" sheetId="6" r:id="rId2"/>
    <sheet name="Detail" sheetId="8" r:id="rId3"/>
    <sheet name="Helper" sheetId="14" r:id="rId4"/>
    <sheet name="Soal" sheetId="7" r:id="rId5"/>
    <sheet name="Absen" sheetId="9" r:id="rId6"/>
    <sheet name="Golongan darah dan alamat" sheetId="16" r:id="rId7"/>
    <sheet name="Dosen" sheetId="15" r:id="rId8"/>
  </sheets>
  <definedNames>
    <definedName name="_xlnm._FilterDatabase" localSheetId="5" hidden="1">Absen!$A$1:$C$1</definedName>
    <definedName name="_xlnm._FilterDatabase" localSheetId="2" hidden="1">Detail!$A$1:$H$1001</definedName>
    <definedName name="_xlnm._FilterDatabase" localSheetId="3" hidden="1">Helper!$I$13:$K$1013</definedName>
    <definedName name="_xlnm._FilterDatabase" localSheetId="1" hidden="1">Main!$A$1:$X$1001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4" l="1"/>
  <c r="R11" i="6" l="1"/>
  <c r="C4" i="9"/>
  <c r="C2" i="9"/>
  <c r="R2" i="16"/>
  <c r="S2" i="16"/>
  <c r="T3" i="16"/>
  <c r="C3" i="9"/>
  <c r="X2" i="6"/>
  <c r="B13" i="15"/>
  <c r="B11" i="15"/>
  <c r="B10" i="15"/>
  <c r="T2" i="16"/>
  <c r="U2" i="16"/>
  <c r="B12" i="15"/>
  <c r="B14" i="15"/>
  <c r="B15" i="15"/>
  <c r="V3" i="6" a="1"/>
  <c r="V3" i="6"/>
  <c r="V4" i="6" a="1"/>
  <c r="V4" i="6"/>
  <c r="V5" i="6" a="1"/>
  <c r="V5" i="6"/>
  <c r="V6" i="6" a="1"/>
  <c r="V6" i="6"/>
  <c r="V7" i="6" a="1"/>
  <c r="V7" i="6"/>
  <c r="V8" i="6" a="1"/>
  <c r="V8" i="6"/>
  <c r="V9" i="6" a="1"/>
  <c r="V9" i="6"/>
  <c r="V10" i="6" a="1"/>
  <c r="V10" i="6"/>
  <c r="V11" i="6" a="1"/>
  <c r="V11" i="6"/>
  <c r="V12" i="6" a="1"/>
  <c r="V12" i="6"/>
  <c r="V13" i="6" a="1"/>
  <c r="V13" i="6"/>
  <c r="V14" i="6" a="1"/>
  <c r="V14" i="6"/>
  <c r="V15" i="6" a="1"/>
  <c r="V15" i="6"/>
  <c r="V16" i="6" a="1"/>
  <c r="V16" i="6"/>
  <c r="V17" i="6" a="1"/>
  <c r="V17" i="6"/>
  <c r="V18" i="6" a="1"/>
  <c r="V18" i="6"/>
  <c r="V19" i="6" a="1"/>
  <c r="V19" i="6"/>
  <c r="V20" i="6" a="1"/>
  <c r="V20" i="6"/>
  <c r="V21" i="6" a="1"/>
  <c r="V21" i="6"/>
  <c r="V22" i="6" a="1"/>
  <c r="V22" i="6"/>
  <c r="V23" i="6" a="1"/>
  <c r="V23" i="6"/>
  <c r="V24" i="6" a="1"/>
  <c r="V24" i="6"/>
  <c r="V25" i="6" a="1"/>
  <c r="V25" i="6"/>
  <c r="V26" i="6" a="1"/>
  <c r="V26" i="6"/>
  <c r="V27" i="6" a="1"/>
  <c r="V27" i="6"/>
  <c r="V28" i="6" a="1"/>
  <c r="V28" i="6"/>
  <c r="V29" i="6" a="1"/>
  <c r="V29" i="6"/>
  <c r="V30" i="6" a="1"/>
  <c r="V30" i="6"/>
  <c r="V31" i="6" a="1"/>
  <c r="V31" i="6"/>
  <c r="V32" i="6" a="1"/>
  <c r="V32" i="6"/>
  <c r="V33" i="6" a="1"/>
  <c r="V33" i="6"/>
  <c r="V34" i="6" a="1"/>
  <c r="V34" i="6"/>
  <c r="V35" i="6" a="1"/>
  <c r="V35" i="6"/>
  <c r="V36" i="6" a="1"/>
  <c r="V36" i="6"/>
  <c r="V37" i="6" a="1"/>
  <c r="V37" i="6"/>
  <c r="V38" i="6" a="1"/>
  <c r="V38" i="6"/>
  <c r="V39" i="6" a="1"/>
  <c r="V39" i="6"/>
  <c r="V40" i="6" a="1"/>
  <c r="V40" i="6"/>
  <c r="V41" i="6" a="1"/>
  <c r="V41" i="6"/>
  <c r="V42" i="6" a="1"/>
  <c r="V42" i="6"/>
  <c r="V43" i="6" a="1"/>
  <c r="V43" i="6"/>
  <c r="V44" i="6" a="1"/>
  <c r="V44" i="6"/>
  <c r="V45" i="6" a="1"/>
  <c r="V45" i="6"/>
  <c r="V46" i="6" a="1"/>
  <c r="V46" i="6"/>
  <c r="V47" i="6" a="1"/>
  <c r="V47" i="6"/>
  <c r="V48" i="6" a="1"/>
  <c r="V48" i="6"/>
  <c r="V49" i="6" a="1"/>
  <c r="V49" i="6"/>
  <c r="V50" i="6" a="1"/>
  <c r="V50" i="6"/>
  <c r="V51" i="6" a="1"/>
  <c r="V51" i="6"/>
  <c r="V52" i="6" a="1"/>
  <c r="V52" i="6"/>
  <c r="V53" i="6" a="1"/>
  <c r="V53" i="6"/>
  <c r="V54" i="6" a="1"/>
  <c r="V54" i="6"/>
  <c r="V55" i="6" a="1"/>
  <c r="V55" i="6"/>
  <c r="V56" i="6" a="1"/>
  <c r="V56" i="6"/>
  <c r="V57" i="6" a="1"/>
  <c r="V57" i="6"/>
  <c r="V58" i="6" a="1"/>
  <c r="V58" i="6"/>
  <c r="V59" i="6" a="1"/>
  <c r="V59" i="6"/>
  <c r="V60" i="6" a="1"/>
  <c r="V60" i="6"/>
  <c r="V61" i="6" a="1"/>
  <c r="V61" i="6"/>
  <c r="V62" i="6" a="1"/>
  <c r="V62" i="6"/>
  <c r="V63" i="6" a="1"/>
  <c r="V63" i="6"/>
  <c r="V64" i="6" a="1"/>
  <c r="V64" i="6"/>
  <c r="V65" i="6" a="1"/>
  <c r="V65" i="6"/>
  <c r="V66" i="6" a="1"/>
  <c r="V66" i="6"/>
  <c r="V67" i="6" a="1"/>
  <c r="V67" i="6"/>
  <c r="V68" i="6" a="1"/>
  <c r="V68" i="6"/>
  <c r="V69" i="6" a="1"/>
  <c r="V69" i="6"/>
  <c r="V70" i="6" a="1"/>
  <c r="V70" i="6"/>
  <c r="V71" i="6" a="1"/>
  <c r="V71" i="6"/>
  <c r="V72" i="6" a="1"/>
  <c r="V72" i="6"/>
  <c r="V73" i="6" a="1"/>
  <c r="V73" i="6"/>
  <c r="V74" i="6" a="1"/>
  <c r="V74" i="6"/>
  <c r="V75" i="6" a="1"/>
  <c r="V75" i="6"/>
  <c r="V76" i="6" a="1"/>
  <c r="V76" i="6"/>
  <c r="V77" i="6" a="1"/>
  <c r="V77" i="6"/>
  <c r="V78" i="6" a="1"/>
  <c r="V78" i="6"/>
  <c r="V79" i="6" a="1"/>
  <c r="V79" i="6"/>
  <c r="V80" i="6" a="1"/>
  <c r="V80" i="6"/>
  <c r="V81" i="6" a="1"/>
  <c r="V81" i="6"/>
  <c r="V82" i="6" a="1"/>
  <c r="V82" i="6"/>
  <c r="V83" i="6" a="1"/>
  <c r="V83" i="6"/>
  <c r="V84" i="6" a="1"/>
  <c r="V84" i="6"/>
  <c r="V85" i="6" a="1"/>
  <c r="V85" i="6"/>
  <c r="V86" i="6" a="1"/>
  <c r="V86" i="6"/>
  <c r="V87" i="6" a="1"/>
  <c r="V87" i="6"/>
  <c r="V88" i="6" a="1"/>
  <c r="V88" i="6"/>
  <c r="V89" i="6" a="1"/>
  <c r="V89" i="6"/>
  <c r="V90" i="6" a="1"/>
  <c r="V90" i="6"/>
  <c r="V91" i="6" a="1"/>
  <c r="V91" i="6"/>
  <c r="V92" i="6" a="1"/>
  <c r="V92" i="6"/>
  <c r="V93" i="6" a="1"/>
  <c r="V93" i="6"/>
  <c r="V94" i="6" a="1"/>
  <c r="V94" i="6"/>
  <c r="V95" i="6" a="1"/>
  <c r="V95" i="6"/>
  <c r="V96" i="6" a="1"/>
  <c r="V96" i="6"/>
  <c r="V97" i="6" a="1"/>
  <c r="V97" i="6"/>
  <c r="V98" i="6" a="1"/>
  <c r="V98" i="6"/>
  <c r="V99" i="6" a="1"/>
  <c r="V99" i="6"/>
  <c r="V100" i="6" a="1"/>
  <c r="V100" i="6"/>
  <c r="V101" i="6" a="1"/>
  <c r="V101" i="6"/>
  <c r="V102" i="6" a="1"/>
  <c r="V102" i="6"/>
  <c r="V103" i="6" a="1"/>
  <c r="V103" i="6"/>
  <c r="V104" i="6" a="1"/>
  <c r="V104" i="6"/>
  <c r="V105" i="6" a="1"/>
  <c r="V105" i="6"/>
  <c r="V106" i="6" a="1"/>
  <c r="V106" i="6"/>
  <c r="V107" i="6" a="1"/>
  <c r="V107" i="6"/>
  <c r="V108" i="6" a="1"/>
  <c r="V108" i="6"/>
  <c r="V109" i="6" a="1"/>
  <c r="V109" i="6"/>
  <c r="V110" i="6" a="1"/>
  <c r="V110" i="6"/>
  <c r="V111" i="6" a="1"/>
  <c r="V111" i="6"/>
  <c r="V112" i="6" a="1"/>
  <c r="V112" i="6"/>
  <c r="V113" i="6" a="1"/>
  <c r="V113" i="6"/>
  <c r="V114" i="6" a="1"/>
  <c r="V114" i="6"/>
  <c r="V115" i="6" a="1"/>
  <c r="V115" i="6"/>
  <c r="V116" i="6" a="1"/>
  <c r="V116" i="6"/>
  <c r="V117" i="6" a="1"/>
  <c r="V117" i="6"/>
  <c r="V118" i="6" a="1"/>
  <c r="V118" i="6"/>
  <c r="V119" i="6" a="1"/>
  <c r="V119" i="6"/>
  <c r="V120" i="6" a="1"/>
  <c r="V120" i="6"/>
  <c r="V121" i="6" a="1"/>
  <c r="V121" i="6"/>
  <c r="V122" i="6" a="1"/>
  <c r="V122" i="6"/>
  <c r="V123" i="6" a="1"/>
  <c r="V123" i="6"/>
  <c r="V124" i="6" a="1"/>
  <c r="V124" i="6"/>
  <c r="V125" i="6" a="1"/>
  <c r="V125" i="6"/>
  <c r="V126" i="6" a="1"/>
  <c r="V126" i="6"/>
  <c r="V127" i="6" a="1"/>
  <c r="V127" i="6"/>
  <c r="V128" i="6" a="1"/>
  <c r="V128" i="6"/>
  <c r="V129" i="6" a="1"/>
  <c r="V129" i="6"/>
  <c r="V130" i="6" a="1"/>
  <c r="V130" i="6"/>
  <c r="V131" i="6" a="1"/>
  <c r="V131" i="6"/>
  <c r="V132" i="6" a="1"/>
  <c r="V132" i="6"/>
  <c r="V133" i="6" a="1"/>
  <c r="V133" i="6"/>
  <c r="V134" i="6" a="1"/>
  <c r="V134" i="6"/>
  <c r="V135" i="6" a="1"/>
  <c r="V135" i="6"/>
  <c r="V136" i="6" a="1"/>
  <c r="V136" i="6"/>
  <c r="V137" i="6" a="1"/>
  <c r="V137" i="6"/>
  <c r="V138" i="6" a="1"/>
  <c r="V138" i="6"/>
  <c r="V139" i="6" a="1"/>
  <c r="V139" i="6"/>
  <c r="V140" i="6" a="1"/>
  <c r="V140" i="6"/>
  <c r="V141" i="6" a="1"/>
  <c r="V141" i="6"/>
  <c r="V142" i="6" a="1"/>
  <c r="V142" i="6"/>
  <c r="V143" i="6" a="1"/>
  <c r="V143" i="6"/>
  <c r="V144" i="6" a="1"/>
  <c r="V144" i="6"/>
  <c r="V145" i="6" a="1"/>
  <c r="V145" i="6"/>
  <c r="V146" i="6" a="1"/>
  <c r="V146" i="6"/>
  <c r="V147" i="6" a="1"/>
  <c r="V147" i="6"/>
  <c r="V148" i="6" a="1"/>
  <c r="V148" i="6"/>
  <c r="V149" i="6" a="1"/>
  <c r="V149" i="6"/>
  <c r="V150" i="6" a="1"/>
  <c r="V150" i="6"/>
  <c r="V151" i="6" a="1"/>
  <c r="V151" i="6"/>
  <c r="V152" i="6" a="1"/>
  <c r="V152" i="6"/>
  <c r="V153" i="6" a="1"/>
  <c r="V153" i="6"/>
  <c r="V154" i="6" a="1"/>
  <c r="V154" i="6"/>
  <c r="V155" i="6" a="1"/>
  <c r="V155" i="6"/>
  <c r="V156" i="6" a="1"/>
  <c r="V156" i="6"/>
  <c r="V157" i="6" a="1"/>
  <c r="V157" i="6"/>
  <c r="V158" i="6" a="1"/>
  <c r="V158" i="6"/>
  <c r="V159" i="6" a="1"/>
  <c r="V159" i="6"/>
  <c r="V160" i="6" a="1"/>
  <c r="V160" i="6"/>
  <c r="V161" i="6" a="1"/>
  <c r="V161" i="6"/>
  <c r="V162" i="6" a="1"/>
  <c r="V162" i="6"/>
  <c r="V163" i="6" a="1"/>
  <c r="V163" i="6"/>
  <c r="V164" i="6" a="1"/>
  <c r="V164" i="6"/>
  <c r="V165" i="6" a="1"/>
  <c r="V165" i="6"/>
  <c r="V166" i="6" a="1"/>
  <c r="V166" i="6"/>
  <c r="V167" i="6" a="1"/>
  <c r="V167" i="6"/>
  <c r="V168" i="6" a="1"/>
  <c r="V168" i="6"/>
  <c r="V169" i="6" a="1"/>
  <c r="V169" i="6"/>
  <c r="V170" i="6" a="1"/>
  <c r="V170" i="6"/>
  <c r="V171" i="6" a="1"/>
  <c r="V171" i="6"/>
  <c r="V172" i="6" a="1"/>
  <c r="V172" i="6"/>
  <c r="V173" i="6" a="1"/>
  <c r="V173" i="6"/>
  <c r="V174" i="6" a="1"/>
  <c r="V174" i="6"/>
  <c r="V175" i="6" a="1"/>
  <c r="V175" i="6"/>
  <c r="V176" i="6" a="1"/>
  <c r="V176" i="6"/>
  <c r="V177" i="6" a="1"/>
  <c r="V177" i="6"/>
  <c r="V178" i="6" a="1"/>
  <c r="V178" i="6"/>
  <c r="V179" i="6" a="1"/>
  <c r="V179" i="6"/>
  <c r="V180" i="6" a="1"/>
  <c r="V180" i="6"/>
  <c r="V181" i="6" a="1"/>
  <c r="V181" i="6"/>
  <c r="V182" i="6" a="1"/>
  <c r="V182" i="6"/>
  <c r="V183" i="6" a="1"/>
  <c r="V183" i="6"/>
  <c r="V184" i="6" a="1"/>
  <c r="V184" i="6"/>
  <c r="V185" i="6" a="1"/>
  <c r="V185" i="6"/>
  <c r="V186" i="6" a="1"/>
  <c r="V186" i="6"/>
  <c r="V187" i="6" a="1"/>
  <c r="V187" i="6"/>
  <c r="V188" i="6" a="1"/>
  <c r="V188" i="6"/>
  <c r="V189" i="6" a="1"/>
  <c r="V189" i="6"/>
  <c r="V190" i="6" a="1"/>
  <c r="V190" i="6"/>
  <c r="V191" i="6" a="1"/>
  <c r="V191" i="6"/>
  <c r="V192" i="6" a="1"/>
  <c r="V192" i="6"/>
  <c r="V193" i="6" a="1"/>
  <c r="V193" i="6"/>
  <c r="V194" i="6" a="1"/>
  <c r="V194" i="6"/>
  <c r="V195" i="6" a="1"/>
  <c r="V195" i="6"/>
  <c r="V196" i="6" a="1"/>
  <c r="V196" i="6"/>
  <c r="V197" i="6" a="1"/>
  <c r="V197" i="6"/>
  <c r="V198" i="6" a="1"/>
  <c r="V198" i="6"/>
  <c r="V199" i="6" a="1"/>
  <c r="V199" i="6"/>
  <c r="V200" i="6" a="1"/>
  <c r="V200" i="6"/>
  <c r="V201" i="6" a="1"/>
  <c r="V201" i="6"/>
  <c r="V202" i="6" a="1"/>
  <c r="V202" i="6"/>
  <c r="V203" i="6" a="1"/>
  <c r="V203" i="6"/>
  <c r="V204" i="6" a="1"/>
  <c r="V204" i="6"/>
  <c r="V205" i="6" a="1"/>
  <c r="V205" i="6"/>
  <c r="V206" i="6" a="1"/>
  <c r="V206" i="6"/>
  <c r="V207" i="6" a="1"/>
  <c r="V207" i="6"/>
  <c r="V208" i="6" a="1"/>
  <c r="V208" i="6"/>
  <c r="V209" i="6" a="1"/>
  <c r="V209" i="6"/>
  <c r="V210" i="6" a="1"/>
  <c r="V210" i="6"/>
  <c r="V211" i="6" a="1"/>
  <c r="V211" i="6"/>
  <c r="V212" i="6" a="1"/>
  <c r="V212" i="6"/>
  <c r="V213" i="6" a="1"/>
  <c r="V213" i="6"/>
  <c r="V214" i="6" a="1"/>
  <c r="V214" i="6"/>
  <c r="V215" i="6" a="1"/>
  <c r="V215" i="6"/>
  <c r="V216" i="6" a="1"/>
  <c r="V216" i="6"/>
  <c r="V217" i="6" a="1"/>
  <c r="V217" i="6"/>
  <c r="V218" i="6" a="1"/>
  <c r="V218" i="6"/>
  <c r="V219" i="6" a="1"/>
  <c r="V219" i="6"/>
  <c r="V220" i="6" a="1"/>
  <c r="V220" i="6"/>
  <c r="V221" i="6" a="1"/>
  <c r="V221" i="6"/>
  <c r="V222" i="6" a="1"/>
  <c r="V222" i="6"/>
  <c r="V223" i="6" a="1"/>
  <c r="V223" i="6"/>
  <c r="V224" i="6" a="1"/>
  <c r="V224" i="6"/>
  <c r="V225" i="6" a="1"/>
  <c r="V225" i="6"/>
  <c r="V226" i="6" a="1"/>
  <c r="V226" i="6"/>
  <c r="V227" i="6" a="1"/>
  <c r="V227" i="6"/>
  <c r="V228" i="6" a="1"/>
  <c r="V228" i="6"/>
  <c r="V229" i="6" a="1"/>
  <c r="V229" i="6"/>
  <c r="V230" i="6" a="1"/>
  <c r="V230" i="6"/>
  <c r="V231" i="6" a="1"/>
  <c r="V231" i="6"/>
  <c r="V232" i="6" a="1"/>
  <c r="V232" i="6"/>
  <c r="V233" i="6" a="1"/>
  <c r="V233" i="6"/>
  <c r="V234" i="6" a="1"/>
  <c r="V234" i="6"/>
  <c r="V235" i="6" a="1"/>
  <c r="V235" i="6"/>
  <c r="V236" i="6" a="1"/>
  <c r="V236" i="6"/>
  <c r="V237" i="6" a="1"/>
  <c r="V237" i="6"/>
  <c r="V238" i="6" a="1"/>
  <c r="V238" i="6"/>
  <c r="V239" i="6" a="1"/>
  <c r="V239" i="6"/>
  <c r="V240" i="6" a="1"/>
  <c r="V240" i="6"/>
  <c r="V241" i="6" a="1"/>
  <c r="V241" i="6"/>
  <c r="V242" i="6" a="1"/>
  <c r="V242" i="6"/>
  <c r="V243" i="6" a="1"/>
  <c r="V243" i="6"/>
  <c r="V244" i="6" a="1"/>
  <c r="V244" i="6"/>
  <c r="V245" i="6" a="1"/>
  <c r="V245" i="6"/>
  <c r="V246" i="6" a="1"/>
  <c r="V246" i="6"/>
  <c r="V247" i="6" a="1"/>
  <c r="V247" i="6"/>
  <c r="V248" i="6" a="1"/>
  <c r="V248" i="6"/>
  <c r="V249" i="6" a="1"/>
  <c r="V249" i="6"/>
  <c r="V250" i="6" a="1"/>
  <c r="V250" i="6"/>
  <c r="V251" i="6" a="1"/>
  <c r="V251" i="6"/>
  <c r="V252" i="6" a="1"/>
  <c r="V252" i="6"/>
  <c r="V253" i="6" a="1"/>
  <c r="V253" i="6"/>
  <c r="V254" i="6" a="1"/>
  <c r="V254" i="6"/>
  <c r="V255" i="6" a="1"/>
  <c r="V255" i="6"/>
  <c r="V256" i="6" a="1"/>
  <c r="V256" i="6"/>
  <c r="V257" i="6" a="1"/>
  <c r="V257" i="6"/>
  <c r="V258" i="6" a="1"/>
  <c r="V258" i="6"/>
  <c r="V259" i="6" a="1"/>
  <c r="V259" i="6"/>
  <c r="V260" i="6" a="1"/>
  <c r="V260" i="6"/>
  <c r="V261" i="6" a="1"/>
  <c r="V261" i="6"/>
  <c r="V262" i="6" a="1"/>
  <c r="V262" i="6"/>
  <c r="V263" i="6" a="1"/>
  <c r="V263" i="6"/>
  <c r="V264" i="6" a="1"/>
  <c r="V264" i="6"/>
  <c r="V265" i="6" a="1"/>
  <c r="V265" i="6"/>
  <c r="V266" i="6" a="1"/>
  <c r="V266" i="6"/>
  <c r="V267" i="6" a="1"/>
  <c r="V267" i="6"/>
  <c r="V268" i="6" a="1"/>
  <c r="V268" i="6"/>
  <c r="V269" i="6" a="1"/>
  <c r="V269" i="6"/>
  <c r="V270" i="6" a="1"/>
  <c r="V270" i="6"/>
  <c r="V271" i="6" a="1"/>
  <c r="V271" i="6"/>
  <c r="V272" i="6" a="1"/>
  <c r="V272" i="6"/>
  <c r="V273" i="6" a="1"/>
  <c r="V273" i="6"/>
  <c r="V274" i="6" a="1"/>
  <c r="V274" i="6"/>
  <c r="V275" i="6" a="1"/>
  <c r="V275" i="6"/>
  <c r="V276" i="6" a="1"/>
  <c r="V276" i="6"/>
  <c r="V277" i="6" a="1"/>
  <c r="V277" i="6"/>
  <c r="V278" i="6" a="1"/>
  <c r="V278" i="6"/>
  <c r="V279" i="6" a="1"/>
  <c r="V279" i="6"/>
  <c r="V280" i="6" a="1"/>
  <c r="V280" i="6"/>
  <c r="V281" i="6" a="1"/>
  <c r="V281" i="6"/>
  <c r="V282" i="6" a="1"/>
  <c r="V282" i="6"/>
  <c r="V283" i="6" a="1"/>
  <c r="V283" i="6"/>
  <c r="V284" i="6" a="1"/>
  <c r="V284" i="6"/>
  <c r="V285" i="6" a="1"/>
  <c r="V285" i="6"/>
  <c r="V286" i="6" a="1"/>
  <c r="V286" i="6"/>
  <c r="V287" i="6" a="1"/>
  <c r="V287" i="6"/>
  <c r="V288" i="6" a="1"/>
  <c r="V288" i="6"/>
  <c r="V289" i="6" a="1"/>
  <c r="V289" i="6"/>
  <c r="V290" i="6" a="1"/>
  <c r="V290" i="6"/>
  <c r="V291" i="6" a="1"/>
  <c r="V291" i="6"/>
  <c r="V292" i="6" a="1"/>
  <c r="V292" i="6"/>
  <c r="V293" i="6" a="1"/>
  <c r="V293" i="6"/>
  <c r="V294" i="6" a="1"/>
  <c r="V294" i="6"/>
  <c r="V295" i="6" a="1"/>
  <c r="V295" i="6"/>
  <c r="V296" i="6" a="1"/>
  <c r="V296" i="6"/>
  <c r="V297" i="6" a="1"/>
  <c r="V297" i="6"/>
  <c r="V298" i="6" a="1"/>
  <c r="V298" i="6"/>
  <c r="V299" i="6" a="1"/>
  <c r="V299" i="6"/>
  <c r="V300" i="6" a="1"/>
  <c r="V300" i="6"/>
  <c r="V301" i="6" a="1"/>
  <c r="V301" i="6"/>
  <c r="V302" i="6" a="1"/>
  <c r="V302" i="6"/>
  <c r="V303" i="6" a="1"/>
  <c r="V303" i="6"/>
  <c r="V304" i="6" a="1"/>
  <c r="V304" i="6"/>
  <c r="V305" i="6" a="1"/>
  <c r="V305" i="6"/>
  <c r="V306" i="6" a="1"/>
  <c r="V306" i="6"/>
  <c r="V307" i="6" a="1"/>
  <c r="V307" i="6"/>
  <c r="V308" i="6" a="1"/>
  <c r="V308" i="6"/>
  <c r="V309" i="6" a="1"/>
  <c r="V309" i="6"/>
  <c r="V310" i="6" a="1"/>
  <c r="V310" i="6"/>
  <c r="V311" i="6" a="1"/>
  <c r="V311" i="6"/>
  <c r="V312" i="6" a="1"/>
  <c r="V312" i="6"/>
  <c r="V313" i="6" a="1"/>
  <c r="V313" i="6"/>
  <c r="V314" i="6" a="1"/>
  <c r="V314" i="6"/>
  <c r="V315" i="6" a="1"/>
  <c r="V315" i="6"/>
  <c r="V316" i="6" a="1"/>
  <c r="V316" i="6"/>
  <c r="V317" i="6" a="1"/>
  <c r="V317" i="6"/>
  <c r="V318" i="6" a="1"/>
  <c r="V318" i="6"/>
  <c r="V319" i="6" a="1"/>
  <c r="V319" i="6"/>
  <c r="V320" i="6" a="1"/>
  <c r="V320" i="6"/>
  <c r="V321" i="6" a="1"/>
  <c r="V321" i="6"/>
  <c r="V322" i="6" a="1"/>
  <c r="V322" i="6"/>
  <c r="V323" i="6" a="1"/>
  <c r="V323" i="6"/>
  <c r="V324" i="6" a="1"/>
  <c r="V324" i="6"/>
  <c r="V325" i="6" a="1"/>
  <c r="V325" i="6"/>
  <c r="V326" i="6" a="1"/>
  <c r="V326" i="6"/>
  <c r="V327" i="6" a="1"/>
  <c r="V327" i="6"/>
  <c r="V328" i="6" a="1"/>
  <c r="V328" i="6"/>
  <c r="V329" i="6" a="1"/>
  <c r="V329" i="6"/>
  <c r="V330" i="6" a="1"/>
  <c r="V330" i="6"/>
  <c r="V331" i="6" a="1"/>
  <c r="V331" i="6"/>
  <c r="V332" i="6" a="1"/>
  <c r="V332" i="6"/>
  <c r="V333" i="6" a="1"/>
  <c r="V333" i="6"/>
  <c r="V334" i="6" a="1"/>
  <c r="V334" i="6"/>
  <c r="V335" i="6" a="1"/>
  <c r="V335" i="6"/>
  <c r="V336" i="6" a="1"/>
  <c r="V336" i="6"/>
  <c r="V337" i="6" a="1"/>
  <c r="V337" i="6"/>
  <c r="V338" i="6" a="1"/>
  <c r="V338" i="6"/>
  <c r="V339" i="6" a="1"/>
  <c r="V339" i="6"/>
  <c r="V340" i="6" a="1"/>
  <c r="V340" i="6"/>
  <c r="V341" i="6" a="1"/>
  <c r="V341" i="6"/>
  <c r="V342" i="6" a="1"/>
  <c r="V342" i="6"/>
  <c r="V343" i="6" a="1"/>
  <c r="V343" i="6"/>
  <c r="V344" i="6" a="1"/>
  <c r="V344" i="6"/>
  <c r="V345" i="6" a="1"/>
  <c r="V345" i="6"/>
  <c r="V346" i="6" a="1"/>
  <c r="V346" i="6"/>
  <c r="V347" i="6" a="1"/>
  <c r="V347" i="6"/>
  <c r="V348" i="6" a="1"/>
  <c r="V348" i="6"/>
  <c r="V349" i="6" a="1"/>
  <c r="V349" i="6"/>
  <c r="V350" i="6" a="1"/>
  <c r="V350" i="6"/>
  <c r="V351" i="6" a="1"/>
  <c r="V351" i="6"/>
  <c r="V352" i="6" a="1"/>
  <c r="V352" i="6"/>
  <c r="V353" i="6" a="1"/>
  <c r="V353" i="6"/>
  <c r="V354" i="6" a="1"/>
  <c r="V354" i="6"/>
  <c r="V355" i="6" a="1"/>
  <c r="V355" i="6"/>
  <c r="V356" i="6" a="1"/>
  <c r="V356" i="6"/>
  <c r="V357" i="6" a="1"/>
  <c r="V357" i="6"/>
  <c r="V358" i="6" a="1"/>
  <c r="V358" i="6"/>
  <c r="V359" i="6" a="1"/>
  <c r="V359" i="6"/>
  <c r="V360" i="6" a="1"/>
  <c r="V360" i="6"/>
  <c r="V361" i="6" a="1"/>
  <c r="V361" i="6"/>
  <c r="V362" i="6" a="1"/>
  <c r="V362" i="6"/>
  <c r="V363" i="6" a="1"/>
  <c r="V363" i="6"/>
  <c r="V364" i="6" a="1"/>
  <c r="V364" i="6"/>
  <c r="V365" i="6" a="1"/>
  <c r="V365" i="6"/>
  <c r="V366" i="6" a="1"/>
  <c r="V366" i="6"/>
  <c r="V367" i="6" a="1"/>
  <c r="V367" i="6"/>
  <c r="V368" i="6" a="1"/>
  <c r="V368" i="6"/>
  <c r="V369" i="6" a="1"/>
  <c r="V369" i="6"/>
  <c r="V370" i="6" a="1"/>
  <c r="V370" i="6"/>
  <c r="V371" i="6" a="1"/>
  <c r="V371" i="6"/>
  <c r="V372" i="6" a="1"/>
  <c r="V372" i="6"/>
  <c r="V373" i="6" a="1"/>
  <c r="V373" i="6"/>
  <c r="V374" i="6" a="1"/>
  <c r="V374" i="6"/>
  <c r="V375" i="6" a="1"/>
  <c r="V375" i="6"/>
  <c r="V376" i="6" a="1"/>
  <c r="V376" i="6"/>
  <c r="V377" i="6" a="1"/>
  <c r="V377" i="6"/>
  <c r="V378" i="6" a="1"/>
  <c r="V378" i="6"/>
  <c r="V379" i="6" a="1"/>
  <c r="V379" i="6"/>
  <c r="V380" i="6" a="1"/>
  <c r="V380" i="6"/>
  <c r="V381" i="6" a="1"/>
  <c r="V381" i="6"/>
  <c r="V382" i="6" a="1"/>
  <c r="V382" i="6"/>
  <c r="V383" i="6" a="1"/>
  <c r="V383" i="6"/>
  <c r="V384" i="6" a="1"/>
  <c r="V384" i="6"/>
  <c r="V385" i="6" a="1"/>
  <c r="V385" i="6"/>
  <c r="V386" i="6" a="1"/>
  <c r="V386" i="6"/>
  <c r="V387" i="6" a="1"/>
  <c r="V387" i="6"/>
  <c r="V388" i="6" a="1"/>
  <c r="V388" i="6"/>
  <c r="V389" i="6" a="1"/>
  <c r="V389" i="6"/>
  <c r="V390" i="6" a="1"/>
  <c r="V390" i="6"/>
  <c r="V391" i="6" a="1"/>
  <c r="V391" i="6"/>
  <c r="V392" i="6" a="1"/>
  <c r="V392" i="6"/>
  <c r="V393" i="6" a="1"/>
  <c r="V393" i="6"/>
  <c r="V394" i="6" a="1"/>
  <c r="V394" i="6"/>
  <c r="V395" i="6" a="1"/>
  <c r="V395" i="6"/>
  <c r="V396" i="6" a="1"/>
  <c r="V396" i="6"/>
  <c r="V397" i="6" a="1"/>
  <c r="V397" i="6"/>
  <c r="V398" i="6" a="1"/>
  <c r="V398" i="6"/>
  <c r="V399" i="6" a="1"/>
  <c r="V399" i="6"/>
  <c r="V400" i="6" a="1"/>
  <c r="V400" i="6"/>
  <c r="V401" i="6" a="1"/>
  <c r="V401" i="6"/>
  <c r="V402" i="6" a="1"/>
  <c r="V402" i="6"/>
  <c r="V403" i="6" a="1"/>
  <c r="V403" i="6"/>
  <c r="V404" i="6" a="1"/>
  <c r="V404" i="6"/>
  <c r="V405" i="6" a="1"/>
  <c r="V405" i="6"/>
  <c r="V406" i="6" a="1"/>
  <c r="V406" i="6"/>
  <c r="V407" i="6" a="1"/>
  <c r="V407" i="6"/>
  <c r="V408" i="6" a="1"/>
  <c r="V408" i="6"/>
  <c r="V409" i="6" a="1"/>
  <c r="V409" i="6"/>
  <c r="V410" i="6" a="1"/>
  <c r="V410" i="6"/>
  <c r="V411" i="6" a="1"/>
  <c r="V411" i="6"/>
  <c r="V412" i="6" a="1"/>
  <c r="V412" i="6"/>
  <c r="V413" i="6" a="1"/>
  <c r="V413" i="6"/>
  <c r="V414" i="6" a="1"/>
  <c r="V414" i="6"/>
  <c r="V415" i="6" a="1"/>
  <c r="V415" i="6"/>
  <c r="V416" i="6" a="1"/>
  <c r="V416" i="6"/>
  <c r="V417" i="6" a="1"/>
  <c r="V417" i="6"/>
  <c r="V418" i="6" a="1"/>
  <c r="V418" i="6"/>
  <c r="V419" i="6" a="1"/>
  <c r="V419" i="6"/>
  <c r="V420" i="6" a="1"/>
  <c r="V420" i="6"/>
  <c r="V421" i="6" a="1"/>
  <c r="V421" i="6"/>
  <c r="V422" i="6" a="1"/>
  <c r="V422" i="6"/>
  <c r="V423" i="6" a="1"/>
  <c r="V423" i="6"/>
  <c r="V424" i="6" a="1"/>
  <c r="V424" i="6"/>
  <c r="V425" i="6" a="1"/>
  <c r="V425" i="6"/>
  <c r="V426" i="6" a="1"/>
  <c r="V426" i="6"/>
  <c r="V427" i="6" a="1"/>
  <c r="V427" i="6"/>
  <c r="V428" i="6" a="1"/>
  <c r="V428" i="6"/>
  <c r="V429" i="6" a="1"/>
  <c r="V429" i="6"/>
  <c r="V430" i="6" a="1"/>
  <c r="V430" i="6"/>
  <c r="V431" i="6" a="1"/>
  <c r="V431" i="6"/>
  <c r="V432" i="6" a="1"/>
  <c r="V432" i="6"/>
  <c r="V433" i="6" a="1"/>
  <c r="V433" i="6"/>
  <c r="V434" i="6" a="1"/>
  <c r="V434" i="6"/>
  <c r="V435" i="6" a="1"/>
  <c r="V435" i="6"/>
  <c r="V436" i="6" a="1"/>
  <c r="V436" i="6"/>
  <c r="V437" i="6" a="1"/>
  <c r="V437" i="6"/>
  <c r="V438" i="6" a="1"/>
  <c r="V438" i="6"/>
  <c r="V439" i="6" a="1"/>
  <c r="V439" i="6"/>
  <c r="V440" i="6" a="1"/>
  <c r="V440" i="6"/>
  <c r="V441" i="6" a="1"/>
  <c r="V441" i="6"/>
  <c r="V442" i="6" a="1"/>
  <c r="V442" i="6"/>
  <c r="V443" i="6" a="1"/>
  <c r="V443" i="6"/>
  <c r="V444" i="6" a="1"/>
  <c r="V444" i="6"/>
  <c r="V445" i="6" a="1"/>
  <c r="V445" i="6"/>
  <c r="V446" i="6" a="1"/>
  <c r="V446" i="6"/>
  <c r="V447" i="6" a="1"/>
  <c r="V447" i="6"/>
  <c r="V448" i="6" a="1"/>
  <c r="V448" i="6"/>
  <c r="V449" i="6" a="1"/>
  <c r="V449" i="6"/>
  <c r="V450" i="6" a="1"/>
  <c r="V450" i="6"/>
  <c r="V451" i="6" a="1"/>
  <c r="V451" i="6"/>
  <c r="V452" i="6" a="1"/>
  <c r="V452" i="6"/>
  <c r="V453" i="6" a="1"/>
  <c r="V453" i="6"/>
  <c r="V454" i="6" a="1"/>
  <c r="V454" i="6"/>
  <c r="V455" i="6" a="1"/>
  <c r="V455" i="6"/>
  <c r="V456" i="6" a="1"/>
  <c r="V456" i="6"/>
  <c r="V457" i="6" a="1"/>
  <c r="V457" i="6"/>
  <c r="V458" i="6" a="1"/>
  <c r="V458" i="6"/>
  <c r="V459" i="6" a="1"/>
  <c r="V459" i="6"/>
  <c r="V460" i="6" a="1"/>
  <c r="V460" i="6"/>
  <c r="V461" i="6" a="1"/>
  <c r="V461" i="6"/>
  <c r="V462" i="6" a="1"/>
  <c r="V462" i="6"/>
  <c r="V463" i="6" a="1"/>
  <c r="V463" i="6"/>
  <c r="V464" i="6" a="1"/>
  <c r="V464" i="6"/>
  <c r="V465" i="6" a="1"/>
  <c r="V465" i="6"/>
  <c r="V466" i="6" a="1"/>
  <c r="V466" i="6"/>
  <c r="V467" i="6" a="1"/>
  <c r="V467" i="6"/>
  <c r="V468" i="6" a="1"/>
  <c r="V468" i="6"/>
  <c r="V469" i="6" a="1"/>
  <c r="V469" i="6"/>
  <c r="V470" i="6" a="1"/>
  <c r="V470" i="6"/>
  <c r="V471" i="6" a="1"/>
  <c r="V471" i="6"/>
  <c r="V472" i="6" a="1"/>
  <c r="V472" i="6"/>
  <c r="V473" i="6" a="1"/>
  <c r="V473" i="6"/>
  <c r="V474" i="6" a="1"/>
  <c r="V474" i="6"/>
  <c r="V475" i="6" a="1"/>
  <c r="V475" i="6"/>
  <c r="V476" i="6" a="1"/>
  <c r="V476" i="6"/>
  <c r="V477" i="6" a="1"/>
  <c r="V477" i="6"/>
  <c r="V478" i="6" a="1"/>
  <c r="V478" i="6"/>
  <c r="V479" i="6" a="1"/>
  <c r="V479" i="6"/>
  <c r="V480" i="6" a="1"/>
  <c r="V480" i="6"/>
  <c r="V481" i="6" a="1"/>
  <c r="V481" i="6"/>
  <c r="V482" i="6" a="1"/>
  <c r="V482" i="6"/>
  <c r="V483" i="6" a="1"/>
  <c r="V483" i="6"/>
  <c r="V484" i="6" a="1"/>
  <c r="V484" i="6"/>
  <c r="V485" i="6" a="1"/>
  <c r="V485" i="6"/>
  <c r="V486" i="6" a="1"/>
  <c r="V486" i="6"/>
  <c r="V487" i="6" a="1"/>
  <c r="V487" i="6"/>
  <c r="V488" i="6" a="1"/>
  <c r="V488" i="6"/>
  <c r="V489" i="6" a="1"/>
  <c r="V489" i="6"/>
  <c r="V490" i="6" a="1"/>
  <c r="V490" i="6"/>
  <c r="V491" i="6" a="1"/>
  <c r="V491" i="6"/>
  <c r="V492" i="6" a="1"/>
  <c r="V492" i="6"/>
  <c r="V493" i="6" a="1"/>
  <c r="V493" i="6"/>
  <c r="V494" i="6" a="1"/>
  <c r="V494" i="6"/>
  <c r="V495" i="6" a="1"/>
  <c r="V495" i="6"/>
  <c r="V496" i="6" a="1"/>
  <c r="V496" i="6"/>
  <c r="V497" i="6" a="1"/>
  <c r="V497" i="6"/>
  <c r="V498" i="6" a="1"/>
  <c r="V498" i="6"/>
  <c r="V499" i="6" a="1"/>
  <c r="V499" i="6"/>
  <c r="V500" i="6" a="1"/>
  <c r="V500" i="6"/>
  <c r="V501" i="6" a="1"/>
  <c r="V501" i="6"/>
  <c r="V502" i="6" a="1"/>
  <c r="V502" i="6"/>
  <c r="V503" i="6" a="1"/>
  <c r="V503" i="6"/>
  <c r="V504" i="6" a="1"/>
  <c r="V504" i="6"/>
  <c r="V505" i="6" a="1"/>
  <c r="V505" i="6"/>
  <c r="V506" i="6" a="1"/>
  <c r="V506" i="6"/>
  <c r="V507" i="6" a="1"/>
  <c r="V507" i="6"/>
  <c r="V508" i="6" a="1"/>
  <c r="V508" i="6"/>
  <c r="V509" i="6" a="1"/>
  <c r="V509" i="6"/>
  <c r="V510" i="6" a="1"/>
  <c r="V510" i="6"/>
  <c r="V511" i="6" a="1"/>
  <c r="V511" i="6"/>
  <c r="V512" i="6" a="1"/>
  <c r="V512" i="6"/>
  <c r="V513" i="6" a="1"/>
  <c r="V513" i="6"/>
  <c r="V514" i="6" a="1"/>
  <c r="V514" i="6"/>
  <c r="V515" i="6" a="1"/>
  <c r="V515" i="6"/>
  <c r="V516" i="6" a="1"/>
  <c r="V516" i="6"/>
  <c r="V517" i="6" a="1"/>
  <c r="V517" i="6"/>
  <c r="V518" i="6" a="1"/>
  <c r="V518" i="6"/>
  <c r="V519" i="6" a="1"/>
  <c r="V519" i="6"/>
  <c r="V520" i="6" a="1"/>
  <c r="V520" i="6"/>
  <c r="V521" i="6" a="1"/>
  <c r="V521" i="6"/>
  <c r="V522" i="6" a="1"/>
  <c r="V522" i="6"/>
  <c r="V523" i="6" a="1"/>
  <c r="V523" i="6"/>
  <c r="V524" i="6" a="1"/>
  <c r="V524" i="6"/>
  <c r="V525" i="6" a="1"/>
  <c r="V525" i="6"/>
  <c r="V526" i="6" a="1"/>
  <c r="V526" i="6"/>
  <c r="V527" i="6" a="1"/>
  <c r="V527" i="6"/>
  <c r="V528" i="6" a="1"/>
  <c r="V528" i="6"/>
  <c r="V529" i="6" a="1"/>
  <c r="V529" i="6"/>
  <c r="V530" i="6" a="1"/>
  <c r="V530" i="6"/>
  <c r="V531" i="6" a="1"/>
  <c r="V531" i="6"/>
  <c r="V532" i="6" a="1"/>
  <c r="V532" i="6"/>
  <c r="V533" i="6" a="1"/>
  <c r="V533" i="6"/>
  <c r="V534" i="6" a="1"/>
  <c r="V534" i="6"/>
  <c r="V535" i="6" a="1"/>
  <c r="V535" i="6"/>
  <c r="V536" i="6" a="1"/>
  <c r="V536" i="6"/>
  <c r="V537" i="6" a="1"/>
  <c r="V537" i="6"/>
  <c r="V538" i="6" a="1"/>
  <c r="V538" i="6"/>
  <c r="V539" i="6" a="1"/>
  <c r="V539" i="6"/>
  <c r="V540" i="6" a="1"/>
  <c r="V540" i="6"/>
  <c r="V541" i="6" a="1"/>
  <c r="V541" i="6"/>
  <c r="V542" i="6" a="1"/>
  <c r="V542" i="6"/>
  <c r="V543" i="6" a="1"/>
  <c r="V543" i="6"/>
  <c r="V544" i="6" a="1"/>
  <c r="V544" i="6"/>
  <c r="V545" i="6" a="1"/>
  <c r="V545" i="6"/>
  <c r="V546" i="6" a="1"/>
  <c r="V546" i="6"/>
  <c r="V547" i="6" a="1"/>
  <c r="V547" i="6"/>
  <c r="V548" i="6" a="1"/>
  <c r="V548" i="6"/>
  <c r="V549" i="6" a="1"/>
  <c r="V549" i="6"/>
  <c r="V550" i="6" a="1"/>
  <c r="V550" i="6"/>
  <c r="V551" i="6" a="1"/>
  <c r="V551" i="6"/>
  <c r="V552" i="6" a="1"/>
  <c r="V552" i="6"/>
  <c r="V553" i="6" a="1"/>
  <c r="V553" i="6"/>
  <c r="V554" i="6" a="1"/>
  <c r="V554" i="6"/>
  <c r="V555" i="6" a="1"/>
  <c r="V555" i="6"/>
  <c r="V556" i="6" a="1"/>
  <c r="V556" i="6"/>
  <c r="V557" i="6" a="1"/>
  <c r="V557" i="6"/>
  <c r="V558" i="6" a="1"/>
  <c r="V558" i="6"/>
  <c r="V559" i="6" a="1"/>
  <c r="V559" i="6"/>
  <c r="V560" i="6" a="1"/>
  <c r="V560" i="6"/>
  <c r="V561" i="6" a="1"/>
  <c r="V561" i="6"/>
  <c r="V562" i="6" a="1"/>
  <c r="V562" i="6"/>
  <c r="V563" i="6" a="1"/>
  <c r="V563" i="6"/>
  <c r="V564" i="6" a="1"/>
  <c r="V564" i="6"/>
  <c r="V565" i="6" a="1"/>
  <c r="V565" i="6"/>
  <c r="V566" i="6" a="1"/>
  <c r="V566" i="6"/>
  <c r="V567" i="6" a="1"/>
  <c r="V567" i="6"/>
  <c r="V568" i="6" a="1"/>
  <c r="V568" i="6"/>
  <c r="V569" i="6" a="1"/>
  <c r="V569" i="6"/>
  <c r="V570" i="6" a="1"/>
  <c r="V570" i="6"/>
  <c r="V571" i="6" a="1"/>
  <c r="V571" i="6"/>
  <c r="V572" i="6" a="1"/>
  <c r="V572" i="6"/>
  <c r="V573" i="6" a="1"/>
  <c r="V573" i="6"/>
  <c r="V574" i="6" a="1"/>
  <c r="V574" i="6"/>
  <c r="V575" i="6" a="1"/>
  <c r="V575" i="6"/>
  <c r="V576" i="6" a="1"/>
  <c r="V576" i="6"/>
  <c r="V577" i="6" a="1"/>
  <c r="V577" i="6"/>
  <c r="V578" i="6" a="1"/>
  <c r="V578" i="6"/>
  <c r="V579" i="6" a="1"/>
  <c r="V579" i="6"/>
  <c r="V580" i="6" a="1"/>
  <c r="V580" i="6"/>
  <c r="V581" i="6" a="1"/>
  <c r="V581" i="6"/>
  <c r="V582" i="6" a="1"/>
  <c r="V582" i="6"/>
  <c r="V583" i="6" a="1"/>
  <c r="V583" i="6"/>
  <c r="V584" i="6" a="1"/>
  <c r="V584" i="6"/>
  <c r="V585" i="6" a="1"/>
  <c r="V585" i="6"/>
  <c r="V586" i="6" a="1"/>
  <c r="V586" i="6"/>
  <c r="V587" i="6" a="1"/>
  <c r="V587" i="6"/>
  <c r="V588" i="6" a="1"/>
  <c r="V588" i="6"/>
  <c r="V589" i="6" a="1"/>
  <c r="V589" i="6"/>
  <c r="V590" i="6" a="1"/>
  <c r="V590" i="6"/>
  <c r="V591" i="6" a="1"/>
  <c r="V591" i="6"/>
  <c r="V592" i="6" a="1"/>
  <c r="V592" i="6"/>
  <c r="V593" i="6" a="1"/>
  <c r="V593" i="6"/>
  <c r="V594" i="6" a="1"/>
  <c r="V594" i="6"/>
  <c r="V595" i="6" a="1"/>
  <c r="V595" i="6"/>
  <c r="V596" i="6" a="1"/>
  <c r="V596" i="6"/>
  <c r="V597" i="6" a="1"/>
  <c r="V597" i="6"/>
  <c r="V598" i="6" a="1"/>
  <c r="V598" i="6"/>
  <c r="V599" i="6" a="1"/>
  <c r="V599" i="6"/>
  <c r="V600" i="6" a="1"/>
  <c r="V600" i="6"/>
  <c r="V601" i="6" a="1"/>
  <c r="V601" i="6"/>
  <c r="V602" i="6" a="1"/>
  <c r="V602" i="6"/>
  <c r="V603" i="6" a="1"/>
  <c r="V603" i="6"/>
  <c r="V604" i="6" a="1"/>
  <c r="V604" i="6"/>
  <c r="V605" i="6" a="1"/>
  <c r="V605" i="6"/>
  <c r="V606" i="6" a="1"/>
  <c r="V606" i="6"/>
  <c r="V607" i="6" a="1"/>
  <c r="V607" i="6"/>
  <c r="V608" i="6" a="1"/>
  <c r="V608" i="6"/>
  <c r="V609" i="6" a="1"/>
  <c r="V609" i="6"/>
  <c r="V610" i="6" a="1"/>
  <c r="V610" i="6"/>
  <c r="V611" i="6" a="1"/>
  <c r="V611" i="6"/>
  <c r="V612" i="6" a="1"/>
  <c r="V612" i="6"/>
  <c r="V613" i="6" a="1"/>
  <c r="V613" i="6"/>
  <c r="V614" i="6" a="1"/>
  <c r="V614" i="6"/>
  <c r="V615" i="6" a="1"/>
  <c r="V615" i="6"/>
  <c r="V616" i="6" a="1"/>
  <c r="V616" i="6"/>
  <c r="V617" i="6" a="1"/>
  <c r="V617" i="6"/>
  <c r="V618" i="6" a="1"/>
  <c r="V618" i="6"/>
  <c r="V619" i="6" a="1"/>
  <c r="V619" i="6"/>
  <c r="V620" i="6" a="1"/>
  <c r="V620" i="6"/>
  <c r="V621" i="6" a="1"/>
  <c r="V621" i="6"/>
  <c r="V622" i="6" a="1"/>
  <c r="V622" i="6"/>
  <c r="V623" i="6" a="1"/>
  <c r="V623" i="6"/>
  <c r="V624" i="6" a="1"/>
  <c r="V624" i="6"/>
  <c r="V625" i="6" a="1"/>
  <c r="V625" i="6"/>
  <c r="V626" i="6" a="1"/>
  <c r="V626" i="6"/>
  <c r="V627" i="6" a="1"/>
  <c r="V627" i="6"/>
  <c r="V628" i="6" a="1"/>
  <c r="V628" i="6"/>
  <c r="V629" i="6" a="1"/>
  <c r="V629" i="6"/>
  <c r="V630" i="6" a="1"/>
  <c r="V630" i="6"/>
  <c r="V631" i="6" a="1"/>
  <c r="V631" i="6"/>
  <c r="V632" i="6" a="1"/>
  <c r="V632" i="6"/>
  <c r="V633" i="6" a="1"/>
  <c r="V633" i="6"/>
  <c r="V634" i="6" a="1"/>
  <c r="V634" i="6"/>
  <c r="V635" i="6" a="1"/>
  <c r="V635" i="6"/>
  <c r="V636" i="6" a="1"/>
  <c r="V636" i="6"/>
  <c r="V637" i="6" a="1"/>
  <c r="V637" i="6"/>
  <c r="V638" i="6" a="1"/>
  <c r="V638" i="6"/>
  <c r="V639" i="6" a="1"/>
  <c r="V639" i="6"/>
  <c r="V640" i="6" a="1"/>
  <c r="V640" i="6"/>
  <c r="V641" i="6" a="1"/>
  <c r="V641" i="6"/>
  <c r="V642" i="6" a="1"/>
  <c r="V642" i="6"/>
  <c r="V643" i="6" a="1"/>
  <c r="V643" i="6"/>
  <c r="V644" i="6" a="1"/>
  <c r="V644" i="6"/>
  <c r="V645" i="6" a="1"/>
  <c r="V645" i="6"/>
  <c r="V646" i="6" a="1"/>
  <c r="V646" i="6"/>
  <c r="V647" i="6" a="1"/>
  <c r="V647" i="6"/>
  <c r="V648" i="6" a="1"/>
  <c r="V648" i="6"/>
  <c r="V649" i="6" a="1"/>
  <c r="V649" i="6"/>
  <c r="V650" i="6" a="1"/>
  <c r="V650" i="6"/>
  <c r="V651" i="6" a="1"/>
  <c r="V651" i="6"/>
  <c r="V652" i="6" a="1"/>
  <c r="V652" i="6"/>
  <c r="V653" i="6" a="1"/>
  <c r="V653" i="6"/>
  <c r="V654" i="6" a="1"/>
  <c r="V654" i="6"/>
  <c r="V655" i="6" a="1"/>
  <c r="V655" i="6"/>
  <c r="V656" i="6" a="1"/>
  <c r="V656" i="6"/>
  <c r="V657" i="6" a="1"/>
  <c r="V657" i="6"/>
  <c r="V658" i="6" a="1"/>
  <c r="V658" i="6"/>
  <c r="V659" i="6" a="1"/>
  <c r="V659" i="6"/>
  <c r="V660" i="6" a="1"/>
  <c r="V660" i="6"/>
  <c r="V661" i="6" a="1"/>
  <c r="V661" i="6"/>
  <c r="V662" i="6" a="1"/>
  <c r="V662" i="6"/>
  <c r="V663" i="6" a="1"/>
  <c r="V663" i="6"/>
  <c r="V664" i="6" a="1"/>
  <c r="V664" i="6"/>
  <c r="V665" i="6" a="1"/>
  <c r="V665" i="6"/>
  <c r="V666" i="6" a="1"/>
  <c r="V666" i="6"/>
  <c r="V667" i="6" a="1"/>
  <c r="V667" i="6"/>
  <c r="V668" i="6" a="1"/>
  <c r="V668" i="6"/>
  <c r="V669" i="6" a="1"/>
  <c r="V669" i="6"/>
  <c r="V670" i="6" a="1"/>
  <c r="V670" i="6"/>
  <c r="V671" i="6" a="1"/>
  <c r="V671" i="6"/>
  <c r="V672" i="6" a="1"/>
  <c r="V672" i="6"/>
  <c r="V673" i="6" a="1"/>
  <c r="V673" i="6"/>
  <c r="V674" i="6" a="1"/>
  <c r="V674" i="6"/>
  <c r="V675" i="6" a="1"/>
  <c r="V675" i="6"/>
  <c r="V676" i="6" a="1"/>
  <c r="V676" i="6"/>
  <c r="V677" i="6" a="1"/>
  <c r="V677" i="6"/>
  <c r="V678" i="6" a="1"/>
  <c r="V678" i="6"/>
  <c r="V679" i="6" a="1"/>
  <c r="V679" i="6"/>
  <c r="V680" i="6" a="1"/>
  <c r="V680" i="6"/>
  <c r="V681" i="6" a="1"/>
  <c r="V681" i="6"/>
  <c r="V682" i="6" a="1"/>
  <c r="V682" i="6"/>
  <c r="V683" i="6" a="1"/>
  <c r="V683" i="6"/>
  <c r="V684" i="6" a="1"/>
  <c r="V684" i="6"/>
  <c r="V685" i="6" a="1"/>
  <c r="V685" i="6"/>
  <c r="V686" i="6" a="1"/>
  <c r="V686" i="6"/>
  <c r="V687" i="6" a="1"/>
  <c r="V687" i="6"/>
  <c r="V688" i="6" a="1"/>
  <c r="V688" i="6"/>
  <c r="V689" i="6" a="1"/>
  <c r="V689" i="6"/>
  <c r="V690" i="6" a="1"/>
  <c r="V690" i="6"/>
  <c r="V691" i="6" a="1"/>
  <c r="V691" i="6"/>
  <c r="V692" i="6" a="1"/>
  <c r="V692" i="6"/>
  <c r="V693" i="6" a="1"/>
  <c r="V693" i="6"/>
  <c r="V694" i="6" a="1"/>
  <c r="V694" i="6"/>
  <c r="V695" i="6" a="1"/>
  <c r="V695" i="6"/>
  <c r="V696" i="6" a="1"/>
  <c r="V696" i="6"/>
  <c r="V697" i="6" a="1"/>
  <c r="V697" i="6"/>
  <c r="V698" i="6" a="1"/>
  <c r="V698" i="6"/>
  <c r="V699" i="6" a="1"/>
  <c r="V699" i="6"/>
  <c r="V700" i="6" a="1"/>
  <c r="V700" i="6"/>
  <c r="V701" i="6" a="1"/>
  <c r="V701" i="6"/>
  <c r="V702" i="6" a="1"/>
  <c r="V702" i="6"/>
  <c r="V703" i="6" a="1"/>
  <c r="V703" i="6"/>
  <c r="V704" i="6" a="1"/>
  <c r="V704" i="6"/>
  <c r="V705" i="6" a="1"/>
  <c r="V705" i="6"/>
  <c r="V706" i="6" a="1"/>
  <c r="V706" i="6"/>
  <c r="V707" i="6" a="1"/>
  <c r="V707" i="6"/>
  <c r="V708" i="6" a="1"/>
  <c r="V708" i="6"/>
  <c r="V709" i="6" a="1"/>
  <c r="V709" i="6"/>
  <c r="V710" i="6" a="1"/>
  <c r="V710" i="6"/>
  <c r="V711" i="6" a="1"/>
  <c r="V711" i="6"/>
  <c r="V712" i="6" a="1"/>
  <c r="V712" i="6"/>
  <c r="V713" i="6" a="1"/>
  <c r="V713" i="6"/>
  <c r="V714" i="6" a="1"/>
  <c r="V714" i="6"/>
  <c r="V715" i="6" a="1"/>
  <c r="V715" i="6"/>
  <c r="V716" i="6" a="1"/>
  <c r="V716" i="6"/>
  <c r="V717" i="6" a="1"/>
  <c r="V717" i="6"/>
  <c r="V718" i="6" a="1"/>
  <c r="V718" i="6"/>
  <c r="V719" i="6" a="1"/>
  <c r="V719" i="6"/>
  <c r="V720" i="6" a="1"/>
  <c r="V720" i="6"/>
  <c r="V721" i="6" a="1"/>
  <c r="V721" i="6"/>
  <c r="V722" i="6" a="1"/>
  <c r="V722" i="6"/>
  <c r="V723" i="6" a="1"/>
  <c r="V723" i="6"/>
  <c r="V724" i="6" a="1"/>
  <c r="V724" i="6"/>
  <c r="V725" i="6" a="1"/>
  <c r="V725" i="6"/>
  <c r="V726" i="6" a="1"/>
  <c r="V726" i="6"/>
  <c r="V727" i="6" a="1"/>
  <c r="V727" i="6"/>
  <c r="V728" i="6" a="1"/>
  <c r="V728" i="6"/>
  <c r="V729" i="6" a="1"/>
  <c r="V729" i="6"/>
  <c r="V730" i="6" a="1"/>
  <c r="V730" i="6"/>
  <c r="V731" i="6" a="1"/>
  <c r="V731" i="6"/>
  <c r="V732" i="6" a="1"/>
  <c r="V732" i="6"/>
  <c r="V733" i="6" a="1"/>
  <c r="V733" i="6"/>
  <c r="V734" i="6" a="1"/>
  <c r="V734" i="6"/>
  <c r="V735" i="6" a="1"/>
  <c r="V735" i="6"/>
  <c r="V736" i="6" a="1"/>
  <c r="V736" i="6"/>
  <c r="V737" i="6" a="1"/>
  <c r="V737" i="6"/>
  <c r="V738" i="6" a="1"/>
  <c r="V738" i="6"/>
  <c r="V739" i="6" a="1"/>
  <c r="V739" i="6"/>
  <c r="V740" i="6" a="1"/>
  <c r="V740" i="6"/>
  <c r="V741" i="6" a="1"/>
  <c r="V741" i="6"/>
  <c r="V742" i="6" a="1"/>
  <c r="V742" i="6"/>
  <c r="V743" i="6" a="1"/>
  <c r="V743" i="6"/>
  <c r="V744" i="6" a="1"/>
  <c r="V744" i="6"/>
  <c r="V745" i="6" a="1"/>
  <c r="V745" i="6"/>
  <c r="V746" i="6" a="1"/>
  <c r="V746" i="6"/>
  <c r="V747" i="6" a="1"/>
  <c r="V747" i="6"/>
  <c r="V748" i="6" a="1"/>
  <c r="V748" i="6"/>
  <c r="V749" i="6" a="1"/>
  <c r="V749" i="6"/>
  <c r="V750" i="6" a="1"/>
  <c r="V750" i="6"/>
  <c r="V751" i="6" a="1"/>
  <c r="V751" i="6"/>
  <c r="V752" i="6" a="1"/>
  <c r="V752" i="6"/>
  <c r="V753" i="6" a="1"/>
  <c r="V753" i="6"/>
  <c r="V754" i="6" a="1"/>
  <c r="V754" i="6"/>
  <c r="V755" i="6" a="1"/>
  <c r="V755" i="6"/>
  <c r="V756" i="6" a="1"/>
  <c r="V756" i="6"/>
  <c r="V757" i="6" a="1"/>
  <c r="V757" i="6"/>
  <c r="V758" i="6" a="1"/>
  <c r="V758" i="6"/>
  <c r="V759" i="6" a="1"/>
  <c r="V759" i="6"/>
  <c r="V760" i="6" a="1"/>
  <c r="V760" i="6"/>
  <c r="V761" i="6" a="1"/>
  <c r="V761" i="6"/>
  <c r="V762" i="6" a="1"/>
  <c r="V762" i="6"/>
  <c r="V763" i="6" a="1"/>
  <c r="V763" i="6"/>
  <c r="V764" i="6" a="1"/>
  <c r="V764" i="6"/>
  <c r="V765" i="6" a="1"/>
  <c r="V765" i="6"/>
  <c r="V766" i="6" a="1"/>
  <c r="V766" i="6"/>
  <c r="V767" i="6" a="1"/>
  <c r="V767" i="6"/>
  <c r="V768" i="6" a="1"/>
  <c r="V768" i="6"/>
  <c r="V769" i="6" a="1"/>
  <c r="V769" i="6"/>
  <c r="V770" i="6" a="1"/>
  <c r="V770" i="6"/>
  <c r="V771" i="6" a="1"/>
  <c r="V771" i="6"/>
  <c r="V772" i="6" a="1"/>
  <c r="V772" i="6"/>
  <c r="V773" i="6" a="1"/>
  <c r="V773" i="6"/>
  <c r="V774" i="6" a="1"/>
  <c r="V774" i="6"/>
  <c r="V775" i="6" a="1"/>
  <c r="V775" i="6"/>
  <c r="V776" i="6" a="1"/>
  <c r="V776" i="6"/>
  <c r="V777" i="6" a="1"/>
  <c r="V777" i="6"/>
  <c r="V778" i="6" a="1"/>
  <c r="V778" i="6"/>
  <c r="V779" i="6" a="1"/>
  <c r="V779" i="6"/>
  <c r="V780" i="6" a="1"/>
  <c r="V780" i="6"/>
  <c r="V781" i="6" a="1"/>
  <c r="V781" i="6"/>
  <c r="V782" i="6" a="1"/>
  <c r="V782" i="6"/>
  <c r="V783" i="6" a="1"/>
  <c r="V783" i="6"/>
  <c r="V784" i="6" a="1"/>
  <c r="V784" i="6"/>
  <c r="V785" i="6" a="1"/>
  <c r="V785" i="6"/>
  <c r="V786" i="6" a="1"/>
  <c r="V786" i="6"/>
  <c r="V787" i="6" a="1"/>
  <c r="V787" i="6"/>
  <c r="V788" i="6" a="1"/>
  <c r="V788" i="6"/>
  <c r="V789" i="6" a="1"/>
  <c r="V789" i="6"/>
  <c r="V790" i="6" a="1"/>
  <c r="V790" i="6"/>
  <c r="V791" i="6" a="1"/>
  <c r="V791" i="6"/>
  <c r="V792" i="6" a="1"/>
  <c r="V792" i="6"/>
  <c r="V793" i="6" a="1"/>
  <c r="V793" i="6"/>
  <c r="V794" i="6" a="1"/>
  <c r="V794" i="6"/>
  <c r="V795" i="6" a="1"/>
  <c r="V795" i="6"/>
  <c r="V796" i="6" a="1"/>
  <c r="V796" i="6"/>
  <c r="V797" i="6" a="1"/>
  <c r="V797" i="6"/>
  <c r="V798" i="6" a="1"/>
  <c r="V798" i="6"/>
  <c r="V799" i="6" a="1"/>
  <c r="V799" i="6"/>
  <c r="V800" i="6" a="1"/>
  <c r="V800" i="6"/>
  <c r="V801" i="6" a="1"/>
  <c r="V801" i="6"/>
  <c r="V802" i="6" a="1"/>
  <c r="V802" i="6"/>
  <c r="V803" i="6" a="1"/>
  <c r="V803" i="6"/>
  <c r="V804" i="6" a="1"/>
  <c r="V804" i="6"/>
  <c r="V805" i="6" a="1"/>
  <c r="V805" i="6"/>
  <c r="V806" i="6" a="1"/>
  <c r="V806" i="6"/>
  <c r="V807" i="6" a="1"/>
  <c r="V807" i="6"/>
  <c r="V808" i="6" a="1"/>
  <c r="V808" i="6"/>
  <c r="V809" i="6" a="1"/>
  <c r="V809" i="6"/>
  <c r="V810" i="6" a="1"/>
  <c r="V810" i="6"/>
  <c r="V811" i="6" a="1"/>
  <c r="V811" i="6"/>
  <c r="V812" i="6" a="1"/>
  <c r="V812" i="6"/>
  <c r="V813" i="6" a="1"/>
  <c r="V813" i="6"/>
  <c r="V814" i="6" a="1"/>
  <c r="V814" i="6"/>
  <c r="V815" i="6" a="1"/>
  <c r="V815" i="6"/>
  <c r="V816" i="6" a="1"/>
  <c r="V816" i="6"/>
  <c r="V817" i="6" a="1"/>
  <c r="V817" i="6"/>
  <c r="V818" i="6" a="1"/>
  <c r="V818" i="6"/>
  <c r="V819" i="6" a="1"/>
  <c r="V819" i="6"/>
  <c r="V820" i="6" a="1"/>
  <c r="V820" i="6"/>
  <c r="V821" i="6" a="1"/>
  <c r="V821" i="6"/>
  <c r="V822" i="6" a="1"/>
  <c r="V822" i="6"/>
  <c r="V823" i="6" a="1"/>
  <c r="V823" i="6"/>
  <c r="V824" i="6" a="1"/>
  <c r="V824" i="6"/>
  <c r="V825" i="6" a="1"/>
  <c r="V825" i="6"/>
  <c r="V826" i="6" a="1"/>
  <c r="V826" i="6"/>
  <c r="V827" i="6" a="1"/>
  <c r="V827" i="6"/>
  <c r="V828" i="6" a="1"/>
  <c r="V828" i="6"/>
  <c r="V829" i="6" a="1"/>
  <c r="V829" i="6"/>
  <c r="V830" i="6" a="1"/>
  <c r="V830" i="6"/>
  <c r="V831" i="6" a="1"/>
  <c r="V831" i="6"/>
  <c r="V832" i="6" a="1"/>
  <c r="V832" i="6"/>
  <c r="V833" i="6" a="1"/>
  <c r="V833" i="6"/>
  <c r="V834" i="6" a="1"/>
  <c r="V834" i="6"/>
  <c r="V835" i="6" a="1"/>
  <c r="V835" i="6"/>
  <c r="V836" i="6" a="1"/>
  <c r="V836" i="6"/>
  <c r="V837" i="6" a="1"/>
  <c r="V837" i="6"/>
  <c r="V838" i="6" a="1"/>
  <c r="V838" i="6"/>
  <c r="V839" i="6" a="1"/>
  <c r="V839" i="6"/>
  <c r="V840" i="6" a="1"/>
  <c r="V840" i="6"/>
  <c r="V841" i="6" a="1"/>
  <c r="V841" i="6"/>
  <c r="V842" i="6" a="1"/>
  <c r="V842" i="6"/>
  <c r="V843" i="6" a="1"/>
  <c r="V843" i="6"/>
  <c r="V844" i="6" a="1"/>
  <c r="V844" i="6"/>
  <c r="V845" i="6" a="1"/>
  <c r="V845" i="6"/>
  <c r="V846" i="6" a="1"/>
  <c r="V846" i="6"/>
  <c r="V847" i="6" a="1"/>
  <c r="V847" i="6"/>
  <c r="V848" i="6" a="1"/>
  <c r="V848" i="6"/>
  <c r="V849" i="6" a="1"/>
  <c r="V849" i="6"/>
  <c r="V850" i="6" a="1"/>
  <c r="V850" i="6"/>
  <c r="V851" i="6" a="1"/>
  <c r="V851" i="6"/>
  <c r="V852" i="6" a="1"/>
  <c r="V852" i="6"/>
  <c r="V853" i="6" a="1"/>
  <c r="V853" i="6"/>
  <c r="V854" i="6" a="1"/>
  <c r="V854" i="6"/>
  <c r="V855" i="6" a="1"/>
  <c r="V855" i="6"/>
  <c r="V856" i="6" a="1"/>
  <c r="V856" i="6"/>
  <c r="V857" i="6" a="1"/>
  <c r="V857" i="6"/>
  <c r="V858" i="6" a="1"/>
  <c r="V858" i="6"/>
  <c r="V859" i="6" a="1"/>
  <c r="V859" i="6"/>
  <c r="V860" i="6" a="1"/>
  <c r="V860" i="6"/>
  <c r="V861" i="6" a="1"/>
  <c r="V861" i="6"/>
  <c r="V862" i="6" a="1"/>
  <c r="V862" i="6"/>
  <c r="V863" i="6" a="1"/>
  <c r="V863" i="6"/>
  <c r="V864" i="6" a="1"/>
  <c r="V864" i="6"/>
  <c r="V865" i="6" a="1"/>
  <c r="V865" i="6"/>
  <c r="V866" i="6" a="1"/>
  <c r="V866" i="6"/>
  <c r="V867" i="6" a="1"/>
  <c r="V867" i="6"/>
  <c r="V868" i="6" a="1"/>
  <c r="V868" i="6"/>
  <c r="V869" i="6" a="1"/>
  <c r="V869" i="6"/>
  <c r="V870" i="6" a="1"/>
  <c r="V870" i="6"/>
  <c r="V871" i="6" a="1"/>
  <c r="V871" i="6"/>
  <c r="V872" i="6" a="1"/>
  <c r="V872" i="6"/>
  <c r="V873" i="6" a="1"/>
  <c r="V873" i="6"/>
  <c r="V874" i="6" a="1"/>
  <c r="V874" i="6"/>
  <c r="V875" i="6" a="1"/>
  <c r="V875" i="6"/>
  <c r="V876" i="6" a="1"/>
  <c r="V876" i="6"/>
  <c r="V877" i="6" a="1"/>
  <c r="V877" i="6"/>
  <c r="V878" i="6" a="1"/>
  <c r="V878" i="6"/>
  <c r="V879" i="6" a="1"/>
  <c r="V879" i="6"/>
  <c r="V880" i="6" a="1"/>
  <c r="V880" i="6"/>
  <c r="V881" i="6" a="1"/>
  <c r="V881" i="6"/>
  <c r="V882" i="6" a="1"/>
  <c r="V882" i="6"/>
  <c r="V883" i="6" a="1"/>
  <c r="V883" i="6"/>
  <c r="V884" i="6" a="1"/>
  <c r="V884" i="6"/>
  <c r="V885" i="6" a="1"/>
  <c r="V885" i="6"/>
  <c r="V886" i="6" a="1"/>
  <c r="V886" i="6"/>
  <c r="V887" i="6" a="1"/>
  <c r="V887" i="6"/>
  <c r="V888" i="6" a="1"/>
  <c r="V888" i="6"/>
  <c r="V889" i="6" a="1"/>
  <c r="V889" i="6"/>
  <c r="V890" i="6" a="1"/>
  <c r="V890" i="6"/>
  <c r="V891" i="6" a="1"/>
  <c r="V891" i="6"/>
  <c r="V892" i="6" a="1"/>
  <c r="V892" i="6"/>
  <c r="V893" i="6" a="1"/>
  <c r="V893" i="6"/>
  <c r="V894" i="6" a="1"/>
  <c r="V894" i="6"/>
  <c r="V895" i="6" a="1"/>
  <c r="V895" i="6"/>
  <c r="V896" i="6" a="1"/>
  <c r="V896" i="6"/>
  <c r="V897" i="6" a="1"/>
  <c r="V897" i="6"/>
  <c r="V898" i="6" a="1"/>
  <c r="V898" i="6"/>
  <c r="V899" i="6" a="1"/>
  <c r="V899" i="6"/>
  <c r="V900" i="6" a="1"/>
  <c r="V900" i="6"/>
  <c r="V901" i="6" a="1"/>
  <c r="V901" i="6"/>
  <c r="V902" i="6" a="1"/>
  <c r="V902" i="6"/>
  <c r="V903" i="6" a="1"/>
  <c r="V903" i="6"/>
  <c r="V904" i="6" a="1"/>
  <c r="V904" i="6"/>
  <c r="V905" i="6" a="1"/>
  <c r="V905" i="6"/>
  <c r="V906" i="6" a="1"/>
  <c r="V906" i="6"/>
  <c r="V907" i="6" a="1"/>
  <c r="V907" i="6"/>
  <c r="V908" i="6" a="1"/>
  <c r="V908" i="6"/>
  <c r="V909" i="6" a="1"/>
  <c r="V909" i="6"/>
  <c r="V910" i="6" a="1"/>
  <c r="V910" i="6"/>
  <c r="V911" i="6" a="1"/>
  <c r="V911" i="6"/>
  <c r="V912" i="6" a="1"/>
  <c r="V912" i="6"/>
  <c r="V913" i="6" a="1"/>
  <c r="V913" i="6"/>
  <c r="V914" i="6" a="1"/>
  <c r="V914" i="6"/>
  <c r="V915" i="6" a="1"/>
  <c r="V915" i="6"/>
  <c r="V916" i="6" a="1"/>
  <c r="V916" i="6"/>
  <c r="V917" i="6" a="1"/>
  <c r="V917" i="6"/>
  <c r="V918" i="6" a="1"/>
  <c r="V918" i="6"/>
  <c r="V919" i="6" a="1"/>
  <c r="V919" i="6"/>
  <c r="V920" i="6" a="1"/>
  <c r="V920" i="6"/>
  <c r="V921" i="6" a="1"/>
  <c r="V921" i="6"/>
  <c r="V922" i="6" a="1"/>
  <c r="V922" i="6"/>
  <c r="V923" i="6" a="1"/>
  <c r="V923" i="6"/>
  <c r="V924" i="6" a="1"/>
  <c r="V924" i="6"/>
  <c r="V925" i="6" a="1"/>
  <c r="V925" i="6"/>
  <c r="V926" i="6" a="1"/>
  <c r="V926" i="6"/>
  <c r="V927" i="6" a="1"/>
  <c r="V927" i="6"/>
  <c r="V928" i="6" a="1"/>
  <c r="V928" i="6"/>
  <c r="V929" i="6" a="1"/>
  <c r="V929" i="6"/>
  <c r="V930" i="6" a="1"/>
  <c r="V930" i="6"/>
  <c r="V931" i="6" a="1"/>
  <c r="V931" i="6"/>
  <c r="V932" i="6" a="1"/>
  <c r="V932" i="6"/>
  <c r="V933" i="6" a="1"/>
  <c r="V933" i="6"/>
  <c r="V934" i="6" a="1"/>
  <c r="V934" i="6"/>
  <c r="V935" i="6" a="1"/>
  <c r="V935" i="6"/>
  <c r="V936" i="6" a="1"/>
  <c r="V936" i="6"/>
  <c r="V937" i="6" a="1"/>
  <c r="V937" i="6"/>
  <c r="V938" i="6" a="1"/>
  <c r="V938" i="6"/>
  <c r="V939" i="6" a="1"/>
  <c r="V939" i="6"/>
  <c r="V940" i="6" a="1"/>
  <c r="V940" i="6"/>
  <c r="V941" i="6" a="1"/>
  <c r="V941" i="6"/>
  <c r="V942" i="6" a="1"/>
  <c r="V942" i="6"/>
  <c r="V943" i="6" a="1"/>
  <c r="V943" i="6"/>
  <c r="V944" i="6" a="1"/>
  <c r="V944" i="6"/>
  <c r="V945" i="6" a="1"/>
  <c r="V945" i="6"/>
  <c r="V946" i="6" a="1"/>
  <c r="V946" i="6"/>
  <c r="V947" i="6" a="1"/>
  <c r="V947" i="6"/>
  <c r="V948" i="6" a="1"/>
  <c r="V948" i="6"/>
  <c r="V949" i="6" a="1"/>
  <c r="V949" i="6"/>
  <c r="V950" i="6" a="1"/>
  <c r="V950" i="6"/>
  <c r="V951" i="6" a="1"/>
  <c r="V951" i="6"/>
  <c r="V952" i="6" a="1"/>
  <c r="V952" i="6"/>
  <c r="V953" i="6" a="1"/>
  <c r="V953" i="6"/>
  <c r="V954" i="6" a="1"/>
  <c r="V954" i="6"/>
  <c r="V955" i="6" a="1"/>
  <c r="V955" i="6"/>
  <c r="V956" i="6" a="1"/>
  <c r="V956" i="6"/>
  <c r="V957" i="6" a="1"/>
  <c r="V957" i="6"/>
  <c r="V958" i="6" a="1"/>
  <c r="V958" i="6"/>
  <c r="V959" i="6" a="1"/>
  <c r="V959" i="6"/>
  <c r="V960" i="6" a="1"/>
  <c r="V960" i="6"/>
  <c r="V961" i="6" a="1"/>
  <c r="V961" i="6"/>
  <c r="V962" i="6" a="1"/>
  <c r="V962" i="6"/>
  <c r="V963" i="6" a="1"/>
  <c r="V963" i="6"/>
  <c r="V964" i="6" a="1"/>
  <c r="V964" i="6"/>
  <c r="V965" i="6" a="1"/>
  <c r="V965" i="6"/>
  <c r="V966" i="6" a="1"/>
  <c r="V966" i="6"/>
  <c r="V967" i="6" a="1"/>
  <c r="V967" i="6"/>
  <c r="V968" i="6" a="1"/>
  <c r="V968" i="6"/>
  <c r="V969" i="6" a="1"/>
  <c r="V969" i="6"/>
  <c r="V970" i="6" a="1"/>
  <c r="V970" i="6"/>
  <c r="V971" i="6" a="1"/>
  <c r="V971" i="6"/>
  <c r="V972" i="6" a="1"/>
  <c r="V972" i="6"/>
  <c r="V973" i="6" a="1"/>
  <c r="V973" i="6"/>
  <c r="V974" i="6" a="1"/>
  <c r="V974" i="6"/>
  <c r="V975" i="6" a="1"/>
  <c r="V975" i="6"/>
  <c r="V976" i="6" a="1"/>
  <c r="V976" i="6"/>
  <c r="V977" i="6" a="1"/>
  <c r="V977" i="6"/>
  <c r="V978" i="6" a="1"/>
  <c r="V978" i="6"/>
  <c r="V979" i="6" a="1"/>
  <c r="V979" i="6"/>
  <c r="V980" i="6" a="1"/>
  <c r="V980" i="6"/>
  <c r="V981" i="6" a="1"/>
  <c r="V981" i="6"/>
  <c r="V982" i="6" a="1"/>
  <c r="V982" i="6"/>
  <c r="V983" i="6" a="1"/>
  <c r="V983" i="6"/>
  <c r="V984" i="6" a="1"/>
  <c r="V984" i="6"/>
  <c r="V985" i="6" a="1"/>
  <c r="V985" i="6"/>
  <c r="V986" i="6" a="1"/>
  <c r="V986" i="6"/>
  <c r="V987" i="6" a="1"/>
  <c r="V987" i="6"/>
  <c r="V988" i="6" a="1"/>
  <c r="V988" i="6"/>
  <c r="V989" i="6" a="1"/>
  <c r="V989" i="6"/>
  <c r="V990" i="6" a="1"/>
  <c r="V990" i="6"/>
  <c r="V991" i="6" a="1"/>
  <c r="V991" i="6"/>
  <c r="V992" i="6" a="1"/>
  <c r="V992" i="6"/>
  <c r="V993" i="6" a="1"/>
  <c r="V993" i="6"/>
  <c r="V994" i="6" a="1"/>
  <c r="V994" i="6"/>
  <c r="V995" i="6" a="1"/>
  <c r="V995" i="6"/>
  <c r="V996" i="6" a="1"/>
  <c r="V996" i="6"/>
  <c r="V997" i="6" a="1"/>
  <c r="V997" i="6"/>
  <c r="V998" i="6" a="1"/>
  <c r="V998" i="6"/>
  <c r="V999" i="6" a="1"/>
  <c r="V999" i="6"/>
  <c r="V1000" i="6" a="1"/>
  <c r="V1000" i="6"/>
  <c r="V1001" i="6" a="1"/>
  <c r="V1001" i="6"/>
  <c r="V2" i="6" a="1"/>
  <c r="V2" i="6"/>
  <c r="W2" i="16"/>
  <c r="W3" i="16" a="1"/>
  <c r="W3" i="16"/>
  <c r="B1001" i="16" l="1"/>
  <c r="B1000" i="16"/>
  <c r="B999" i="16"/>
  <c r="B998" i="16"/>
  <c r="B997" i="16"/>
  <c r="B996" i="16"/>
  <c r="B995" i="16"/>
  <c r="B994" i="16"/>
  <c r="B993" i="16"/>
  <c r="B992" i="16"/>
  <c r="B991" i="16"/>
  <c r="B990" i="16"/>
  <c r="B989" i="16"/>
  <c r="B988" i="16"/>
  <c r="B987" i="16"/>
  <c r="B986" i="16"/>
  <c r="B985" i="16"/>
  <c r="B984" i="16"/>
  <c r="B983" i="16"/>
  <c r="B982" i="16"/>
  <c r="B981" i="16"/>
  <c r="B980" i="16"/>
  <c r="B979" i="16"/>
  <c r="B978" i="16"/>
  <c r="B977" i="16"/>
  <c r="B976" i="16"/>
  <c r="B975" i="16"/>
  <c r="B974" i="16"/>
  <c r="B973" i="16"/>
  <c r="B972" i="16"/>
  <c r="B971" i="16"/>
  <c r="B970" i="16"/>
  <c r="B969" i="16"/>
  <c r="B968" i="16"/>
  <c r="B967" i="16"/>
  <c r="B966" i="16"/>
  <c r="B965" i="16"/>
  <c r="B964" i="16"/>
  <c r="B963" i="16"/>
  <c r="B962" i="16"/>
  <c r="B961" i="16"/>
  <c r="B960" i="16"/>
  <c r="B959" i="16"/>
  <c r="B958" i="16"/>
  <c r="B957" i="16"/>
  <c r="B956" i="16"/>
  <c r="B955" i="16"/>
  <c r="B954" i="16"/>
  <c r="B953" i="16"/>
  <c r="B952" i="16"/>
  <c r="B951" i="16"/>
  <c r="B950" i="16"/>
  <c r="B949" i="16"/>
  <c r="B948" i="16"/>
  <c r="B947" i="16"/>
  <c r="B946" i="16"/>
  <c r="B945" i="16"/>
  <c r="B944" i="16"/>
  <c r="B943" i="16"/>
  <c r="B942" i="16"/>
  <c r="B941" i="16"/>
  <c r="B940" i="16"/>
  <c r="B939" i="16"/>
  <c r="B938" i="16"/>
  <c r="B937" i="16"/>
  <c r="B936" i="16"/>
  <c r="B935" i="16"/>
  <c r="B934" i="16"/>
  <c r="B933" i="16"/>
  <c r="B932" i="16"/>
  <c r="B931" i="16"/>
  <c r="B930" i="16"/>
  <c r="B929" i="16"/>
  <c r="B928" i="16"/>
  <c r="B927" i="16"/>
  <c r="B926" i="16"/>
  <c r="B925" i="16"/>
  <c r="B924" i="16"/>
  <c r="B923" i="16"/>
  <c r="B922" i="16"/>
  <c r="B921" i="16"/>
  <c r="B920" i="16"/>
  <c r="B919" i="16"/>
  <c r="B918" i="16"/>
  <c r="B917" i="16"/>
  <c r="B916" i="16"/>
  <c r="B915" i="16"/>
  <c r="B914" i="16"/>
  <c r="B913" i="16"/>
  <c r="B912" i="16"/>
  <c r="B911" i="16"/>
  <c r="B910" i="16"/>
  <c r="B909" i="16"/>
  <c r="B908" i="16"/>
  <c r="B907" i="16"/>
  <c r="B906" i="16"/>
  <c r="B905" i="16"/>
  <c r="B904" i="16"/>
  <c r="B903" i="16"/>
  <c r="B902" i="16"/>
  <c r="B901" i="16"/>
  <c r="B900" i="16"/>
  <c r="B899" i="16"/>
  <c r="B898" i="16"/>
  <c r="B897" i="16"/>
  <c r="B896" i="16"/>
  <c r="B895" i="16"/>
  <c r="B894" i="16"/>
  <c r="B893" i="16"/>
  <c r="B892" i="16"/>
  <c r="B891" i="16"/>
  <c r="B890" i="16"/>
  <c r="B889" i="16"/>
  <c r="B888" i="16"/>
  <c r="B887" i="16"/>
  <c r="B886" i="16"/>
  <c r="B885" i="16"/>
  <c r="B884" i="16"/>
  <c r="B883" i="16"/>
  <c r="B882" i="16"/>
  <c r="B881" i="16"/>
  <c r="B880" i="16"/>
  <c r="B879" i="16"/>
  <c r="B878" i="16"/>
  <c r="B877" i="16"/>
  <c r="B876" i="16"/>
  <c r="B875" i="16"/>
  <c r="B874" i="16"/>
  <c r="B873" i="16"/>
  <c r="B872" i="16"/>
  <c r="B871" i="16"/>
  <c r="B870" i="16"/>
  <c r="B869" i="16"/>
  <c r="B868" i="16"/>
  <c r="B867" i="16"/>
  <c r="B866" i="16"/>
  <c r="B865" i="16"/>
  <c r="B864" i="16"/>
  <c r="B863" i="16"/>
  <c r="B862" i="16"/>
  <c r="B861" i="16"/>
  <c r="B860" i="16"/>
  <c r="B859" i="16"/>
  <c r="B858" i="16"/>
  <c r="B857" i="16"/>
  <c r="B856" i="16"/>
  <c r="B855" i="16"/>
  <c r="B854" i="16"/>
  <c r="B853" i="16"/>
  <c r="B852" i="16"/>
  <c r="B851" i="16"/>
  <c r="B850" i="16"/>
  <c r="B849" i="16"/>
  <c r="B848" i="16"/>
  <c r="B847" i="16"/>
  <c r="B846" i="16"/>
  <c r="B845" i="16"/>
  <c r="B844" i="16"/>
  <c r="B843" i="16"/>
  <c r="B842" i="16"/>
  <c r="B841" i="16"/>
  <c r="B840" i="16"/>
  <c r="B839" i="16"/>
  <c r="B838" i="16"/>
  <c r="B837" i="16"/>
  <c r="B836" i="16"/>
  <c r="B835" i="16"/>
  <c r="B834" i="16"/>
  <c r="B833" i="16"/>
  <c r="B832" i="16"/>
  <c r="B831" i="16"/>
  <c r="B830" i="16"/>
  <c r="B829" i="16"/>
  <c r="B828" i="16"/>
  <c r="B827" i="16"/>
  <c r="B826" i="16"/>
  <c r="B825" i="16"/>
  <c r="B824" i="16"/>
  <c r="B823" i="16"/>
  <c r="B822" i="16"/>
  <c r="B821" i="16"/>
  <c r="B820" i="16"/>
  <c r="B819" i="16"/>
  <c r="B818" i="16"/>
  <c r="B817" i="16"/>
  <c r="B816" i="16"/>
  <c r="B815" i="16"/>
  <c r="B814" i="16"/>
  <c r="B813" i="16"/>
  <c r="B812" i="16"/>
  <c r="B811" i="16"/>
  <c r="B810" i="16"/>
  <c r="B809" i="16"/>
  <c r="B808" i="16"/>
  <c r="B807" i="16"/>
  <c r="B806" i="16"/>
  <c r="B805" i="16"/>
  <c r="B804" i="16"/>
  <c r="B803" i="16"/>
  <c r="B802" i="16"/>
  <c r="B801" i="16"/>
  <c r="B800" i="16"/>
  <c r="B799" i="16"/>
  <c r="B798" i="16"/>
  <c r="B797" i="16"/>
  <c r="B796" i="16"/>
  <c r="B795" i="16"/>
  <c r="B794" i="16"/>
  <c r="B793" i="16"/>
  <c r="B792" i="16"/>
  <c r="B791" i="16"/>
  <c r="B790" i="16"/>
  <c r="B789" i="16"/>
  <c r="B788" i="16"/>
  <c r="B787" i="16"/>
  <c r="B786" i="16"/>
  <c r="B785" i="16"/>
  <c r="B784" i="16"/>
  <c r="B783" i="16"/>
  <c r="B782" i="16"/>
  <c r="B781" i="16"/>
  <c r="B780" i="16"/>
  <c r="B779" i="16"/>
  <c r="B778" i="16"/>
  <c r="B777" i="16"/>
  <c r="B776" i="16"/>
  <c r="B775" i="16"/>
  <c r="B774" i="16"/>
  <c r="B773" i="16"/>
  <c r="B772" i="16"/>
  <c r="B771" i="16"/>
  <c r="B770" i="16"/>
  <c r="B769" i="16"/>
  <c r="B768" i="16"/>
  <c r="B767" i="16"/>
  <c r="B766" i="16"/>
  <c r="B765" i="16"/>
  <c r="B764" i="16"/>
  <c r="B763" i="16"/>
  <c r="B762" i="16"/>
  <c r="B761" i="16"/>
  <c r="B760" i="16"/>
  <c r="B759" i="16"/>
  <c r="B758" i="16"/>
  <c r="B757" i="16"/>
  <c r="B756" i="16"/>
  <c r="B755" i="16"/>
  <c r="B754" i="16"/>
  <c r="B753" i="16"/>
  <c r="B752" i="16"/>
  <c r="B751" i="16"/>
  <c r="B750" i="16"/>
  <c r="B749" i="16"/>
  <c r="B748" i="16"/>
  <c r="B747" i="16"/>
  <c r="B746" i="16"/>
  <c r="B745" i="16"/>
  <c r="B744" i="16"/>
  <c r="B743" i="16"/>
  <c r="B742" i="16"/>
  <c r="B741" i="16"/>
  <c r="B740" i="16"/>
  <c r="B739" i="16"/>
  <c r="B738" i="16"/>
  <c r="B737" i="16"/>
  <c r="B736" i="16"/>
  <c r="B735" i="16"/>
  <c r="B734" i="16"/>
  <c r="B733" i="16"/>
  <c r="B732" i="16"/>
  <c r="B731" i="16"/>
  <c r="B730" i="16"/>
  <c r="B729" i="16"/>
  <c r="B728" i="16"/>
  <c r="B727" i="16"/>
  <c r="B726" i="16"/>
  <c r="B725" i="16"/>
  <c r="B724" i="16"/>
  <c r="B723" i="16"/>
  <c r="B722" i="16"/>
  <c r="B721" i="16"/>
  <c r="B720" i="16"/>
  <c r="B719" i="16"/>
  <c r="B718" i="16"/>
  <c r="B717" i="16"/>
  <c r="B716" i="16"/>
  <c r="B715" i="16"/>
  <c r="B714" i="16"/>
  <c r="B713" i="16"/>
  <c r="B712" i="16"/>
  <c r="B711" i="16"/>
  <c r="B710" i="16"/>
  <c r="B709" i="16"/>
  <c r="B708" i="16"/>
  <c r="B707" i="16"/>
  <c r="B706" i="16"/>
  <c r="B705" i="16"/>
  <c r="B704" i="16"/>
  <c r="B703" i="16"/>
  <c r="B702" i="16"/>
  <c r="B701" i="16"/>
  <c r="B700" i="16"/>
  <c r="B699" i="16"/>
  <c r="B698" i="16"/>
  <c r="B697" i="16"/>
  <c r="B696" i="16"/>
  <c r="B695" i="16"/>
  <c r="B694" i="16"/>
  <c r="B693" i="16"/>
  <c r="B692" i="16"/>
  <c r="B691" i="16"/>
  <c r="B690" i="16"/>
  <c r="B689" i="16"/>
  <c r="B688" i="16"/>
  <c r="B687" i="16"/>
  <c r="B686" i="16"/>
  <c r="B685" i="16"/>
  <c r="B684" i="16"/>
  <c r="B683" i="16"/>
  <c r="B682" i="16"/>
  <c r="B681" i="16"/>
  <c r="B680" i="16"/>
  <c r="B679" i="16"/>
  <c r="B678" i="16"/>
  <c r="B677" i="16"/>
  <c r="B676" i="16"/>
  <c r="B675" i="16"/>
  <c r="B674" i="16"/>
  <c r="B673" i="16"/>
  <c r="B672" i="16"/>
  <c r="B671" i="16"/>
  <c r="B670" i="16"/>
  <c r="B669" i="16"/>
  <c r="B668" i="16"/>
  <c r="B667" i="16"/>
  <c r="B666" i="16"/>
  <c r="B665" i="16"/>
  <c r="B664" i="16"/>
  <c r="B663" i="16"/>
  <c r="B662" i="16"/>
  <c r="B661" i="16"/>
  <c r="B660" i="16"/>
  <c r="B659" i="16"/>
  <c r="B658" i="16"/>
  <c r="B657" i="16"/>
  <c r="B656" i="16"/>
  <c r="B655" i="16"/>
  <c r="B654" i="16"/>
  <c r="B653" i="16"/>
  <c r="B652" i="16"/>
  <c r="B651" i="16"/>
  <c r="B650" i="16"/>
  <c r="B649" i="16"/>
  <c r="B648" i="16"/>
  <c r="B647" i="16"/>
  <c r="B646" i="16"/>
  <c r="B645" i="16"/>
  <c r="B644" i="16"/>
  <c r="B643" i="16"/>
  <c r="B642" i="16"/>
  <c r="B641" i="16"/>
  <c r="B640" i="16"/>
  <c r="B639" i="16"/>
  <c r="B638" i="16"/>
  <c r="B637" i="16"/>
  <c r="B636" i="16"/>
  <c r="B635" i="16"/>
  <c r="B634" i="16"/>
  <c r="B633" i="16"/>
  <c r="B632" i="16"/>
  <c r="B631" i="16"/>
  <c r="B630" i="16"/>
  <c r="B629" i="16"/>
  <c r="B628" i="16"/>
  <c r="B627" i="16"/>
  <c r="B626" i="16"/>
  <c r="B625" i="16"/>
  <c r="B624" i="16"/>
  <c r="B623" i="16"/>
  <c r="B622" i="16"/>
  <c r="B621" i="16"/>
  <c r="B620" i="16"/>
  <c r="B619" i="16"/>
  <c r="B618" i="16"/>
  <c r="B617" i="16"/>
  <c r="B616" i="16"/>
  <c r="B615" i="16"/>
  <c r="B614" i="16"/>
  <c r="B613" i="16"/>
  <c r="B612" i="16"/>
  <c r="B611" i="16"/>
  <c r="B610" i="16"/>
  <c r="B609" i="16"/>
  <c r="B608" i="16"/>
  <c r="B607" i="16"/>
  <c r="B606" i="16"/>
  <c r="B605" i="16"/>
  <c r="B604" i="16"/>
  <c r="B603" i="16"/>
  <c r="B602" i="16"/>
  <c r="B601" i="16"/>
  <c r="B600" i="16"/>
  <c r="B599" i="16"/>
  <c r="B598" i="16"/>
  <c r="B597" i="16"/>
  <c r="B596" i="16"/>
  <c r="B595" i="16"/>
  <c r="B594" i="16"/>
  <c r="B593" i="16"/>
  <c r="B592" i="16"/>
  <c r="B591" i="16"/>
  <c r="B590" i="16"/>
  <c r="B589" i="16"/>
  <c r="B588" i="16"/>
  <c r="B587" i="16"/>
  <c r="B586" i="16"/>
  <c r="B585" i="16"/>
  <c r="B584" i="16"/>
  <c r="B583" i="16"/>
  <c r="B582" i="16"/>
  <c r="B581" i="16"/>
  <c r="B580" i="16"/>
  <c r="B579" i="16"/>
  <c r="B578" i="16"/>
  <c r="B577" i="16"/>
  <c r="B576" i="16"/>
  <c r="B575" i="16"/>
  <c r="B574" i="16"/>
  <c r="B573" i="16"/>
  <c r="B572" i="16"/>
  <c r="B571" i="16"/>
  <c r="B570" i="16"/>
  <c r="B569" i="16"/>
  <c r="B568" i="16"/>
  <c r="B567" i="16"/>
  <c r="B566" i="16"/>
  <c r="B565" i="16"/>
  <c r="B564" i="16"/>
  <c r="B563" i="16"/>
  <c r="B562" i="16"/>
  <c r="B561" i="16"/>
  <c r="B560" i="16"/>
  <c r="B559" i="16"/>
  <c r="B558" i="16"/>
  <c r="B557" i="16"/>
  <c r="B556" i="16"/>
  <c r="B555" i="16"/>
  <c r="B554" i="16"/>
  <c r="B553" i="16"/>
  <c r="B552" i="16"/>
  <c r="B551" i="16"/>
  <c r="B550" i="16"/>
  <c r="B549" i="16"/>
  <c r="B548" i="16"/>
  <c r="B547" i="16"/>
  <c r="B546" i="16"/>
  <c r="B545" i="16"/>
  <c r="B544" i="16"/>
  <c r="B543" i="16"/>
  <c r="B542" i="16"/>
  <c r="B541" i="16"/>
  <c r="B540" i="16"/>
  <c r="B539" i="16"/>
  <c r="B538" i="16"/>
  <c r="B537" i="16"/>
  <c r="B536" i="16"/>
  <c r="B535" i="16"/>
  <c r="B534" i="16"/>
  <c r="B533" i="16"/>
  <c r="B532" i="16"/>
  <c r="B531" i="16"/>
  <c r="B530" i="16"/>
  <c r="B529" i="16"/>
  <c r="B528" i="16"/>
  <c r="B527" i="16"/>
  <c r="B526" i="16"/>
  <c r="B525" i="16"/>
  <c r="B524" i="16"/>
  <c r="B523" i="16"/>
  <c r="B522" i="16"/>
  <c r="B521" i="16"/>
  <c r="B520" i="16"/>
  <c r="B519" i="16"/>
  <c r="B518" i="16"/>
  <c r="B517" i="16"/>
  <c r="B516" i="16"/>
  <c r="B515" i="16"/>
  <c r="B514" i="16"/>
  <c r="B513" i="16"/>
  <c r="B512" i="16"/>
  <c r="B511" i="16"/>
  <c r="B510" i="16"/>
  <c r="B509" i="16"/>
  <c r="B508" i="16"/>
  <c r="B507" i="16"/>
  <c r="B506" i="16"/>
  <c r="B505" i="16"/>
  <c r="B504" i="16"/>
  <c r="B503" i="16"/>
  <c r="B502" i="16"/>
  <c r="B501" i="16"/>
  <c r="B500" i="16"/>
  <c r="B499" i="16"/>
  <c r="B498" i="16"/>
  <c r="B497" i="16"/>
  <c r="B496" i="16"/>
  <c r="B495" i="16"/>
  <c r="B494" i="16"/>
  <c r="B493" i="16"/>
  <c r="B492" i="16"/>
  <c r="B491" i="16"/>
  <c r="B490" i="16"/>
  <c r="B489" i="16"/>
  <c r="B488" i="16"/>
  <c r="B487" i="16"/>
  <c r="B486" i="16"/>
  <c r="B485" i="16"/>
  <c r="B484" i="16"/>
  <c r="B483" i="16"/>
  <c r="B482" i="16"/>
  <c r="B481" i="16"/>
  <c r="B480" i="16"/>
  <c r="B479" i="16"/>
  <c r="B478" i="16"/>
  <c r="B477" i="16"/>
  <c r="B476" i="16"/>
  <c r="B475" i="16"/>
  <c r="B474" i="16"/>
  <c r="B473" i="16"/>
  <c r="B472" i="16"/>
  <c r="B471" i="16"/>
  <c r="B470" i="16"/>
  <c r="B469" i="16"/>
  <c r="B468" i="16"/>
  <c r="B467" i="16"/>
  <c r="B466" i="16"/>
  <c r="B465" i="16"/>
  <c r="B464" i="16"/>
  <c r="B463" i="16"/>
  <c r="B462" i="16"/>
  <c r="B461" i="16"/>
  <c r="B460" i="16"/>
  <c r="B459" i="16"/>
  <c r="B458" i="16"/>
  <c r="B457" i="16"/>
  <c r="B456" i="16"/>
  <c r="B455" i="16"/>
  <c r="B454" i="16"/>
  <c r="B453" i="16"/>
  <c r="B452" i="16"/>
  <c r="B451" i="16"/>
  <c r="B450" i="16"/>
  <c r="B449" i="16"/>
  <c r="B448" i="16"/>
  <c r="B447" i="16"/>
  <c r="B446" i="16"/>
  <c r="B445" i="16"/>
  <c r="B444" i="16"/>
  <c r="B443" i="16"/>
  <c r="B442" i="16"/>
  <c r="B441" i="16"/>
  <c r="B440" i="16"/>
  <c r="B439" i="16"/>
  <c r="B438" i="16"/>
  <c r="B437" i="16"/>
  <c r="B436" i="16"/>
  <c r="B435" i="16"/>
  <c r="B434" i="16"/>
  <c r="B433" i="16"/>
  <c r="B432" i="16"/>
  <c r="B431" i="16"/>
  <c r="B430" i="16"/>
  <c r="B429" i="16"/>
  <c r="B428" i="16"/>
  <c r="B427" i="16"/>
  <c r="B426" i="16"/>
  <c r="B425" i="16"/>
  <c r="B424" i="16"/>
  <c r="B423" i="16"/>
  <c r="B422" i="16"/>
  <c r="B421" i="16"/>
  <c r="B420" i="16"/>
  <c r="B419" i="16"/>
  <c r="B418" i="16"/>
  <c r="B417" i="16"/>
  <c r="B416" i="16"/>
  <c r="B415" i="16"/>
  <c r="B414" i="16"/>
  <c r="B413" i="16"/>
  <c r="B412" i="16"/>
  <c r="B411" i="16"/>
  <c r="B410" i="16"/>
  <c r="B409" i="16"/>
  <c r="B408" i="16"/>
  <c r="B407" i="16"/>
  <c r="B406" i="16"/>
  <c r="B405" i="16"/>
  <c r="B404" i="16"/>
  <c r="B403" i="16"/>
  <c r="B402" i="16"/>
  <c r="B401" i="16"/>
  <c r="B400" i="16"/>
  <c r="B399" i="16"/>
  <c r="B398" i="16"/>
  <c r="B397" i="16"/>
  <c r="B396" i="16"/>
  <c r="B395" i="16"/>
  <c r="B394" i="16"/>
  <c r="B393" i="16"/>
  <c r="B392" i="16"/>
  <c r="B391" i="16"/>
  <c r="B390" i="16"/>
  <c r="B389" i="16"/>
  <c r="B388" i="16"/>
  <c r="B387" i="16"/>
  <c r="B386" i="16"/>
  <c r="B385" i="16"/>
  <c r="B384" i="16"/>
  <c r="B383" i="16"/>
  <c r="B382" i="16"/>
  <c r="B381" i="16"/>
  <c r="B380" i="16"/>
  <c r="B379" i="16"/>
  <c r="B378" i="16"/>
  <c r="B377" i="16"/>
  <c r="B376" i="16"/>
  <c r="B375" i="16"/>
  <c r="B374" i="16"/>
  <c r="B373" i="16"/>
  <c r="B372" i="16"/>
  <c r="B371" i="16"/>
  <c r="B370" i="16"/>
  <c r="B369" i="16"/>
  <c r="B368" i="16"/>
  <c r="B367" i="16"/>
  <c r="B366" i="16"/>
  <c r="B365" i="16"/>
  <c r="B364" i="16"/>
  <c r="B363" i="16"/>
  <c r="B362" i="16"/>
  <c r="B361" i="16"/>
  <c r="B360" i="16"/>
  <c r="B359" i="16"/>
  <c r="B358" i="16"/>
  <c r="B357" i="16"/>
  <c r="B356" i="16"/>
  <c r="B355" i="16"/>
  <c r="B354" i="16"/>
  <c r="B353" i="16"/>
  <c r="B352" i="16"/>
  <c r="B351" i="16"/>
  <c r="B350" i="16"/>
  <c r="B349" i="16"/>
  <c r="B348" i="16"/>
  <c r="B347" i="16"/>
  <c r="B346" i="16"/>
  <c r="B345" i="16"/>
  <c r="B344" i="16"/>
  <c r="B343" i="16"/>
  <c r="B342" i="16"/>
  <c r="B341" i="16"/>
  <c r="B340" i="16"/>
  <c r="B339" i="16"/>
  <c r="B338" i="16"/>
  <c r="B337" i="16"/>
  <c r="B336" i="16"/>
  <c r="B335" i="16"/>
  <c r="B334" i="16"/>
  <c r="B333" i="16"/>
  <c r="B332" i="16"/>
  <c r="B331" i="16"/>
  <c r="B330" i="16"/>
  <c r="B329" i="16"/>
  <c r="B328" i="16"/>
  <c r="B327" i="16"/>
  <c r="B326" i="16"/>
  <c r="B325" i="16"/>
  <c r="B324" i="16"/>
  <c r="B323" i="16"/>
  <c r="B322" i="16"/>
  <c r="B321" i="16"/>
  <c r="B320" i="16"/>
  <c r="B319" i="16"/>
  <c r="B318" i="16"/>
  <c r="B317" i="16"/>
  <c r="B316" i="16"/>
  <c r="B315" i="16"/>
  <c r="B314" i="16"/>
  <c r="B313" i="16"/>
  <c r="B312" i="16"/>
  <c r="B311" i="16"/>
  <c r="B310" i="16"/>
  <c r="B309" i="16"/>
  <c r="B308" i="16"/>
  <c r="B307" i="16"/>
  <c r="B306" i="16"/>
  <c r="B305" i="16"/>
  <c r="B304" i="16"/>
  <c r="B303" i="16"/>
  <c r="B302" i="16"/>
  <c r="B301" i="16"/>
  <c r="B300" i="16"/>
  <c r="B299" i="16"/>
  <c r="B298" i="16"/>
  <c r="B297" i="16"/>
  <c r="B296" i="16"/>
  <c r="B295" i="16"/>
  <c r="B294" i="16"/>
  <c r="B293" i="16"/>
  <c r="B292" i="16"/>
  <c r="B291" i="16"/>
  <c r="B290" i="16"/>
  <c r="B289" i="16"/>
  <c r="B288" i="16"/>
  <c r="B287" i="16"/>
  <c r="B286" i="16"/>
  <c r="B285" i="16"/>
  <c r="B284" i="16"/>
  <c r="B283" i="16"/>
  <c r="B282" i="16"/>
  <c r="B281" i="16"/>
  <c r="B280" i="16"/>
  <c r="B279" i="16"/>
  <c r="B278" i="16"/>
  <c r="B277" i="16"/>
  <c r="B276" i="16"/>
  <c r="B275" i="16"/>
  <c r="B274" i="16"/>
  <c r="B273" i="16"/>
  <c r="B272" i="16"/>
  <c r="B271" i="16"/>
  <c r="B270" i="16"/>
  <c r="B269" i="16"/>
  <c r="B268" i="16"/>
  <c r="B267" i="16"/>
  <c r="B266" i="16"/>
  <c r="B265" i="16"/>
  <c r="B264" i="16"/>
  <c r="B263" i="16"/>
  <c r="B262" i="16"/>
  <c r="B261" i="16"/>
  <c r="B260" i="16"/>
  <c r="B259" i="16"/>
  <c r="B258" i="16"/>
  <c r="B257" i="16"/>
  <c r="B256" i="16"/>
  <c r="B255" i="16"/>
  <c r="B254" i="16"/>
  <c r="B253" i="16"/>
  <c r="B252" i="16"/>
  <c r="B251" i="16"/>
  <c r="B250" i="16"/>
  <c r="B249" i="16"/>
  <c r="B248" i="16"/>
  <c r="B247" i="16"/>
  <c r="B246" i="16"/>
  <c r="B245" i="16"/>
  <c r="B244" i="16"/>
  <c r="B243" i="16"/>
  <c r="B242" i="16"/>
  <c r="B241" i="16"/>
  <c r="B240" i="16"/>
  <c r="B239" i="16"/>
  <c r="B238" i="16"/>
  <c r="B237" i="16"/>
  <c r="B236" i="16"/>
  <c r="B235" i="16"/>
  <c r="B234" i="16"/>
  <c r="B233" i="16"/>
  <c r="B232" i="16"/>
  <c r="B231" i="16"/>
  <c r="B230" i="16"/>
  <c r="B229" i="16"/>
  <c r="B228" i="16"/>
  <c r="B227" i="16"/>
  <c r="B226" i="16"/>
  <c r="B225" i="16"/>
  <c r="B224" i="16"/>
  <c r="B223" i="16"/>
  <c r="B222" i="16"/>
  <c r="B221" i="16"/>
  <c r="B220" i="16"/>
  <c r="B219" i="16"/>
  <c r="B218" i="16"/>
  <c r="B217" i="16"/>
  <c r="B216" i="16"/>
  <c r="B215" i="16"/>
  <c r="B214" i="16"/>
  <c r="B213" i="16"/>
  <c r="B212" i="16"/>
  <c r="B211" i="16"/>
  <c r="B210" i="16"/>
  <c r="B209" i="16"/>
  <c r="B208" i="16"/>
  <c r="B207" i="16"/>
  <c r="B206" i="16"/>
  <c r="B205" i="16"/>
  <c r="B204" i="16"/>
  <c r="B203" i="16"/>
  <c r="B202" i="16"/>
  <c r="B201" i="16"/>
  <c r="B200" i="16"/>
  <c r="B199" i="16"/>
  <c r="B198" i="16"/>
  <c r="B197" i="16"/>
  <c r="B196" i="16"/>
  <c r="B195" i="16"/>
  <c r="B194" i="16"/>
  <c r="B193" i="16"/>
  <c r="B192" i="16"/>
  <c r="B191" i="16"/>
  <c r="B190" i="16"/>
  <c r="B189" i="16"/>
  <c r="B188" i="16"/>
  <c r="B187" i="16"/>
  <c r="B186" i="16"/>
  <c r="B185" i="16"/>
  <c r="B184" i="16"/>
  <c r="B183" i="16"/>
  <c r="B182" i="16"/>
  <c r="B181" i="16"/>
  <c r="B180" i="16"/>
  <c r="B179" i="16"/>
  <c r="B178" i="16"/>
  <c r="B177" i="16"/>
  <c r="B176" i="16"/>
  <c r="B175" i="16"/>
  <c r="B174" i="16"/>
  <c r="B173" i="16"/>
  <c r="B172" i="16"/>
  <c r="B171" i="16"/>
  <c r="B170" i="16"/>
  <c r="B169" i="16"/>
  <c r="B168" i="16"/>
  <c r="B167" i="16"/>
  <c r="B166" i="16"/>
  <c r="B165" i="16"/>
  <c r="B164" i="16"/>
  <c r="B163" i="16"/>
  <c r="B162" i="16"/>
  <c r="B161" i="16"/>
  <c r="B160" i="16"/>
  <c r="B159" i="16"/>
  <c r="B158" i="16"/>
  <c r="B157" i="16"/>
  <c r="B156" i="16"/>
  <c r="B155" i="16"/>
  <c r="B154" i="16"/>
  <c r="B153" i="16"/>
  <c r="B152" i="16"/>
  <c r="B151" i="16"/>
  <c r="B150" i="16"/>
  <c r="B149" i="16"/>
  <c r="B148" i="16"/>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B119" i="16"/>
  <c r="B118" i="16"/>
  <c r="B117" i="16"/>
  <c r="B116" i="16"/>
  <c r="B115" i="16"/>
  <c r="B114" i="16"/>
  <c r="B113"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2"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7" i="16"/>
  <c r="B16" i="16"/>
  <c r="B15" i="16"/>
  <c r="B14" i="16"/>
  <c r="B13" i="16"/>
  <c r="B12" i="16"/>
  <c r="B11" i="16"/>
  <c r="B10" i="16"/>
  <c r="B9" i="16"/>
  <c r="B8" i="16"/>
  <c r="B7" i="16"/>
  <c r="B6" i="16"/>
  <c r="B5" i="16"/>
  <c r="B4" i="16"/>
  <c r="B3" i="16"/>
  <c r="B2" i="16"/>
  <c r="P2" i="16" l="1"/>
  <c r="L2" i="16"/>
  <c r="M2" i="16" s="1"/>
  <c r="N2" i="16" s="1"/>
  <c r="O2" i="16" s="1"/>
  <c r="D2" i="16"/>
  <c r="U3" i="16"/>
  <c r="S3" i="16"/>
  <c r="R3" i="16"/>
  <c r="P3" i="16"/>
  <c r="L3" i="16"/>
  <c r="M3" i="16" s="1"/>
  <c r="N3" i="16" s="1"/>
  <c r="O3" i="16" s="1"/>
  <c r="D3" i="16"/>
  <c r="U4" i="16"/>
  <c r="S4" i="16"/>
  <c r="R4" i="16"/>
  <c r="P4" i="16"/>
  <c r="L4" i="16"/>
  <c r="M4" i="16" s="1"/>
  <c r="N4" i="16" s="1"/>
  <c r="O4" i="16" s="1"/>
  <c r="D4" i="16"/>
  <c r="U5" i="16"/>
  <c r="S5" i="16"/>
  <c r="R5" i="16"/>
  <c r="P5" i="16"/>
  <c r="L5" i="16"/>
  <c r="M5" i="16" s="1"/>
  <c r="N5" i="16" s="1"/>
  <c r="O5" i="16" s="1"/>
  <c r="D5" i="16"/>
  <c r="U6" i="16"/>
  <c r="S6" i="16"/>
  <c r="R6" i="16"/>
  <c r="P6" i="16"/>
  <c r="L6" i="16"/>
  <c r="M6" i="16" s="1"/>
  <c r="N6" i="16" s="1"/>
  <c r="O6" i="16" s="1"/>
  <c r="D6" i="16"/>
  <c r="U7" i="16"/>
  <c r="S7" i="16"/>
  <c r="R7" i="16"/>
  <c r="P7" i="16"/>
  <c r="L7" i="16"/>
  <c r="M7" i="16" s="1"/>
  <c r="N7" i="16" s="1"/>
  <c r="O7" i="16" s="1"/>
  <c r="D7" i="16"/>
  <c r="U8" i="16"/>
  <c r="S8" i="16"/>
  <c r="R8" i="16"/>
  <c r="P8" i="16"/>
  <c r="L8" i="16"/>
  <c r="M8" i="16" s="1"/>
  <c r="N8" i="16" s="1"/>
  <c r="O8" i="16" s="1"/>
  <c r="D8" i="16"/>
  <c r="U9" i="16"/>
  <c r="S9" i="16"/>
  <c r="R9" i="16"/>
  <c r="P9" i="16"/>
  <c r="L9" i="16"/>
  <c r="M9" i="16" s="1"/>
  <c r="N9" i="16" s="1"/>
  <c r="O9" i="16" s="1"/>
  <c r="D9" i="16"/>
  <c r="U10" i="16"/>
  <c r="S10" i="16"/>
  <c r="R10" i="16"/>
  <c r="P10" i="16"/>
  <c r="L10" i="16"/>
  <c r="M10" i="16" s="1"/>
  <c r="N10" i="16" s="1"/>
  <c r="O10" i="16" s="1"/>
  <c r="D10" i="16"/>
  <c r="U11" i="16"/>
  <c r="S11" i="16"/>
  <c r="R11" i="16"/>
  <c r="P11" i="16"/>
  <c r="L11" i="16"/>
  <c r="M11" i="16" s="1"/>
  <c r="N11" i="16" s="1"/>
  <c r="O11" i="16" s="1"/>
  <c r="D11" i="16"/>
  <c r="U12" i="16"/>
  <c r="S12" i="16"/>
  <c r="R12" i="16"/>
  <c r="P12" i="16"/>
  <c r="L12" i="16"/>
  <c r="M12" i="16" s="1"/>
  <c r="N12" i="16" s="1"/>
  <c r="O12" i="16" s="1"/>
  <c r="D12" i="16"/>
  <c r="U13" i="16"/>
  <c r="S13" i="16"/>
  <c r="R13" i="16"/>
  <c r="P13" i="16"/>
  <c r="L13" i="16"/>
  <c r="M13" i="16" s="1"/>
  <c r="N13" i="16" s="1"/>
  <c r="O13" i="16" s="1"/>
  <c r="D13" i="16"/>
  <c r="U14" i="16"/>
  <c r="S14" i="16"/>
  <c r="R14" i="16"/>
  <c r="P14" i="16"/>
  <c r="L14" i="16"/>
  <c r="M14" i="16" s="1"/>
  <c r="N14" i="16" s="1"/>
  <c r="O14" i="16" s="1"/>
  <c r="D14" i="16"/>
  <c r="U15" i="16"/>
  <c r="S15" i="16"/>
  <c r="R15" i="16"/>
  <c r="P15" i="16"/>
  <c r="L15" i="16"/>
  <c r="M15" i="16" s="1"/>
  <c r="N15" i="16" s="1"/>
  <c r="O15" i="16" s="1"/>
  <c r="D15" i="16"/>
  <c r="U16" i="16"/>
  <c r="S16" i="16"/>
  <c r="R16" i="16"/>
  <c r="P16" i="16"/>
  <c r="L16" i="16"/>
  <c r="M16" i="16" s="1"/>
  <c r="N16" i="16" s="1"/>
  <c r="O16" i="16" s="1"/>
  <c r="D16" i="16"/>
  <c r="U17" i="16"/>
  <c r="S17" i="16"/>
  <c r="R17" i="16"/>
  <c r="P17" i="16"/>
  <c r="L17" i="16"/>
  <c r="M17" i="16" s="1"/>
  <c r="N17" i="16" s="1"/>
  <c r="O17" i="16" s="1"/>
  <c r="D17" i="16"/>
  <c r="U18" i="16"/>
  <c r="S18" i="16"/>
  <c r="R18" i="16"/>
  <c r="P18" i="16"/>
  <c r="L18" i="16"/>
  <c r="M18" i="16" s="1"/>
  <c r="N18" i="16" s="1"/>
  <c r="O18" i="16" s="1"/>
  <c r="D18" i="16"/>
  <c r="U19" i="16"/>
  <c r="S19" i="16"/>
  <c r="R19" i="16"/>
  <c r="P19" i="16"/>
  <c r="L19" i="16"/>
  <c r="M19" i="16" s="1"/>
  <c r="N19" i="16" s="1"/>
  <c r="O19" i="16" s="1"/>
  <c r="D19" i="16"/>
  <c r="U20" i="16"/>
  <c r="S20" i="16"/>
  <c r="R20" i="16"/>
  <c r="P20" i="16"/>
  <c r="L20" i="16"/>
  <c r="M20" i="16" s="1"/>
  <c r="N20" i="16" s="1"/>
  <c r="O20" i="16" s="1"/>
  <c r="D20" i="16"/>
  <c r="U21" i="16"/>
  <c r="S21" i="16"/>
  <c r="R21" i="16"/>
  <c r="P21" i="16"/>
  <c r="L21" i="16"/>
  <c r="M21" i="16" s="1"/>
  <c r="N21" i="16" s="1"/>
  <c r="O21" i="16" s="1"/>
  <c r="D21" i="16"/>
  <c r="U22" i="16"/>
  <c r="S22" i="16"/>
  <c r="R22" i="16"/>
  <c r="P22" i="16"/>
  <c r="L22" i="16"/>
  <c r="M22" i="16" s="1"/>
  <c r="N22" i="16" s="1"/>
  <c r="O22" i="16" s="1"/>
  <c r="D22" i="16"/>
  <c r="U23" i="16"/>
  <c r="S23" i="16"/>
  <c r="R23" i="16"/>
  <c r="P23" i="16"/>
  <c r="L23" i="16"/>
  <c r="M23" i="16" s="1"/>
  <c r="N23" i="16" s="1"/>
  <c r="O23" i="16" s="1"/>
  <c r="D23" i="16"/>
  <c r="U24" i="16"/>
  <c r="S24" i="16"/>
  <c r="R24" i="16"/>
  <c r="P24" i="16"/>
  <c r="L24" i="16"/>
  <c r="M24" i="16" s="1"/>
  <c r="N24" i="16" s="1"/>
  <c r="O24" i="16" s="1"/>
  <c r="D24" i="16"/>
  <c r="U25" i="16"/>
  <c r="S25" i="16"/>
  <c r="R25" i="16"/>
  <c r="P25" i="16"/>
  <c r="L25" i="16"/>
  <c r="M25" i="16" s="1"/>
  <c r="N25" i="16" s="1"/>
  <c r="O25" i="16" s="1"/>
  <c r="D25" i="16"/>
  <c r="U26" i="16"/>
  <c r="S26" i="16"/>
  <c r="R26" i="16"/>
  <c r="P26" i="16"/>
  <c r="L26" i="16"/>
  <c r="M26" i="16" s="1"/>
  <c r="N26" i="16" s="1"/>
  <c r="O26" i="16" s="1"/>
  <c r="D26" i="16"/>
  <c r="U27" i="16"/>
  <c r="S27" i="16"/>
  <c r="R27" i="16"/>
  <c r="P27" i="16"/>
  <c r="L27" i="16"/>
  <c r="M27" i="16" s="1"/>
  <c r="N27" i="16" s="1"/>
  <c r="O27" i="16" s="1"/>
  <c r="D27" i="16"/>
  <c r="U28" i="16"/>
  <c r="S28" i="16"/>
  <c r="R28" i="16"/>
  <c r="P28" i="16"/>
  <c r="L28" i="16"/>
  <c r="M28" i="16" s="1"/>
  <c r="N28" i="16" s="1"/>
  <c r="O28" i="16" s="1"/>
  <c r="D28" i="16"/>
  <c r="U29" i="16"/>
  <c r="S29" i="16"/>
  <c r="R29" i="16"/>
  <c r="P29" i="16"/>
  <c r="L29" i="16"/>
  <c r="M29" i="16" s="1"/>
  <c r="N29" i="16" s="1"/>
  <c r="O29" i="16" s="1"/>
  <c r="D29" i="16"/>
  <c r="U30" i="16"/>
  <c r="S30" i="16"/>
  <c r="R30" i="16"/>
  <c r="P30" i="16"/>
  <c r="L30" i="16"/>
  <c r="M30" i="16" s="1"/>
  <c r="N30" i="16" s="1"/>
  <c r="O30" i="16" s="1"/>
  <c r="D30" i="16"/>
  <c r="U31" i="16"/>
  <c r="S31" i="16"/>
  <c r="R31" i="16"/>
  <c r="P31" i="16"/>
  <c r="L31" i="16"/>
  <c r="M31" i="16" s="1"/>
  <c r="N31" i="16" s="1"/>
  <c r="O31" i="16" s="1"/>
  <c r="D31" i="16"/>
  <c r="U32" i="16"/>
  <c r="S32" i="16"/>
  <c r="R32" i="16"/>
  <c r="P32" i="16"/>
  <c r="L32" i="16"/>
  <c r="M32" i="16" s="1"/>
  <c r="N32" i="16" s="1"/>
  <c r="O32" i="16" s="1"/>
  <c r="D32" i="16"/>
  <c r="U33" i="16"/>
  <c r="S33" i="16"/>
  <c r="R33" i="16"/>
  <c r="P33" i="16"/>
  <c r="L33" i="16"/>
  <c r="M33" i="16" s="1"/>
  <c r="N33" i="16" s="1"/>
  <c r="O33" i="16" s="1"/>
  <c r="D33" i="16"/>
  <c r="U34" i="16"/>
  <c r="S34" i="16"/>
  <c r="R34" i="16"/>
  <c r="P34" i="16"/>
  <c r="L34" i="16"/>
  <c r="M34" i="16" s="1"/>
  <c r="N34" i="16" s="1"/>
  <c r="O34" i="16" s="1"/>
  <c r="D34" i="16"/>
  <c r="U35" i="16"/>
  <c r="S35" i="16"/>
  <c r="R35" i="16"/>
  <c r="P35" i="16"/>
  <c r="L35" i="16"/>
  <c r="M35" i="16" s="1"/>
  <c r="N35" i="16" s="1"/>
  <c r="O35" i="16" s="1"/>
  <c r="D35" i="16"/>
  <c r="U36" i="16"/>
  <c r="S36" i="16"/>
  <c r="R36" i="16"/>
  <c r="P36" i="16"/>
  <c r="L36" i="16"/>
  <c r="M36" i="16" s="1"/>
  <c r="N36" i="16" s="1"/>
  <c r="O36" i="16" s="1"/>
  <c r="D36" i="16"/>
  <c r="U37" i="16"/>
  <c r="S37" i="16"/>
  <c r="R37" i="16"/>
  <c r="P37" i="16"/>
  <c r="L37" i="16"/>
  <c r="M37" i="16" s="1"/>
  <c r="N37" i="16" s="1"/>
  <c r="O37" i="16" s="1"/>
  <c r="D37" i="16"/>
  <c r="U38" i="16"/>
  <c r="S38" i="16"/>
  <c r="R38" i="16"/>
  <c r="P38" i="16"/>
  <c r="L38" i="16"/>
  <c r="M38" i="16" s="1"/>
  <c r="N38" i="16" s="1"/>
  <c r="O38" i="16" s="1"/>
  <c r="D38" i="16"/>
  <c r="U39" i="16"/>
  <c r="S39" i="16"/>
  <c r="R39" i="16"/>
  <c r="P39" i="16"/>
  <c r="L39" i="16"/>
  <c r="M39" i="16" s="1"/>
  <c r="N39" i="16" s="1"/>
  <c r="O39" i="16" s="1"/>
  <c r="D39" i="16"/>
  <c r="U40" i="16"/>
  <c r="S40" i="16"/>
  <c r="R40" i="16"/>
  <c r="P40" i="16"/>
  <c r="L40" i="16"/>
  <c r="M40" i="16" s="1"/>
  <c r="N40" i="16" s="1"/>
  <c r="O40" i="16" s="1"/>
  <c r="D40" i="16"/>
  <c r="U41" i="16"/>
  <c r="S41" i="16"/>
  <c r="R41" i="16"/>
  <c r="P41" i="16"/>
  <c r="L41" i="16"/>
  <c r="M41" i="16" s="1"/>
  <c r="N41" i="16" s="1"/>
  <c r="O41" i="16" s="1"/>
  <c r="D41" i="16"/>
  <c r="U42" i="16"/>
  <c r="S42" i="16"/>
  <c r="R42" i="16"/>
  <c r="P42" i="16"/>
  <c r="L42" i="16"/>
  <c r="M42" i="16" s="1"/>
  <c r="N42" i="16" s="1"/>
  <c r="O42" i="16" s="1"/>
  <c r="D42" i="16"/>
  <c r="U43" i="16"/>
  <c r="S43" i="16"/>
  <c r="R43" i="16"/>
  <c r="P43" i="16"/>
  <c r="L43" i="16"/>
  <c r="M43" i="16" s="1"/>
  <c r="N43" i="16" s="1"/>
  <c r="O43" i="16" s="1"/>
  <c r="D43" i="16"/>
  <c r="U44" i="16"/>
  <c r="S44" i="16"/>
  <c r="R44" i="16"/>
  <c r="P44" i="16"/>
  <c r="L44" i="16"/>
  <c r="M44" i="16" s="1"/>
  <c r="N44" i="16" s="1"/>
  <c r="O44" i="16" s="1"/>
  <c r="D44" i="16"/>
  <c r="U45" i="16"/>
  <c r="S45" i="16"/>
  <c r="R45" i="16"/>
  <c r="P45" i="16"/>
  <c r="L45" i="16"/>
  <c r="M45" i="16" s="1"/>
  <c r="N45" i="16" s="1"/>
  <c r="O45" i="16" s="1"/>
  <c r="D45" i="16"/>
  <c r="U46" i="16"/>
  <c r="S46" i="16"/>
  <c r="R46" i="16"/>
  <c r="P46" i="16"/>
  <c r="L46" i="16"/>
  <c r="M46" i="16" s="1"/>
  <c r="N46" i="16" s="1"/>
  <c r="O46" i="16" s="1"/>
  <c r="D46" i="16"/>
  <c r="U47" i="16"/>
  <c r="S47" i="16"/>
  <c r="R47" i="16"/>
  <c r="P47" i="16"/>
  <c r="L47" i="16"/>
  <c r="M47" i="16" s="1"/>
  <c r="N47" i="16" s="1"/>
  <c r="O47" i="16" s="1"/>
  <c r="D47" i="16"/>
  <c r="U48" i="16"/>
  <c r="S48" i="16"/>
  <c r="R48" i="16"/>
  <c r="P48" i="16"/>
  <c r="L48" i="16"/>
  <c r="M48" i="16" s="1"/>
  <c r="N48" i="16" s="1"/>
  <c r="O48" i="16" s="1"/>
  <c r="D48" i="16"/>
  <c r="U49" i="16"/>
  <c r="S49" i="16"/>
  <c r="R49" i="16"/>
  <c r="P49" i="16"/>
  <c r="L49" i="16"/>
  <c r="M49" i="16" s="1"/>
  <c r="N49" i="16" s="1"/>
  <c r="O49" i="16" s="1"/>
  <c r="D49" i="16"/>
  <c r="U50" i="16"/>
  <c r="S50" i="16"/>
  <c r="R50" i="16"/>
  <c r="P50" i="16"/>
  <c r="L50" i="16"/>
  <c r="M50" i="16" s="1"/>
  <c r="N50" i="16" s="1"/>
  <c r="O50" i="16" s="1"/>
  <c r="D50" i="16"/>
  <c r="U51" i="16"/>
  <c r="S51" i="16"/>
  <c r="R51" i="16"/>
  <c r="P51" i="16"/>
  <c r="L51" i="16"/>
  <c r="M51" i="16" s="1"/>
  <c r="N51" i="16" s="1"/>
  <c r="O51" i="16" s="1"/>
  <c r="D51" i="16"/>
  <c r="U52" i="16"/>
  <c r="S52" i="16"/>
  <c r="R52" i="16"/>
  <c r="P52" i="16"/>
  <c r="L52" i="16"/>
  <c r="M52" i="16" s="1"/>
  <c r="N52" i="16" s="1"/>
  <c r="O52" i="16" s="1"/>
  <c r="D52" i="16"/>
  <c r="U53" i="16"/>
  <c r="S53" i="16"/>
  <c r="R53" i="16"/>
  <c r="P53" i="16"/>
  <c r="L53" i="16"/>
  <c r="M53" i="16" s="1"/>
  <c r="N53" i="16" s="1"/>
  <c r="O53" i="16" s="1"/>
  <c r="D53" i="16"/>
  <c r="U54" i="16"/>
  <c r="S54" i="16"/>
  <c r="R54" i="16"/>
  <c r="P54" i="16"/>
  <c r="L54" i="16"/>
  <c r="M54" i="16" s="1"/>
  <c r="N54" i="16" s="1"/>
  <c r="O54" i="16" s="1"/>
  <c r="D54" i="16"/>
  <c r="U55" i="16"/>
  <c r="S55" i="16"/>
  <c r="R55" i="16"/>
  <c r="P55" i="16"/>
  <c r="L55" i="16"/>
  <c r="M55" i="16" s="1"/>
  <c r="N55" i="16" s="1"/>
  <c r="O55" i="16" s="1"/>
  <c r="D55" i="16"/>
  <c r="U56" i="16"/>
  <c r="S56" i="16"/>
  <c r="R56" i="16"/>
  <c r="P56" i="16"/>
  <c r="L56" i="16"/>
  <c r="M56" i="16" s="1"/>
  <c r="N56" i="16" s="1"/>
  <c r="O56" i="16" s="1"/>
  <c r="D56" i="16"/>
  <c r="U57" i="16"/>
  <c r="S57" i="16"/>
  <c r="R57" i="16"/>
  <c r="P57" i="16"/>
  <c r="L57" i="16"/>
  <c r="M57" i="16" s="1"/>
  <c r="N57" i="16" s="1"/>
  <c r="O57" i="16" s="1"/>
  <c r="D57" i="16"/>
  <c r="U58" i="16"/>
  <c r="S58" i="16"/>
  <c r="R58" i="16"/>
  <c r="P58" i="16"/>
  <c r="L58" i="16"/>
  <c r="M58" i="16" s="1"/>
  <c r="N58" i="16" s="1"/>
  <c r="O58" i="16" s="1"/>
  <c r="D58" i="16"/>
  <c r="U59" i="16"/>
  <c r="S59" i="16"/>
  <c r="R59" i="16"/>
  <c r="P59" i="16"/>
  <c r="L59" i="16"/>
  <c r="M59" i="16" s="1"/>
  <c r="N59" i="16" s="1"/>
  <c r="O59" i="16" s="1"/>
  <c r="D59" i="16"/>
  <c r="U60" i="16"/>
  <c r="S60" i="16"/>
  <c r="R60" i="16"/>
  <c r="P60" i="16"/>
  <c r="L60" i="16"/>
  <c r="M60" i="16" s="1"/>
  <c r="N60" i="16" s="1"/>
  <c r="O60" i="16" s="1"/>
  <c r="D60" i="16"/>
  <c r="U61" i="16"/>
  <c r="S61" i="16"/>
  <c r="R61" i="16"/>
  <c r="P61" i="16"/>
  <c r="L61" i="16"/>
  <c r="M61" i="16" s="1"/>
  <c r="N61" i="16" s="1"/>
  <c r="O61" i="16" s="1"/>
  <c r="D61" i="16"/>
  <c r="U62" i="16"/>
  <c r="S62" i="16"/>
  <c r="R62" i="16"/>
  <c r="P62" i="16"/>
  <c r="L62" i="16"/>
  <c r="M62" i="16" s="1"/>
  <c r="N62" i="16" s="1"/>
  <c r="O62" i="16" s="1"/>
  <c r="D62" i="16"/>
  <c r="U63" i="16"/>
  <c r="S63" i="16"/>
  <c r="R63" i="16"/>
  <c r="P63" i="16"/>
  <c r="L63" i="16"/>
  <c r="M63" i="16" s="1"/>
  <c r="N63" i="16" s="1"/>
  <c r="O63" i="16" s="1"/>
  <c r="D63" i="16"/>
  <c r="U64" i="16"/>
  <c r="S64" i="16"/>
  <c r="R64" i="16"/>
  <c r="P64" i="16"/>
  <c r="L64" i="16"/>
  <c r="M64" i="16" s="1"/>
  <c r="N64" i="16" s="1"/>
  <c r="O64" i="16" s="1"/>
  <c r="D64" i="16"/>
  <c r="U65" i="16"/>
  <c r="S65" i="16"/>
  <c r="R65" i="16"/>
  <c r="P65" i="16"/>
  <c r="L65" i="16"/>
  <c r="M65" i="16" s="1"/>
  <c r="N65" i="16" s="1"/>
  <c r="O65" i="16" s="1"/>
  <c r="D65" i="16"/>
  <c r="U66" i="16"/>
  <c r="S66" i="16"/>
  <c r="R66" i="16"/>
  <c r="P66" i="16"/>
  <c r="L66" i="16"/>
  <c r="M66" i="16" s="1"/>
  <c r="N66" i="16" s="1"/>
  <c r="O66" i="16" s="1"/>
  <c r="D66" i="16"/>
  <c r="U67" i="16"/>
  <c r="S67" i="16"/>
  <c r="R67" i="16"/>
  <c r="P67" i="16"/>
  <c r="L67" i="16"/>
  <c r="M67" i="16" s="1"/>
  <c r="N67" i="16" s="1"/>
  <c r="O67" i="16" s="1"/>
  <c r="D67" i="16"/>
  <c r="U68" i="16"/>
  <c r="S68" i="16"/>
  <c r="R68" i="16"/>
  <c r="P68" i="16"/>
  <c r="L68" i="16"/>
  <c r="M68" i="16" s="1"/>
  <c r="N68" i="16" s="1"/>
  <c r="O68" i="16" s="1"/>
  <c r="D68" i="16"/>
  <c r="U69" i="16"/>
  <c r="S69" i="16"/>
  <c r="R69" i="16"/>
  <c r="P69" i="16"/>
  <c r="L69" i="16"/>
  <c r="M69" i="16" s="1"/>
  <c r="N69" i="16" s="1"/>
  <c r="O69" i="16" s="1"/>
  <c r="D69" i="16"/>
  <c r="U70" i="16"/>
  <c r="S70" i="16"/>
  <c r="R70" i="16"/>
  <c r="P70" i="16"/>
  <c r="L70" i="16"/>
  <c r="M70" i="16" s="1"/>
  <c r="N70" i="16" s="1"/>
  <c r="O70" i="16" s="1"/>
  <c r="D70" i="16"/>
  <c r="U71" i="16"/>
  <c r="S71" i="16"/>
  <c r="R71" i="16"/>
  <c r="P71" i="16"/>
  <c r="L71" i="16"/>
  <c r="M71" i="16" s="1"/>
  <c r="N71" i="16" s="1"/>
  <c r="O71" i="16" s="1"/>
  <c r="D71" i="16"/>
  <c r="U72" i="16"/>
  <c r="S72" i="16"/>
  <c r="R72" i="16"/>
  <c r="P72" i="16"/>
  <c r="L72" i="16"/>
  <c r="M72" i="16" s="1"/>
  <c r="N72" i="16" s="1"/>
  <c r="O72" i="16" s="1"/>
  <c r="D72" i="16"/>
  <c r="U73" i="16"/>
  <c r="S73" i="16"/>
  <c r="R73" i="16"/>
  <c r="P73" i="16"/>
  <c r="L73" i="16"/>
  <c r="M73" i="16" s="1"/>
  <c r="N73" i="16" s="1"/>
  <c r="O73" i="16" s="1"/>
  <c r="D73" i="16"/>
  <c r="U74" i="16"/>
  <c r="S74" i="16"/>
  <c r="R74" i="16"/>
  <c r="P74" i="16"/>
  <c r="L74" i="16"/>
  <c r="M74" i="16" s="1"/>
  <c r="N74" i="16" s="1"/>
  <c r="O74" i="16" s="1"/>
  <c r="D74" i="16"/>
  <c r="U75" i="16"/>
  <c r="S75" i="16"/>
  <c r="R75" i="16"/>
  <c r="P75" i="16"/>
  <c r="L75" i="16"/>
  <c r="M75" i="16" s="1"/>
  <c r="N75" i="16" s="1"/>
  <c r="O75" i="16" s="1"/>
  <c r="D75" i="16"/>
  <c r="U76" i="16"/>
  <c r="S76" i="16"/>
  <c r="R76" i="16"/>
  <c r="P76" i="16"/>
  <c r="L76" i="16"/>
  <c r="M76" i="16" s="1"/>
  <c r="N76" i="16" s="1"/>
  <c r="O76" i="16" s="1"/>
  <c r="D76" i="16"/>
  <c r="U77" i="16"/>
  <c r="S77" i="16"/>
  <c r="R77" i="16"/>
  <c r="P77" i="16"/>
  <c r="L77" i="16"/>
  <c r="M77" i="16" s="1"/>
  <c r="N77" i="16" s="1"/>
  <c r="O77" i="16" s="1"/>
  <c r="D77" i="16"/>
  <c r="U78" i="16"/>
  <c r="S78" i="16"/>
  <c r="R78" i="16"/>
  <c r="P78" i="16"/>
  <c r="L78" i="16"/>
  <c r="M78" i="16" s="1"/>
  <c r="N78" i="16" s="1"/>
  <c r="O78" i="16" s="1"/>
  <c r="D78" i="16"/>
  <c r="U79" i="16"/>
  <c r="S79" i="16"/>
  <c r="R79" i="16"/>
  <c r="P79" i="16"/>
  <c r="L79" i="16"/>
  <c r="M79" i="16" s="1"/>
  <c r="N79" i="16" s="1"/>
  <c r="O79" i="16" s="1"/>
  <c r="D79" i="16"/>
  <c r="U80" i="16"/>
  <c r="S80" i="16"/>
  <c r="R80" i="16"/>
  <c r="P80" i="16"/>
  <c r="L80" i="16"/>
  <c r="M80" i="16" s="1"/>
  <c r="N80" i="16" s="1"/>
  <c r="O80" i="16" s="1"/>
  <c r="D80" i="16"/>
  <c r="U81" i="16"/>
  <c r="S81" i="16"/>
  <c r="R81" i="16"/>
  <c r="P81" i="16"/>
  <c r="L81" i="16"/>
  <c r="M81" i="16" s="1"/>
  <c r="N81" i="16" s="1"/>
  <c r="O81" i="16" s="1"/>
  <c r="D81" i="16"/>
  <c r="U82" i="16"/>
  <c r="S82" i="16"/>
  <c r="R82" i="16"/>
  <c r="P82" i="16"/>
  <c r="L82" i="16"/>
  <c r="M82" i="16" s="1"/>
  <c r="N82" i="16" s="1"/>
  <c r="O82" i="16" s="1"/>
  <c r="D82" i="16"/>
  <c r="U83" i="16"/>
  <c r="S83" i="16"/>
  <c r="R83" i="16"/>
  <c r="P83" i="16"/>
  <c r="L83" i="16"/>
  <c r="M83" i="16" s="1"/>
  <c r="N83" i="16" s="1"/>
  <c r="O83" i="16" s="1"/>
  <c r="D83" i="16"/>
  <c r="U84" i="16"/>
  <c r="S84" i="16"/>
  <c r="R84" i="16"/>
  <c r="P84" i="16"/>
  <c r="L84" i="16"/>
  <c r="M84" i="16" s="1"/>
  <c r="N84" i="16" s="1"/>
  <c r="O84" i="16" s="1"/>
  <c r="D84" i="16"/>
  <c r="U85" i="16"/>
  <c r="S85" i="16"/>
  <c r="R85" i="16"/>
  <c r="P85" i="16"/>
  <c r="L85" i="16"/>
  <c r="M85" i="16" s="1"/>
  <c r="N85" i="16" s="1"/>
  <c r="O85" i="16" s="1"/>
  <c r="D85" i="16"/>
  <c r="U86" i="16"/>
  <c r="S86" i="16"/>
  <c r="R86" i="16"/>
  <c r="P86" i="16"/>
  <c r="L86" i="16"/>
  <c r="M86" i="16" s="1"/>
  <c r="N86" i="16" s="1"/>
  <c r="O86" i="16" s="1"/>
  <c r="D86" i="16"/>
  <c r="U87" i="16"/>
  <c r="S87" i="16"/>
  <c r="R87" i="16"/>
  <c r="P87" i="16"/>
  <c r="L87" i="16"/>
  <c r="M87" i="16" s="1"/>
  <c r="N87" i="16" s="1"/>
  <c r="O87" i="16" s="1"/>
  <c r="D87" i="16"/>
  <c r="U88" i="16"/>
  <c r="S88" i="16"/>
  <c r="R88" i="16"/>
  <c r="P88" i="16"/>
  <c r="L88" i="16"/>
  <c r="M88" i="16" s="1"/>
  <c r="N88" i="16" s="1"/>
  <c r="O88" i="16" s="1"/>
  <c r="D88" i="16"/>
  <c r="U89" i="16"/>
  <c r="S89" i="16"/>
  <c r="R89" i="16"/>
  <c r="P89" i="16"/>
  <c r="L89" i="16"/>
  <c r="M89" i="16" s="1"/>
  <c r="N89" i="16" s="1"/>
  <c r="O89" i="16" s="1"/>
  <c r="D89" i="16"/>
  <c r="U90" i="16"/>
  <c r="S90" i="16"/>
  <c r="R90" i="16"/>
  <c r="P90" i="16"/>
  <c r="L90" i="16"/>
  <c r="M90" i="16" s="1"/>
  <c r="N90" i="16" s="1"/>
  <c r="O90" i="16" s="1"/>
  <c r="D90" i="16"/>
  <c r="U91" i="16"/>
  <c r="S91" i="16"/>
  <c r="R91" i="16"/>
  <c r="P91" i="16"/>
  <c r="L91" i="16"/>
  <c r="M91" i="16" s="1"/>
  <c r="N91" i="16" s="1"/>
  <c r="O91" i="16" s="1"/>
  <c r="D91" i="16"/>
  <c r="U92" i="16"/>
  <c r="S92" i="16"/>
  <c r="R92" i="16"/>
  <c r="P92" i="16"/>
  <c r="L92" i="16"/>
  <c r="M92" i="16" s="1"/>
  <c r="N92" i="16" s="1"/>
  <c r="O92" i="16" s="1"/>
  <c r="D92" i="16"/>
  <c r="U93" i="16"/>
  <c r="S93" i="16"/>
  <c r="R93" i="16"/>
  <c r="P93" i="16"/>
  <c r="L93" i="16"/>
  <c r="M93" i="16" s="1"/>
  <c r="N93" i="16" s="1"/>
  <c r="O93" i="16" s="1"/>
  <c r="D93" i="16"/>
  <c r="U94" i="16"/>
  <c r="S94" i="16"/>
  <c r="R94" i="16"/>
  <c r="P94" i="16"/>
  <c r="L94" i="16"/>
  <c r="M94" i="16" s="1"/>
  <c r="N94" i="16" s="1"/>
  <c r="O94" i="16" s="1"/>
  <c r="D94" i="16"/>
  <c r="U95" i="16"/>
  <c r="S95" i="16"/>
  <c r="R95" i="16"/>
  <c r="P95" i="16"/>
  <c r="L95" i="16"/>
  <c r="M95" i="16" s="1"/>
  <c r="N95" i="16" s="1"/>
  <c r="O95" i="16" s="1"/>
  <c r="D95" i="16"/>
  <c r="U96" i="16"/>
  <c r="S96" i="16"/>
  <c r="R96" i="16"/>
  <c r="P96" i="16"/>
  <c r="L96" i="16"/>
  <c r="M96" i="16" s="1"/>
  <c r="N96" i="16" s="1"/>
  <c r="O96" i="16" s="1"/>
  <c r="D96" i="16"/>
  <c r="U97" i="16"/>
  <c r="S97" i="16"/>
  <c r="R97" i="16"/>
  <c r="P97" i="16"/>
  <c r="L97" i="16"/>
  <c r="M97" i="16" s="1"/>
  <c r="N97" i="16" s="1"/>
  <c r="O97" i="16" s="1"/>
  <c r="D97" i="16"/>
  <c r="U98" i="16"/>
  <c r="S98" i="16"/>
  <c r="R98" i="16"/>
  <c r="P98" i="16"/>
  <c r="L98" i="16"/>
  <c r="M98" i="16" s="1"/>
  <c r="N98" i="16" s="1"/>
  <c r="O98" i="16" s="1"/>
  <c r="D98" i="16"/>
  <c r="U99" i="16"/>
  <c r="S99" i="16"/>
  <c r="R99" i="16"/>
  <c r="P99" i="16"/>
  <c r="L99" i="16"/>
  <c r="M99" i="16" s="1"/>
  <c r="N99" i="16" s="1"/>
  <c r="O99" i="16" s="1"/>
  <c r="D99" i="16"/>
  <c r="U100" i="16"/>
  <c r="S100" i="16"/>
  <c r="R100" i="16"/>
  <c r="P100" i="16"/>
  <c r="L100" i="16"/>
  <c r="M100" i="16" s="1"/>
  <c r="N100" i="16" s="1"/>
  <c r="O100" i="16" s="1"/>
  <c r="D100" i="16"/>
  <c r="U101" i="16"/>
  <c r="S101" i="16"/>
  <c r="R101" i="16"/>
  <c r="P101" i="16"/>
  <c r="L101" i="16"/>
  <c r="M101" i="16" s="1"/>
  <c r="N101" i="16" s="1"/>
  <c r="O101" i="16" s="1"/>
  <c r="D101" i="16"/>
  <c r="U102" i="16"/>
  <c r="S102" i="16"/>
  <c r="R102" i="16"/>
  <c r="P102" i="16"/>
  <c r="L102" i="16"/>
  <c r="M102" i="16" s="1"/>
  <c r="N102" i="16" s="1"/>
  <c r="O102" i="16" s="1"/>
  <c r="D102" i="16"/>
  <c r="U103" i="16"/>
  <c r="S103" i="16"/>
  <c r="R103" i="16"/>
  <c r="P103" i="16"/>
  <c r="L103" i="16"/>
  <c r="M103" i="16" s="1"/>
  <c r="N103" i="16" s="1"/>
  <c r="O103" i="16" s="1"/>
  <c r="D103" i="16"/>
  <c r="U104" i="16"/>
  <c r="S104" i="16"/>
  <c r="R104" i="16"/>
  <c r="P104" i="16"/>
  <c r="L104" i="16"/>
  <c r="M104" i="16" s="1"/>
  <c r="N104" i="16" s="1"/>
  <c r="O104" i="16" s="1"/>
  <c r="D104" i="16"/>
  <c r="U105" i="16"/>
  <c r="S105" i="16"/>
  <c r="R105" i="16"/>
  <c r="P105" i="16"/>
  <c r="L105" i="16"/>
  <c r="M105" i="16" s="1"/>
  <c r="N105" i="16" s="1"/>
  <c r="O105" i="16" s="1"/>
  <c r="D105" i="16"/>
  <c r="U106" i="16"/>
  <c r="S106" i="16"/>
  <c r="R106" i="16"/>
  <c r="P106" i="16"/>
  <c r="L106" i="16"/>
  <c r="M106" i="16" s="1"/>
  <c r="N106" i="16" s="1"/>
  <c r="O106" i="16" s="1"/>
  <c r="D106" i="16"/>
  <c r="U107" i="16"/>
  <c r="S107" i="16"/>
  <c r="R107" i="16"/>
  <c r="P107" i="16"/>
  <c r="L107" i="16"/>
  <c r="M107" i="16" s="1"/>
  <c r="N107" i="16" s="1"/>
  <c r="O107" i="16" s="1"/>
  <c r="D107" i="16"/>
  <c r="U108" i="16"/>
  <c r="S108" i="16"/>
  <c r="R108" i="16"/>
  <c r="P108" i="16"/>
  <c r="L108" i="16"/>
  <c r="M108" i="16" s="1"/>
  <c r="N108" i="16" s="1"/>
  <c r="O108" i="16" s="1"/>
  <c r="D108" i="16"/>
  <c r="U109" i="16"/>
  <c r="S109" i="16"/>
  <c r="R109" i="16"/>
  <c r="P109" i="16"/>
  <c r="L109" i="16"/>
  <c r="M109" i="16" s="1"/>
  <c r="N109" i="16" s="1"/>
  <c r="O109" i="16" s="1"/>
  <c r="D109" i="16"/>
  <c r="U110" i="16"/>
  <c r="S110" i="16"/>
  <c r="R110" i="16"/>
  <c r="P110" i="16"/>
  <c r="L110" i="16"/>
  <c r="M110" i="16" s="1"/>
  <c r="N110" i="16" s="1"/>
  <c r="O110" i="16" s="1"/>
  <c r="D110" i="16"/>
  <c r="U111" i="16"/>
  <c r="S111" i="16"/>
  <c r="R111" i="16"/>
  <c r="P111" i="16"/>
  <c r="L111" i="16"/>
  <c r="M111" i="16" s="1"/>
  <c r="N111" i="16" s="1"/>
  <c r="O111" i="16" s="1"/>
  <c r="D111" i="16"/>
  <c r="U112" i="16"/>
  <c r="S112" i="16"/>
  <c r="R112" i="16"/>
  <c r="P112" i="16"/>
  <c r="L112" i="16"/>
  <c r="M112" i="16" s="1"/>
  <c r="N112" i="16" s="1"/>
  <c r="O112" i="16" s="1"/>
  <c r="D112" i="16"/>
  <c r="U113" i="16"/>
  <c r="S113" i="16"/>
  <c r="R113" i="16"/>
  <c r="P113" i="16"/>
  <c r="L113" i="16"/>
  <c r="M113" i="16" s="1"/>
  <c r="N113" i="16" s="1"/>
  <c r="O113" i="16" s="1"/>
  <c r="D113" i="16"/>
  <c r="U114" i="16"/>
  <c r="S114" i="16"/>
  <c r="R114" i="16"/>
  <c r="P114" i="16"/>
  <c r="L114" i="16"/>
  <c r="M114" i="16" s="1"/>
  <c r="N114" i="16" s="1"/>
  <c r="O114" i="16" s="1"/>
  <c r="D114" i="16"/>
  <c r="U115" i="16"/>
  <c r="S115" i="16"/>
  <c r="R115" i="16"/>
  <c r="P115" i="16"/>
  <c r="L115" i="16"/>
  <c r="M115" i="16" s="1"/>
  <c r="N115" i="16" s="1"/>
  <c r="O115" i="16" s="1"/>
  <c r="D115" i="16"/>
  <c r="U116" i="16"/>
  <c r="S116" i="16"/>
  <c r="R116" i="16"/>
  <c r="P116" i="16"/>
  <c r="L116" i="16"/>
  <c r="M116" i="16" s="1"/>
  <c r="N116" i="16" s="1"/>
  <c r="O116" i="16" s="1"/>
  <c r="D116" i="16"/>
  <c r="U117" i="16"/>
  <c r="S117" i="16"/>
  <c r="R117" i="16"/>
  <c r="P117" i="16"/>
  <c r="L117" i="16"/>
  <c r="M117" i="16" s="1"/>
  <c r="N117" i="16" s="1"/>
  <c r="O117" i="16" s="1"/>
  <c r="D117" i="16"/>
  <c r="U118" i="16"/>
  <c r="S118" i="16"/>
  <c r="R118" i="16"/>
  <c r="P118" i="16"/>
  <c r="L118" i="16"/>
  <c r="M118" i="16" s="1"/>
  <c r="N118" i="16" s="1"/>
  <c r="O118" i="16" s="1"/>
  <c r="D118" i="16"/>
  <c r="U119" i="16"/>
  <c r="S119" i="16"/>
  <c r="R119" i="16"/>
  <c r="P119" i="16"/>
  <c r="L119" i="16"/>
  <c r="M119" i="16" s="1"/>
  <c r="N119" i="16" s="1"/>
  <c r="O119" i="16" s="1"/>
  <c r="D119" i="16"/>
  <c r="U120" i="16"/>
  <c r="S120" i="16"/>
  <c r="R120" i="16"/>
  <c r="P120" i="16"/>
  <c r="L120" i="16"/>
  <c r="M120" i="16" s="1"/>
  <c r="N120" i="16" s="1"/>
  <c r="O120" i="16" s="1"/>
  <c r="D120" i="16"/>
  <c r="U121" i="16"/>
  <c r="S121" i="16"/>
  <c r="R121" i="16"/>
  <c r="P121" i="16"/>
  <c r="L121" i="16"/>
  <c r="M121" i="16" s="1"/>
  <c r="N121" i="16" s="1"/>
  <c r="O121" i="16" s="1"/>
  <c r="D121" i="16"/>
  <c r="U122" i="16"/>
  <c r="S122" i="16"/>
  <c r="R122" i="16"/>
  <c r="P122" i="16"/>
  <c r="L122" i="16"/>
  <c r="M122" i="16" s="1"/>
  <c r="N122" i="16" s="1"/>
  <c r="O122" i="16" s="1"/>
  <c r="D122" i="16"/>
  <c r="U123" i="16"/>
  <c r="S123" i="16"/>
  <c r="R123" i="16"/>
  <c r="P123" i="16"/>
  <c r="L123" i="16"/>
  <c r="M123" i="16" s="1"/>
  <c r="N123" i="16" s="1"/>
  <c r="O123" i="16" s="1"/>
  <c r="D123" i="16"/>
  <c r="U124" i="16"/>
  <c r="S124" i="16"/>
  <c r="R124" i="16"/>
  <c r="P124" i="16"/>
  <c r="L124" i="16"/>
  <c r="M124" i="16" s="1"/>
  <c r="N124" i="16" s="1"/>
  <c r="O124" i="16" s="1"/>
  <c r="D124" i="16"/>
  <c r="U125" i="16"/>
  <c r="S125" i="16"/>
  <c r="R125" i="16"/>
  <c r="P125" i="16"/>
  <c r="L125" i="16"/>
  <c r="M125" i="16" s="1"/>
  <c r="N125" i="16" s="1"/>
  <c r="O125" i="16" s="1"/>
  <c r="D125" i="16"/>
  <c r="U126" i="16"/>
  <c r="S126" i="16"/>
  <c r="R126" i="16"/>
  <c r="P126" i="16"/>
  <c r="L126" i="16"/>
  <c r="M126" i="16" s="1"/>
  <c r="N126" i="16" s="1"/>
  <c r="O126" i="16" s="1"/>
  <c r="D126" i="16"/>
  <c r="U127" i="16"/>
  <c r="S127" i="16"/>
  <c r="R127" i="16"/>
  <c r="P127" i="16"/>
  <c r="L127" i="16"/>
  <c r="M127" i="16" s="1"/>
  <c r="N127" i="16" s="1"/>
  <c r="O127" i="16" s="1"/>
  <c r="D127" i="16"/>
  <c r="U128" i="16"/>
  <c r="S128" i="16"/>
  <c r="R128" i="16"/>
  <c r="P128" i="16"/>
  <c r="L128" i="16"/>
  <c r="M128" i="16" s="1"/>
  <c r="N128" i="16" s="1"/>
  <c r="O128" i="16" s="1"/>
  <c r="D128" i="16"/>
  <c r="U129" i="16"/>
  <c r="S129" i="16"/>
  <c r="R129" i="16"/>
  <c r="P129" i="16"/>
  <c r="L129" i="16"/>
  <c r="M129" i="16" s="1"/>
  <c r="N129" i="16" s="1"/>
  <c r="O129" i="16" s="1"/>
  <c r="D129" i="16"/>
  <c r="U130" i="16"/>
  <c r="S130" i="16"/>
  <c r="R130" i="16"/>
  <c r="P130" i="16"/>
  <c r="L130" i="16"/>
  <c r="M130" i="16" s="1"/>
  <c r="N130" i="16" s="1"/>
  <c r="O130" i="16" s="1"/>
  <c r="D130" i="16"/>
  <c r="U131" i="16"/>
  <c r="S131" i="16"/>
  <c r="R131" i="16"/>
  <c r="P131" i="16"/>
  <c r="L131" i="16"/>
  <c r="M131" i="16" s="1"/>
  <c r="N131" i="16" s="1"/>
  <c r="O131" i="16" s="1"/>
  <c r="D131" i="16"/>
  <c r="U132" i="16"/>
  <c r="S132" i="16"/>
  <c r="R132" i="16"/>
  <c r="P132" i="16"/>
  <c r="L132" i="16"/>
  <c r="M132" i="16" s="1"/>
  <c r="N132" i="16" s="1"/>
  <c r="O132" i="16" s="1"/>
  <c r="D132" i="16"/>
  <c r="U133" i="16"/>
  <c r="S133" i="16"/>
  <c r="R133" i="16"/>
  <c r="P133" i="16"/>
  <c r="L133" i="16"/>
  <c r="M133" i="16" s="1"/>
  <c r="N133" i="16" s="1"/>
  <c r="O133" i="16" s="1"/>
  <c r="D133" i="16"/>
  <c r="U134" i="16"/>
  <c r="S134" i="16"/>
  <c r="R134" i="16"/>
  <c r="P134" i="16"/>
  <c r="L134" i="16"/>
  <c r="M134" i="16" s="1"/>
  <c r="N134" i="16" s="1"/>
  <c r="O134" i="16" s="1"/>
  <c r="D134" i="16"/>
  <c r="U135" i="16"/>
  <c r="S135" i="16"/>
  <c r="R135" i="16"/>
  <c r="P135" i="16"/>
  <c r="L135" i="16"/>
  <c r="M135" i="16" s="1"/>
  <c r="N135" i="16" s="1"/>
  <c r="O135" i="16" s="1"/>
  <c r="D135" i="16"/>
  <c r="U136" i="16"/>
  <c r="S136" i="16"/>
  <c r="R136" i="16"/>
  <c r="P136" i="16"/>
  <c r="L136" i="16"/>
  <c r="M136" i="16" s="1"/>
  <c r="N136" i="16" s="1"/>
  <c r="O136" i="16" s="1"/>
  <c r="D136" i="16"/>
  <c r="U137" i="16"/>
  <c r="S137" i="16"/>
  <c r="R137" i="16"/>
  <c r="P137" i="16"/>
  <c r="L137" i="16"/>
  <c r="M137" i="16" s="1"/>
  <c r="N137" i="16" s="1"/>
  <c r="O137" i="16" s="1"/>
  <c r="D137" i="16"/>
  <c r="U138" i="16"/>
  <c r="S138" i="16"/>
  <c r="R138" i="16"/>
  <c r="P138" i="16"/>
  <c r="L138" i="16"/>
  <c r="M138" i="16" s="1"/>
  <c r="N138" i="16" s="1"/>
  <c r="O138" i="16" s="1"/>
  <c r="D138" i="16"/>
  <c r="U139" i="16"/>
  <c r="S139" i="16"/>
  <c r="R139" i="16"/>
  <c r="P139" i="16"/>
  <c r="L139" i="16"/>
  <c r="M139" i="16" s="1"/>
  <c r="N139" i="16" s="1"/>
  <c r="O139" i="16" s="1"/>
  <c r="D139" i="16"/>
  <c r="U140" i="16"/>
  <c r="S140" i="16"/>
  <c r="R140" i="16"/>
  <c r="P140" i="16"/>
  <c r="L140" i="16"/>
  <c r="M140" i="16" s="1"/>
  <c r="N140" i="16" s="1"/>
  <c r="O140" i="16" s="1"/>
  <c r="D140" i="16"/>
  <c r="U141" i="16"/>
  <c r="S141" i="16"/>
  <c r="R141" i="16"/>
  <c r="P141" i="16"/>
  <c r="L141" i="16"/>
  <c r="M141" i="16" s="1"/>
  <c r="N141" i="16" s="1"/>
  <c r="O141" i="16" s="1"/>
  <c r="D141" i="16"/>
  <c r="U142" i="16"/>
  <c r="S142" i="16"/>
  <c r="R142" i="16"/>
  <c r="P142" i="16"/>
  <c r="L142" i="16"/>
  <c r="M142" i="16" s="1"/>
  <c r="N142" i="16" s="1"/>
  <c r="O142" i="16" s="1"/>
  <c r="D142" i="16"/>
  <c r="U143" i="16"/>
  <c r="S143" i="16"/>
  <c r="R143" i="16"/>
  <c r="P143" i="16"/>
  <c r="L143" i="16"/>
  <c r="M143" i="16" s="1"/>
  <c r="N143" i="16" s="1"/>
  <c r="O143" i="16" s="1"/>
  <c r="D143" i="16"/>
  <c r="U144" i="16"/>
  <c r="S144" i="16"/>
  <c r="R144" i="16"/>
  <c r="P144" i="16"/>
  <c r="L144" i="16"/>
  <c r="M144" i="16" s="1"/>
  <c r="N144" i="16" s="1"/>
  <c r="O144" i="16" s="1"/>
  <c r="D144" i="16"/>
  <c r="U145" i="16"/>
  <c r="S145" i="16"/>
  <c r="R145" i="16"/>
  <c r="P145" i="16"/>
  <c r="L145" i="16"/>
  <c r="M145" i="16" s="1"/>
  <c r="N145" i="16" s="1"/>
  <c r="O145" i="16" s="1"/>
  <c r="D145" i="16"/>
  <c r="U146" i="16"/>
  <c r="S146" i="16"/>
  <c r="R146" i="16"/>
  <c r="P146" i="16"/>
  <c r="L146" i="16"/>
  <c r="M146" i="16" s="1"/>
  <c r="N146" i="16" s="1"/>
  <c r="O146" i="16" s="1"/>
  <c r="D146" i="16"/>
  <c r="U147" i="16"/>
  <c r="S147" i="16"/>
  <c r="R147" i="16"/>
  <c r="P147" i="16"/>
  <c r="L147" i="16"/>
  <c r="M147" i="16" s="1"/>
  <c r="N147" i="16" s="1"/>
  <c r="O147" i="16" s="1"/>
  <c r="D147" i="16"/>
  <c r="U148" i="16"/>
  <c r="S148" i="16"/>
  <c r="R148" i="16"/>
  <c r="P148" i="16"/>
  <c r="L148" i="16"/>
  <c r="M148" i="16" s="1"/>
  <c r="N148" i="16" s="1"/>
  <c r="O148" i="16" s="1"/>
  <c r="D148" i="16"/>
  <c r="U149" i="16"/>
  <c r="S149" i="16"/>
  <c r="R149" i="16"/>
  <c r="P149" i="16"/>
  <c r="L149" i="16"/>
  <c r="M149" i="16" s="1"/>
  <c r="N149" i="16" s="1"/>
  <c r="O149" i="16" s="1"/>
  <c r="D149" i="16"/>
  <c r="U150" i="16"/>
  <c r="S150" i="16"/>
  <c r="R150" i="16"/>
  <c r="P150" i="16"/>
  <c r="L150" i="16"/>
  <c r="M150" i="16" s="1"/>
  <c r="N150" i="16" s="1"/>
  <c r="O150" i="16" s="1"/>
  <c r="D150" i="16"/>
  <c r="U151" i="16"/>
  <c r="S151" i="16"/>
  <c r="R151" i="16"/>
  <c r="P151" i="16"/>
  <c r="L151" i="16"/>
  <c r="M151" i="16" s="1"/>
  <c r="N151" i="16" s="1"/>
  <c r="O151" i="16" s="1"/>
  <c r="D151" i="16"/>
  <c r="U152" i="16"/>
  <c r="S152" i="16"/>
  <c r="R152" i="16"/>
  <c r="P152" i="16"/>
  <c r="L152" i="16"/>
  <c r="M152" i="16" s="1"/>
  <c r="N152" i="16" s="1"/>
  <c r="O152" i="16" s="1"/>
  <c r="D152" i="16"/>
  <c r="U153" i="16"/>
  <c r="S153" i="16"/>
  <c r="R153" i="16"/>
  <c r="P153" i="16"/>
  <c r="L153" i="16"/>
  <c r="M153" i="16" s="1"/>
  <c r="N153" i="16" s="1"/>
  <c r="O153" i="16" s="1"/>
  <c r="D153" i="16"/>
  <c r="U154" i="16"/>
  <c r="S154" i="16"/>
  <c r="R154" i="16"/>
  <c r="P154" i="16"/>
  <c r="L154" i="16"/>
  <c r="M154" i="16" s="1"/>
  <c r="N154" i="16" s="1"/>
  <c r="O154" i="16" s="1"/>
  <c r="D154" i="16"/>
  <c r="U155" i="16"/>
  <c r="S155" i="16"/>
  <c r="R155" i="16"/>
  <c r="P155" i="16"/>
  <c r="L155" i="16"/>
  <c r="M155" i="16" s="1"/>
  <c r="N155" i="16" s="1"/>
  <c r="O155" i="16" s="1"/>
  <c r="D155" i="16"/>
  <c r="U156" i="16"/>
  <c r="S156" i="16"/>
  <c r="R156" i="16"/>
  <c r="P156" i="16"/>
  <c r="L156" i="16"/>
  <c r="M156" i="16" s="1"/>
  <c r="N156" i="16" s="1"/>
  <c r="O156" i="16" s="1"/>
  <c r="D156" i="16"/>
  <c r="U157" i="16"/>
  <c r="S157" i="16"/>
  <c r="R157" i="16"/>
  <c r="P157" i="16"/>
  <c r="L157" i="16"/>
  <c r="M157" i="16" s="1"/>
  <c r="N157" i="16" s="1"/>
  <c r="O157" i="16" s="1"/>
  <c r="D157" i="16"/>
  <c r="U158" i="16"/>
  <c r="S158" i="16"/>
  <c r="R158" i="16"/>
  <c r="P158" i="16"/>
  <c r="L158" i="16"/>
  <c r="M158" i="16" s="1"/>
  <c r="N158" i="16" s="1"/>
  <c r="O158" i="16" s="1"/>
  <c r="D158" i="16"/>
  <c r="U159" i="16"/>
  <c r="S159" i="16"/>
  <c r="R159" i="16"/>
  <c r="P159" i="16"/>
  <c r="L159" i="16"/>
  <c r="M159" i="16" s="1"/>
  <c r="N159" i="16" s="1"/>
  <c r="O159" i="16" s="1"/>
  <c r="D159" i="16"/>
  <c r="U160" i="16"/>
  <c r="S160" i="16"/>
  <c r="R160" i="16"/>
  <c r="P160" i="16"/>
  <c r="L160" i="16"/>
  <c r="M160" i="16" s="1"/>
  <c r="N160" i="16" s="1"/>
  <c r="O160" i="16" s="1"/>
  <c r="D160" i="16"/>
  <c r="U161" i="16"/>
  <c r="S161" i="16"/>
  <c r="R161" i="16"/>
  <c r="P161" i="16"/>
  <c r="L161" i="16"/>
  <c r="M161" i="16" s="1"/>
  <c r="N161" i="16" s="1"/>
  <c r="O161" i="16" s="1"/>
  <c r="D161" i="16"/>
  <c r="U162" i="16"/>
  <c r="S162" i="16"/>
  <c r="R162" i="16"/>
  <c r="P162" i="16"/>
  <c r="L162" i="16"/>
  <c r="M162" i="16" s="1"/>
  <c r="N162" i="16" s="1"/>
  <c r="O162" i="16" s="1"/>
  <c r="D162" i="16"/>
  <c r="U163" i="16"/>
  <c r="S163" i="16"/>
  <c r="R163" i="16"/>
  <c r="P163" i="16"/>
  <c r="L163" i="16"/>
  <c r="M163" i="16" s="1"/>
  <c r="N163" i="16" s="1"/>
  <c r="O163" i="16" s="1"/>
  <c r="D163" i="16"/>
  <c r="U164" i="16"/>
  <c r="S164" i="16"/>
  <c r="R164" i="16"/>
  <c r="P164" i="16"/>
  <c r="L164" i="16"/>
  <c r="M164" i="16" s="1"/>
  <c r="N164" i="16" s="1"/>
  <c r="O164" i="16" s="1"/>
  <c r="D164" i="16"/>
  <c r="U165" i="16"/>
  <c r="S165" i="16"/>
  <c r="R165" i="16"/>
  <c r="P165" i="16"/>
  <c r="L165" i="16"/>
  <c r="M165" i="16" s="1"/>
  <c r="N165" i="16" s="1"/>
  <c r="O165" i="16" s="1"/>
  <c r="D165" i="16"/>
  <c r="U166" i="16"/>
  <c r="S166" i="16"/>
  <c r="R166" i="16"/>
  <c r="P166" i="16"/>
  <c r="L166" i="16"/>
  <c r="M166" i="16" s="1"/>
  <c r="N166" i="16" s="1"/>
  <c r="O166" i="16" s="1"/>
  <c r="D166" i="16"/>
  <c r="U167" i="16"/>
  <c r="S167" i="16"/>
  <c r="R167" i="16"/>
  <c r="P167" i="16"/>
  <c r="L167" i="16"/>
  <c r="M167" i="16" s="1"/>
  <c r="N167" i="16" s="1"/>
  <c r="O167" i="16" s="1"/>
  <c r="D167" i="16"/>
  <c r="U168" i="16"/>
  <c r="S168" i="16"/>
  <c r="R168" i="16"/>
  <c r="P168" i="16"/>
  <c r="L168" i="16"/>
  <c r="M168" i="16" s="1"/>
  <c r="N168" i="16" s="1"/>
  <c r="O168" i="16" s="1"/>
  <c r="D168" i="16"/>
  <c r="U169" i="16"/>
  <c r="S169" i="16"/>
  <c r="R169" i="16"/>
  <c r="P169" i="16"/>
  <c r="L169" i="16"/>
  <c r="M169" i="16" s="1"/>
  <c r="N169" i="16" s="1"/>
  <c r="O169" i="16" s="1"/>
  <c r="D169" i="16"/>
  <c r="U170" i="16"/>
  <c r="S170" i="16"/>
  <c r="R170" i="16"/>
  <c r="P170" i="16"/>
  <c r="L170" i="16"/>
  <c r="M170" i="16" s="1"/>
  <c r="N170" i="16" s="1"/>
  <c r="O170" i="16" s="1"/>
  <c r="D170" i="16"/>
  <c r="U171" i="16"/>
  <c r="S171" i="16"/>
  <c r="R171" i="16"/>
  <c r="P171" i="16"/>
  <c r="L171" i="16"/>
  <c r="M171" i="16" s="1"/>
  <c r="N171" i="16" s="1"/>
  <c r="O171" i="16" s="1"/>
  <c r="D171" i="16"/>
  <c r="U172" i="16"/>
  <c r="S172" i="16"/>
  <c r="R172" i="16"/>
  <c r="P172" i="16"/>
  <c r="L172" i="16"/>
  <c r="M172" i="16" s="1"/>
  <c r="N172" i="16" s="1"/>
  <c r="O172" i="16" s="1"/>
  <c r="D172" i="16"/>
  <c r="U173" i="16"/>
  <c r="S173" i="16"/>
  <c r="R173" i="16"/>
  <c r="P173" i="16"/>
  <c r="L173" i="16"/>
  <c r="M173" i="16" s="1"/>
  <c r="N173" i="16" s="1"/>
  <c r="O173" i="16" s="1"/>
  <c r="D173" i="16"/>
  <c r="U174" i="16"/>
  <c r="S174" i="16"/>
  <c r="R174" i="16"/>
  <c r="P174" i="16"/>
  <c r="L174" i="16"/>
  <c r="M174" i="16" s="1"/>
  <c r="N174" i="16" s="1"/>
  <c r="O174" i="16" s="1"/>
  <c r="D174" i="16"/>
  <c r="U175" i="16"/>
  <c r="S175" i="16"/>
  <c r="R175" i="16"/>
  <c r="P175" i="16"/>
  <c r="L175" i="16"/>
  <c r="M175" i="16" s="1"/>
  <c r="N175" i="16" s="1"/>
  <c r="O175" i="16" s="1"/>
  <c r="D175" i="16"/>
  <c r="U176" i="16"/>
  <c r="S176" i="16"/>
  <c r="R176" i="16"/>
  <c r="P176" i="16"/>
  <c r="L176" i="16"/>
  <c r="M176" i="16" s="1"/>
  <c r="N176" i="16" s="1"/>
  <c r="O176" i="16" s="1"/>
  <c r="D176" i="16"/>
  <c r="U177" i="16"/>
  <c r="S177" i="16"/>
  <c r="R177" i="16"/>
  <c r="P177" i="16"/>
  <c r="L177" i="16"/>
  <c r="M177" i="16" s="1"/>
  <c r="N177" i="16" s="1"/>
  <c r="O177" i="16" s="1"/>
  <c r="D177" i="16"/>
  <c r="U178" i="16"/>
  <c r="S178" i="16"/>
  <c r="R178" i="16"/>
  <c r="P178" i="16"/>
  <c r="L178" i="16"/>
  <c r="M178" i="16" s="1"/>
  <c r="N178" i="16" s="1"/>
  <c r="O178" i="16" s="1"/>
  <c r="D178" i="16"/>
  <c r="U179" i="16"/>
  <c r="S179" i="16"/>
  <c r="R179" i="16"/>
  <c r="P179" i="16"/>
  <c r="L179" i="16"/>
  <c r="M179" i="16" s="1"/>
  <c r="N179" i="16" s="1"/>
  <c r="O179" i="16" s="1"/>
  <c r="D179" i="16"/>
  <c r="U180" i="16"/>
  <c r="S180" i="16"/>
  <c r="R180" i="16"/>
  <c r="P180" i="16"/>
  <c r="L180" i="16"/>
  <c r="M180" i="16" s="1"/>
  <c r="N180" i="16" s="1"/>
  <c r="O180" i="16" s="1"/>
  <c r="D180" i="16"/>
  <c r="U181" i="16"/>
  <c r="S181" i="16"/>
  <c r="R181" i="16"/>
  <c r="P181" i="16"/>
  <c r="L181" i="16"/>
  <c r="M181" i="16" s="1"/>
  <c r="N181" i="16" s="1"/>
  <c r="O181" i="16" s="1"/>
  <c r="D181" i="16"/>
  <c r="U182" i="16"/>
  <c r="S182" i="16"/>
  <c r="R182" i="16"/>
  <c r="P182" i="16"/>
  <c r="L182" i="16"/>
  <c r="M182" i="16" s="1"/>
  <c r="N182" i="16" s="1"/>
  <c r="O182" i="16" s="1"/>
  <c r="D182" i="16"/>
  <c r="U183" i="16"/>
  <c r="S183" i="16"/>
  <c r="R183" i="16"/>
  <c r="P183" i="16"/>
  <c r="L183" i="16"/>
  <c r="M183" i="16" s="1"/>
  <c r="N183" i="16" s="1"/>
  <c r="O183" i="16" s="1"/>
  <c r="D183" i="16"/>
  <c r="U184" i="16"/>
  <c r="S184" i="16"/>
  <c r="R184" i="16"/>
  <c r="P184" i="16"/>
  <c r="L184" i="16"/>
  <c r="M184" i="16" s="1"/>
  <c r="N184" i="16" s="1"/>
  <c r="O184" i="16" s="1"/>
  <c r="D184" i="16"/>
  <c r="U185" i="16"/>
  <c r="S185" i="16"/>
  <c r="R185" i="16"/>
  <c r="P185" i="16"/>
  <c r="L185" i="16"/>
  <c r="M185" i="16" s="1"/>
  <c r="N185" i="16" s="1"/>
  <c r="O185" i="16" s="1"/>
  <c r="D185" i="16"/>
  <c r="U186" i="16"/>
  <c r="S186" i="16"/>
  <c r="R186" i="16"/>
  <c r="P186" i="16"/>
  <c r="L186" i="16"/>
  <c r="M186" i="16" s="1"/>
  <c r="N186" i="16" s="1"/>
  <c r="O186" i="16" s="1"/>
  <c r="D186" i="16"/>
  <c r="U187" i="16"/>
  <c r="S187" i="16"/>
  <c r="R187" i="16"/>
  <c r="P187" i="16"/>
  <c r="L187" i="16"/>
  <c r="M187" i="16" s="1"/>
  <c r="N187" i="16" s="1"/>
  <c r="O187" i="16" s="1"/>
  <c r="D187" i="16"/>
  <c r="U188" i="16"/>
  <c r="S188" i="16"/>
  <c r="R188" i="16"/>
  <c r="P188" i="16"/>
  <c r="L188" i="16"/>
  <c r="M188" i="16" s="1"/>
  <c r="N188" i="16" s="1"/>
  <c r="O188" i="16" s="1"/>
  <c r="D188" i="16"/>
  <c r="U189" i="16"/>
  <c r="S189" i="16"/>
  <c r="R189" i="16"/>
  <c r="P189" i="16"/>
  <c r="L189" i="16"/>
  <c r="M189" i="16" s="1"/>
  <c r="N189" i="16" s="1"/>
  <c r="O189" i="16" s="1"/>
  <c r="D189" i="16"/>
  <c r="U190" i="16"/>
  <c r="S190" i="16"/>
  <c r="R190" i="16"/>
  <c r="P190" i="16"/>
  <c r="L190" i="16"/>
  <c r="M190" i="16" s="1"/>
  <c r="N190" i="16" s="1"/>
  <c r="O190" i="16" s="1"/>
  <c r="D190" i="16"/>
  <c r="U191" i="16"/>
  <c r="S191" i="16"/>
  <c r="R191" i="16"/>
  <c r="P191" i="16"/>
  <c r="L191" i="16"/>
  <c r="M191" i="16" s="1"/>
  <c r="N191" i="16" s="1"/>
  <c r="O191" i="16" s="1"/>
  <c r="D191" i="16"/>
  <c r="U192" i="16"/>
  <c r="S192" i="16"/>
  <c r="R192" i="16"/>
  <c r="P192" i="16"/>
  <c r="L192" i="16"/>
  <c r="M192" i="16" s="1"/>
  <c r="N192" i="16" s="1"/>
  <c r="O192" i="16" s="1"/>
  <c r="D192" i="16"/>
  <c r="U193" i="16"/>
  <c r="S193" i="16"/>
  <c r="R193" i="16"/>
  <c r="P193" i="16"/>
  <c r="L193" i="16"/>
  <c r="M193" i="16" s="1"/>
  <c r="N193" i="16" s="1"/>
  <c r="O193" i="16" s="1"/>
  <c r="D193" i="16"/>
  <c r="U194" i="16"/>
  <c r="S194" i="16"/>
  <c r="R194" i="16"/>
  <c r="P194" i="16"/>
  <c r="L194" i="16"/>
  <c r="M194" i="16" s="1"/>
  <c r="N194" i="16" s="1"/>
  <c r="O194" i="16" s="1"/>
  <c r="D194" i="16"/>
  <c r="U195" i="16"/>
  <c r="S195" i="16"/>
  <c r="R195" i="16"/>
  <c r="P195" i="16"/>
  <c r="L195" i="16"/>
  <c r="M195" i="16" s="1"/>
  <c r="N195" i="16" s="1"/>
  <c r="O195" i="16" s="1"/>
  <c r="D195" i="16"/>
  <c r="U196" i="16"/>
  <c r="S196" i="16"/>
  <c r="R196" i="16"/>
  <c r="P196" i="16"/>
  <c r="L196" i="16"/>
  <c r="M196" i="16" s="1"/>
  <c r="N196" i="16" s="1"/>
  <c r="O196" i="16" s="1"/>
  <c r="D196" i="16"/>
  <c r="U197" i="16"/>
  <c r="S197" i="16"/>
  <c r="R197" i="16"/>
  <c r="P197" i="16"/>
  <c r="L197" i="16"/>
  <c r="M197" i="16" s="1"/>
  <c r="N197" i="16" s="1"/>
  <c r="O197" i="16" s="1"/>
  <c r="D197" i="16"/>
  <c r="U198" i="16"/>
  <c r="S198" i="16"/>
  <c r="R198" i="16"/>
  <c r="P198" i="16"/>
  <c r="L198" i="16"/>
  <c r="M198" i="16" s="1"/>
  <c r="N198" i="16" s="1"/>
  <c r="O198" i="16" s="1"/>
  <c r="D198" i="16"/>
  <c r="U199" i="16"/>
  <c r="S199" i="16"/>
  <c r="R199" i="16"/>
  <c r="P199" i="16"/>
  <c r="L199" i="16"/>
  <c r="M199" i="16" s="1"/>
  <c r="N199" i="16" s="1"/>
  <c r="O199" i="16" s="1"/>
  <c r="D199" i="16"/>
  <c r="U200" i="16"/>
  <c r="S200" i="16"/>
  <c r="R200" i="16"/>
  <c r="P200" i="16"/>
  <c r="L200" i="16"/>
  <c r="M200" i="16" s="1"/>
  <c r="N200" i="16" s="1"/>
  <c r="O200" i="16" s="1"/>
  <c r="D200" i="16"/>
  <c r="U201" i="16"/>
  <c r="S201" i="16"/>
  <c r="R201" i="16"/>
  <c r="P201" i="16"/>
  <c r="L201" i="16"/>
  <c r="M201" i="16" s="1"/>
  <c r="N201" i="16" s="1"/>
  <c r="O201" i="16" s="1"/>
  <c r="D201" i="16"/>
  <c r="U202" i="16"/>
  <c r="S202" i="16"/>
  <c r="R202" i="16"/>
  <c r="P202" i="16"/>
  <c r="L202" i="16"/>
  <c r="M202" i="16" s="1"/>
  <c r="N202" i="16" s="1"/>
  <c r="O202" i="16" s="1"/>
  <c r="D202" i="16"/>
  <c r="U203" i="16"/>
  <c r="S203" i="16"/>
  <c r="R203" i="16"/>
  <c r="P203" i="16"/>
  <c r="L203" i="16"/>
  <c r="M203" i="16" s="1"/>
  <c r="N203" i="16" s="1"/>
  <c r="O203" i="16" s="1"/>
  <c r="D203" i="16"/>
  <c r="U204" i="16"/>
  <c r="S204" i="16"/>
  <c r="R204" i="16"/>
  <c r="P204" i="16"/>
  <c r="L204" i="16"/>
  <c r="M204" i="16" s="1"/>
  <c r="N204" i="16" s="1"/>
  <c r="O204" i="16" s="1"/>
  <c r="D204" i="16"/>
  <c r="U205" i="16"/>
  <c r="S205" i="16"/>
  <c r="R205" i="16"/>
  <c r="P205" i="16"/>
  <c r="L205" i="16"/>
  <c r="M205" i="16" s="1"/>
  <c r="N205" i="16" s="1"/>
  <c r="O205" i="16" s="1"/>
  <c r="D205" i="16"/>
  <c r="U206" i="16"/>
  <c r="S206" i="16"/>
  <c r="R206" i="16"/>
  <c r="P206" i="16"/>
  <c r="L206" i="16"/>
  <c r="M206" i="16" s="1"/>
  <c r="N206" i="16" s="1"/>
  <c r="O206" i="16" s="1"/>
  <c r="D206" i="16"/>
  <c r="U207" i="16"/>
  <c r="S207" i="16"/>
  <c r="R207" i="16"/>
  <c r="P207" i="16"/>
  <c r="L207" i="16"/>
  <c r="M207" i="16" s="1"/>
  <c r="N207" i="16" s="1"/>
  <c r="O207" i="16" s="1"/>
  <c r="D207" i="16"/>
  <c r="U208" i="16"/>
  <c r="S208" i="16"/>
  <c r="R208" i="16"/>
  <c r="P208" i="16"/>
  <c r="L208" i="16"/>
  <c r="M208" i="16" s="1"/>
  <c r="N208" i="16" s="1"/>
  <c r="O208" i="16" s="1"/>
  <c r="D208" i="16"/>
  <c r="U209" i="16"/>
  <c r="S209" i="16"/>
  <c r="R209" i="16"/>
  <c r="P209" i="16"/>
  <c r="L209" i="16"/>
  <c r="M209" i="16" s="1"/>
  <c r="N209" i="16" s="1"/>
  <c r="O209" i="16" s="1"/>
  <c r="D209" i="16"/>
  <c r="U210" i="16"/>
  <c r="S210" i="16"/>
  <c r="R210" i="16"/>
  <c r="P210" i="16"/>
  <c r="L210" i="16"/>
  <c r="M210" i="16" s="1"/>
  <c r="N210" i="16" s="1"/>
  <c r="O210" i="16" s="1"/>
  <c r="D210" i="16"/>
  <c r="U211" i="16"/>
  <c r="S211" i="16"/>
  <c r="R211" i="16"/>
  <c r="P211" i="16"/>
  <c r="L211" i="16"/>
  <c r="M211" i="16" s="1"/>
  <c r="N211" i="16" s="1"/>
  <c r="O211" i="16" s="1"/>
  <c r="D211" i="16"/>
  <c r="U212" i="16"/>
  <c r="S212" i="16"/>
  <c r="R212" i="16"/>
  <c r="P212" i="16"/>
  <c r="L212" i="16"/>
  <c r="M212" i="16" s="1"/>
  <c r="N212" i="16" s="1"/>
  <c r="O212" i="16" s="1"/>
  <c r="D212" i="16"/>
  <c r="U213" i="16"/>
  <c r="S213" i="16"/>
  <c r="R213" i="16"/>
  <c r="P213" i="16"/>
  <c r="L213" i="16"/>
  <c r="M213" i="16" s="1"/>
  <c r="N213" i="16" s="1"/>
  <c r="O213" i="16" s="1"/>
  <c r="D213" i="16"/>
  <c r="U214" i="16"/>
  <c r="S214" i="16"/>
  <c r="R214" i="16"/>
  <c r="P214" i="16"/>
  <c r="L214" i="16"/>
  <c r="M214" i="16" s="1"/>
  <c r="N214" i="16" s="1"/>
  <c r="O214" i="16" s="1"/>
  <c r="D214" i="16"/>
  <c r="U215" i="16"/>
  <c r="S215" i="16"/>
  <c r="R215" i="16"/>
  <c r="P215" i="16"/>
  <c r="L215" i="16"/>
  <c r="M215" i="16" s="1"/>
  <c r="N215" i="16" s="1"/>
  <c r="O215" i="16" s="1"/>
  <c r="D215" i="16"/>
  <c r="U216" i="16"/>
  <c r="S216" i="16"/>
  <c r="R216" i="16"/>
  <c r="P216" i="16"/>
  <c r="L216" i="16"/>
  <c r="M216" i="16" s="1"/>
  <c r="N216" i="16" s="1"/>
  <c r="O216" i="16" s="1"/>
  <c r="D216" i="16"/>
  <c r="U217" i="16"/>
  <c r="S217" i="16"/>
  <c r="R217" i="16"/>
  <c r="P217" i="16"/>
  <c r="L217" i="16"/>
  <c r="M217" i="16" s="1"/>
  <c r="N217" i="16" s="1"/>
  <c r="O217" i="16" s="1"/>
  <c r="D217" i="16"/>
  <c r="U218" i="16"/>
  <c r="S218" i="16"/>
  <c r="R218" i="16"/>
  <c r="P218" i="16"/>
  <c r="L218" i="16"/>
  <c r="M218" i="16" s="1"/>
  <c r="N218" i="16" s="1"/>
  <c r="O218" i="16" s="1"/>
  <c r="D218" i="16"/>
  <c r="U219" i="16"/>
  <c r="S219" i="16"/>
  <c r="R219" i="16"/>
  <c r="P219" i="16"/>
  <c r="L219" i="16"/>
  <c r="M219" i="16" s="1"/>
  <c r="N219" i="16" s="1"/>
  <c r="O219" i="16" s="1"/>
  <c r="D219" i="16"/>
  <c r="U220" i="16"/>
  <c r="S220" i="16"/>
  <c r="R220" i="16"/>
  <c r="P220" i="16"/>
  <c r="L220" i="16"/>
  <c r="M220" i="16" s="1"/>
  <c r="N220" i="16" s="1"/>
  <c r="O220" i="16" s="1"/>
  <c r="D220" i="16"/>
  <c r="U221" i="16"/>
  <c r="S221" i="16"/>
  <c r="R221" i="16"/>
  <c r="P221" i="16"/>
  <c r="L221" i="16"/>
  <c r="M221" i="16" s="1"/>
  <c r="N221" i="16" s="1"/>
  <c r="O221" i="16" s="1"/>
  <c r="D221" i="16"/>
  <c r="U222" i="16"/>
  <c r="S222" i="16"/>
  <c r="R222" i="16"/>
  <c r="P222" i="16"/>
  <c r="L222" i="16"/>
  <c r="M222" i="16" s="1"/>
  <c r="N222" i="16" s="1"/>
  <c r="O222" i="16" s="1"/>
  <c r="D222" i="16"/>
  <c r="U223" i="16"/>
  <c r="S223" i="16"/>
  <c r="R223" i="16"/>
  <c r="P223" i="16"/>
  <c r="L223" i="16"/>
  <c r="M223" i="16" s="1"/>
  <c r="N223" i="16" s="1"/>
  <c r="O223" i="16" s="1"/>
  <c r="D223" i="16"/>
  <c r="U224" i="16"/>
  <c r="S224" i="16"/>
  <c r="R224" i="16"/>
  <c r="P224" i="16"/>
  <c r="L224" i="16"/>
  <c r="M224" i="16" s="1"/>
  <c r="N224" i="16" s="1"/>
  <c r="O224" i="16" s="1"/>
  <c r="D224" i="16"/>
  <c r="U225" i="16"/>
  <c r="S225" i="16"/>
  <c r="R225" i="16"/>
  <c r="P225" i="16"/>
  <c r="L225" i="16"/>
  <c r="M225" i="16" s="1"/>
  <c r="N225" i="16" s="1"/>
  <c r="O225" i="16" s="1"/>
  <c r="D225" i="16"/>
  <c r="U226" i="16"/>
  <c r="S226" i="16"/>
  <c r="R226" i="16"/>
  <c r="P226" i="16"/>
  <c r="L226" i="16"/>
  <c r="M226" i="16" s="1"/>
  <c r="N226" i="16" s="1"/>
  <c r="O226" i="16" s="1"/>
  <c r="D226" i="16"/>
  <c r="U227" i="16"/>
  <c r="S227" i="16"/>
  <c r="R227" i="16"/>
  <c r="P227" i="16"/>
  <c r="L227" i="16"/>
  <c r="M227" i="16" s="1"/>
  <c r="N227" i="16" s="1"/>
  <c r="O227" i="16" s="1"/>
  <c r="D227" i="16"/>
  <c r="U228" i="16"/>
  <c r="S228" i="16"/>
  <c r="R228" i="16"/>
  <c r="P228" i="16"/>
  <c r="L228" i="16"/>
  <c r="M228" i="16" s="1"/>
  <c r="N228" i="16" s="1"/>
  <c r="O228" i="16" s="1"/>
  <c r="D228" i="16"/>
  <c r="U229" i="16"/>
  <c r="S229" i="16"/>
  <c r="R229" i="16"/>
  <c r="P229" i="16"/>
  <c r="L229" i="16"/>
  <c r="M229" i="16" s="1"/>
  <c r="N229" i="16" s="1"/>
  <c r="O229" i="16" s="1"/>
  <c r="D229" i="16"/>
  <c r="U230" i="16"/>
  <c r="S230" i="16"/>
  <c r="R230" i="16"/>
  <c r="P230" i="16"/>
  <c r="L230" i="16"/>
  <c r="M230" i="16" s="1"/>
  <c r="N230" i="16" s="1"/>
  <c r="O230" i="16" s="1"/>
  <c r="D230" i="16"/>
  <c r="U231" i="16"/>
  <c r="S231" i="16"/>
  <c r="R231" i="16"/>
  <c r="P231" i="16"/>
  <c r="L231" i="16"/>
  <c r="M231" i="16" s="1"/>
  <c r="N231" i="16" s="1"/>
  <c r="O231" i="16" s="1"/>
  <c r="D231" i="16"/>
  <c r="U232" i="16"/>
  <c r="S232" i="16"/>
  <c r="R232" i="16"/>
  <c r="P232" i="16"/>
  <c r="L232" i="16"/>
  <c r="M232" i="16" s="1"/>
  <c r="N232" i="16" s="1"/>
  <c r="O232" i="16" s="1"/>
  <c r="D232" i="16"/>
  <c r="U233" i="16"/>
  <c r="S233" i="16"/>
  <c r="R233" i="16"/>
  <c r="P233" i="16"/>
  <c r="L233" i="16"/>
  <c r="M233" i="16" s="1"/>
  <c r="N233" i="16" s="1"/>
  <c r="O233" i="16" s="1"/>
  <c r="D233" i="16"/>
  <c r="U234" i="16"/>
  <c r="S234" i="16"/>
  <c r="R234" i="16"/>
  <c r="P234" i="16"/>
  <c r="L234" i="16"/>
  <c r="M234" i="16" s="1"/>
  <c r="N234" i="16" s="1"/>
  <c r="O234" i="16" s="1"/>
  <c r="D234" i="16"/>
  <c r="U235" i="16"/>
  <c r="S235" i="16"/>
  <c r="R235" i="16"/>
  <c r="P235" i="16"/>
  <c r="L235" i="16"/>
  <c r="M235" i="16" s="1"/>
  <c r="N235" i="16" s="1"/>
  <c r="O235" i="16" s="1"/>
  <c r="D235" i="16"/>
  <c r="U236" i="16"/>
  <c r="S236" i="16"/>
  <c r="R236" i="16"/>
  <c r="P236" i="16"/>
  <c r="L236" i="16"/>
  <c r="M236" i="16" s="1"/>
  <c r="N236" i="16" s="1"/>
  <c r="O236" i="16" s="1"/>
  <c r="D236" i="16"/>
  <c r="U237" i="16"/>
  <c r="S237" i="16"/>
  <c r="R237" i="16"/>
  <c r="P237" i="16"/>
  <c r="L237" i="16"/>
  <c r="M237" i="16" s="1"/>
  <c r="N237" i="16" s="1"/>
  <c r="O237" i="16" s="1"/>
  <c r="D237" i="16"/>
  <c r="U238" i="16"/>
  <c r="S238" i="16"/>
  <c r="R238" i="16"/>
  <c r="P238" i="16"/>
  <c r="L238" i="16"/>
  <c r="M238" i="16" s="1"/>
  <c r="N238" i="16" s="1"/>
  <c r="O238" i="16" s="1"/>
  <c r="D238" i="16"/>
  <c r="U239" i="16"/>
  <c r="S239" i="16"/>
  <c r="R239" i="16"/>
  <c r="P239" i="16"/>
  <c r="L239" i="16"/>
  <c r="M239" i="16" s="1"/>
  <c r="N239" i="16" s="1"/>
  <c r="O239" i="16" s="1"/>
  <c r="D239" i="16"/>
  <c r="U240" i="16"/>
  <c r="S240" i="16"/>
  <c r="R240" i="16"/>
  <c r="P240" i="16"/>
  <c r="L240" i="16"/>
  <c r="M240" i="16" s="1"/>
  <c r="N240" i="16" s="1"/>
  <c r="O240" i="16" s="1"/>
  <c r="D240" i="16"/>
  <c r="U241" i="16"/>
  <c r="S241" i="16"/>
  <c r="R241" i="16"/>
  <c r="P241" i="16"/>
  <c r="L241" i="16"/>
  <c r="M241" i="16" s="1"/>
  <c r="N241" i="16" s="1"/>
  <c r="O241" i="16" s="1"/>
  <c r="D241" i="16"/>
  <c r="U242" i="16"/>
  <c r="S242" i="16"/>
  <c r="R242" i="16"/>
  <c r="P242" i="16"/>
  <c r="L242" i="16"/>
  <c r="M242" i="16" s="1"/>
  <c r="N242" i="16" s="1"/>
  <c r="O242" i="16" s="1"/>
  <c r="D242" i="16"/>
  <c r="U243" i="16"/>
  <c r="S243" i="16"/>
  <c r="R243" i="16"/>
  <c r="P243" i="16"/>
  <c r="L243" i="16"/>
  <c r="M243" i="16" s="1"/>
  <c r="N243" i="16" s="1"/>
  <c r="O243" i="16" s="1"/>
  <c r="D243" i="16"/>
  <c r="U244" i="16"/>
  <c r="S244" i="16"/>
  <c r="R244" i="16"/>
  <c r="P244" i="16"/>
  <c r="L244" i="16"/>
  <c r="M244" i="16" s="1"/>
  <c r="N244" i="16" s="1"/>
  <c r="O244" i="16" s="1"/>
  <c r="D244" i="16"/>
  <c r="U245" i="16"/>
  <c r="S245" i="16"/>
  <c r="R245" i="16"/>
  <c r="P245" i="16"/>
  <c r="L245" i="16"/>
  <c r="M245" i="16" s="1"/>
  <c r="N245" i="16" s="1"/>
  <c r="O245" i="16" s="1"/>
  <c r="D245" i="16"/>
  <c r="U246" i="16"/>
  <c r="S246" i="16"/>
  <c r="R246" i="16"/>
  <c r="P246" i="16"/>
  <c r="L246" i="16"/>
  <c r="M246" i="16" s="1"/>
  <c r="N246" i="16" s="1"/>
  <c r="O246" i="16" s="1"/>
  <c r="D246" i="16"/>
  <c r="U247" i="16"/>
  <c r="S247" i="16"/>
  <c r="R247" i="16"/>
  <c r="P247" i="16"/>
  <c r="L247" i="16"/>
  <c r="M247" i="16" s="1"/>
  <c r="N247" i="16" s="1"/>
  <c r="O247" i="16" s="1"/>
  <c r="D247" i="16"/>
  <c r="U248" i="16"/>
  <c r="S248" i="16"/>
  <c r="R248" i="16"/>
  <c r="P248" i="16"/>
  <c r="L248" i="16"/>
  <c r="M248" i="16" s="1"/>
  <c r="N248" i="16" s="1"/>
  <c r="O248" i="16" s="1"/>
  <c r="D248" i="16"/>
  <c r="U249" i="16"/>
  <c r="S249" i="16"/>
  <c r="R249" i="16"/>
  <c r="P249" i="16"/>
  <c r="L249" i="16"/>
  <c r="M249" i="16" s="1"/>
  <c r="N249" i="16" s="1"/>
  <c r="O249" i="16" s="1"/>
  <c r="D249" i="16"/>
  <c r="U250" i="16"/>
  <c r="S250" i="16"/>
  <c r="R250" i="16"/>
  <c r="P250" i="16"/>
  <c r="L250" i="16"/>
  <c r="M250" i="16" s="1"/>
  <c r="N250" i="16" s="1"/>
  <c r="O250" i="16" s="1"/>
  <c r="D250" i="16"/>
  <c r="U251" i="16"/>
  <c r="S251" i="16"/>
  <c r="R251" i="16"/>
  <c r="P251" i="16"/>
  <c r="L251" i="16"/>
  <c r="M251" i="16" s="1"/>
  <c r="N251" i="16" s="1"/>
  <c r="O251" i="16" s="1"/>
  <c r="D251" i="16"/>
  <c r="U252" i="16"/>
  <c r="S252" i="16"/>
  <c r="R252" i="16"/>
  <c r="P252" i="16"/>
  <c r="L252" i="16"/>
  <c r="M252" i="16" s="1"/>
  <c r="N252" i="16" s="1"/>
  <c r="O252" i="16" s="1"/>
  <c r="D252" i="16"/>
  <c r="U253" i="16"/>
  <c r="S253" i="16"/>
  <c r="R253" i="16"/>
  <c r="P253" i="16"/>
  <c r="L253" i="16"/>
  <c r="M253" i="16" s="1"/>
  <c r="N253" i="16" s="1"/>
  <c r="O253" i="16" s="1"/>
  <c r="D253" i="16"/>
  <c r="U254" i="16"/>
  <c r="S254" i="16"/>
  <c r="R254" i="16"/>
  <c r="P254" i="16"/>
  <c r="L254" i="16"/>
  <c r="M254" i="16" s="1"/>
  <c r="N254" i="16" s="1"/>
  <c r="O254" i="16" s="1"/>
  <c r="D254" i="16"/>
  <c r="U255" i="16"/>
  <c r="S255" i="16"/>
  <c r="R255" i="16"/>
  <c r="P255" i="16"/>
  <c r="L255" i="16"/>
  <c r="M255" i="16" s="1"/>
  <c r="N255" i="16" s="1"/>
  <c r="O255" i="16" s="1"/>
  <c r="D255" i="16"/>
  <c r="U256" i="16"/>
  <c r="S256" i="16"/>
  <c r="R256" i="16"/>
  <c r="P256" i="16"/>
  <c r="L256" i="16"/>
  <c r="M256" i="16" s="1"/>
  <c r="N256" i="16" s="1"/>
  <c r="O256" i="16" s="1"/>
  <c r="D256" i="16"/>
  <c r="U257" i="16"/>
  <c r="S257" i="16"/>
  <c r="R257" i="16"/>
  <c r="P257" i="16"/>
  <c r="L257" i="16"/>
  <c r="M257" i="16" s="1"/>
  <c r="N257" i="16" s="1"/>
  <c r="O257" i="16" s="1"/>
  <c r="D257" i="16"/>
  <c r="U258" i="16"/>
  <c r="S258" i="16"/>
  <c r="R258" i="16"/>
  <c r="P258" i="16"/>
  <c r="L258" i="16"/>
  <c r="M258" i="16" s="1"/>
  <c r="N258" i="16" s="1"/>
  <c r="O258" i="16" s="1"/>
  <c r="D258" i="16"/>
  <c r="U259" i="16"/>
  <c r="S259" i="16"/>
  <c r="R259" i="16"/>
  <c r="P259" i="16"/>
  <c r="L259" i="16"/>
  <c r="M259" i="16" s="1"/>
  <c r="N259" i="16" s="1"/>
  <c r="O259" i="16" s="1"/>
  <c r="D259" i="16"/>
  <c r="U260" i="16"/>
  <c r="S260" i="16"/>
  <c r="R260" i="16"/>
  <c r="P260" i="16"/>
  <c r="L260" i="16"/>
  <c r="M260" i="16" s="1"/>
  <c r="N260" i="16" s="1"/>
  <c r="O260" i="16" s="1"/>
  <c r="D260" i="16"/>
  <c r="U261" i="16"/>
  <c r="S261" i="16"/>
  <c r="R261" i="16"/>
  <c r="P261" i="16"/>
  <c r="L261" i="16"/>
  <c r="M261" i="16" s="1"/>
  <c r="N261" i="16" s="1"/>
  <c r="O261" i="16" s="1"/>
  <c r="D261" i="16"/>
  <c r="U262" i="16"/>
  <c r="S262" i="16"/>
  <c r="R262" i="16"/>
  <c r="P262" i="16"/>
  <c r="L262" i="16"/>
  <c r="M262" i="16" s="1"/>
  <c r="N262" i="16" s="1"/>
  <c r="O262" i="16" s="1"/>
  <c r="D262" i="16"/>
  <c r="U263" i="16"/>
  <c r="S263" i="16"/>
  <c r="R263" i="16"/>
  <c r="P263" i="16"/>
  <c r="L263" i="16"/>
  <c r="M263" i="16" s="1"/>
  <c r="N263" i="16" s="1"/>
  <c r="O263" i="16" s="1"/>
  <c r="D263" i="16"/>
  <c r="U264" i="16"/>
  <c r="S264" i="16"/>
  <c r="R264" i="16"/>
  <c r="P264" i="16"/>
  <c r="L264" i="16"/>
  <c r="M264" i="16" s="1"/>
  <c r="N264" i="16" s="1"/>
  <c r="O264" i="16" s="1"/>
  <c r="D264" i="16"/>
  <c r="U265" i="16"/>
  <c r="S265" i="16"/>
  <c r="R265" i="16"/>
  <c r="P265" i="16"/>
  <c r="L265" i="16"/>
  <c r="M265" i="16" s="1"/>
  <c r="N265" i="16" s="1"/>
  <c r="O265" i="16" s="1"/>
  <c r="D265" i="16"/>
  <c r="U266" i="16"/>
  <c r="S266" i="16"/>
  <c r="R266" i="16"/>
  <c r="P266" i="16"/>
  <c r="L266" i="16"/>
  <c r="M266" i="16" s="1"/>
  <c r="N266" i="16" s="1"/>
  <c r="O266" i="16" s="1"/>
  <c r="D266" i="16"/>
  <c r="U267" i="16"/>
  <c r="S267" i="16"/>
  <c r="R267" i="16"/>
  <c r="P267" i="16"/>
  <c r="L267" i="16"/>
  <c r="M267" i="16" s="1"/>
  <c r="N267" i="16" s="1"/>
  <c r="O267" i="16" s="1"/>
  <c r="D267" i="16"/>
  <c r="U268" i="16"/>
  <c r="S268" i="16"/>
  <c r="R268" i="16"/>
  <c r="P268" i="16"/>
  <c r="L268" i="16"/>
  <c r="M268" i="16" s="1"/>
  <c r="N268" i="16" s="1"/>
  <c r="O268" i="16" s="1"/>
  <c r="D268" i="16"/>
  <c r="U269" i="16"/>
  <c r="S269" i="16"/>
  <c r="R269" i="16"/>
  <c r="P269" i="16"/>
  <c r="L269" i="16"/>
  <c r="M269" i="16" s="1"/>
  <c r="N269" i="16" s="1"/>
  <c r="O269" i="16" s="1"/>
  <c r="D269" i="16"/>
  <c r="U270" i="16"/>
  <c r="S270" i="16"/>
  <c r="R270" i="16"/>
  <c r="P270" i="16"/>
  <c r="L270" i="16"/>
  <c r="M270" i="16" s="1"/>
  <c r="N270" i="16" s="1"/>
  <c r="O270" i="16" s="1"/>
  <c r="D270" i="16"/>
  <c r="U271" i="16"/>
  <c r="S271" i="16"/>
  <c r="R271" i="16"/>
  <c r="P271" i="16"/>
  <c r="L271" i="16"/>
  <c r="M271" i="16" s="1"/>
  <c r="N271" i="16" s="1"/>
  <c r="O271" i="16" s="1"/>
  <c r="D271" i="16"/>
  <c r="U272" i="16"/>
  <c r="S272" i="16"/>
  <c r="R272" i="16"/>
  <c r="P272" i="16"/>
  <c r="L272" i="16"/>
  <c r="M272" i="16" s="1"/>
  <c r="N272" i="16" s="1"/>
  <c r="O272" i="16" s="1"/>
  <c r="D272" i="16"/>
  <c r="U273" i="16"/>
  <c r="S273" i="16"/>
  <c r="R273" i="16"/>
  <c r="P273" i="16"/>
  <c r="L273" i="16"/>
  <c r="M273" i="16" s="1"/>
  <c r="N273" i="16" s="1"/>
  <c r="O273" i="16" s="1"/>
  <c r="D273" i="16"/>
  <c r="U274" i="16"/>
  <c r="S274" i="16"/>
  <c r="R274" i="16"/>
  <c r="P274" i="16"/>
  <c r="L274" i="16"/>
  <c r="M274" i="16" s="1"/>
  <c r="N274" i="16" s="1"/>
  <c r="O274" i="16" s="1"/>
  <c r="D274" i="16"/>
  <c r="U275" i="16"/>
  <c r="S275" i="16"/>
  <c r="R275" i="16"/>
  <c r="P275" i="16"/>
  <c r="L275" i="16"/>
  <c r="M275" i="16" s="1"/>
  <c r="N275" i="16" s="1"/>
  <c r="O275" i="16" s="1"/>
  <c r="D275" i="16"/>
  <c r="U276" i="16"/>
  <c r="S276" i="16"/>
  <c r="R276" i="16"/>
  <c r="P276" i="16"/>
  <c r="L276" i="16"/>
  <c r="M276" i="16" s="1"/>
  <c r="N276" i="16" s="1"/>
  <c r="O276" i="16" s="1"/>
  <c r="D276" i="16"/>
  <c r="U277" i="16"/>
  <c r="S277" i="16"/>
  <c r="R277" i="16"/>
  <c r="P277" i="16"/>
  <c r="L277" i="16"/>
  <c r="M277" i="16" s="1"/>
  <c r="N277" i="16" s="1"/>
  <c r="O277" i="16" s="1"/>
  <c r="D277" i="16"/>
  <c r="U278" i="16"/>
  <c r="S278" i="16"/>
  <c r="R278" i="16"/>
  <c r="P278" i="16"/>
  <c r="L278" i="16"/>
  <c r="M278" i="16" s="1"/>
  <c r="N278" i="16" s="1"/>
  <c r="O278" i="16" s="1"/>
  <c r="D278" i="16"/>
  <c r="U279" i="16"/>
  <c r="S279" i="16"/>
  <c r="R279" i="16"/>
  <c r="P279" i="16"/>
  <c r="L279" i="16"/>
  <c r="M279" i="16" s="1"/>
  <c r="N279" i="16" s="1"/>
  <c r="O279" i="16" s="1"/>
  <c r="D279" i="16"/>
  <c r="U280" i="16"/>
  <c r="S280" i="16"/>
  <c r="R280" i="16"/>
  <c r="P280" i="16"/>
  <c r="L280" i="16"/>
  <c r="M280" i="16" s="1"/>
  <c r="N280" i="16" s="1"/>
  <c r="O280" i="16" s="1"/>
  <c r="D280" i="16"/>
  <c r="U281" i="16"/>
  <c r="S281" i="16"/>
  <c r="R281" i="16"/>
  <c r="P281" i="16"/>
  <c r="L281" i="16"/>
  <c r="M281" i="16" s="1"/>
  <c r="N281" i="16" s="1"/>
  <c r="O281" i="16" s="1"/>
  <c r="D281" i="16"/>
  <c r="U282" i="16"/>
  <c r="S282" i="16"/>
  <c r="R282" i="16"/>
  <c r="P282" i="16"/>
  <c r="L282" i="16"/>
  <c r="M282" i="16" s="1"/>
  <c r="N282" i="16" s="1"/>
  <c r="O282" i="16" s="1"/>
  <c r="D282" i="16"/>
  <c r="U283" i="16"/>
  <c r="S283" i="16"/>
  <c r="R283" i="16"/>
  <c r="P283" i="16"/>
  <c r="L283" i="16"/>
  <c r="M283" i="16" s="1"/>
  <c r="N283" i="16" s="1"/>
  <c r="O283" i="16" s="1"/>
  <c r="D283" i="16"/>
  <c r="U284" i="16"/>
  <c r="S284" i="16"/>
  <c r="R284" i="16"/>
  <c r="P284" i="16"/>
  <c r="L284" i="16"/>
  <c r="M284" i="16" s="1"/>
  <c r="N284" i="16" s="1"/>
  <c r="O284" i="16" s="1"/>
  <c r="D284" i="16"/>
  <c r="U285" i="16"/>
  <c r="S285" i="16"/>
  <c r="R285" i="16"/>
  <c r="P285" i="16"/>
  <c r="L285" i="16"/>
  <c r="M285" i="16" s="1"/>
  <c r="N285" i="16" s="1"/>
  <c r="O285" i="16" s="1"/>
  <c r="D285" i="16"/>
  <c r="U286" i="16"/>
  <c r="S286" i="16"/>
  <c r="R286" i="16"/>
  <c r="P286" i="16"/>
  <c r="L286" i="16"/>
  <c r="M286" i="16" s="1"/>
  <c r="N286" i="16" s="1"/>
  <c r="O286" i="16" s="1"/>
  <c r="D286" i="16"/>
  <c r="U287" i="16"/>
  <c r="S287" i="16"/>
  <c r="R287" i="16"/>
  <c r="P287" i="16"/>
  <c r="L287" i="16"/>
  <c r="M287" i="16" s="1"/>
  <c r="N287" i="16" s="1"/>
  <c r="O287" i="16" s="1"/>
  <c r="D287" i="16"/>
  <c r="U288" i="16"/>
  <c r="S288" i="16"/>
  <c r="R288" i="16"/>
  <c r="P288" i="16"/>
  <c r="L288" i="16"/>
  <c r="M288" i="16" s="1"/>
  <c r="N288" i="16" s="1"/>
  <c r="O288" i="16" s="1"/>
  <c r="D288" i="16"/>
  <c r="U289" i="16"/>
  <c r="S289" i="16"/>
  <c r="R289" i="16"/>
  <c r="P289" i="16"/>
  <c r="L289" i="16"/>
  <c r="M289" i="16" s="1"/>
  <c r="N289" i="16" s="1"/>
  <c r="O289" i="16" s="1"/>
  <c r="D289" i="16"/>
  <c r="U290" i="16"/>
  <c r="S290" i="16"/>
  <c r="R290" i="16"/>
  <c r="P290" i="16"/>
  <c r="L290" i="16"/>
  <c r="M290" i="16" s="1"/>
  <c r="N290" i="16" s="1"/>
  <c r="O290" i="16" s="1"/>
  <c r="D290" i="16"/>
  <c r="U291" i="16"/>
  <c r="S291" i="16"/>
  <c r="R291" i="16"/>
  <c r="P291" i="16"/>
  <c r="L291" i="16"/>
  <c r="M291" i="16" s="1"/>
  <c r="N291" i="16" s="1"/>
  <c r="O291" i="16" s="1"/>
  <c r="D291" i="16"/>
  <c r="U292" i="16"/>
  <c r="S292" i="16"/>
  <c r="R292" i="16"/>
  <c r="P292" i="16"/>
  <c r="L292" i="16"/>
  <c r="M292" i="16" s="1"/>
  <c r="N292" i="16" s="1"/>
  <c r="O292" i="16" s="1"/>
  <c r="D292" i="16"/>
  <c r="U293" i="16"/>
  <c r="S293" i="16"/>
  <c r="R293" i="16"/>
  <c r="P293" i="16"/>
  <c r="L293" i="16"/>
  <c r="M293" i="16" s="1"/>
  <c r="N293" i="16" s="1"/>
  <c r="O293" i="16" s="1"/>
  <c r="D293" i="16"/>
  <c r="U294" i="16"/>
  <c r="S294" i="16"/>
  <c r="R294" i="16"/>
  <c r="P294" i="16"/>
  <c r="L294" i="16"/>
  <c r="M294" i="16" s="1"/>
  <c r="N294" i="16" s="1"/>
  <c r="O294" i="16" s="1"/>
  <c r="D294" i="16"/>
  <c r="U295" i="16"/>
  <c r="S295" i="16"/>
  <c r="R295" i="16"/>
  <c r="P295" i="16"/>
  <c r="L295" i="16"/>
  <c r="M295" i="16" s="1"/>
  <c r="N295" i="16" s="1"/>
  <c r="O295" i="16" s="1"/>
  <c r="D295" i="16"/>
  <c r="U296" i="16"/>
  <c r="S296" i="16"/>
  <c r="R296" i="16"/>
  <c r="P296" i="16"/>
  <c r="L296" i="16"/>
  <c r="M296" i="16" s="1"/>
  <c r="N296" i="16" s="1"/>
  <c r="O296" i="16" s="1"/>
  <c r="D296" i="16"/>
  <c r="U297" i="16"/>
  <c r="S297" i="16"/>
  <c r="R297" i="16"/>
  <c r="P297" i="16"/>
  <c r="L297" i="16"/>
  <c r="M297" i="16" s="1"/>
  <c r="N297" i="16" s="1"/>
  <c r="O297" i="16" s="1"/>
  <c r="D297" i="16"/>
  <c r="U298" i="16"/>
  <c r="S298" i="16"/>
  <c r="R298" i="16"/>
  <c r="P298" i="16"/>
  <c r="L298" i="16"/>
  <c r="M298" i="16" s="1"/>
  <c r="N298" i="16" s="1"/>
  <c r="O298" i="16" s="1"/>
  <c r="D298" i="16"/>
  <c r="U299" i="16"/>
  <c r="S299" i="16"/>
  <c r="R299" i="16"/>
  <c r="P299" i="16"/>
  <c r="L299" i="16"/>
  <c r="M299" i="16" s="1"/>
  <c r="N299" i="16" s="1"/>
  <c r="O299" i="16" s="1"/>
  <c r="D299" i="16"/>
  <c r="U300" i="16"/>
  <c r="S300" i="16"/>
  <c r="R300" i="16"/>
  <c r="P300" i="16"/>
  <c r="L300" i="16"/>
  <c r="M300" i="16" s="1"/>
  <c r="N300" i="16" s="1"/>
  <c r="O300" i="16" s="1"/>
  <c r="D300" i="16"/>
  <c r="U301" i="16"/>
  <c r="S301" i="16"/>
  <c r="R301" i="16"/>
  <c r="P301" i="16"/>
  <c r="L301" i="16"/>
  <c r="M301" i="16" s="1"/>
  <c r="N301" i="16" s="1"/>
  <c r="O301" i="16" s="1"/>
  <c r="D301" i="16"/>
  <c r="U302" i="16"/>
  <c r="S302" i="16"/>
  <c r="R302" i="16"/>
  <c r="P302" i="16"/>
  <c r="L302" i="16"/>
  <c r="M302" i="16" s="1"/>
  <c r="N302" i="16" s="1"/>
  <c r="O302" i="16" s="1"/>
  <c r="D302" i="16"/>
  <c r="U303" i="16"/>
  <c r="S303" i="16"/>
  <c r="R303" i="16"/>
  <c r="P303" i="16"/>
  <c r="L303" i="16"/>
  <c r="M303" i="16" s="1"/>
  <c r="N303" i="16" s="1"/>
  <c r="O303" i="16" s="1"/>
  <c r="D303" i="16"/>
  <c r="U304" i="16"/>
  <c r="S304" i="16"/>
  <c r="R304" i="16"/>
  <c r="P304" i="16"/>
  <c r="L304" i="16"/>
  <c r="M304" i="16" s="1"/>
  <c r="N304" i="16" s="1"/>
  <c r="O304" i="16" s="1"/>
  <c r="D304" i="16"/>
  <c r="U305" i="16"/>
  <c r="S305" i="16"/>
  <c r="R305" i="16"/>
  <c r="P305" i="16"/>
  <c r="L305" i="16"/>
  <c r="M305" i="16" s="1"/>
  <c r="N305" i="16" s="1"/>
  <c r="O305" i="16" s="1"/>
  <c r="D305" i="16"/>
  <c r="U306" i="16"/>
  <c r="S306" i="16"/>
  <c r="R306" i="16"/>
  <c r="P306" i="16"/>
  <c r="L306" i="16"/>
  <c r="M306" i="16" s="1"/>
  <c r="N306" i="16" s="1"/>
  <c r="O306" i="16" s="1"/>
  <c r="D306" i="16"/>
  <c r="U307" i="16"/>
  <c r="S307" i="16"/>
  <c r="R307" i="16"/>
  <c r="P307" i="16"/>
  <c r="L307" i="16"/>
  <c r="M307" i="16" s="1"/>
  <c r="N307" i="16" s="1"/>
  <c r="O307" i="16" s="1"/>
  <c r="D307" i="16"/>
  <c r="U308" i="16"/>
  <c r="S308" i="16"/>
  <c r="R308" i="16"/>
  <c r="P308" i="16"/>
  <c r="L308" i="16"/>
  <c r="M308" i="16" s="1"/>
  <c r="N308" i="16" s="1"/>
  <c r="O308" i="16" s="1"/>
  <c r="D308" i="16"/>
  <c r="U309" i="16"/>
  <c r="S309" i="16"/>
  <c r="R309" i="16"/>
  <c r="P309" i="16"/>
  <c r="L309" i="16"/>
  <c r="M309" i="16" s="1"/>
  <c r="N309" i="16" s="1"/>
  <c r="O309" i="16" s="1"/>
  <c r="D309" i="16"/>
  <c r="U310" i="16"/>
  <c r="S310" i="16"/>
  <c r="R310" i="16"/>
  <c r="P310" i="16"/>
  <c r="L310" i="16"/>
  <c r="M310" i="16" s="1"/>
  <c r="N310" i="16" s="1"/>
  <c r="O310" i="16" s="1"/>
  <c r="D310" i="16"/>
  <c r="U311" i="16"/>
  <c r="S311" i="16"/>
  <c r="R311" i="16"/>
  <c r="P311" i="16"/>
  <c r="L311" i="16"/>
  <c r="M311" i="16" s="1"/>
  <c r="N311" i="16" s="1"/>
  <c r="O311" i="16" s="1"/>
  <c r="D311" i="16"/>
  <c r="U312" i="16"/>
  <c r="S312" i="16"/>
  <c r="R312" i="16"/>
  <c r="P312" i="16"/>
  <c r="L312" i="16"/>
  <c r="M312" i="16" s="1"/>
  <c r="N312" i="16" s="1"/>
  <c r="O312" i="16" s="1"/>
  <c r="D312" i="16"/>
  <c r="U313" i="16"/>
  <c r="S313" i="16"/>
  <c r="R313" i="16"/>
  <c r="P313" i="16"/>
  <c r="L313" i="16"/>
  <c r="M313" i="16" s="1"/>
  <c r="N313" i="16" s="1"/>
  <c r="O313" i="16" s="1"/>
  <c r="D313" i="16"/>
  <c r="U314" i="16"/>
  <c r="S314" i="16"/>
  <c r="R314" i="16"/>
  <c r="P314" i="16"/>
  <c r="L314" i="16"/>
  <c r="M314" i="16" s="1"/>
  <c r="N314" i="16" s="1"/>
  <c r="O314" i="16" s="1"/>
  <c r="D314" i="16"/>
  <c r="U315" i="16"/>
  <c r="S315" i="16"/>
  <c r="R315" i="16"/>
  <c r="P315" i="16"/>
  <c r="L315" i="16"/>
  <c r="M315" i="16" s="1"/>
  <c r="N315" i="16" s="1"/>
  <c r="O315" i="16" s="1"/>
  <c r="D315" i="16"/>
  <c r="U316" i="16"/>
  <c r="S316" i="16"/>
  <c r="R316" i="16"/>
  <c r="P316" i="16"/>
  <c r="L316" i="16"/>
  <c r="M316" i="16" s="1"/>
  <c r="N316" i="16" s="1"/>
  <c r="O316" i="16" s="1"/>
  <c r="D316" i="16"/>
  <c r="U317" i="16"/>
  <c r="S317" i="16"/>
  <c r="R317" i="16"/>
  <c r="P317" i="16"/>
  <c r="L317" i="16"/>
  <c r="M317" i="16" s="1"/>
  <c r="N317" i="16" s="1"/>
  <c r="O317" i="16" s="1"/>
  <c r="D317" i="16"/>
  <c r="U318" i="16"/>
  <c r="S318" i="16"/>
  <c r="R318" i="16"/>
  <c r="P318" i="16"/>
  <c r="L318" i="16"/>
  <c r="M318" i="16" s="1"/>
  <c r="N318" i="16" s="1"/>
  <c r="O318" i="16" s="1"/>
  <c r="D318" i="16"/>
  <c r="U319" i="16"/>
  <c r="S319" i="16"/>
  <c r="R319" i="16"/>
  <c r="P319" i="16"/>
  <c r="L319" i="16"/>
  <c r="M319" i="16" s="1"/>
  <c r="N319" i="16" s="1"/>
  <c r="O319" i="16" s="1"/>
  <c r="D319" i="16"/>
  <c r="U320" i="16"/>
  <c r="S320" i="16"/>
  <c r="R320" i="16"/>
  <c r="P320" i="16"/>
  <c r="L320" i="16"/>
  <c r="M320" i="16" s="1"/>
  <c r="N320" i="16" s="1"/>
  <c r="O320" i="16" s="1"/>
  <c r="D320" i="16"/>
  <c r="U321" i="16"/>
  <c r="S321" i="16"/>
  <c r="R321" i="16"/>
  <c r="P321" i="16"/>
  <c r="L321" i="16"/>
  <c r="M321" i="16" s="1"/>
  <c r="N321" i="16" s="1"/>
  <c r="O321" i="16" s="1"/>
  <c r="D321" i="16"/>
  <c r="U322" i="16"/>
  <c r="S322" i="16"/>
  <c r="R322" i="16"/>
  <c r="P322" i="16"/>
  <c r="L322" i="16"/>
  <c r="M322" i="16" s="1"/>
  <c r="N322" i="16" s="1"/>
  <c r="O322" i="16" s="1"/>
  <c r="D322" i="16"/>
  <c r="U323" i="16"/>
  <c r="S323" i="16"/>
  <c r="R323" i="16"/>
  <c r="P323" i="16"/>
  <c r="L323" i="16"/>
  <c r="M323" i="16" s="1"/>
  <c r="N323" i="16" s="1"/>
  <c r="O323" i="16" s="1"/>
  <c r="D323" i="16"/>
  <c r="U324" i="16"/>
  <c r="S324" i="16"/>
  <c r="R324" i="16"/>
  <c r="P324" i="16"/>
  <c r="L324" i="16"/>
  <c r="M324" i="16" s="1"/>
  <c r="N324" i="16" s="1"/>
  <c r="O324" i="16" s="1"/>
  <c r="D324" i="16"/>
  <c r="U325" i="16"/>
  <c r="S325" i="16"/>
  <c r="R325" i="16"/>
  <c r="P325" i="16"/>
  <c r="L325" i="16"/>
  <c r="M325" i="16" s="1"/>
  <c r="N325" i="16" s="1"/>
  <c r="O325" i="16" s="1"/>
  <c r="D325" i="16"/>
  <c r="U326" i="16"/>
  <c r="S326" i="16"/>
  <c r="R326" i="16"/>
  <c r="P326" i="16"/>
  <c r="L326" i="16"/>
  <c r="M326" i="16" s="1"/>
  <c r="N326" i="16" s="1"/>
  <c r="O326" i="16" s="1"/>
  <c r="D326" i="16"/>
  <c r="U327" i="16"/>
  <c r="S327" i="16"/>
  <c r="R327" i="16"/>
  <c r="P327" i="16"/>
  <c r="L327" i="16"/>
  <c r="M327" i="16" s="1"/>
  <c r="N327" i="16" s="1"/>
  <c r="O327" i="16" s="1"/>
  <c r="D327" i="16"/>
  <c r="U328" i="16"/>
  <c r="S328" i="16"/>
  <c r="R328" i="16"/>
  <c r="P328" i="16"/>
  <c r="L328" i="16"/>
  <c r="M328" i="16" s="1"/>
  <c r="N328" i="16" s="1"/>
  <c r="O328" i="16" s="1"/>
  <c r="D328" i="16"/>
  <c r="U329" i="16"/>
  <c r="S329" i="16"/>
  <c r="R329" i="16"/>
  <c r="P329" i="16"/>
  <c r="L329" i="16"/>
  <c r="M329" i="16" s="1"/>
  <c r="N329" i="16" s="1"/>
  <c r="O329" i="16" s="1"/>
  <c r="D329" i="16"/>
  <c r="U330" i="16"/>
  <c r="S330" i="16"/>
  <c r="R330" i="16"/>
  <c r="P330" i="16"/>
  <c r="L330" i="16"/>
  <c r="M330" i="16" s="1"/>
  <c r="N330" i="16" s="1"/>
  <c r="O330" i="16" s="1"/>
  <c r="D330" i="16"/>
  <c r="U331" i="16"/>
  <c r="S331" i="16"/>
  <c r="R331" i="16"/>
  <c r="P331" i="16"/>
  <c r="L331" i="16"/>
  <c r="M331" i="16" s="1"/>
  <c r="N331" i="16" s="1"/>
  <c r="O331" i="16" s="1"/>
  <c r="D331" i="16"/>
  <c r="U332" i="16"/>
  <c r="S332" i="16"/>
  <c r="R332" i="16"/>
  <c r="P332" i="16"/>
  <c r="L332" i="16"/>
  <c r="M332" i="16" s="1"/>
  <c r="N332" i="16" s="1"/>
  <c r="O332" i="16" s="1"/>
  <c r="D332" i="16"/>
  <c r="U333" i="16"/>
  <c r="S333" i="16"/>
  <c r="R333" i="16"/>
  <c r="P333" i="16"/>
  <c r="L333" i="16"/>
  <c r="M333" i="16" s="1"/>
  <c r="N333" i="16" s="1"/>
  <c r="O333" i="16" s="1"/>
  <c r="D333" i="16"/>
  <c r="U334" i="16"/>
  <c r="S334" i="16"/>
  <c r="R334" i="16"/>
  <c r="P334" i="16"/>
  <c r="L334" i="16"/>
  <c r="M334" i="16" s="1"/>
  <c r="N334" i="16" s="1"/>
  <c r="O334" i="16" s="1"/>
  <c r="D334" i="16"/>
  <c r="U335" i="16"/>
  <c r="S335" i="16"/>
  <c r="R335" i="16"/>
  <c r="P335" i="16"/>
  <c r="L335" i="16"/>
  <c r="M335" i="16" s="1"/>
  <c r="N335" i="16" s="1"/>
  <c r="O335" i="16" s="1"/>
  <c r="D335" i="16"/>
  <c r="U336" i="16"/>
  <c r="S336" i="16"/>
  <c r="R336" i="16"/>
  <c r="P336" i="16"/>
  <c r="L336" i="16"/>
  <c r="M336" i="16" s="1"/>
  <c r="N336" i="16" s="1"/>
  <c r="O336" i="16" s="1"/>
  <c r="D336" i="16"/>
  <c r="U337" i="16"/>
  <c r="S337" i="16"/>
  <c r="R337" i="16"/>
  <c r="P337" i="16"/>
  <c r="L337" i="16"/>
  <c r="M337" i="16" s="1"/>
  <c r="N337" i="16" s="1"/>
  <c r="O337" i="16" s="1"/>
  <c r="D337" i="16"/>
  <c r="U338" i="16"/>
  <c r="S338" i="16"/>
  <c r="R338" i="16"/>
  <c r="P338" i="16"/>
  <c r="L338" i="16"/>
  <c r="M338" i="16" s="1"/>
  <c r="N338" i="16" s="1"/>
  <c r="O338" i="16" s="1"/>
  <c r="D338" i="16"/>
  <c r="U339" i="16"/>
  <c r="S339" i="16"/>
  <c r="R339" i="16"/>
  <c r="P339" i="16"/>
  <c r="L339" i="16"/>
  <c r="M339" i="16" s="1"/>
  <c r="N339" i="16" s="1"/>
  <c r="O339" i="16" s="1"/>
  <c r="D339" i="16"/>
  <c r="U340" i="16"/>
  <c r="S340" i="16"/>
  <c r="R340" i="16"/>
  <c r="P340" i="16"/>
  <c r="L340" i="16"/>
  <c r="M340" i="16" s="1"/>
  <c r="N340" i="16" s="1"/>
  <c r="O340" i="16" s="1"/>
  <c r="D340" i="16"/>
  <c r="U341" i="16"/>
  <c r="S341" i="16"/>
  <c r="R341" i="16"/>
  <c r="P341" i="16"/>
  <c r="L341" i="16"/>
  <c r="M341" i="16" s="1"/>
  <c r="N341" i="16" s="1"/>
  <c r="O341" i="16" s="1"/>
  <c r="D341" i="16"/>
  <c r="U342" i="16"/>
  <c r="S342" i="16"/>
  <c r="R342" i="16"/>
  <c r="P342" i="16"/>
  <c r="L342" i="16"/>
  <c r="M342" i="16" s="1"/>
  <c r="N342" i="16" s="1"/>
  <c r="O342" i="16" s="1"/>
  <c r="D342" i="16"/>
  <c r="U343" i="16"/>
  <c r="S343" i="16"/>
  <c r="R343" i="16"/>
  <c r="P343" i="16"/>
  <c r="L343" i="16"/>
  <c r="M343" i="16" s="1"/>
  <c r="N343" i="16" s="1"/>
  <c r="O343" i="16" s="1"/>
  <c r="D343" i="16"/>
  <c r="U344" i="16"/>
  <c r="S344" i="16"/>
  <c r="R344" i="16"/>
  <c r="P344" i="16"/>
  <c r="L344" i="16"/>
  <c r="M344" i="16" s="1"/>
  <c r="N344" i="16" s="1"/>
  <c r="O344" i="16" s="1"/>
  <c r="D344" i="16"/>
  <c r="U345" i="16"/>
  <c r="S345" i="16"/>
  <c r="R345" i="16"/>
  <c r="P345" i="16"/>
  <c r="L345" i="16"/>
  <c r="M345" i="16" s="1"/>
  <c r="N345" i="16" s="1"/>
  <c r="O345" i="16" s="1"/>
  <c r="D345" i="16"/>
  <c r="U346" i="16"/>
  <c r="S346" i="16"/>
  <c r="R346" i="16"/>
  <c r="P346" i="16"/>
  <c r="L346" i="16"/>
  <c r="M346" i="16" s="1"/>
  <c r="N346" i="16" s="1"/>
  <c r="O346" i="16" s="1"/>
  <c r="D346" i="16"/>
  <c r="U347" i="16"/>
  <c r="S347" i="16"/>
  <c r="R347" i="16"/>
  <c r="P347" i="16"/>
  <c r="L347" i="16"/>
  <c r="M347" i="16" s="1"/>
  <c r="N347" i="16" s="1"/>
  <c r="O347" i="16" s="1"/>
  <c r="D347" i="16"/>
  <c r="U348" i="16"/>
  <c r="S348" i="16"/>
  <c r="R348" i="16"/>
  <c r="P348" i="16"/>
  <c r="L348" i="16"/>
  <c r="M348" i="16" s="1"/>
  <c r="N348" i="16" s="1"/>
  <c r="O348" i="16" s="1"/>
  <c r="D348" i="16"/>
  <c r="U349" i="16"/>
  <c r="S349" i="16"/>
  <c r="R349" i="16"/>
  <c r="P349" i="16"/>
  <c r="L349" i="16"/>
  <c r="M349" i="16" s="1"/>
  <c r="N349" i="16" s="1"/>
  <c r="O349" i="16" s="1"/>
  <c r="D349" i="16"/>
  <c r="U350" i="16"/>
  <c r="S350" i="16"/>
  <c r="R350" i="16"/>
  <c r="P350" i="16"/>
  <c r="L350" i="16"/>
  <c r="M350" i="16" s="1"/>
  <c r="N350" i="16" s="1"/>
  <c r="O350" i="16" s="1"/>
  <c r="D350" i="16"/>
  <c r="U351" i="16"/>
  <c r="S351" i="16"/>
  <c r="R351" i="16"/>
  <c r="P351" i="16"/>
  <c r="L351" i="16"/>
  <c r="M351" i="16" s="1"/>
  <c r="N351" i="16" s="1"/>
  <c r="O351" i="16" s="1"/>
  <c r="D351" i="16"/>
  <c r="U352" i="16"/>
  <c r="S352" i="16"/>
  <c r="R352" i="16"/>
  <c r="P352" i="16"/>
  <c r="L352" i="16"/>
  <c r="M352" i="16" s="1"/>
  <c r="N352" i="16" s="1"/>
  <c r="O352" i="16" s="1"/>
  <c r="D352" i="16"/>
  <c r="U353" i="16"/>
  <c r="S353" i="16"/>
  <c r="R353" i="16"/>
  <c r="P353" i="16"/>
  <c r="L353" i="16"/>
  <c r="M353" i="16" s="1"/>
  <c r="N353" i="16" s="1"/>
  <c r="O353" i="16" s="1"/>
  <c r="D353" i="16"/>
  <c r="U354" i="16"/>
  <c r="S354" i="16"/>
  <c r="R354" i="16"/>
  <c r="P354" i="16"/>
  <c r="L354" i="16"/>
  <c r="M354" i="16" s="1"/>
  <c r="N354" i="16" s="1"/>
  <c r="O354" i="16" s="1"/>
  <c r="D354" i="16"/>
  <c r="U355" i="16"/>
  <c r="S355" i="16"/>
  <c r="R355" i="16"/>
  <c r="P355" i="16"/>
  <c r="L355" i="16"/>
  <c r="M355" i="16" s="1"/>
  <c r="N355" i="16" s="1"/>
  <c r="O355" i="16" s="1"/>
  <c r="D355" i="16"/>
  <c r="U356" i="16"/>
  <c r="S356" i="16"/>
  <c r="R356" i="16"/>
  <c r="P356" i="16"/>
  <c r="L356" i="16"/>
  <c r="M356" i="16" s="1"/>
  <c r="N356" i="16" s="1"/>
  <c r="O356" i="16" s="1"/>
  <c r="D356" i="16"/>
  <c r="U357" i="16"/>
  <c r="S357" i="16"/>
  <c r="R357" i="16"/>
  <c r="P357" i="16"/>
  <c r="L357" i="16"/>
  <c r="M357" i="16" s="1"/>
  <c r="N357" i="16" s="1"/>
  <c r="O357" i="16" s="1"/>
  <c r="D357" i="16"/>
  <c r="U358" i="16"/>
  <c r="S358" i="16"/>
  <c r="R358" i="16"/>
  <c r="P358" i="16"/>
  <c r="L358" i="16"/>
  <c r="M358" i="16" s="1"/>
  <c r="N358" i="16" s="1"/>
  <c r="O358" i="16" s="1"/>
  <c r="D358" i="16"/>
  <c r="U359" i="16"/>
  <c r="S359" i="16"/>
  <c r="R359" i="16"/>
  <c r="P359" i="16"/>
  <c r="L359" i="16"/>
  <c r="M359" i="16" s="1"/>
  <c r="N359" i="16" s="1"/>
  <c r="O359" i="16" s="1"/>
  <c r="D359" i="16"/>
  <c r="U360" i="16"/>
  <c r="S360" i="16"/>
  <c r="R360" i="16"/>
  <c r="P360" i="16"/>
  <c r="L360" i="16"/>
  <c r="M360" i="16" s="1"/>
  <c r="N360" i="16" s="1"/>
  <c r="O360" i="16" s="1"/>
  <c r="D360" i="16"/>
  <c r="U361" i="16"/>
  <c r="S361" i="16"/>
  <c r="R361" i="16"/>
  <c r="P361" i="16"/>
  <c r="L361" i="16"/>
  <c r="M361" i="16" s="1"/>
  <c r="N361" i="16" s="1"/>
  <c r="O361" i="16" s="1"/>
  <c r="D361" i="16"/>
  <c r="U362" i="16"/>
  <c r="S362" i="16"/>
  <c r="R362" i="16"/>
  <c r="P362" i="16"/>
  <c r="L362" i="16"/>
  <c r="M362" i="16" s="1"/>
  <c r="N362" i="16" s="1"/>
  <c r="O362" i="16" s="1"/>
  <c r="D362" i="16"/>
  <c r="U363" i="16"/>
  <c r="S363" i="16"/>
  <c r="R363" i="16"/>
  <c r="P363" i="16"/>
  <c r="L363" i="16"/>
  <c r="M363" i="16" s="1"/>
  <c r="N363" i="16" s="1"/>
  <c r="O363" i="16" s="1"/>
  <c r="D363" i="16"/>
  <c r="U364" i="16"/>
  <c r="S364" i="16"/>
  <c r="R364" i="16"/>
  <c r="P364" i="16"/>
  <c r="L364" i="16"/>
  <c r="M364" i="16" s="1"/>
  <c r="N364" i="16" s="1"/>
  <c r="O364" i="16" s="1"/>
  <c r="D364" i="16"/>
  <c r="U365" i="16"/>
  <c r="S365" i="16"/>
  <c r="R365" i="16"/>
  <c r="P365" i="16"/>
  <c r="L365" i="16"/>
  <c r="M365" i="16" s="1"/>
  <c r="N365" i="16" s="1"/>
  <c r="O365" i="16" s="1"/>
  <c r="D365" i="16"/>
  <c r="U366" i="16"/>
  <c r="S366" i="16"/>
  <c r="R366" i="16"/>
  <c r="P366" i="16"/>
  <c r="L366" i="16"/>
  <c r="M366" i="16" s="1"/>
  <c r="N366" i="16" s="1"/>
  <c r="O366" i="16" s="1"/>
  <c r="D366" i="16"/>
  <c r="U367" i="16"/>
  <c r="S367" i="16"/>
  <c r="R367" i="16"/>
  <c r="P367" i="16"/>
  <c r="L367" i="16"/>
  <c r="M367" i="16" s="1"/>
  <c r="N367" i="16" s="1"/>
  <c r="O367" i="16" s="1"/>
  <c r="D367" i="16"/>
  <c r="U368" i="16"/>
  <c r="S368" i="16"/>
  <c r="R368" i="16"/>
  <c r="P368" i="16"/>
  <c r="L368" i="16"/>
  <c r="M368" i="16" s="1"/>
  <c r="N368" i="16" s="1"/>
  <c r="O368" i="16" s="1"/>
  <c r="D368" i="16"/>
  <c r="U369" i="16"/>
  <c r="S369" i="16"/>
  <c r="R369" i="16"/>
  <c r="P369" i="16"/>
  <c r="L369" i="16"/>
  <c r="M369" i="16" s="1"/>
  <c r="N369" i="16" s="1"/>
  <c r="O369" i="16" s="1"/>
  <c r="D369" i="16"/>
  <c r="U370" i="16"/>
  <c r="S370" i="16"/>
  <c r="R370" i="16"/>
  <c r="P370" i="16"/>
  <c r="L370" i="16"/>
  <c r="M370" i="16" s="1"/>
  <c r="N370" i="16" s="1"/>
  <c r="O370" i="16" s="1"/>
  <c r="D370" i="16"/>
  <c r="U371" i="16"/>
  <c r="S371" i="16"/>
  <c r="R371" i="16"/>
  <c r="P371" i="16"/>
  <c r="L371" i="16"/>
  <c r="M371" i="16" s="1"/>
  <c r="N371" i="16" s="1"/>
  <c r="O371" i="16" s="1"/>
  <c r="D371" i="16"/>
  <c r="U372" i="16"/>
  <c r="S372" i="16"/>
  <c r="R372" i="16"/>
  <c r="P372" i="16"/>
  <c r="L372" i="16"/>
  <c r="M372" i="16" s="1"/>
  <c r="N372" i="16" s="1"/>
  <c r="O372" i="16" s="1"/>
  <c r="D372" i="16"/>
  <c r="U373" i="16"/>
  <c r="S373" i="16"/>
  <c r="R373" i="16"/>
  <c r="P373" i="16"/>
  <c r="L373" i="16"/>
  <c r="M373" i="16" s="1"/>
  <c r="N373" i="16" s="1"/>
  <c r="O373" i="16" s="1"/>
  <c r="D373" i="16"/>
  <c r="U374" i="16"/>
  <c r="S374" i="16"/>
  <c r="R374" i="16"/>
  <c r="P374" i="16"/>
  <c r="L374" i="16"/>
  <c r="M374" i="16" s="1"/>
  <c r="N374" i="16" s="1"/>
  <c r="O374" i="16" s="1"/>
  <c r="D374" i="16"/>
  <c r="U375" i="16"/>
  <c r="S375" i="16"/>
  <c r="R375" i="16"/>
  <c r="P375" i="16"/>
  <c r="L375" i="16"/>
  <c r="M375" i="16" s="1"/>
  <c r="N375" i="16" s="1"/>
  <c r="O375" i="16" s="1"/>
  <c r="D375" i="16"/>
  <c r="U376" i="16"/>
  <c r="S376" i="16"/>
  <c r="R376" i="16"/>
  <c r="P376" i="16"/>
  <c r="L376" i="16"/>
  <c r="M376" i="16" s="1"/>
  <c r="N376" i="16" s="1"/>
  <c r="O376" i="16" s="1"/>
  <c r="D376" i="16"/>
  <c r="U377" i="16"/>
  <c r="S377" i="16"/>
  <c r="R377" i="16"/>
  <c r="P377" i="16"/>
  <c r="L377" i="16"/>
  <c r="M377" i="16" s="1"/>
  <c r="N377" i="16" s="1"/>
  <c r="O377" i="16" s="1"/>
  <c r="D377" i="16"/>
  <c r="U378" i="16"/>
  <c r="S378" i="16"/>
  <c r="R378" i="16"/>
  <c r="P378" i="16"/>
  <c r="L378" i="16"/>
  <c r="M378" i="16" s="1"/>
  <c r="N378" i="16" s="1"/>
  <c r="O378" i="16" s="1"/>
  <c r="D378" i="16"/>
  <c r="U379" i="16"/>
  <c r="S379" i="16"/>
  <c r="R379" i="16"/>
  <c r="P379" i="16"/>
  <c r="L379" i="16"/>
  <c r="M379" i="16" s="1"/>
  <c r="N379" i="16" s="1"/>
  <c r="O379" i="16" s="1"/>
  <c r="D379" i="16"/>
  <c r="U380" i="16"/>
  <c r="S380" i="16"/>
  <c r="R380" i="16"/>
  <c r="P380" i="16"/>
  <c r="L380" i="16"/>
  <c r="M380" i="16" s="1"/>
  <c r="N380" i="16" s="1"/>
  <c r="O380" i="16" s="1"/>
  <c r="D380" i="16"/>
  <c r="U381" i="16"/>
  <c r="S381" i="16"/>
  <c r="R381" i="16"/>
  <c r="P381" i="16"/>
  <c r="L381" i="16"/>
  <c r="M381" i="16" s="1"/>
  <c r="N381" i="16" s="1"/>
  <c r="O381" i="16" s="1"/>
  <c r="D381" i="16"/>
  <c r="U382" i="16"/>
  <c r="S382" i="16"/>
  <c r="R382" i="16"/>
  <c r="P382" i="16"/>
  <c r="L382" i="16"/>
  <c r="M382" i="16" s="1"/>
  <c r="N382" i="16" s="1"/>
  <c r="O382" i="16" s="1"/>
  <c r="D382" i="16"/>
  <c r="U383" i="16"/>
  <c r="S383" i="16"/>
  <c r="R383" i="16"/>
  <c r="P383" i="16"/>
  <c r="L383" i="16"/>
  <c r="M383" i="16" s="1"/>
  <c r="N383" i="16" s="1"/>
  <c r="O383" i="16" s="1"/>
  <c r="D383" i="16"/>
  <c r="U384" i="16"/>
  <c r="S384" i="16"/>
  <c r="R384" i="16"/>
  <c r="P384" i="16"/>
  <c r="L384" i="16"/>
  <c r="M384" i="16" s="1"/>
  <c r="N384" i="16" s="1"/>
  <c r="O384" i="16" s="1"/>
  <c r="D384" i="16"/>
  <c r="U385" i="16"/>
  <c r="S385" i="16"/>
  <c r="R385" i="16"/>
  <c r="P385" i="16"/>
  <c r="L385" i="16"/>
  <c r="M385" i="16" s="1"/>
  <c r="N385" i="16" s="1"/>
  <c r="O385" i="16" s="1"/>
  <c r="D385" i="16"/>
  <c r="U386" i="16"/>
  <c r="S386" i="16"/>
  <c r="R386" i="16"/>
  <c r="P386" i="16"/>
  <c r="L386" i="16"/>
  <c r="M386" i="16" s="1"/>
  <c r="N386" i="16" s="1"/>
  <c r="O386" i="16" s="1"/>
  <c r="D386" i="16"/>
  <c r="U387" i="16"/>
  <c r="S387" i="16"/>
  <c r="R387" i="16"/>
  <c r="P387" i="16"/>
  <c r="L387" i="16"/>
  <c r="M387" i="16" s="1"/>
  <c r="N387" i="16" s="1"/>
  <c r="O387" i="16" s="1"/>
  <c r="D387" i="16"/>
  <c r="U388" i="16"/>
  <c r="S388" i="16"/>
  <c r="R388" i="16"/>
  <c r="P388" i="16"/>
  <c r="L388" i="16"/>
  <c r="M388" i="16" s="1"/>
  <c r="N388" i="16" s="1"/>
  <c r="O388" i="16" s="1"/>
  <c r="D388" i="16"/>
  <c r="U389" i="16"/>
  <c r="S389" i="16"/>
  <c r="R389" i="16"/>
  <c r="P389" i="16"/>
  <c r="L389" i="16"/>
  <c r="M389" i="16" s="1"/>
  <c r="N389" i="16" s="1"/>
  <c r="O389" i="16" s="1"/>
  <c r="D389" i="16"/>
  <c r="U390" i="16"/>
  <c r="S390" i="16"/>
  <c r="R390" i="16"/>
  <c r="P390" i="16"/>
  <c r="L390" i="16"/>
  <c r="M390" i="16" s="1"/>
  <c r="N390" i="16" s="1"/>
  <c r="O390" i="16" s="1"/>
  <c r="D390" i="16"/>
  <c r="U391" i="16"/>
  <c r="S391" i="16"/>
  <c r="R391" i="16"/>
  <c r="P391" i="16"/>
  <c r="L391" i="16"/>
  <c r="M391" i="16" s="1"/>
  <c r="N391" i="16" s="1"/>
  <c r="O391" i="16" s="1"/>
  <c r="D391" i="16"/>
  <c r="U392" i="16"/>
  <c r="S392" i="16"/>
  <c r="R392" i="16"/>
  <c r="P392" i="16"/>
  <c r="L392" i="16"/>
  <c r="M392" i="16" s="1"/>
  <c r="N392" i="16" s="1"/>
  <c r="O392" i="16" s="1"/>
  <c r="D392" i="16"/>
  <c r="U393" i="16"/>
  <c r="S393" i="16"/>
  <c r="R393" i="16"/>
  <c r="P393" i="16"/>
  <c r="L393" i="16"/>
  <c r="M393" i="16" s="1"/>
  <c r="N393" i="16" s="1"/>
  <c r="O393" i="16" s="1"/>
  <c r="D393" i="16"/>
  <c r="U394" i="16"/>
  <c r="S394" i="16"/>
  <c r="R394" i="16"/>
  <c r="P394" i="16"/>
  <c r="L394" i="16"/>
  <c r="M394" i="16" s="1"/>
  <c r="N394" i="16" s="1"/>
  <c r="O394" i="16" s="1"/>
  <c r="D394" i="16"/>
  <c r="U395" i="16"/>
  <c r="S395" i="16"/>
  <c r="R395" i="16"/>
  <c r="P395" i="16"/>
  <c r="L395" i="16"/>
  <c r="M395" i="16" s="1"/>
  <c r="N395" i="16" s="1"/>
  <c r="O395" i="16" s="1"/>
  <c r="D395" i="16"/>
  <c r="U396" i="16"/>
  <c r="S396" i="16"/>
  <c r="R396" i="16"/>
  <c r="P396" i="16"/>
  <c r="L396" i="16"/>
  <c r="M396" i="16" s="1"/>
  <c r="N396" i="16" s="1"/>
  <c r="O396" i="16" s="1"/>
  <c r="D396" i="16"/>
  <c r="U397" i="16"/>
  <c r="S397" i="16"/>
  <c r="R397" i="16"/>
  <c r="P397" i="16"/>
  <c r="L397" i="16"/>
  <c r="M397" i="16" s="1"/>
  <c r="N397" i="16" s="1"/>
  <c r="O397" i="16" s="1"/>
  <c r="D397" i="16"/>
  <c r="U398" i="16"/>
  <c r="S398" i="16"/>
  <c r="R398" i="16"/>
  <c r="P398" i="16"/>
  <c r="L398" i="16"/>
  <c r="M398" i="16" s="1"/>
  <c r="N398" i="16" s="1"/>
  <c r="O398" i="16" s="1"/>
  <c r="D398" i="16"/>
  <c r="U399" i="16"/>
  <c r="S399" i="16"/>
  <c r="R399" i="16"/>
  <c r="P399" i="16"/>
  <c r="L399" i="16"/>
  <c r="M399" i="16" s="1"/>
  <c r="N399" i="16" s="1"/>
  <c r="O399" i="16" s="1"/>
  <c r="D399" i="16"/>
  <c r="U400" i="16"/>
  <c r="S400" i="16"/>
  <c r="R400" i="16"/>
  <c r="P400" i="16"/>
  <c r="L400" i="16"/>
  <c r="M400" i="16" s="1"/>
  <c r="N400" i="16" s="1"/>
  <c r="O400" i="16" s="1"/>
  <c r="D400" i="16"/>
  <c r="U401" i="16"/>
  <c r="S401" i="16"/>
  <c r="R401" i="16"/>
  <c r="P401" i="16"/>
  <c r="L401" i="16"/>
  <c r="M401" i="16" s="1"/>
  <c r="N401" i="16" s="1"/>
  <c r="O401" i="16" s="1"/>
  <c r="D401" i="16"/>
  <c r="U402" i="16"/>
  <c r="S402" i="16"/>
  <c r="R402" i="16"/>
  <c r="P402" i="16"/>
  <c r="L402" i="16"/>
  <c r="M402" i="16" s="1"/>
  <c r="N402" i="16" s="1"/>
  <c r="O402" i="16" s="1"/>
  <c r="D402" i="16"/>
  <c r="U403" i="16"/>
  <c r="S403" i="16"/>
  <c r="R403" i="16"/>
  <c r="P403" i="16"/>
  <c r="L403" i="16"/>
  <c r="M403" i="16" s="1"/>
  <c r="N403" i="16" s="1"/>
  <c r="O403" i="16" s="1"/>
  <c r="D403" i="16"/>
  <c r="U404" i="16"/>
  <c r="S404" i="16"/>
  <c r="R404" i="16"/>
  <c r="P404" i="16"/>
  <c r="L404" i="16"/>
  <c r="M404" i="16" s="1"/>
  <c r="N404" i="16" s="1"/>
  <c r="O404" i="16" s="1"/>
  <c r="D404" i="16"/>
  <c r="U405" i="16"/>
  <c r="S405" i="16"/>
  <c r="R405" i="16"/>
  <c r="P405" i="16"/>
  <c r="L405" i="16"/>
  <c r="M405" i="16" s="1"/>
  <c r="N405" i="16" s="1"/>
  <c r="O405" i="16" s="1"/>
  <c r="D405" i="16"/>
  <c r="U406" i="16"/>
  <c r="S406" i="16"/>
  <c r="R406" i="16"/>
  <c r="P406" i="16"/>
  <c r="L406" i="16"/>
  <c r="M406" i="16" s="1"/>
  <c r="N406" i="16" s="1"/>
  <c r="O406" i="16" s="1"/>
  <c r="D406" i="16"/>
  <c r="U407" i="16"/>
  <c r="S407" i="16"/>
  <c r="R407" i="16"/>
  <c r="P407" i="16"/>
  <c r="L407" i="16"/>
  <c r="M407" i="16" s="1"/>
  <c r="N407" i="16" s="1"/>
  <c r="O407" i="16" s="1"/>
  <c r="D407" i="16"/>
  <c r="U408" i="16"/>
  <c r="S408" i="16"/>
  <c r="R408" i="16"/>
  <c r="P408" i="16"/>
  <c r="L408" i="16"/>
  <c r="M408" i="16" s="1"/>
  <c r="N408" i="16" s="1"/>
  <c r="O408" i="16" s="1"/>
  <c r="D408" i="16"/>
  <c r="U409" i="16"/>
  <c r="S409" i="16"/>
  <c r="R409" i="16"/>
  <c r="P409" i="16"/>
  <c r="L409" i="16"/>
  <c r="M409" i="16" s="1"/>
  <c r="N409" i="16" s="1"/>
  <c r="O409" i="16" s="1"/>
  <c r="D409" i="16"/>
  <c r="U410" i="16"/>
  <c r="S410" i="16"/>
  <c r="R410" i="16"/>
  <c r="P410" i="16"/>
  <c r="L410" i="16"/>
  <c r="M410" i="16" s="1"/>
  <c r="N410" i="16" s="1"/>
  <c r="O410" i="16" s="1"/>
  <c r="D410" i="16"/>
  <c r="U411" i="16"/>
  <c r="S411" i="16"/>
  <c r="R411" i="16"/>
  <c r="P411" i="16"/>
  <c r="L411" i="16"/>
  <c r="M411" i="16" s="1"/>
  <c r="N411" i="16" s="1"/>
  <c r="O411" i="16" s="1"/>
  <c r="D411" i="16"/>
  <c r="U412" i="16"/>
  <c r="S412" i="16"/>
  <c r="R412" i="16"/>
  <c r="P412" i="16"/>
  <c r="L412" i="16"/>
  <c r="M412" i="16" s="1"/>
  <c r="N412" i="16" s="1"/>
  <c r="O412" i="16" s="1"/>
  <c r="D412" i="16"/>
  <c r="U413" i="16"/>
  <c r="S413" i="16"/>
  <c r="R413" i="16"/>
  <c r="P413" i="16"/>
  <c r="L413" i="16"/>
  <c r="M413" i="16" s="1"/>
  <c r="N413" i="16" s="1"/>
  <c r="O413" i="16" s="1"/>
  <c r="D413" i="16"/>
  <c r="U414" i="16"/>
  <c r="S414" i="16"/>
  <c r="R414" i="16"/>
  <c r="P414" i="16"/>
  <c r="L414" i="16"/>
  <c r="M414" i="16" s="1"/>
  <c r="N414" i="16" s="1"/>
  <c r="O414" i="16" s="1"/>
  <c r="D414" i="16"/>
  <c r="U415" i="16"/>
  <c r="S415" i="16"/>
  <c r="R415" i="16"/>
  <c r="P415" i="16"/>
  <c r="L415" i="16"/>
  <c r="M415" i="16" s="1"/>
  <c r="N415" i="16" s="1"/>
  <c r="O415" i="16" s="1"/>
  <c r="D415" i="16"/>
  <c r="U416" i="16"/>
  <c r="S416" i="16"/>
  <c r="R416" i="16"/>
  <c r="P416" i="16"/>
  <c r="L416" i="16"/>
  <c r="M416" i="16" s="1"/>
  <c r="N416" i="16" s="1"/>
  <c r="O416" i="16" s="1"/>
  <c r="D416" i="16"/>
  <c r="U417" i="16"/>
  <c r="S417" i="16"/>
  <c r="R417" i="16"/>
  <c r="P417" i="16"/>
  <c r="L417" i="16"/>
  <c r="M417" i="16" s="1"/>
  <c r="N417" i="16" s="1"/>
  <c r="O417" i="16" s="1"/>
  <c r="D417" i="16"/>
  <c r="U418" i="16"/>
  <c r="S418" i="16"/>
  <c r="R418" i="16"/>
  <c r="P418" i="16"/>
  <c r="L418" i="16"/>
  <c r="M418" i="16" s="1"/>
  <c r="N418" i="16" s="1"/>
  <c r="O418" i="16" s="1"/>
  <c r="D418" i="16"/>
  <c r="U419" i="16"/>
  <c r="S419" i="16"/>
  <c r="R419" i="16"/>
  <c r="P419" i="16"/>
  <c r="L419" i="16"/>
  <c r="M419" i="16" s="1"/>
  <c r="N419" i="16" s="1"/>
  <c r="O419" i="16" s="1"/>
  <c r="D419" i="16"/>
  <c r="U420" i="16"/>
  <c r="S420" i="16"/>
  <c r="R420" i="16"/>
  <c r="P420" i="16"/>
  <c r="L420" i="16"/>
  <c r="M420" i="16" s="1"/>
  <c r="N420" i="16" s="1"/>
  <c r="O420" i="16" s="1"/>
  <c r="D420" i="16"/>
  <c r="U421" i="16"/>
  <c r="S421" i="16"/>
  <c r="R421" i="16"/>
  <c r="P421" i="16"/>
  <c r="L421" i="16"/>
  <c r="M421" i="16" s="1"/>
  <c r="N421" i="16" s="1"/>
  <c r="O421" i="16" s="1"/>
  <c r="D421" i="16"/>
  <c r="U422" i="16"/>
  <c r="S422" i="16"/>
  <c r="R422" i="16"/>
  <c r="P422" i="16"/>
  <c r="L422" i="16"/>
  <c r="M422" i="16" s="1"/>
  <c r="N422" i="16" s="1"/>
  <c r="O422" i="16" s="1"/>
  <c r="D422" i="16"/>
  <c r="U423" i="16"/>
  <c r="S423" i="16"/>
  <c r="R423" i="16"/>
  <c r="P423" i="16"/>
  <c r="L423" i="16"/>
  <c r="M423" i="16" s="1"/>
  <c r="N423" i="16" s="1"/>
  <c r="O423" i="16" s="1"/>
  <c r="D423" i="16"/>
  <c r="U424" i="16"/>
  <c r="S424" i="16"/>
  <c r="R424" i="16"/>
  <c r="P424" i="16"/>
  <c r="L424" i="16"/>
  <c r="M424" i="16" s="1"/>
  <c r="N424" i="16" s="1"/>
  <c r="O424" i="16" s="1"/>
  <c r="D424" i="16"/>
  <c r="U425" i="16"/>
  <c r="S425" i="16"/>
  <c r="R425" i="16"/>
  <c r="P425" i="16"/>
  <c r="L425" i="16"/>
  <c r="M425" i="16" s="1"/>
  <c r="N425" i="16" s="1"/>
  <c r="O425" i="16" s="1"/>
  <c r="D425" i="16"/>
  <c r="U426" i="16"/>
  <c r="S426" i="16"/>
  <c r="R426" i="16"/>
  <c r="P426" i="16"/>
  <c r="L426" i="16"/>
  <c r="M426" i="16" s="1"/>
  <c r="N426" i="16" s="1"/>
  <c r="O426" i="16" s="1"/>
  <c r="D426" i="16"/>
  <c r="U427" i="16"/>
  <c r="S427" i="16"/>
  <c r="R427" i="16"/>
  <c r="P427" i="16"/>
  <c r="L427" i="16"/>
  <c r="M427" i="16" s="1"/>
  <c r="N427" i="16" s="1"/>
  <c r="O427" i="16" s="1"/>
  <c r="D427" i="16"/>
  <c r="U428" i="16"/>
  <c r="S428" i="16"/>
  <c r="R428" i="16"/>
  <c r="P428" i="16"/>
  <c r="L428" i="16"/>
  <c r="M428" i="16" s="1"/>
  <c r="N428" i="16" s="1"/>
  <c r="O428" i="16" s="1"/>
  <c r="D428" i="16"/>
  <c r="U429" i="16"/>
  <c r="S429" i="16"/>
  <c r="R429" i="16"/>
  <c r="P429" i="16"/>
  <c r="L429" i="16"/>
  <c r="M429" i="16" s="1"/>
  <c r="N429" i="16" s="1"/>
  <c r="O429" i="16" s="1"/>
  <c r="D429" i="16"/>
  <c r="U430" i="16"/>
  <c r="S430" i="16"/>
  <c r="R430" i="16"/>
  <c r="P430" i="16"/>
  <c r="L430" i="16"/>
  <c r="M430" i="16" s="1"/>
  <c r="N430" i="16" s="1"/>
  <c r="O430" i="16" s="1"/>
  <c r="D430" i="16"/>
  <c r="U431" i="16"/>
  <c r="S431" i="16"/>
  <c r="R431" i="16"/>
  <c r="P431" i="16"/>
  <c r="L431" i="16"/>
  <c r="M431" i="16" s="1"/>
  <c r="N431" i="16" s="1"/>
  <c r="O431" i="16" s="1"/>
  <c r="D431" i="16"/>
  <c r="U432" i="16"/>
  <c r="S432" i="16"/>
  <c r="R432" i="16"/>
  <c r="P432" i="16"/>
  <c r="L432" i="16"/>
  <c r="M432" i="16" s="1"/>
  <c r="N432" i="16" s="1"/>
  <c r="O432" i="16" s="1"/>
  <c r="D432" i="16"/>
  <c r="U433" i="16"/>
  <c r="S433" i="16"/>
  <c r="R433" i="16"/>
  <c r="P433" i="16"/>
  <c r="L433" i="16"/>
  <c r="M433" i="16" s="1"/>
  <c r="N433" i="16" s="1"/>
  <c r="O433" i="16" s="1"/>
  <c r="D433" i="16"/>
  <c r="U434" i="16"/>
  <c r="S434" i="16"/>
  <c r="R434" i="16"/>
  <c r="P434" i="16"/>
  <c r="L434" i="16"/>
  <c r="M434" i="16" s="1"/>
  <c r="N434" i="16" s="1"/>
  <c r="O434" i="16" s="1"/>
  <c r="D434" i="16"/>
  <c r="U435" i="16"/>
  <c r="S435" i="16"/>
  <c r="R435" i="16"/>
  <c r="P435" i="16"/>
  <c r="L435" i="16"/>
  <c r="M435" i="16" s="1"/>
  <c r="N435" i="16" s="1"/>
  <c r="O435" i="16" s="1"/>
  <c r="D435" i="16"/>
  <c r="U436" i="16"/>
  <c r="S436" i="16"/>
  <c r="R436" i="16"/>
  <c r="P436" i="16"/>
  <c r="L436" i="16"/>
  <c r="M436" i="16" s="1"/>
  <c r="N436" i="16" s="1"/>
  <c r="O436" i="16" s="1"/>
  <c r="D436" i="16"/>
  <c r="U437" i="16"/>
  <c r="S437" i="16"/>
  <c r="R437" i="16"/>
  <c r="P437" i="16"/>
  <c r="L437" i="16"/>
  <c r="M437" i="16" s="1"/>
  <c r="N437" i="16" s="1"/>
  <c r="O437" i="16" s="1"/>
  <c r="D437" i="16"/>
  <c r="U438" i="16"/>
  <c r="S438" i="16"/>
  <c r="R438" i="16"/>
  <c r="P438" i="16"/>
  <c r="L438" i="16"/>
  <c r="M438" i="16" s="1"/>
  <c r="N438" i="16" s="1"/>
  <c r="O438" i="16" s="1"/>
  <c r="D438" i="16"/>
  <c r="U439" i="16"/>
  <c r="S439" i="16"/>
  <c r="R439" i="16"/>
  <c r="P439" i="16"/>
  <c r="L439" i="16"/>
  <c r="M439" i="16" s="1"/>
  <c r="N439" i="16" s="1"/>
  <c r="O439" i="16" s="1"/>
  <c r="D439" i="16"/>
  <c r="U440" i="16"/>
  <c r="S440" i="16"/>
  <c r="R440" i="16"/>
  <c r="P440" i="16"/>
  <c r="L440" i="16"/>
  <c r="M440" i="16" s="1"/>
  <c r="N440" i="16" s="1"/>
  <c r="O440" i="16" s="1"/>
  <c r="D440" i="16"/>
  <c r="U441" i="16"/>
  <c r="S441" i="16"/>
  <c r="R441" i="16"/>
  <c r="P441" i="16"/>
  <c r="L441" i="16"/>
  <c r="M441" i="16" s="1"/>
  <c r="N441" i="16" s="1"/>
  <c r="O441" i="16" s="1"/>
  <c r="D441" i="16"/>
  <c r="U442" i="16"/>
  <c r="S442" i="16"/>
  <c r="R442" i="16"/>
  <c r="P442" i="16"/>
  <c r="L442" i="16"/>
  <c r="M442" i="16" s="1"/>
  <c r="N442" i="16" s="1"/>
  <c r="O442" i="16" s="1"/>
  <c r="D442" i="16"/>
  <c r="U443" i="16"/>
  <c r="S443" i="16"/>
  <c r="R443" i="16"/>
  <c r="P443" i="16"/>
  <c r="L443" i="16"/>
  <c r="M443" i="16" s="1"/>
  <c r="N443" i="16" s="1"/>
  <c r="O443" i="16" s="1"/>
  <c r="D443" i="16"/>
  <c r="U444" i="16"/>
  <c r="S444" i="16"/>
  <c r="R444" i="16"/>
  <c r="P444" i="16"/>
  <c r="L444" i="16"/>
  <c r="M444" i="16" s="1"/>
  <c r="N444" i="16" s="1"/>
  <c r="O444" i="16" s="1"/>
  <c r="D444" i="16"/>
  <c r="U445" i="16"/>
  <c r="S445" i="16"/>
  <c r="R445" i="16"/>
  <c r="P445" i="16"/>
  <c r="L445" i="16"/>
  <c r="M445" i="16" s="1"/>
  <c r="N445" i="16" s="1"/>
  <c r="O445" i="16" s="1"/>
  <c r="D445" i="16"/>
  <c r="U446" i="16"/>
  <c r="S446" i="16"/>
  <c r="R446" i="16"/>
  <c r="P446" i="16"/>
  <c r="L446" i="16"/>
  <c r="M446" i="16" s="1"/>
  <c r="N446" i="16" s="1"/>
  <c r="O446" i="16" s="1"/>
  <c r="D446" i="16"/>
  <c r="U447" i="16"/>
  <c r="S447" i="16"/>
  <c r="R447" i="16"/>
  <c r="P447" i="16"/>
  <c r="L447" i="16"/>
  <c r="M447" i="16" s="1"/>
  <c r="N447" i="16" s="1"/>
  <c r="O447" i="16" s="1"/>
  <c r="D447" i="16"/>
  <c r="U448" i="16"/>
  <c r="S448" i="16"/>
  <c r="R448" i="16"/>
  <c r="P448" i="16"/>
  <c r="L448" i="16"/>
  <c r="M448" i="16" s="1"/>
  <c r="N448" i="16" s="1"/>
  <c r="O448" i="16" s="1"/>
  <c r="D448" i="16"/>
  <c r="U449" i="16"/>
  <c r="S449" i="16"/>
  <c r="R449" i="16"/>
  <c r="P449" i="16"/>
  <c r="L449" i="16"/>
  <c r="M449" i="16" s="1"/>
  <c r="N449" i="16" s="1"/>
  <c r="O449" i="16" s="1"/>
  <c r="D449" i="16"/>
  <c r="U450" i="16"/>
  <c r="S450" i="16"/>
  <c r="R450" i="16"/>
  <c r="P450" i="16"/>
  <c r="L450" i="16"/>
  <c r="M450" i="16" s="1"/>
  <c r="N450" i="16" s="1"/>
  <c r="O450" i="16" s="1"/>
  <c r="D450" i="16"/>
  <c r="U451" i="16"/>
  <c r="S451" i="16"/>
  <c r="R451" i="16"/>
  <c r="P451" i="16"/>
  <c r="L451" i="16"/>
  <c r="M451" i="16" s="1"/>
  <c r="N451" i="16" s="1"/>
  <c r="O451" i="16" s="1"/>
  <c r="D451" i="16"/>
  <c r="U452" i="16"/>
  <c r="S452" i="16"/>
  <c r="R452" i="16"/>
  <c r="P452" i="16"/>
  <c r="L452" i="16"/>
  <c r="M452" i="16" s="1"/>
  <c r="N452" i="16" s="1"/>
  <c r="O452" i="16" s="1"/>
  <c r="D452" i="16"/>
  <c r="U453" i="16"/>
  <c r="S453" i="16"/>
  <c r="R453" i="16"/>
  <c r="P453" i="16"/>
  <c r="L453" i="16"/>
  <c r="M453" i="16" s="1"/>
  <c r="N453" i="16" s="1"/>
  <c r="O453" i="16" s="1"/>
  <c r="D453" i="16"/>
  <c r="U454" i="16"/>
  <c r="S454" i="16"/>
  <c r="R454" i="16"/>
  <c r="P454" i="16"/>
  <c r="L454" i="16"/>
  <c r="M454" i="16" s="1"/>
  <c r="N454" i="16" s="1"/>
  <c r="O454" i="16" s="1"/>
  <c r="D454" i="16"/>
  <c r="U455" i="16"/>
  <c r="S455" i="16"/>
  <c r="R455" i="16"/>
  <c r="P455" i="16"/>
  <c r="L455" i="16"/>
  <c r="M455" i="16" s="1"/>
  <c r="N455" i="16" s="1"/>
  <c r="O455" i="16" s="1"/>
  <c r="D455" i="16"/>
  <c r="U456" i="16"/>
  <c r="S456" i="16"/>
  <c r="R456" i="16"/>
  <c r="P456" i="16"/>
  <c r="L456" i="16"/>
  <c r="M456" i="16" s="1"/>
  <c r="N456" i="16" s="1"/>
  <c r="O456" i="16" s="1"/>
  <c r="D456" i="16"/>
  <c r="U457" i="16"/>
  <c r="S457" i="16"/>
  <c r="R457" i="16"/>
  <c r="P457" i="16"/>
  <c r="L457" i="16"/>
  <c r="M457" i="16" s="1"/>
  <c r="N457" i="16" s="1"/>
  <c r="O457" i="16" s="1"/>
  <c r="D457" i="16"/>
  <c r="U458" i="16"/>
  <c r="S458" i="16"/>
  <c r="R458" i="16"/>
  <c r="P458" i="16"/>
  <c r="L458" i="16"/>
  <c r="M458" i="16" s="1"/>
  <c r="N458" i="16" s="1"/>
  <c r="O458" i="16" s="1"/>
  <c r="D458" i="16"/>
  <c r="U459" i="16"/>
  <c r="S459" i="16"/>
  <c r="R459" i="16"/>
  <c r="P459" i="16"/>
  <c r="L459" i="16"/>
  <c r="M459" i="16" s="1"/>
  <c r="N459" i="16" s="1"/>
  <c r="O459" i="16" s="1"/>
  <c r="D459" i="16"/>
  <c r="U460" i="16"/>
  <c r="S460" i="16"/>
  <c r="R460" i="16"/>
  <c r="P460" i="16"/>
  <c r="L460" i="16"/>
  <c r="M460" i="16" s="1"/>
  <c r="N460" i="16" s="1"/>
  <c r="O460" i="16" s="1"/>
  <c r="D460" i="16"/>
  <c r="U461" i="16"/>
  <c r="S461" i="16"/>
  <c r="R461" i="16"/>
  <c r="P461" i="16"/>
  <c r="L461" i="16"/>
  <c r="M461" i="16" s="1"/>
  <c r="N461" i="16" s="1"/>
  <c r="O461" i="16" s="1"/>
  <c r="D461" i="16"/>
  <c r="U462" i="16"/>
  <c r="S462" i="16"/>
  <c r="R462" i="16"/>
  <c r="P462" i="16"/>
  <c r="L462" i="16"/>
  <c r="M462" i="16" s="1"/>
  <c r="N462" i="16" s="1"/>
  <c r="O462" i="16" s="1"/>
  <c r="D462" i="16"/>
  <c r="U463" i="16"/>
  <c r="S463" i="16"/>
  <c r="R463" i="16"/>
  <c r="P463" i="16"/>
  <c r="L463" i="16"/>
  <c r="M463" i="16" s="1"/>
  <c r="N463" i="16" s="1"/>
  <c r="O463" i="16" s="1"/>
  <c r="D463" i="16"/>
  <c r="U464" i="16"/>
  <c r="S464" i="16"/>
  <c r="R464" i="16"/>
  <c r="P464" i="16"/>
  <c r="L464" i="16"/>
  <c r="M464" i="16" s="1"/>
  <c r="N464" i="16" s="1"/>
  <c r="O464" i="16" s="1"/>
  <c r="D464" i="16"/>
  <c r="U465" i="16"/>
  <c r="S465" i="16"/>
  <c r="R465" i="16"/>
  <c r="P465" i="16"/>
  <c r="L465" i="16"/>
  <c r="M465" i="16" s="1"/>
  <c r="N465" i="16" s="1"/>
  <c r="O465" i="16" s="1"/>
  <c r="D465" i="16"/>
  <c r="U466" i="16"/>
  <c r="S466" i="16"/>
  <c r="R466" i="16"/>
  <c r="P466" i="16"/>
  <c r="L466" i="16"/>
  <c r="M466" i="16" s="1"/>
  <c r="N466" i="16" s="1"/>
  <c r="O466" i="16" s="1"/>
  <c r="D466" i="16"/>
  <c r="U467" i="16"/>
  <c r="S467" i="16"/>
  <c r="R467" i="16"/>
  <c r="P467" i="16"/>
  <c r="L467" i="16"/>
  <c r="M467" i="16" s="1"/>
  <c r="N467" i="16" s="1"/>
  <c r="O467" i="16" s="1"/>
  <c r="D467" i="16"/>
  <c r="U468" i="16"/>
  <c r="S468" i="16"/>
  <c r="R468" i="16"/>
  <c r="P468" i="16"/>
  <c r="L468" i="16"/>
  <c r="M468" i="16" s="1"/>
  <c r="N468" i="16" s="1"/>
  <c r="O468" i="16" s="1"/>
  <c r="D468" i="16"/>
  <c r="U469" i="16"/>
  <c r="S469" i="16"/>
  <c r="R469" i="16"/>
  <c r="P469" i="16"/>
  <c r="L469" i="16"/>
  <c r="M469" i="16" s="1"/>
  <c r="N469" i="16" s="1"/>
  <c r="O469" i="16" s="1"/>
  <c r="D469" i="16"/>
  <c r="U470" i="16"/>
  <c r="S470" i="16"/>
  <c r="R470" i="16"/>
  <c r="P470" i="16"/>
  <c r="L470" i="16"/>
  <c r="M470" i="16" s="1"/>
  <c r="N470" i="16" s="1"/>
  <c r="O470" i="16" s="1"/>
  <c r="D470" i="16"/>
  <c r="U471" i="16"/>
  <c r="S471" i="16"/>
  <c r="R471" i="16"/>
  <c r="P471" i="16"/>
  <c r="L471" i="16"/>
  <c r="M471" i="16" s="1"/>
  <c r="N471" i="16" s="1"/>
  <c r="O471" i="16" s="1"/>
  <c r="D471" i="16"/>
  <c r="U472" i="16"/>
  <c r="S472" i="16"/>
  <c r="R472" i="16"/>
  <c r="P472" i="16"/>
  <c r="L472" i="16"/>
  <c r="M472" i="16" s="1"/>
  <c r="N472" i="16" s="1"/>
  <c r="O472" i="16" s="1"/>
  <c r="D472" i="16"/>
  <c r="U473" i="16"/>
  <c r="S473" i="16"/>
  <c r="R473" i="16"/>
  <c r="P473" i="16"/>
  <c r="L473" i="16"/>
  <c r="M473" i="16" s="1"/>
  <c r="N473" i="16" s="1"/>
  <c r="O473" i="16" s="1"/>
  <c r="D473" i="16"/>
  <c r="U474" i="16"/>
  <c r="S474" i="16"/>
  <c r="R474" i="16"/>
  <c r="P474" i="16"/>
  <c r="L474" i="16"/>
  <c r="M474" i="16" s="1"/>
  <c r="N474" i="16" s="1"/>
  <c r="O474" i="16" s="1"/>
  <c r="D474" i="16"/>
  <c r="U475" i="16"/>
  <c r="S475" i="16"/>
  <c r="R475" i="16"/>
  <c r="P475" i="16"/>
  <c r="L475" i="16"/>
  <c r="M475" i="16" s="1"/>
  <c r="N475" i="16" s="1"/>
  <c r="O475" i="16" s="1"/>
  <c r="D475" i="16"/>
  <c r="U476" i="16"/>
  <c r="S476" i="16"/>
  <c r="R476" i="16"/>
  <c r="P476" i="16"/>
  <c r="L476" i="16"/>
  <c r="M476" i="16" s="1"/>
  <c r="N476" i="16" s="1"/>
  <c r="O476" i="16" s="1"/>
  <c r="D476" i="16"/>
  <c r="U477" i="16"/>
  <c r="S477" i="16"/>
  <c r="R477" i="16"/>
  <c r="P477" i="16"/>
  <c r="L477" i="16"/>
  <c r="M477" i="16" s="1"/>
  <c r="N477" i="16" s="1"/>
  <c r="O477" i="16" s="1"/>
  <c r="D477" i="16"/>
  <c r="U478" i="16"/>
  <c r="S478" i="16"/>
  <c r="R478" i="16"/>
  <c r="P478" i="16"/>
  <c r="L478" i="16"/>
  <c r="M478" i="16" s="1"/>
  <c r="N478" i="16" s="1"/>
  <c r="O478" i="16" s="1"/>
  <c r="D478" i="16"/>
  <c r="U479" i="16"/>
  <c r="S479" i="16"/>
  <c r="R479" i="16"/>
  <c r="P479" i="16"/>
  <c r="L479" i="16"/>
  <c r="M479" i="16" s="1"/>
  <c r="N479" i="16" s="1"/>
  <c r="O479" i="16" s="1"/>
  <c r="D479" i="16"/>
  <c r="U480" i="16"/>
  <c r="S480" i="16"/>
  <c r="R480" i="16"/>
  <c r="P480" i="16"/>
  <c r="L480" i="16"/>
  <c r="M480" i="16" s="1"/>
  <c r="N480" i="16" s="1"/>
  <c r="O480" i="16" s="1"/>
  <c r="D480" i="16"/>
  <c r="U481" i="16"/>
  <c r="S481" i="16"/>
  <c r="R481" i="16"/>
  <c r="P481" i="16"/>
  <c r="L481" i="16"/>
  <c r="M481" i="16" s="1"/>
  <c r="N481" i="16" s="1"/>
  <c r="O481" i="16" s="1"/>
  <c r="D481" i="16"/>
  <c r="U482" i="16"/>
  <c r="S482" i="16"/>
  <c r="R482" i="16"/>
  <c r="P482" i="16"/>
  <c r="L482" i="16"/>
  <c r="M482" i="16" s="1"/>
  <c r="N482" i="16" s="1"/>
  <c r="O482" i="16" s="1"/>
  <c r="D482" i="16"/>
  <c r="U483" i="16"/>
  <c r="S483" i="16"/>
  <c r="R483" i="16"/>
  <c r="P483" i="16"/>
  <c r="L483" i="16"/>
  <c r="M483" i="16" s="1"/>
  <c r="N483" i="16" s="1"/>
  <c r="O483" i="16" s="1"/>
  <c r="D483" i="16"/>
  <c r="U484" i="16"/>
  <c r="S484" i="16"/>
  <c r="R484" i="16"/>
  <c r="P484" i="16"/>
  <c r="L484" i="16"/>
  <c r="M484" i="16" s="1"/>
  <c r="N484" i="16" s="1"/>
  <c r="O484" i="16" s="1"/>
  <c r="D484" i="16"/>
  <c r="U485" i="16"/>
  <c r="S485" i="16"/>
  <c r="R485" i="16"/>
  <c r="P485" i="16"/>
  <c r="L485" i="16"/>
  <c r="M485" i="16" s="1"/>
  <c r="N485" i="16" s="1"/>
  <c r="O485" i="16" s="1"/>
  <c r="D485" i="16"/>
  <c r="U486" i="16"/>
  <c r="S486" i="16"/>
  <c r="R486" i="16"/>
  <c r="P486" i="16"/>
  <c r="L486" i="16"/>
  <c r="M486" i="16" s="1"/>
  <c r="N486" i="16" s="1"/>
  <c r="O486" i="16" s="1"/>
  <c r="D486" i="16"/>
  <c r="U487" i="16"/>
  <c r="S487" i="16"/>
  <c r="R487" i="16"/>
  <c r="P487" i="16"/>
  <c r="L487" i="16"/>
  <c r="M487" i="16" s="1"/>
  <c r="N487" i="16" s="1"/>
  <c r="O487" i="16" s="1"/>
  <c r="D487" i="16"/>
  <c r="U488" i="16"/>
  <c r="S488" i="16"/>
  <c r="R488" i="16"/>
  <c r="P488" i="16"/>
  <c r="L488" i="16"/>
  <c r="M488" i="16" s="1"/>
  <c r="N488" i="16" s="1"/>
  <c r="O488" i="16" s="1"/>
  <c r="D488" i="16"/>
  <c r="U489" i="16"/>
  <c r="S489" i="16"/>
  <c r="R489" i="16"/>
  <c r="P489" i="16"/>
  <c r="L489" i="16"/>
  <c r="M489" i="16" s="1"/>
  <c r="N489" i="16" s="1"/>
  <c r="O489" i="16" s="1"/>
  <c r="D489" i="16"/>
  <c r="U490" i="16"/>
  <c r="S490" i="16"/>
  <c r="R490" i="16"/>
  <c r="P490" i="16"/>
  <c r="L490" i="16"/>
  <c r="M490" i="16" s="1"/>
  <c r="N490" i="16" s="1"/>
  <c r="O490" i="16" s="1"/>
  <c r="D490" i="16"/>
  <c r="U491" i="16"/>
  <c r="S491" i="16"/>
  <c r="R491" i="16"/>
  <c r="P491" i="16"/>
  <c r="L491" i="16"/>
  <c r="M491" i="16" s="1"/>
  <c r="N491" i="16" s="1"/>
  <c r="O491" i="16" s="1"/>
  <c r="D491" i="16"/>
  <c r="U492" i="16"/>
  <c r="S492" i="16"/>
  <c r="R492" i="16"/>
  <c r="P492" i="16"/>
  <c r="L492" i="16"/>
  <c r="M492" i="16" s="1"/>
  <c r="N492" i="16" s="1"/>
  <c r="O492" i="16" s="1"/>
  <c r="D492" i="16"/>
  <c r="U493" i="16"/>
  <c r="S493" i="16"/>
  <c r="R493" i="16"/>
  <c r="P493" i="16"/>
  <c r="L493" i="16"/>
  <c r="M493" i="16" s="1"/>
  <c r="N493" i="16" s="1"/>
  <c r="O493" i="16" s="1"/>
  <c r="D493" i="16"/>
  <c r="U494" i="16"/>
  <c r="S494" i="16"/>
  <c r="R494" i="16"/>
  <c r="P494" i="16"/>
  <c r="L494" i="16"/>
  <c r="M494" i="16" s="1"/>
  <c r="N494" i="16" s="1"/>
  <c r="O494" i="16" s="1"/>
  <c r="D494" i="16"/>
  <c r="U495" i="16"/>
  <c r="S495" i="16"/>
  <c r="R495" i="16"/>
  <c r="P495" i="16"/>
  <c r="L495" i="16"/>
  <c r="M495" i="16" s="1"/>
  <c r="N495" i="16" s="1"/>
  <c r="O495" i="16" s="1"/>
  <c r="D495" i="16"/>
  <c r="U496" i="16"/>
  <c r="S496" i="16"/>
  <c r="R496" i="16"/>
  <c r="P496" i="16"/>
  <c r="L496" i="16"/>
  <c r="M496" i="16" s="1"/>
  <c r="N496" i="16" s="1"/>
  <c r="O496" i="16" s="1"/>
  <c r="D496" i="16"/>
  <c r="U497" i="16"/>
  <c r="S497" i="16"/>
  <c r="R497" i="16"/>
  <c r="P497" i="16"/>
  <c r="L497" i="16"/>
  <c r="M497" i="16" s="1"/>
  <c r="N497" i="16" s="1"/>
  <c r="O497" i="16" s="1"/>
  <c r="D497" i="16"/>
  <c r="U498" i="16"/>
  <c r="S498" i="16"/>
  <c r="R498" i="16"/>
  <c r="P498" i="16"/>
  <c r="L498" i="16"/>
  <c r="M498" i="16" s="1"/>
  <c r="N498" i="16" s="1"/>
  <c r="O498" i="16" s="1"/>
  <c r="D498" i="16"/>
  <c r="U499" i="16"/>
  <c r="S499" i="16"/>
  <c r="R499" i="16"/>
  <c r="P499" i="16"/>
  <c r="L499" i="16"/>
  <c r="M499" i="16" s="1"/>
  <c r="N499" i="16" s="1"/>
  <c r="O499" i="16" s="1"/>
  <c r="D499" i="16"/>
  <c r="U500" i="16"/>
  <c r="S500" i="16"/>
  <c r="R500" i="16"/>
  <c r="P500" i="16"/>
  <c r="L500" i="16"/>
  <c r="M500" i="16" s="1"/>
  <c r="N500" i="16" s="1"/>
  <c r="O500" i="16" s="1"/>
  <c r="D500" i="16"/>
  <c r="U501" i="16"/>
  <c r="S501" i="16"/>
  <c r="R501" i="16"/>
  <c r="P501" i="16"/>
  <c r="L501" i="16"/>
  <c r="M501" i="16" s="1"/>
  <c r="N501" i="16" s="1"/>
  <c r="O501" i="16" s="1"/>
  <c r="D501" i="16"/>
  <c r="U502" i="16"/>
  <c r="S502" i="16"/>
  <c r="R502" i="16"/>
  <c r="P502" i="16"/>
  <c r="L502" i="16"/>
  <c r="M502" i="16" s="1"/>
  <c r="N502" i="16" s="1"/>
  <c r="O502" i="16" s="1"/>
  <c r="D502" i="16"/>
  <c r="U503" i="16"/>
  <c r="S503" i="16"/>
  <c r="R503" i="16"/>
  <c r="P503" i="16"/>
  <c r="L503" i="16"/>
  <c r="M503" i="16" s="1"/>
  <c r="N503" i="16" s="1"/>
  <c r="O503" i="16" s="1"/>
  <c r="D503" i="16"/>
  <c r="U504" i="16"/>
  <c r="S504" i="16"/>
  <c r="R504" i="16"/>
  <c r="P504" i="16"/>
  <c r="L504" i="16"/>
  <c r="M504" i="16" s="1"/>
  <c r="N504" i="16" s="1"/>
  <c r="O504" i="16" s="1"/>
  <c r="D504" i="16"/>
  <c r="U505" i="16"/>
  <c r="S505" i="16"/>
  <c r="R505" i="16"/>
  <c r="P505" i="16"/>
  <c r="L505" i="16"/>
  <c r="M505" i="16" s="1"/>
  <c r="N505" i="16" s="1"/>
  <c r="O505" i="16" s="1"/>
  <c r="D505" i="16"/>
  <c r="U506" i="16"/>
  <c r="S506" i="16"/>
  <c r="R506" i="16"/>
  <c r="P506" i="16"/>
  <c r="L506" i="16"/>
  <c r="M506" i="16" s="1"/>
  <c r="N506" i="16" s="1"/>
  <c r="O506" i="16" s="1"/>
  <c r="D506" i="16"/>
  <c r="U507" i="16"/>
  <c r="S507" i="16"/>
  <c r="R507" i="16"/>
  <c r="P507" i="16"/>
  <c r="L507" i="16"/>
  <c r="M507" i="16" s="1"/>
  <c r="N507" i="16" s="1"/>
  <c r="O507" i="16" s="1"/>
  <c r="D507" i="16"/>
  <c r="U508" i="16"/>
  <c r="S508" i="16"/>
  <c r="R508" i="16"/>
  <c r="P508" i="16"/>
  <c r="L508" i="16"/>
  <c r="M508" i="16" s="1"/>
  <c r="N508" i="16" s="1"/>
  <c r="O508" i="16" s="1"/>
  <c r="D508" i="16"/>
  <c r="U509" i="16"/>
  <c r="S509" i="16"/>
  <c r="R509" i="16"/>
  <c r="P509" i="16"/>
  <c r="L509" i="16"/>
  <c r="M509" i="16" s="1"/>
  <c r="N509" i="16" s="1"/>
  <c r="O509" i="16" s="1"/>
  <c r="D509" i="16"/>
  <c r="U510" i="16"/>
  <c r="S510" i="16"/>
  <c r="R510" i="16"/>
  <c r="P510" i="16"/>
  <c r="L510" i="16"/>
  <c r="M510" i="16" s="1"/>
  <c r="N510" i="16" s="1"/>
  <c r="O510" i="16" s="1"/>
  <c r="D510" i="16"/>
  <c r="U511" i="16"/>
  <c r="S511" i="16"/>
  <c r="R511" i="16"/>
  <c r="P511" i="16"/>
  <c r="L511" i="16"/>
  <c r="M511" i="16" s="1"/>
  <c r="N511" i="16" s="1"/>
  <c r="O511" i="16" s="1"/>
  <c r="D511" i="16"/>
  <c r="U512" i="16"/>
  <c r="S512" i="16"/>
  <c r="R512" i="16"/>
  <c r="P512" i="16"/>
  <c r="L512" i="16"/>
  <c r="M512" i="16" s="1"/>
  <c r="N512" i="16" s="1"/>
  <c r="O512" i="16" s="1"/>
  <c r="D512" i="16"/>
  <c r="U513" i="16"/>
  <c r="S513" i="16"/>
  <c r="R513" i="16"/>
  <c r="P513" i="16"/>
  <c r="L513" i="16"/>
  <c r="M513" i="16" s="1"/>
  <c r="N513" i="16" s="1"/>
  <c r="O513" i="16" s="1"/>
  <c r="D513" i="16"/>
  <c r="U514" i="16"/>
  <c r="S514" i="16"/>
  <c r="R514" i="16"/>
  <c r="P514" i="16"/>
  <c r="L514" i="16"/>
  <c r="M514" i="16" s="1"/>
  <c r="N514" i="16" s="1"/>
  <c r="O514" i="16" s="1"/>
  <c r="D514" i="16"/>
  <c r="U515" i="16"/>
  <c r="S515" i="16"/>
  <c r="R515" i="16"/>
  <c r="P515" i="16"/>
  <c r="L515" i="16"/>
  <c r="M515" i="16" s="1"/>
  <c r="N515" i="16" s="1"/>
  <c r="O515" i="16" s="1"/>
  <c r="D515" i="16"/>
  <c r="U516" i="16"/>
  <c r="S516" i="16"/>
  <c r="R516" i="16"/>
  <c r="P516" i="16"/>
  <c r="L516" i="16"/>
  <c r="M516" i="16" s="1"/>
  <c r="N516" i="16" s="1"/>
  <c r="O516" i="16" s="1"/>
  <c r="D516" i="16"/>
  <c r="U517" i="16"/>
  <c r="S517" i="16"/>
  <c r="R517" i="16"/>
  <c r="P517" i="16"/>
  <c r="L517" i="16"/>
  <c r="M517" i="16" s="1"/>
  <c r="N517" i="16" s="1"/>
  <c r="O517" i="16" s="1"/>
  <c r="D517" i="16"/>
  <c r="U518" i="16"/>
  <c r="S518" i="16"/>
  <c r="R518" i="16"/>
  <c r="P518" i="16"/>
  <c r="L518" i="16"/>
  <c r="M518" i="16" s="1"/>
  <c r="N518" i="16" s="1"/>
  <c r="O518" i="16" s="1"/>
  <c r="D518" i="16"/>
  <c r="U519" i="16"/>
  <c r="S519" i="16"/>
  <c r="R519" i="16"/>
  <c r="P519" i="16"/>
  <c r="L519" i="16"/>
  <c r="M519" i="16" s="1"/>
  <c r="N519" i="16" s="1"/>
  <c r="O519" i="16" s="1"/>
  <c r="D519" i="16"/>
  <c r="U520" i="16"/>
  <c r="S520" i="16"/>
  <c r="R520" i="16"/>
  <c r="P520" i="16"/>
  <c r="L520" i="16"/>
  <c r="M520" i="16" s="1"/>
  <c r="N520" i="16" s="1"/>
  <c r="O520" i="16" s="1"/>
  <c r="D520" i="16"/>
  <c r="U521" i="16"/>
  <c r="S521" i="16"/>
  <c r="R521" i="16"/>
  <c r="P521" i="16"/>
  <c r="L521" i="16"/>
  <c r="M521" i="16" s="1"/>
  <c r="N521" i="16" s="1"/>
  <c r="O521" i="16" s="1"/>
  <c r="D521" i="16"/>
  <c r="U522" i="16"/>
  <c r="S522" i="16"/>
  <c r="R522" i="16"/>
  <c r="P522" i="16"/>
  <c r="L522" i="16"/>
  <c r="M522" i="16" s="1"/>
  <c r="N522" i="16" s="1"/>
  <c r="O522" i="16" s="1"/>
  <c r="D522" i="16"/>
  <c r="U523" i="16"/>
  <c r="S523" i="16"/>
  <c r="R523" i="16"/>
  <c r="P523" i="16"/>
  <c r="L523" i="16"/>
  <c r="M523" i="16" s="1"/>
  <c r="N523" i="16" s="1"/>
  <c r="O523" i="16" s="1"/>
  <c r="D523" i="16"/>
  <c r="U524" i="16"/>
  <c r="S524" i="16"/>
  <c r="R524" i="16"/>
  <c r="P524" i="16"/>
  <c r="L524" i="16"/>
  <c r="M524" i="16" s="1"/>
  <c r="N524" i="16" s="1"/>
  <c r="O524" i="16" s="1"/>
  <c r="D524" i="16"/>
  <c r="U525" i="16"/>
  <c r="S525" i="16"/>
  <c r="R525" i="16"/>
  <c r="P525" i="16"/>
  <c r="L525" i="16"/>
  <c r="M525" i="16" s="1"/>
  <c r="N525" i="16" s="1"/>
  <c r="O525" i="16" s="1"/>
  <c r="D525" i="16"/>
  <c r="U526" i="16"/>
  <c r="S526" i="16"/>
  <c r="R526" i="16"/>
  <c r="P526" i="16"/>
  <c r="L526" i="16"/>
  <c r="M526" i="16" s="1"/>
  <c r="N526" i="16" s="1"/>
  <c r="O526" i="16" s="1"/>
  <c r="D526" i="16"/>
  <c r="U527" i="16"/>
  <c r="S527" i="16"/>
  <c r="R527" i="16"/>
  <c r="P527" i="16"/>
  <c r="L527" i="16"/>
  <c r="M527" i="16" s="1"/>
  <c r="N527" i="16" s="1"/>
  <c r="O527" i="16" s="1"/>
  <c r="D527" i="16"/>
  <c r="U528" i="16"/>
  <c r="S528" i="16"/>
  <c r="R528" i="16"/>
  <c r="P528" i="16"/>
  <c r="L528" i="16"/>
  <c r="M528" i="16" s="1"/>
  <c r="N528" i="16" s="1"/>
  <c r="O528" i="16" s="1"/>
  <c r="D528" i="16"/>
  <c r="U529" i="16"/>
  <c r="S529" i="16"/>
  <c r="R529" i="16"/>
  <c r="P529" i="16"/>
  <c r="L529" i="16"/>
  <c r="M529" i="16" s="1"/>
  <c r="N529" i="16" s="1"/>
  <c r="O529" i="16" s="1"/>
  <c r="D529" i="16"/>
  <c r="U530" i="16"/>
  <c r="S530" i="16"/>
  <c r="R530" i="16"/>
  <c r="P530" i="16"/>
  <c r="L530" i="16"/>
  <c r="M530" i="16" s="1"/>
  <c r="N530" i="16" s="1"/>
  <c r="O530" i="16" s="1"/>
  <c r="D530" i="16"/>
  <c r="U531" i="16"/>
  <c r="S531" i="16"/>
  <c r="R531" i="16"/>
  <c r="P531" i="16"/>
  <c r="L531" i="16"/>
  <c r="M531" i="16" s="1"/>
  <c r="N531" i="16" s="1"/>
  <c r="O531" i="16" s="1"/>
  <c r="D531" i="16"/>
  <c r="U532" i="16"/>
  <c r="S532" i="16"/>
  <c r="R532" i="16"/>
  <c r="P532" i="16"/>
  <c r="L532" i="16"/>
  <c r="M532" i="16" s="1"/>
  <c r="N532" i="16" s="1"/>
  <c r="O532" i="16" s="1"/>
  <c r="D532" i="16"/>
  <c r="U533" i="16"/>
  <c r="S533" i="16"/>
  <c r="R533" i="16"/>
  <c r="P533" i="16"/>
  <c r="L533" i="16"/>
  <c r="M533" i="16" s="1"/>
  <c r="N533" i="16" s="1"/>
  <c r="O533" i="16" s="1"/>
  <c r="D533" i="16"/>
  <c r="U534" i="16"/>
  <c r="S534" i="16"/>
  <c r="R534" i="16"/>
  <c r="P534" i="16"/>
  <c r="L534" i="16"/>
  <c r="M534" i="16" s="1"/>
  <c r="N534" i="16" s="1"/>
  <c r="O534" i="16" s="1"/>
  <c r="D534" i="16"/>
  <c r="U535" i="16"/>
  <c r="S535" i="16"/>
  <c r="R535" i="16"/>
  <c r="P535" i="16"/>
  <c r="L535" i="16"/>
  <c r="M535" i="16" s="1"/>
  <c r="N535" i="16" s="1"/>
  <c r="O535" i="16" s="1"/>
  <c r="D535" i="16"/>
  <c r="U536" i="16"/>
  <c r="S536" i="16"/>
  <c r="R536" i="16"/>
  <c r="P536" i="16"/>
  <c r="L536" i="16"/>
  <c r="M536" i="16" s="1"/>
  <c r="N536" i="16" s="1"/>
  <c r="O536" i="16" s="1"/>
  <c r="D536" i="16"/>
  <c r="U537" i="16"/>
  <c r="S537" i="16"/>
  <c r="R537" i="16"/>
  <c r="P537" i="16"/>
  <c r="L537" i="16"/>
  <c r="M537" i="16" s="1"/>
  <c r="N537" i="16" s="1"/>
  <c r="O537" i="16" s="1"/>
  <c r="D537" i="16"/>
  <c r="U538" i="16"/>
  <c r="S538" i="16"/>
  <c r="R538" i="16"/>
  <c r="P538" i="16"/>
  <c r="L538" i="16"/>
  <c r="M538" i="16" s="1"/>
  <c r="N538" i="16" s="1"/>
  <c r="O538" i="16" s="1"/>
  <c r="D538" i="16"/>
  <c r="U539" i="16"/>
  <c r="S539" i="16"/>
  <c r="R539" i="16"/>
  <c r="P539" i="16"/>
  <c r="L539" i="16"/>
  <c r="M539" i="16" s="1"/>
  <c r="N539" i="16" s="1"/>
  <c r="O539" i="16" s="1"/>
  <c r="D539" i="16"/>
  <c r="U540" i="16"/>
  <c r="S540" i="16"/>
  <c r="R540" i="16"/>
  <c r="P540" i="16"/>
  <c r="L540" i="16"/>
  <c r="M540" i="16" s="1"/>
  <c r="N540" i="16" s="1"/>
  <c r="O540" i="16" s="1"/>
  <c r="D540" i="16"/>
  <c r="U541" i="16"/>
  <c r="S541" i="16"/>
  <c r="R541" i="16"/>
  <c r="P541" i="16"/>
  <c r="L541" i="16"/>
  <c r="M541" i="16" s="1"/>
  <c r="N541" i="16" s="1"/>
  <c r="O541" i="16" s="1"/>
  <c r="D541" i="16"/>
  <c r="U542" i="16"/>
  <c r="S542" i="16"/>
  <c r="R542" i="16"/>
  <c r="P542" i="16"/>
  <c r="L542" i="16"/>
  <c r="M542" i="16" s="1"/>
  <c r="N542" i="16" s="1"/>
  <c r="O542" i="16" s="1"/>
  <c r="D542" i="16"/>
  <c r="U543" i="16"/>
  <c r="S543" i="16"/>
  <c r="R543" i="16"/>
  <c r="P543" i="16"/>
  <c r="L543" i="16"/>
  <c r="M543" i="16" s="1"/>
  <c r="N543" i="16" s="1"/>
  <c r="O543" i="16" s="1"/>
  <c r="D543" i="16"/>
  <c r="U544" i="16"/>
  <c r="S544" i="16"/>
  <c r="R544" i="16"/>
  <c r="P544" i="16"/>
  <c r="L544" i="16"/>
  <c r="M544" i="16" s="1"/>
  <c r="N544" i="16" s="1"/>
  <c r="O544" i="16" s="1"/>
  <c r="D544" i="16"/>
  <c r="U545" i="16"/>
  <c r="S545" i="16"/>
  <c r="R545" i="16"/>
  <c r="P545" i="16"/>
  <c r="L545" i="16"/>
  <c r="M545" i="16" s="1"/>
  <c r="N545" i="16" s="1"/>
  <c r="O545" i="16" s="1"/>
  <c r="D545" i="16"/>
  <c r="U546" i="16"/>
  <c r="S546" i="16"/>
  <c r="R546" i="16"/>
  <c r="P546" i="16"/>
  <c r="L546" i="16"/>
  <c r="M546" i="16" s="1"/>
  <c r="N546" i="16" s="1"/>
  <c r="O546" i="16" s="1"/>
  <c r="D546" i="16"/>
  <c r="U547" i="16"/>
  <c r="S547" i="16"/>
  <c r="R547" i="16"/>
  <c r="P547" i="16"/>
  <c r="L547" i="16"/>
  <c r="M547" i="16" s="1"/>
  <c r="N547" i="16" s="1"/>
  <c r="O547" i="16" s="1"/>
  <c r="D547" i="16"/>
  <c r="U548" i="16"/>
  <c r="S548" i="16"/>
  <c r="R548" i="16"/>
  <c r="P548" i="16"/>
  <c r="L548" i="16"/>
  <c r="M548" i="16" s="1"/>
  <c r="N548" i="16" s="1"/>
  <c r="O548" i="16" s="1"/>
  <c r="D548" i="16"/>
  <c r="U549" i="16"/>
  <c r="S549" i="16"/>
  <c r="R549" i="16"/>
  <c r="P549" i="16"/>
  <c r="L549" i="16"/>
  <c r="M549" i="16" s="1"/>
  <c r="N549" i="16" s="1"/>
  <c r="O549" i="16" s="1"/>
  <c r="D549" i="16"/>
  <c r="U550" i="16"/>
  <c r="S550" i="16"/>
  <c r="R550" i="16"/>
  <c r="P550" i="16"/>
  <c r="L550" i="16"/>
  <c r="M550" i="16" s="1"/>
  <c r="N550" i="16" s="1"/>
  <c r="O550" i="16" s="1"/>
  <c r="D550" i="16"/>
  <c r="U551" i="16"/>
  <c r="S551" i="16"/>
  <c r="R551" i="16"/>
  <c r="P551" i="16"/>
  <c r="L551" i="16"/>
  <c r="M551" i="16" s="1"/>
  <c r="N551" i="16" s="1"/>
  <c r="O551" i="16" s="1"/>
  <c r="D551" i="16"/>
  <c r="U552" i="16"/>
  <c r="S552" i="16"/>
  <c r="R552" i="16"/>
  <c r="P552" i="16"/>
  <c r="L552" i="16"/>
  <c r="M552" i="16" s="1"/>
  <c r="N552" i="16" s="1"/>
  <c r="O552" i="16" s="1"/>
  <c r="D552" i="16"/>
  <c r="U553" i="16"/>
  <c r="S553" i="16"/>
  <c r="R553" i="16"/>
  <c r="P553" i="16"/>
  <c r="L553" i="16"/>
  <c r="M553" i="16" s="1"/>
  <c r="N553" i="16" s="1"/>
  <c r="O553" i="16" s="1"/>
  <c r="D553" i="16"/>
  <c r="U554" i="16"/>
  <c r="S554" i="16"/>
  <c r="R554" i="16"/>
  <c r="P554" i="16"/>
  <c r="L554" i="16"/>
  <c r="M554" i="16" s="1"/>
  <c r="N554" i="16" s="1"/>
  <c r="O554" i="16" s="1"/>
  <c r="D554" i="16"/>
  <c r="U555" i="16"/>
  <c r="S555" i="16"/>
  <c r="R555" i="16"/>
  <c r="P555" i="16"/>
  <c r="L555" i="16"/>
  <c r="M555" i="16" s="1"/>
  <c r="N555" i="16" s="1"/>
  <c r="O555" i="16" s="1"/>
  <c r="D555" i="16"/>
  <c r="U556" i="16"/>
  <c r="S556" i="16"/>
  <c r="R556" i="16"/>
  <c r="P556" i="16"/>
  <c r="L556" i="16"/>
  <c r="M556" i="16" s="1"/>
  <c r="N556" i="16" s="1"/>
  <c r="O556" i="16" s="1"/>
  <c r="D556" i="16"/>
  <c r="U557" i="16"/>
  <c r="S557" i="16"/>
  <c r="R557" i="16"/>
  <c r="P557" i="16"/>
  <c r="L557" i="16"/>
  <c r="M557" i="16" s="1"/>
  <c r="N557" i="16" s="1"/>
  <c r="O557" i="16" s="1"/>
  <c r="D557" i="16"/>
  <c r="U558" i="16"/>
  <c r="S558" i="16"/>
  <c r="R558" i="16"/>
  <c r="P558" i="16"/>
  <c r="L558" i="16"/>
  <c r="M558" i="16" s="1"/>
  <c r="N558" i="16" s="1"/>
  <c r="O558" i="16" s="1"/>
  <c r="D558" i="16"/>
  <c r="U559" i="16"/>
  <c r="S559" i="16"/>
  <c r="R559" i="16"/>
  <c r="P559" i="16"/>
  <c r="L559" i="16"/>
  <c r="M559" i="16" s="1"/>
  <c r="N559" i="16" s="1"/>
  <c r="O559" i="16" s="1"/>
  <c r="D559" i="16"/>
  <c r="U560" i="16"/>
  <c r="S560" i="16"/>
  <c r="R560" i="16"/>
  <c r="P560" i="16"/>
  <c r="L560" i="16"/>
  <c r="M560" i="16" s="1"/>
  <c r="N560" i="16" s="1"/>
  <c r="O560" i="16" s="1"/>
  <c r="D560" i="16"/>
  <c r="U561" i="16"/>
  <c r="S561" i="16"/>
  <c r="R561" i="16"/>
  <c r="P561" i="16"/>
  <c r="L561" i="16"/>
  <c r="M561" i="16" s="1"/>
  <c r="N561" i="16" s="1"/>
  <c r="O561" i="16" s="1"/>
  <c r="D561" i="16"/>
  <c r="U562" i="16"/>
  <c r="S562" i="16"/>
  <c r="R562" i="16"/>
  <c r="P562" i="16"/>
  <c r="L562" i="16"/>
  <c r="M562" i="16" s="1"/>
  <c r="N562" i="16" s="1"/>
  <c r="O562" i="16" s="1"/>
  <c r="D562" i="16"/>
  <c r="U563" i="16"/>
  <c r="S563" i="16"/>
  <c r="R563" i="16"/>
  <c r="P563" i="16"/>
  <c r="L563" i="16"/>
  <c r="M563" i="16" s="1"/>
  <c r="N563" i="16" s="1"/>
  <c r="O563" i="16" s="1"/>
  <c r="D563" i="16"/>
  <c r="U564" i="16"/>
  <c r="S564" i="16"/>
  <c r="R564" i="16"/>
  <c r="P564" i="16"/>
  <c r="L564" i="16"/>
  <c r="M564" i="16" s="1"/>
  <c r="N564" i="16" s="1"/>
  <c r="O564" i="16" s="1"/>
  <c r="D564" i="16"/>
  <c r="U565" i="16"/>
  <c r="S565" i="16"/>
  <c r="R565" i="16"/>
  <c r="P565" i="16"/>
  <c r="L565" i="16"/>
  <c r="M565" i="16" s="1"/>
  <c r="N565" i="16" s="1"/>
  <c r="O565" i="16" s="1"/>
  <c r="D565" i="16"/>
  <c r="U566" i="16"/>
  <c r="S566" i="16"/>
  <c r="R566" i="16"/>
  <c r="P566" i="16"/>
  <c r="L566" i="16"/>
  <c r="M566" i="16" s="1"/>
  <c r="N566" i="16" s="1"/>
  <c r="O566" i="16" s="1"/>
  <c r="D566" i="16"/>
  <c r="U567" i="16"/>
  <c r="S567" i="16"/>
  <c r="R567" i="16"/>
  <c r="P567" i="16"/>
  <c r="L567" i="16"/>
  <c r="M567" i="16" s="1"/>
  <c r="N567" i="16" s="1"/>
  <c r="O567" i="16" s="1"/>
  <c r="D567" i="16"/>
  <c r="U568" i="16"/>
  <c r="S568" i="16"/>
  <c r="R568" i="16"/>
  <c r="P568" i="16"/>
  <c r="L568" i="16"/>
  <c r="M568" i="16" s="1"/>
  <c r="N568" i="16" s="1"/>
  <c r="O568" i="16" s="1"/>
  <c r="D568" i="16"/>
  <c r="U569" i="16"/>
  <c r="S569" i="16"/>
  <c r="R569" i="16"/>
  <c r="P569" i="16"/>
  <c r="L569" i="16"/>
  <c r="M569" i="16" s="1"/>
  <c r="N569" i="16" s="1"/>
  <c r="O569" i="16" s="1"/>
  <c r="D569" i="16"/>
  <c r="U570" i="16"/>
  <c r="S570" i="16"/>
  <c r="R570" i="16"/>
  <c r="P570" i="16"/>
  <c r="L570" i="16"/>
  <c r="M570" i="16" s="1"/>
  <c r="N570" i="16" s="1"/>
  <c r="O570" i="16" s="1"/>
  <c r="D570" i="16"/>
  <c r="U571" i="16"/>
  <c r="S571" i="16"/>
  <c r="R571" i="16"/>
  <c r="P571" i="16"/>
  <c r="L571" i="16"/>
  <c r="M571" i="16" s="1"/>
  <c r="N571" i="16" s="1"/>
  <c r="O571" i="16" s="1"/>
  <c r="D571" i="16"/>
  <c r="U572" i="16"/>
  <c r="S572" i="16"/>
  <c r="R572" i="16"/>
  <c r="P572" i="16"/>
  <c r="L572" i="16"/>
  <c r="M572" i="16" s="1"/>
  <c r="N572" i="16" s="1"/>
  <c r="O572" i="16" s="1"/>
  <c r="D572" i="16"/>
  <c r="U573" i="16"/>
  <c r="S573" i="16"/>
  <c r="R573" i="16"/>
  <c r="P573" i="16"/>
  <c r="L573" i="16"/>
  <c r="M573" i="16" s="1"/>
  <c r="N573" i="16" s="1"/>
  <c r="O573" i="16" s="1"/>
  <c r="D573" i="16"/>
  <c r="U574" i="16"/>
  <c r="S574" i="16"/>
  <c r="R574" i="16"/>
  <c r="P574" i="16"/>
  <c r="L574" i="16"/>
  <c r="M574" i="16" s="1"/>
  <c r="N574" i="16" s="1"/>
  <c r="O574" i="16" s="1"/>
  <c r="D574" i="16"/>
  <c r="U575" i="16"/>
  <c r="S575" i="16"/>
  <c r="R575" i="16"/>
  <c r="P575" i="16"/>
  <c r="L575" i="16"/>
  <c r="M575" i="16" s="1"/>
  <c r="N575" i="16" s="1"/>
  <c r="O575" i="16" s="1"/>
  <c r="D575" i="16"/>
  <c r="U576" i="16"/>
  <c r="S576" i="16"/>
  <c r="R576" i="16"/>
  <c r="P576" i="16"/>
  <c r="L576" i="16"/>
  <c r="M576" i="16" s="1"/>
  <c r="N576" i="16" s="1"/>
  <c r="O576" i="16" s="1"/>
  <c r="D576" i="16"/>
  <c r="U577" i="16"/>
  <c r="S577" i="16"/>
  <c r="R577" i="16"/>
  <c r="P577" i="16"/>
  <c r="L577" i="16"/>
  <c r="M577" i="16" s="1"/>
  <c r="N577" i="16" s="1"/>
  <c r="O577" i="16" s="1"/>
  <c r="D577" i="16"/>
  <c r="U578" i="16"/>
  <c r="S578" i="16"/>
  <c r="R578" i="16"/>
  <c r="P578" i="16"/>
  <c r="L578" i="16"/>
  <c r="M578" i="16" s="1"/>
  <c r="N578" i="16" s="1"/>
  <c r="O578" i="16" s="1"/>
  <c r="D578" i="16"/>
  <c r="U579" i="16"/>
  <c r="S579" i="16"/>
  <c r="R579" i="16"/>
  <c r="P579" i="16"/>
  <c r="L579" i="16"/>
  <c r="M579" i="16" s="1"/>
  <c r="N579" i="16" s="1"/>
  <c r="O579" i="16" s="1"/>
  <c r="D579" i="16"/>
  <c r="U580" i="16"/>
  <c r="S580" i="16"/>
  <c r="R580" i="16"/>
  <c r="P580" i="16"/>
  <c r="L580" i="16"/>
  <c r="M580" i="16" s="1"/>
  <c r="N580" i="16" s="1"/>
  <c r="O580" i="16" s="1"/>
  <c r="D580" i="16"/>
  <c r="U581" i="16"/>
  <c r="S581" i="16"/>
  <c r="R581" i="16"/>
  <c r="P581" i="16"/>
  <c r="L581" i="16"/>
  <c r="M581" i="16" s="1"/>
  <c r="N581" i="16" s="1"/>
  <c r="O581" i="16" s="1"/>
  <c r="D581" i="16"/>
  <c r="U582" i="16"/>
  <c r="S582" i="16"/>
  <c r="R582" i="16"/>
  <c r="P582" i="16"/>
  <c r="L582" i="16"/>
  <c r="M582" i="16" s="1"/>
  <c r="N582" i="16" s="1"/>
  <c r="O582" i="16" s="1"/>
  <c r="D582" i="16"/>
  <c r="U583" i="16"/>
  <c r="S583" i="16"/>
  <c r="R583" i="16"/>
  <c r="P583" i="16"/>
  <c r="L583" i="16"/>
  <c r="M583" i="16" s="1"/>
  <c r="N583" i="16" s="1"/>
  <c r="O583" i="16" s="1"/>
  <c r="D583" i="16"/>
  <c r="U584" i="16"/>
  <c r="S584" i="16"/>
  <c r="R584" i="16"/>
  <c r="P584" i="16"/>
  <c r="L584" i="16"/>
  <c r="M584" i="16" s="1"/>
  <c r="N584" i="16" s="1"/>
  <c r="O584" i="16" s="1"/>
  <c r="D584" i="16"/>
  <c r="U585" i="16"/>
  <c r="S585" i="16"/>
  <c r="R585" i="16"/>
  <c r="P585" i="16"/>
  <c r="L585" i="16"/>
  <c r="M585" i="16" s="1"/>
  <c r="N585" i="16" s="1"/>
  <c r="O585" i="16" s="1"/>
  <c r="D585" i="16"/>
  <c r="U586" i="16"/>
  <c r="S586" i="16"/>
  <c r="R586" i="16"/>
  <c r="P586" i="16"/>
  <c r="L586" i="16"/>
  <c r="M586" i="16" s="1"/>
  <c r="N586" i="16" s="1"/>
  <c r="O586" i="16" s="1"/>
  <c r="D586" i="16"/>
  <c r="U587" i="16"/>
  <c r="S587" i="16"/>
  <c r="R587" i="16"/>
  <c r="P587" i="16"/>
  <c r="L587" i="16"/>
  <c r="M587" i="16" s="1"/>
  <c r="N587" i="16" s="1"/>
  <c r="O587" i="16" s="1"/>
  <c r="D587" i="16"/>
  <c r="U588" i="16"/>
  <c r="S588" i="16"/>
  <c r="R588" i="16"/>
  <c r="P588" i="16"/>
  <c r="L588" i="16"/>
  <c r="M588" i="16" s="1"/>
  <c r="N588" i="16" s="1"/>
  <c r="O588" i="16" s="1"/>
  <c r="D588" i="16"/>
  <c r="U589" i="16"/>
  <c r="S589" i="16"/>
  <c r="R589" i="16"/>
  <c r="P589" i="16"/>
  <c r="L589" i="16"/>
  <c r="M589" i="16" s="1"/>
  <c r="N589" i="16" s="1"/>
  <c r="O589" i="16" s="1"/>
  <c r="D589" i="16"/>
  <c r="U590" i="16"/>
  <c r="S590" i="16"/>
  <c r="R590" i="16"/>
  <c r="P590" i="16"/>
  <c r="L590" i="16"/>
  <c r="M590" i="16" s="1"/>
  <c r="N590" i="16" s="1"/>
  <c r="O590" i="16" s="1"/>
  <c r="D590" i="16"/>
  <c r="U591" i="16"/>
  <c r="S591" i="16"/>
  <c r="R591" i="16"/>
  <c r="P591" i="16"/>
  <c r="L591" i="16"/>
  <c r="M591" i="16" s="1"/>
  <c r="N591" i="16" s="1"/>
  <c r="O591" i="16" s="1"/>
  <c r="D591" i="16"/>
  <c r="U592" i="16"/>
  <c r="S592" i="16"/>
  <c r="R592" i="16"/>
  <c r="P592" i="16"/>
  <c r="L592" i="16"/>
  <c r="M592" i="16" s="1"/>
  <c r="N592" i="16" s="1"/>
  <c r="O592" i="16" s="1"/>
  <c r="D592" i="16"/>
  <c r="U593" i="16"/>
  <c r="S593" i="16"/>
  <c r="R593" i="16"/>
  <c r="P593" i="16"/>
  <c r="L593" i="16"/>
  <c r="M593" i="16" s="1"/>
  <c r="N593" i="16" s="1"/>
  <c r="O593" i="16" s="1"/>
  <c r="D593" i="16"/>
  <c r="U594" i="16"/>
  <c r="S594" i="16"/>
  <c r="R594" i="16"/>
  <c r="P594" i="16"/>
  <c r="L594" i="16"/>
  <c r="M594" i="16" s="1"/>
  <c r="N594" i="16" s="1"/>
  <c r="O594" i="16" s="1"/>
  <c r="D594" i="16"/>
  <c r="U595" i="16"/>
  <c r="S595" i="16"/>
  <c r="R595" i="16"/>
  <c r="P595" i="16"/>
  <c r="L595" i="16"/>
  <c r="M595" i="16" s="1"/>
  <c r="N595" i="16" s="1"/>
  <c r="O595" i="16" s="1"/>
  <c r="D595" i="16"/>
  <c r="U596" i="16"/>
  <c r="S596" i="16"/>
  <c r="R596" i="16"/>
  <c r="P596" i="16"/>
  <c r="L596" i="16"/>
  <c r="M596" i="16" s="1"/>
  <c r="N596" i="16" s="1"/>
  <c r="O596" i="16" s="1"/>
  <c r="D596" i="16"/>
  <c r="U597" i="16"/>
  <c r="S597" i="16"/>
  <c r="R597" i="16"/>
  <c r="P597" i="16"/>
  <c r="L597" i="16"/>
  <c r="M597" i="16" s="1"/>
  <c r="N597" i="16" s="1"/>
  <c r="O597" i="16" s="1"/>
  <c r="D597" i="16"/>
  <c r="U598" i="16"/>
  <c r="S598" i="16"/>
  <c r="R598" i="16"/>
  <c r="P598" i="16"/>
  <c r="L598" i="16"/>
  <c r="M598" i="16" s="1"/>
  <c r="N598" i="16" s="1"/>
  <c r="O598" i="16" s="1"/>
  <c r="D598" i="16"/>
  <c r="U599" i="16"/>
  <c r="S599" i="16"/>
  <c r="R599" i="16"/>
  <c r="P599" i="16"/>
  <c r="L599" i="16"/>
  <c r="M599" i="16" s="1"/>
  <c r="N599" i="16" s="1"/>
  <c r="O599" i="16" s="1"/>
  <c r="D599" i="16"/>
  <c r="U600" i="16"/>
  <c r="S600" i="16"/>
  <c r="R600" i="16"/>
  <c r="P600" i="16"/>
  <c r="L600" i="16"/>
  <c r="M600" i="16" s="1"/>
  <c r="N600" i="16" s="1"/>
  <c r="O600" i="16" s="1"/>
  <c r="D600" i="16"/>
  <c r="U601" i="16"/>
  <c r="S601" i="16"/>
  <c r="R601" i="16"/>
  <c r="P601" i="16"/>
  <c r="L601" i="16"/>
  <c r="M601" i="16" s="1"/>
  <c r="N601" i="16" s="1"/>
  <c r="O601" i="16" s="1"/>
  <c r="D601" i="16"/>
  <c r="U602" i="16"/>
  <c r="S602" i="16"/>
  <c r="R602" i="16"/>
  <c r="P602" i="16"/>
  <c r="L602" i="16"/>
  <c r="M602" i="16" s="1"/>
  <c r="N602" i="16" s="1"/>
  <c r="O602" i="16" s="1"/>
  <c r="D602" i="16"/>
  <c r="U603" i="16"/>
  <c r="S603" i="16"/>
  <c r="R603" i="16"/>
  <c r="P603" i="16"/>
  <c r="L603" i="16"/>
  <c r="M603" i="16" s="1"/>
  <c r="N603" i="16" s="1"/>
  <c r="O603" i="16" s="1"/>
  <c r="D603" i="16"/>
  <c r="U604" i="16"/>
  <c r="S604" i="16"/>
  <c r="R604" i="16"/>
  <c r="P604" i="16"/>
  <c r="L604" i="16"/>
  <c r="M604" i="16" s="1"/>
  <c r="N604" i="16" s="1"/>
  <c r="O604" i="16" s="1"/>
  <c r="D604" i="16"/>
  <c r="U605" i="16"/>
  <c r="S605" i="16"/>
  <c r="R605" i="16"/>
  <c r="P605" i="16"/>
  <c r="L605" i="16"/>
  <c r="M605" i="16" s="1"/>
  <c r="N605" i="16" s="1"/>
  <c r="O605" i="16" s="1"/>
  <c r="D605" i="16"/>
  <c r="U606" i="16"/>
  <c r="S606" i="16"/>
  <c r="R606" i="16"/>
  <c r="P606" i="16"/>
  <c r="L606" i="16"/>
  <c r="M606" i="16" s="1"/>
  <c r="N606" i="16" s="1"/>
  <c r="O606" i="16" s="1"/>
  <c r="D606" i="16"/>
  <c r="U607" i="16"/>
  <c r="S607" i="16"/>
  <c r="R607" i="16"/>
  <c r="P607" i="16"/>
  <c r="L607" i="16"/>
  <c r="M607" i="16" s="1"/>
  <c r="N607" i="16" s="1"/>
  <c r="O607" i="16" s="1"/>
  <c r="D607" i="16"/>
  <c r="U608" i="16"/>
  <c r="S608" i="16"/>
  <c r="R608" i="16"/>
  <c r="P608" i="16"/>
  <c r="L608" i="16"/>
  <c r="M608" i="16" s="1"/>
  <c r="N608" i="16" s="1"/>
  <c r="O608" i="16" s="1"/>
  <c r="D608" i="16"/>
  <c r="U609" i="16"/>
  <c r="S609" i="16"/>
  <c r="R609" i="16"/>
  <c r="P609" i="16"/>
  <c r="L609" i="16"/>
  <c r="M609" i="16" s="1"/>
  <c r="N609" i="16" s="1"/>
  <c r="O609" i="16" s="1"/>
  <c r="D609" i="16"/>
  <c r="U610" i="16"/>
  <c r="S610" i="16"/>
  <c r="R610" i="16"/>
  <c r="P610" i="16"/>
  <c r="L610" i="16"/>
  <c r="M610" i="16" s="1"/>
  <c r="N610" i="16" s="1"/>
  <c r="O610" i="16" s="1"/>
  <c r="D610" i="16"/>
  <c r="U611" i="16"/>
  <c r="S611" i="16"/>
  <c r="R611" i="16"/>
  <c r="P611" i="16"/>
  <c r="L611" i="16"/>
  <c r="M611" i="16" s="1"/>
  <c r="N611" i="16" s="1"/>
  <c r="O611" i="16" s="1"/>
  <c r="D611" i="16"/>
  <c r="U612" i="16"/>
  <c r="S612" i="16"/>
  <c r="R612" i="16"/>
  <c r="P612" i="16"/>
  <c r="L612" i="16"/>
  <c r="M612" i="16" s="1"/>
  <c r="N612" i="16" s="1"/>
  <c r="O612" i="16" s="1"/>
  <c r="D612" i="16"/>
  <c r="U613" i="16"/>
  <c r="S613" i="16"/>
  <c r="R613" i="16"/>
  <c r="P613" i="16"/>
  <c r="L613" i="16"/>
  <c r="M613" i="16" s="1"/>
  <c r="N613" i="16" s="1"/>
  <c r="O613" i="16" s="1"/>
  <c r="D613" i="16"/>
  <c r="U614" i="16"/>
  <c r="S614" i="16"/>
  <c r="R614" i="16"/>
  <c r="P614" i="16"/>
  <c r="L614" i="16"/>
  <c r="M614" i="16" s="1"/>
  <c r="N614" i="16" s="1"/>
  <c r="O614" i="16" s="1"/>
  <c r="D614" i="16"/>
  <c r="U615" i="16"/>
  <c r="S615" i="16"/>
  <c r="R615" i="16"/>
  <c r="P615" i="16"/>
  <c r="L615" i="16"/>
  <c r="M615" i="16" s="1"/>
  <c r="N615" i="16" s="1"/>
  <c r="O615" i="16" s="1"/>
  <c r="D615" i="16"/>
  <c r="U616" i="16"/>
  <c r="S616" i="16"/>
  <c r="R616" i="16"/>
  <c r="P616" i="16"/>
  <c r="L616" i="16"/>
  <c r="M616" i="16" s="1"/>
  <c r="N616" i="16" s="1"/>
  <c r="O616" i="16" s="1"/>
  <c r="D616" i="16"/>
  <c r="U617" i="16"/>
  <c r="S617" i="16"/>
  <c r="R617" i="16"/>
  <c r="P617" i="16"/>
  <c r="L617" i="16"/>
  <c r="M617" i="16" s="1"/>
  <c r="N617" i="16" s="1"/>
  <c r="O617" i="16" s="1"/>
  <c r="D617" i="16"/>
  <c r="U618" i="16"/>
  <c r="S618" i="16"/>
  <c r="R618" i="16"/>
  <c r="P618" i="16"/>
  <c r="L618" i="16"/>
  <c r="M618" i="16" s="1"/>
  <c r="N618" i="16" s="1"/>
  <c r="O618" i="16" s="1"/>
  <c r="D618" i="16"/>
  <c r="U619" i="16"/>
  <c r="S619" i="16"/>
  <c r="R619" i="16"/>
  <c r="P619" i="16"/>
  <c r="L619" i="16"/>
  <c r="M619" i="16" s="1"/>
  <c r="N619" i="16" s="1"/>
  <c r="O619" i="16" s="1"/>
  <c r="D619" i="16"/>
  <c r="U620" i="16"/>
  <c r="S620" i="16"/>
  <c r="R620" i="16"/>
  <c r="P620" i="16"/>
  <c r="L620" i="16"/>
  <c r="M620" i="16" s="1"/>
  <c r="N620" i="16" s="1"/>
  <c r="O620" i="16" s="1"/>
  <c r="D620" i="16"/>
  <c r="U621" i="16"/>
  <c r="S621" i="16"/>
  <c r="R621" i="16"/>
  <c r="P621" i="16"/>
  <c r="L621" i="16"/>
  <c r="M621" i="16" s="1"/>
  <c r="N621" i="16" s="1"/>
  <c r="O621" i="16" s="1"/>
  <c r="D621" i="16"/>
  <c r="U622" i="16"/>
  <c r="S622" i="16"/>
  <c r="R622" i="16"/>
  <c r="P622" i="16"/>
  <c r="L622" i="16"/>
  <c r="M622" i="16" s="1"/>
  <c r="N622" i="16" s="1"/>
  <c r="O622" i="16" s="1"/>
  <c r="D622" i="16"/>
  <c r="U623" i="16"/>
  <c r="S623" i="16"/>
  <c r="R623" i="16"/>
  <c r="P623" i="16"/>
  <c r="L623" i="16"/>
  <c r="M623" i="16" s="1"/>
  <c r="N623" i="16" s="1"/>
  <c r="O623" i="16" s="1"/>
  <c r="D623" i="16"/>
  <c r="U624" i="16"/>
  <c r="S624" i="16"/>
  <c r="R624" i="16"/>
  <c r="P624" i="16"/>
  <c r="L624" i="16"/>
  <c r="M624" i="16" s="1"/>
  <c r="N624" i="16" s="1"/>
  <c r="O624" i="16" s="1"/>
  <c r="D624" i="16"/>
  <c r="U625" i="16"/>
  <c r="S625" i="16"/>
  <c r="R625" i="16"/>
  <c r="P625" i="16"/>
  <c r="L625" i="16"/>
  <c r="M625" i="16" s="1"/>
  <c r="N625" i="16" s="1"/>
  <c r="O625" i="16" s="1"/>
  <c r="D625" i="16"/>
  <c r="U626" i="16"/>
  <c r="S626" i="16"/>
  <c r="R626" i="16"/>
  <c r="P626" i="16"/>
  <c r="L626" i="16"/>
  <c r="M626" i="16" s="1"/>
  <c r="N626" i="16" s="1"/>
  <c r="O626" i="16" s="1"/>
  <c r="D626" i="16"/>
  <c r="U627" i="16"/>
  <c r="S627" i="16"/>
  <c r="R627" i="16"/>
  <c r="P627" i="16"/>
  <c r="L627" i="16"/>
  <c r="M627" i="16" s="1"/>
  <c r="N627" i="16" s="1"/>
  <c r="O627" i="16" s="1"/>
  <c r="D627" i="16"/>
  <c r="U628" i="16"/>
  <c r="S628" i="16"/>
  <c r="R628" i="16"/>
  <c r="P628" i="16"/>
  <c r="L628" i="16"/>
  <c r="M628" i="16" s="1"/>
  <c r="N628" i="16" s="1"/>
  <c r="O628" i="16" s="1"/>
  <c r="D628" i="16"/>
  <c r="U629" i="16"/>
  <c r="S629" i="16"/>
  <c r="R629" i="16"/>
  <c r="P629" i="16"/>
  <c r="L629" i="16"/>
  <c r="M629" i="16" s="1"/>
  <c r="N629" i="16" s="1"/>
  <c r="O629" i="16" s="1"/>
  <c r="D629" i="16"/>
  <c r="U630" i="16"/>
  <c r="S630" i="16"/>
  <c r="R630" i="16"/>
  <c r="P630" i="16"/>
  <c r="L630" i="16"/>
  <c r="M630" i="16" s="1"/>
  <c r="N630" i="16" s="1"/>
  <c r="O630" i="16" s="1"/>
  <c r="D630" i="16"/>
  <c r="U631" i="16"/>
  <c r="S631" i="16"/>
  <c r="R631" i="16"/>
  <c r="P631" i="16"/>
  <c r="L631" i="16"/>
  <c r="M631" i="16" s="1"/>
  <c r="N631" i="16" s="1"/>
  <c r="O631" i="16" s="1"/>
  <c r="D631" i="16"/>
  <c r="U632" i="16"/>
  <c r="S632" i="16"/>
  <c r="R632" i="16"/>
  <c r="P632" i="16"/>
  <c r="L632" i="16"/>
  <c r="M632" i="16" s="1"/>
  <c r="N632" i="16" s="1"/>
  <c r="O632" i="16" s="1"/>
  <c r="D632" i="16"/>
  <c r="U633" i="16"/>
  <c r="S633" i="16"/>
  <c r="R633" i="16"/>
  <c r="P633" i="16"/>
  <c r="L633" i="16"/>
  <c r="M633" i="16" s="1"/>
  <c r="N633" i="16" s="1"/>
  <c r="O633" i="16" s="1"/>
  <c r="D633" i="16"/>
  <c r="U634" i="16"/>
  <c r="S634" i="16"/>
  <c r="R634" i="16"/>
  <c r="P634" i="16"/>
  <c r="L634" i="16"/>
  <c r="M634" i="16" s="1"/>
  <c r="N634" i="16" s="1"/>
  <c r="O634" i="16" s="1"/>
  <c r="D634" i="16"/>
  <c r="U635" i="16"/>
  <c r="S635" i="16"/>
  <c r="R635" i="16"/>
  <c r="P635" i="16"/>
  <c r="L635" i="16"/>
  <c r="M635" i="16" s="1"/>
  <c r="N635" i="16" s="1"/>
  <c r="O635" i="16" s="1"/>
  <c r="D635" i="16"/>
  <c r="U636" i="16"/>
  <c r="S636" i="16"/>
  <c r="R636" i="16"/>
  <c r="P636" i="16"/>
  <c r="L636" i="16"/>
  <c r="M636" i="16" s="1"/>
  <c r="N636" i="16" s="1"/>
  <c r="O636" i="16" s="1"/>
  <c r="D636" i="16"/>
  <c r="U637" i="16"/>
  <c r="S637" i="16"/>
  <c r="R637" i="16"/>
  <c r="P637" i="16"/>
  <c r="L637" i="16"/>
  <c r="M637" i="16" s="1"/>
  <c r="N637" i="16" s="1"/>
  <c r="O637" i="16" s="1"/>
  <c r="D637" i="16"/>
  <c r="U638" i="16"/>
  <c r="S638" i="16"/>
  <c r="R638" i="16"/>
  <c r="P638" i="16"/>
  <c r="L638" i="16"/>
  <c r="M638" i="16" s="1"/>
  <c r="N638" i="16" s="1"/>
  <c r="O638" i="16" s="1"/>
  <c r="D638" i="16"/>
  <c r="U639" i="16"/>
  <c r="S639" i="16"/>
  <c r="R639" i="16"/>
  <c r="P639" i="16"/>
  <c r="L639" i="16"/>
  <c r="M639" i="16" s="1"/>
  <c r="N639" i="16" s="1"/>
  <c r="O639" i="16" s="1"/>
  <c r="D639" i="16"/>
  <c r="U640" i="16"/>
  <c r="S640" i="16"/>
  <c r="R640" i="16"/>
  <c r="P640" i="16"/>
  <c r="L640" i="16"/>
  <c r="M640" i="16" s="1"/>
  <c r="N640" i="16" s="1"/>
  <c r="O640" i="16" s="1"/>
  <c r="D640" i="16"/>
  <c r="U641" i="16"/>
  <c r="S641" i="16"/>
  <c r="R641" i="16"/>
  <c r="P641" i="16"/>
  <c r="L641" i="16"/>
  <c r="M641" i="16" s="1"/>
  <c r="N641" i="16" s="1"/>
  <c r="O641" i="16" s="1"/>
  <c r="D641" i="16"/>
  <c r="U642" i="16"/>
  <c r="S642" i="16"/>
  <c r="R642" i="16"/>
  <c r="P642" i="16"/>
  <c r="L642" i="16"/>
  <c r="M642" i="16" s="1"/>
  <c r="N642" i="16" s="1"/>
  <c r="O642" i="16" s="1"/>
  <c r="D642" i="16"/>
  <c r="U643" i="16"/>
  <c r="S643" i="16"/>
  <c r="R643" i="16"/>
  <c r="P643" i="16"/>
  <c r="L643" i="16"/>
  <c r="M643" i="16" s="1"/>
  <c r="N643" i="16" s="1"/>
  <c r="O643" i="16" s="1"/>
  <c r="D643" i="16"/>
  <c r="U644" i="16"/>
  <c r="S644" i="16"/>
  <c r="R644" i="16"/>
  <c r="P644" i="16"/>
  <c r="L644" i="16"/>
  <c r="M644" i="16" s="1"/>
  <c r="N644" i="16" s="1"/>
  <c r="O644" i="16" s="1"/>
  <c r="D644" i="16"/>
  <c r="U645" i="16"/>
  <c r="S645" i="16"/>
  <c r="R645" i="16"/>
  <c r="P645" i="16"/>
  <c r="L645" i="16"/>
  <c r="M645" i="16" s="1"/>
  <c r="N645" i="16" s="1"/>
  <c r="O645" i="16" s="1"/>
  <c r="D645" i="16"/>
  <c r="U646" i="16"/>
  <c r="S646" i="16"/>
  <c r="R646" i="16"/>
  <c r="P646" i="16"/>
  <c r="L646" i="16"/>
  <c r="M646" i="16" s="1"/>
  <c r="N646" i="16" s="1"/>
  <c r="O646" i="16" s="1"/>
  <c r="D646" i="16"/>
  <c r="U647" i="16"/>
  <c r="S647" i="16"/>
  <c r="R647" i="16"/>
  <c r="P647" i="16"/>
  <c r="L647" i="16"/>
  <c r="M647" i="16" s="1"/>
  <c r="N647" i="16" s="1"/>
  <c r="O647" i="16" s="1"/>
  <c r="D647" i="16"/>
  <c r="U648" i="16"/>
  <c r="S648" i="16"/>
  <c r="R648" i="16"/>
  <c r="P648" i="16"/>
  <c r="L648" i="16"/>
  <c r="M648" i="16" s="1"/>
  <c r="N648" i="16" s="1"/>
  <c r="O648" i="16" s="1"/>
  <c r="D648" i="16"/>
  <c r="U649" i="16"/>
  <c r="S649" i="16"/>
  <c r="R649" i="16"/>
  <c r="P649" i="16"/>
  <c r="L649" i="16"/>
  <c r="M649" i="16" s="1"/>
  <c r="N649" i="16" s="1"/>
  <c r="O649" i="16" s="1"/>
  <c r="D649" i="16"/>
  <c r="U650" i="16"/>
  <c r="S650" i="16"/>
  <c r="R650" i="16"/>
  <c r="P650" i="16"/>
  <c r="L650" i="16"/>
  <c r="M650" i="16" s="1"/>
  <c r="N650" i="16" s="1"/>
  <c r="O650" i="16" s="1"/>
  <c r="D650" i="16"/>
  <c r="U651" i="16"/>
  <c r="S651" i="16"/>
  <c r="R651" i="16"/>
  <c r="P651" i="16"/>
  <c r="L651" i="16"/>
  <c r="M651" i="16" s="1"/>
  <c r="N651" i="16" s="1"/>
  <c r="O651" i="16" s="1"/>
  <c r="D651" i="16"/>
  <c r="U652" i="16"/>
  <c r="S652" i="16"/>
  <c r="R652" i="16"/>
  <c r="P652" i="16"/>
  <c r="L652" i="16"/>
  <c r="M652" i="16" s="1"/>
  <c r="N652" i="16" s="1"/>
  <c r="O652" i="16" s="1"/>
  <c r="D652" i="16"/>
  <c r="U653" i="16"/>
  <c r="S653" i="16"/>
  <c r="R653" i="16"/>
  <c r="P653" i="16"/>
  <c r="L653" i="16"/>
  <c r="M653" i="16" s="1"/>
  <c r="N653" i="16" s="1"/>
  <c r="O653" i="16" s="1"/>
  <c r="D653" i="16"/>
  <c r="U654" i="16"/>
  <c r="S654" i="16"/>
  <c r="R654" i="16"/>
  <c r="P654" i="16"/>
  <c r="L654" i="16"/>
  <c r="M654" i="16" s="1"/>
  <c r="N654" i="16" s="1"/>
  <c r="O654" i="16" s="1"/>
  <c r="D654" i="16"/>
  <c r="U655" i="16"/>
  <c r="S655" i="16"/>
  <c r="R655" i="16"/>
  <c r="P655" i="16"/>
  <c r="L655" i="16"/>
  <c r="M655" i="16" s="1"/>
  <c r="N655" i="16" s="1"/>
  <c r="O655" i="16" s="1"/>
  <c r="D655" i="16"/>
  <c r="U656" i="16"/>
  <c r="S656" i="16"/>
  <c r="R656" i="16"/>
  <c r="P656" i="16"/>
  <c r="L656" i="16"/>
  <c r="M656" i="16" s="1"/>
  <c r="N656" i="16" s="1"/>
  <c r="O656" i="16" s="1"/>
  <c r="D656" i="16"/>
  <c r="U657" i="16"/>
  <c r="S657" i="16"/>
  <c r="R657" i="16"/>
  <c r="P657" i="16"/>
  <c r="L657" i="16"/>
  <c r="M657" i="16" s="1"/>
  <c r="N657" i="16" s="1"/>
  <c r="O657" i="16" s="1"/>
  <c r="D657" i="16"/>
  <c r="U658" i="16"/>
  <c r="S658" i="16"/>
  <c r="R658" i="16"/>
  <c r="P658" i="16"/>
  <c r="L658" i="16"/>
  <c r="M658" i="16" s="1"/>
  <c r="N658" i="16" s="1"/>
  <c r="O658" i="16" s="1"/>
  <c r="D658" i="16"/>
  <c r="U659" i="16"/>
  <c r="S659" i="16"/>
  <c r="R659" i="16"/>
  <c r="P659" i="16"/>
  <c r="L659" i="16"/>
  <c r="M659" i="16" s="1"/>
  <c r="N659" i="16" s="1"/>
  <c r="O659" i="16" s="1"/>
  <c r="D659" i="16"/>
  <c r="U660" i="16"/>
  <c r="S660" i="16"/>
  <c r="R660" i="16"/>
  <c r="P660" i="16"/>
  <c r="L660" i="16"/>
  <c r="M660" i="16" s="1"/>
  <c r="N660" i="16" s="1"/>
  <c r="O660" i="16" s="1"/>
  <c r="D660" i="16"/>
  <c r="U661" i="16"/>
  <c r="S661" i="16"/>
  <c r="R661" i="16"/>
  <c r="P661" i="16"/>
  <c r="L661" i="16"/>
  <c r="M661" i="16" s="1"/>
  <c r="N661" i="16" s="1"/>
  <c r="O661" i="16" s="1"/>
  <c r="D661" i="16"/>
  <c r="U662" i="16"/>
  <c r="S662" i="16"/>
  <c r="R662" i="16"/>
  <c r="P662" i="16"/>
  <c r="L662" i="16"/>
  <c r="M662" i="16" s="1"/>
  <c r="N662" i="16" s="1"/>
  <c r="O662" i="16" s="1"/>
  <c r="D662" i="16"/>
  <c r="U663" i="16"/>
  <c r="S663" i="16"/>
  <c r="R663" i="16"/>
  <c r="P663" i="16"/>
  <c r="L663" i="16"/>
  <c r="M663" i="16" s="1"/>
  <c r="N663" i="16" s="1"/>
  <c r="O663" i="16" s="1"/>
  <c r="D663" i="16"/>
  <c r="U664" i="16"/>
  <c r="S664" i="16"/>
  <c r="R664" i="16"/>
  <c r="P664" i="16"/>
  <c r="L664" i="16"/>
  <c r="M664" i="16" s="1"/>
  <c r="N664" i="16" s="1"/>
  <c r="O664" i="16" s="1"/>
  <c r="D664" i="16"/>
  <c r="U665" i="16"/>
  <c r="S665" i="16"/>
  <c r="R665" i="16"/>
  <c r="P665" i="16"/>
  <c r="L665" i="16"/>
  <c r="M665" i="16" s="1"/>
  <c r="N665" i="16" s="1"/>
  <c r="O665" i="16" s="1"/>
  <c r="D665" i="16"/>
  <c r="U666" i="16"/>
  <c r="S666" i="16"/>
  <c r="R666" i="16"/>
  <c r="P666" i="16"/>
  <c r="L666" i="16"/>
  <c r="M666" i="16" s="1"/>
  <c r="N666" i="16" s="1"/>
  <c r="O666" i="16" s="1"/>
  <c r="D666" i="16"/>
  <c r="U667" i="16"/>
  <c r="S667" i="16"/>
  <c r="R667" i="16"/>
  <c r="P667" i="16"/>
  <c r="L667" i="16"/>
  <c r="M667" i="16" s="1"/>
  <c r="N667" i="16" s="1"/>
  <c r="O667" i="16" s="1"/>
  <c r="D667" i="16"/>
  <c r="U668" i="16"/>
  <c r="S668" i="16"/>
  <c r="R668" i="16"/>
  <c r="P668" i="16"/>
  <c r="L668" i="16"/>
  <c r="M668" i="16" s="1"/>
  <c r="N668" i="16" s="1"/>
  <c r="O668" i="16" s="1"/>
  <c r="D668" i="16"/>
  <c r="U669" i="16"/>
  <c r="S669" i="16"/>
  <c r="R669" i="16"/>
  <c r="P669" i="16"/>
  <c r="L669" i="16"/>
  <c r="M669" i="16" s="1"/>
  <c r="N669" i="16" s="1"/>
  <c r="O669" i="16" s="1"/>
  <c r="D669" i="16"/>
  <c r="U670" i="16"/>
  <c r="S670" i="16"/>
  <c r="R670" i="16"/>
  <c r="P670" i="16"/>
  <c r="L670" i="16"/>
  <c r="M670" i="16" s="1"/>
  <c r="N670" i="16" s="1"/>
  <c r="O670" i="16" s="1"/>
  <c r="D670" i="16"/>
  <c r="U671" i="16"/>
  <c r="S671" i="16"/>
  <c r="R671" i="16"/>
  <c r="P671" i="16"/>
  <c r="L671" i="16"/>
  <c r="M671" i="16" s="1"/>
  <c r="N671" i="16" s="1"/>
  <c r="O671" i="16" s="1"/>
  <c r="D671" i="16"/>
  <c r="U672" i="16"/>
  <c r="S672" i="16"/>
  <c r="R672" i="16"/>
  <c r="P672" i="16"/>
  <c r="L672" i="16"/>
  <c r="M672" i="16" s="1"/>
  <c r="N672" i="16" s="1"/>
  <c r="O672" i="16" s="1"/>
  <c r="D672" i="16"/>
  <c r="U673" i="16"/>
  <c r="S673" i="16"/>
  <c r="R673" i="16"/>
  <c r="P673" i="16"/>
  <c r="L673" i="16"/>
  <c r="M673" i="16" s="1"/>
  <c r="N673" i="16" s="1"/>
  <c r="O673" i="16" s="1"/>
  <c r="D673" i="16"/>
  <c r="U674" i="16"/>
  <c r="S674" i="16"/>
  <c r="R674" i="16"/>
  <c r="P674" i="16"/>
  <c r="L674" i="16"/>
  <c r="M674" i="16" s="1"/>
  <c r="N674" i="16" s="1"/>
  <c r="O674" i="16" s="1"/>
  <c r="D674" i="16"/>
  <c r="U675" i="16"/>
  <c r="S675" i="16"/>
  <c r="R675" i="16"/>
  <c r="P675" i="16"/>
  <c r="L675" i="16"/>
  <c r="M675" i="16" s="1"/>
  <c r="N675" i="16" s="1"/>
  <c r="O675" i="16" s="1"/>
  <c r="D675" i="16"/>
  <c r="U676" i="16"/>
  <c r="S676" i="16"/>
  <c r="R676" i="16"/>
  <c r="P676" i="16"/>
  <c r="L676" i="16"/>
  <c r="M676" i="16" s="1"/>
  <c r="N676" i="16" s="1"/>
  <c r="O676" i="16" s="1"/>
  <c r="D676" i="16"/>
  <c r="U677" i="16"/>
  <c r="S677" i="16"/>
  <c r="R677" i="16"/>
  <c r="P677" i="16"/>
  <c r="L677" i="16"/>
  <c r="M677" i="16" s="1"/>
  <c r="N677" i="16" s="1"/>
  <c r="O677" i="16" s="1"/>
  <c r="D677" i="16"/>
  <c r="U678" i="16"/>
  <c r="S678" i="16"/>
  <c r="R678" i="16"/>
  <c r="P678" i="16"/>
  <c r="L678" i="16"/>
  <c r="M678" i="16" s="1"/>
  <c r="N678" i="16" s="1"/>
  <c r="O678" i="16" s="1"/>
  <c r="D678" i="16"/>
  <c r="U679" i="16"/>
  <c r="S679" i="16"/>
  <c r="R679" i="16"/>
  <c r="P679" i="16"/>
  <c r="L679" i="16"/>
  <c r="M679" i="16" s="1"/>
  <c r="N679" i="16" s="1"/>
  <c r="O679" i="16" s="1"/>
  <c r="D679" i="16"/>
  <c r="U680" i="16"/>
  <c r="S680" i="16"/>
  <c r="R680" i="16"/>
  <c r="P680" i="16"/>
  <c r="L680" i="16"/>
  <c r="M680" i="16" s="1"/>
  <c r="N680" i="16" s="1"/>
  <c r="O680" i="16" s="1"/>
  <c r="D680" i="16"/>
  <c r="U681" i="16"/>
  <c r="S681" i="16"/>
  <c r="R681" i="16"/>
  <c r="P681" i="16"/>
  <c r="L681" i="16"/>
  <c r="M681" i="16" s="1"/>
  <c r="N681" i="16" s="1"/>
  <c r="O681" i="16" s="1"/>
  <c r="D681" i="16"/>
  <c r="U682" i="16"/>
  <c r="S682" i="16"/>
  <c r="R682" i="16"/>
  <c r="P682" i="16"/>
  <c r="L682" i="16"/>
  <c r="M682" i="16" s="1"/>
  <c r="N682" i="16" s="1"/>
  <c r="O682" i="16" s="1"/>
  <c r="D682" i="16"/>
  <c r="U683" i="16"/>
  <c r="S683" i="16"/>
  <c r="R683" i="16"/>
  <c r="P683" i="16"/>
  <c r="L683" i="16"/>
  <c r="M683" i="16" s="1"/>
  <c r="N683" i="16" s="1"/>
  <c r="O683" i="16" s="1"/>
  <c r="D683" i="16"/>
  <c r="U684" i="16"/>
  <c r="S684" i="16"/>
  <c r="R684" i="16"/>
  <c r="P684" i="16"/>
  <c r="L684" i="16"/>
  <c r="M684" i="16" s="1"/>
  <c r="N684" i="16" s="1"/>
  <c r="O684" i="16" s="1"/>
  <c r="D684" i="16"/>
  <c r="U685" i="16"/>
  <c r="S685" i="16"/>
  <c r="R685" i="16"/>
  <c r="P685" i="16"/>
  <c r="L685" i="16"/>
  <c r="M685" i="16" s="1"/>
  <c r="N685" i="16" s="1"/>
  <c r="O685" i="16" s="1"/>
  <c r="D685" i="16"/>
  <c r="U686" i="16"/>
  <c r="S686" i="16"/>
  <c r="R686" i="16"/>
  <c r="P686" i="16"/>
  <c r="L686" i="16"/>
  <c r="M686" i="16" s="1"/>
  <c r="N686" i="16" s="1"/>
  <c r="O686" i="16" s="1"/>
  <c r="D686" i="16"/>
  <c r="U687" i="16"/>
  <c r="S687" i="16"/>
  <c r="R687" i="16"/>
  <c r="P687" i="16"/>
  <c r="L687" i="16"/>
  <c r="M687" i="16" s="1"/>
  <c r="N687" i="16" s="1"/>
  <c r="O687" i="16" s="1"/>
  <c r="D687" i="16"/>
  <c r="U688" i="16"/>
  <c r="S688" i="16"/>
  <c r="R688" i="16"/>
  <c r="P688" i="16"/>
  <c r="L688" i="16"/>
  <c r="M688" i="16" s="1"/>
  <c r="N688" i="16" s="1"/>
  <c r="O688" i="16" s="1"/>
  <c r="D688" i="16"/>
  <c r="U689" i="16"/>
  <c r="S689" i="16"/>
  <c r="R689" i="16"/>
  <c r="P689" i="16"/>
  <c r="L689" i="16"/>
  <c r="M689" i="16" s="1"/>
  <c r="N689" i="16" s="1"/>
  <c r="O689" i="16" s="1"/>
  <c r="D689" i="16"/>
  <c r="U690" i="16"/>
  <c r="S690" i="16"/>
  <c r="R690" i="16"/>
  <c r="P690" i="16"/>
  <c r="L690" i="16"/>
  <c r="M690" i="16" s="1"/>
  <c r="N690" i="16" s="1"/>
  <c r="O690" i="16" s="1"/>
  <c r="D690" i="16"/>
  <c r="U691" i="16"/>
  <c r="S691" i="16"/>
  <c r="R691" i="16"/>
  <c r="P691" i="16"/>
  <c r="L691" i="16"/>
  <c r="M691" i="16" s="1"/>
  <c r="N691" i="16" s="1"/>
  <c r="O691" i="16" s="1"/>
  <c r="D691" i="16"/>
  <c r="U692" i="16"/>
  <c r="S692" i="16"/>
  <c r="R692" i="16"/>
  <c r="P692" i="16"/>
  <c r="L692" i="16"/>
  <c r="M692" i="16" s="1"/>
  <c r="N692" i="16" s="1"/>
  <c r="O692" i="16" s="1"/>
  <c r="D692" i="16"/>
  <c r="U693" i="16"/>
  <c r="S693" i="16"/>
  <c r="R693" i="16"/>
  <c r="P693" i="16"/>
  <c r="L693" i="16"/>
  <c r="M693" i="16" s="1"/>
  <c r="N693" i="16" s="1"/>
  <c r="O693" i="16" s="1"/>
  <c r="D693" i="16"/>
  <c r="U694" i="16"/>
  <c r="S694" i="16"/>
  <c r="R694" i="16"/>
  <c r="P694" i="16"/>
  <c r="L694" i="16"/>
  <c r="M694" i="16" s="1"/>
  <c r="N694" i="16" s="1"/>
  <c r="O694" i="16" s="1"/>
  <c r="D694" i="16"/>
  <c r="U695" i="16"/>
  <c r="S695" i="16"/>
  <c r="R695" i="16"/>
  <c r="P695" i="16"/>
  <c r="L695" i="16"/>
  <c r="M695" i="16" s="1"/>
  <c r="N695" i="16" s="1"/>
  <c r="O695" i="16" s="1"/>
  <c r="D695" i="16"/>
  <c r="U696" i="16"/>
  <c r="S696" i="16"/>
  <c r="R696" i="16"/>
  <c r="P696" i="16"/>
  <c r="L696" i="16"/>
  <c r="M696" i="16" s="1"/>
  <c r="N696" i="16" s="1"/>
  <c r="O696" i="16" s="1"/>
  <c r="D696" i="16"/>
  <c r="U697" i="16"/>
  <c r="S697" i="16"/>
  <c r="R697" i="16"/>
  <c r="P697" i="16"/>
  <c r="L697" i="16"/>
  <c r="M697" i="16" s="1"/>
  <c r="N697" i="16" s="1"/>
  <c r="O697" i="16" s="1"/>
  <c r="D697" i="16"/>
  <c r="U698" i="16"/>
  <c r="S698" i="16"/>
  <c r="R698" i="16"/>
  <c r="P698" i="16"/>
  <c r="L698" i="16"/>
  <c r="M698" i="16" s="1"/>
  <c r="N698" i="16" s="1"/>
  <c r="O698" i="16" s="1"/>
  <c r="D698" i="16"/>
  <c r="U699" i="16"/>
  <c r="S699" i="16"/>
  <c r="R699" i="16"/>
  <c r="P699" i="16"/>
  <c r="L699" i="16"/>
  <c r="M699" i="16" s="1"/>
  <c r="N699" i="16" s="1"/>
  <c r="O699" i="16" s="1"/>
  <c r="D699" i="16"/>
  <c r="U700" i="16"/>
  <c r="S700" i="16"/>
  <c r="R700" i="16"/>
  <c r="P700" i="16"/>
  <c r="L700" i="16"/>
  <c r="M700" i="16" s="1"/>
  <c r="N700" i="16" s="1"/>
  <c r="O700" i="16" s="1"/>
  <c r="D700" i="16"/>
  <c r="U701" i="16"/>
  <c r="S701" i="16"/>
  <c r="R701" i="16"/>
  <c r="P701" i="16"/>
  <c r="L701" i="16"/>
  <c r="M701" i="16" s="1"/>
  <c r="N701" i="16" s="1"/>
  <c r="O701" i="16" s="1"/>
  <c r="D701" i="16"/>
  <c r="U702" i="16"/>
  <c r="S702" i="16"/>
  <c r="R702" i="16"/>
  <c r="P702" i="16"/>
  <c r="L702" i="16"/>
  <c r="M702" i="16" s="1"/>
  <c r="N702" i="16" s="1"/>
  <c r="O702" i="16" s="1"/>
  <c r="D702" i="16"/>
  <c r="U703" i="16"/>
  <c r="S703" i="16"/>
  <c r="R703" i="16"/>
  <c r="P703" i="16"/>
  <c r="L703" i="16"/>
  <c r="M703" i="16" s="1"/>
  <c r="N703" i="16" s="1"/>
  <c r="O703" i="16" s="1"/>
  <c r="D703" i="16"/>
  <c r="U704" i="16"/>
  <c r="S704" i="16"/>
  <c r="R704" i="16"/>
  <c r="P704" i="16"/>
  <c r="L704" i="16"/>
  <c r="M704" i="16" s="1"/>
  <c r="N704" i="16" s="1"/>
  <c r="O704" i="16" s="1"/>
  <c r="D704" i="16"/>
  <c r="U705" i="16"/>
  <c r="S705" i="16"/>
  <c r="R705" i="16"/>
  <c r="P705" i="16"/>
  <c r="L705" i="16"/>
  <c r="M705" i="16" s="1"/>
  <c r="N705" i="16" s="1"/>
  <c r="O705" i="16" s="1"/>
  <c r="D705" i="16"/>
  <c r="U706" i="16"/>
  <c r="S706" i="16"/>
  <c r="R706" i="16"/>
  <c r="P706" i="16"/>
  <c r="L706" i="16"/>
  <c r="M706" i="16" s="1"/>
  <c r="N706" i="16" s="1"/>
  <c r="O706" i="16" s="1"/>
  <c r="D706" i="16"/>
  <c r="U707" i="16"/>
  <c r="S707" i="16"/>
  <c r="R707" i="16"/>
  <c r="P707" i="16"/>
  <c r="L707" i="16"/>
  <c r="M707" i="16" s="1"/>
  <c r="N707" i="16" s="1"/>
  <c r="O707" i="16" s="1"/>
  <c r="D707" i="16"/>
  <c r="U708" i="16"/>
  <c r="S708" i="16"/>
  <c r="R708" i="16"/>
  <c r="P708" i="16"/>
  <c r="L708" i="16"/>
  <c r="M708" i="16" s="1"/>
  <c r="N708" i="16" s="1"/>
  <c r="O708" i="16" s="1"/>
  <c r="D708" i="16"/>
  <c r="U709" i="16"/>
  <c r="S709" i="16"/>
  <c r="R709" i="16"/>
  <c r="P709" i="16"/>
  <c r="L709" i="16"/>
  <c r="M709" i="16" s="1"/>
  <c r="N709" i="16" s="1"/>
  <c r="O709" i="16" s="1"/>
  <c r="D709" i="16"/>
  <c r="U710" i="16"/>
  <c r="S710" i="16"/>
  <c r="R710" i="16"/>
  <c r="P710" i="16"/>
  <c r="L710" i="16"/>
  <c r="M710" i="16" s="1"/>
  <c r="N710" i="16" s="1"/>
  <c r="O710" i="16" s="1"/>
  <c r="D710" i="16"/>
  <c r="U711" i="16"/>
  <c r="S711" i="16"/>
  <c r="R711" i="16"/>
  <c r="P711" i="16"/>
  <c r="L711" i="16"/>
  <c r="M711" i="16" s="1"/>
  <c r="N711" i="16" s="1"/>
  <c r="O711" i="16" s="1"/>
  <c r="D711" i="16"/>
  <c r="U712" i="16"/>
  <c r="S712" i="16"/>
  <c r="R712" i="16"/>
  <c r="P712" i="16"/>
  <c r="L712" i="16"/>
  <c r="M712" i="16" s="1"/>
  <c r="N712" i="16" s="1"/>
  <c r="O712" i="16" s="1"/>
  <c r="D712" i="16"/>
  <c r="U713" i="16"/>
  <c r="S713" i="16"/>
  <c r="R713" i="16"/>
  <c r="P713" i="16"/>
  <c r="L713" i="16"/>
  <c r="M713" i="16" s="1"/>
  <c r="N713" i="16" s="1"/>
  <c r="O713" i="16" s="1"/>
  <c r="D713" i="16"/>
  <c r="U714" i="16"/>
  <c r="S714" i="16"/>
  <c r="R714" i="16"/>
  <c r="P714" i="16"/>
  <c r="L714" i="16"/>
  <c r="M714" i="16" s="1"/>
  <c r="N714" i="16" s="1"/>
  <c r="O714" i="16" s="1"/>
  <c r="D714" i="16"/>
  <c r="U715" i="16"/>
  <c r="S715" i="16"/>
  <c r="R715" i="16"/>
  <c r="P715" i="16"/>
  <c r="L715" i="16"/>
  <c r="M715" i="16" s="1"/>
  <c r="N715" i="16" s="1"/>
  <c r="O715" i="16" s="1"/>
  <c r="D715" i="16"/>
  <c r="U716" i="16"/>
  <c r="S716" i="16"/>
  <c r="R716" i="16"/>
  <c r="P716" i="16"/>
  <c r="L716" i="16"/>
  <c r="M716" i="16" s="1"/>
  <c r="N716" i="16" s="1"/>
  <c r="O716" i="16" s="1"/>
  <c r="D716" i="16"/>
  <c r="U717" i="16"/>
  <c r="S717" i="16"/>
  <c r="R717" i="16"/>
  <c r="P717" i="16"/>
  <c r="L717" i="16"/>
  <c r="M717" i="16" s="1"/>
  <c r="N717" i="16" s="1"/>
  <c r="O717" i="16" s="1"/>
  <c r="D717" i="16"/>
  <c r="U718" i="16"/>
  <c r="S718" i="16"/>
  <c r="R718" i="16"/>
  <c r="P718" i="16"/>
  <c r="L718" i="16"/>
  <c r="M718" i="16" s="1"/>
  <c r="N718" i="16" s="1"/>
  <c r="O718" i="16" s="1"/>
  <c r="D718" i="16"/>
  <c r="U719" i="16"/>
  <c r="S719" i="16"/>
  <c r="R719" i="16"/>
  <c r="P719" i="16"/>
  <c r="L719" i="16"/>
  <c r="M719" i="16" s="1"/>
  <c r="N719" i="16" s="1"/>
  <c r="O719" i="16" s="1"/>
  <c r="D719" i="16"/>
  <c r="U720" i="16"/>
  <c r="S720" i="16"/>
  <c r="R720" i="16"/>
  <c r="P720" i="16"/>
  <c r="L720" i="16"/>
  <c r="M720" i="16" s="1"/>
  <c r="N720" i="16" s="1"/>
  <c r="O720" i="16" s="1"/>
  <c r="D720" i="16"/>
  <c r="U721" i="16"/>
  <c r="S721" i="16"/>
  <c r="R721" i="16"/>
  <c r="P721" i="16"/>
  <c r="L721" i="16"/>
  <c r="M721" i="16" s="1"/>
  <c r="N721" i="16" s="1"/>
  <c r="O721" i="16" s="1"/>
  <c r="D721" i="16"/>
  <c r="U722" i="16"/>
  <c r="S722" i="16"/>
  <c r="R722" i="16"/>
  <c r="P722" i="16"/>
  <c r="L722" i="16"/>
  <c r="M722" i="16" s="1"/>
  <c r="N722" i="16" s="1"/>
  <c r="O722" i="16" s="1"/>
  <c r="D722" i="16"/>
  <c r="U723" i="16"/>
  <c r="S723" i="16"/>
  <c r="R723" i="16"/>
  <c r="P723" i="16"/>
  <c r="L723" i="16"/>
  <c r="M723" i="16" s="1"/>
  <c r="N723" i="16" s="1"/>
  <c r="O723" i="16" s="1"/>
  <c r="D723" i="16"/>
  <c r="U724" i="16"/>
  <c r="S724" i="16"/>
  <c r="R724" i="16"/>
  <c r="P724" i="16"/>
  <c r="L724" i="16"/>
  <c r="M724" i="16" s="1"/>
  <c r="N724" i="16" s="1"/>
  <c r="O724" i="16" s="1"/>
  <c r="D724" i="16"/>
  <c r="U725" i="16"/>
  <c r="S725" i="16"/>
  <c r="R725" i="16"/>
  <c r="P725" i="16"/>
  <c r="L725" i="16"/>
  <c r="M725" i="16" s="1"/>
  <c r="N725" i="16" s="1"/>
  <c r="O725" i="16" s="1"/>
  <c r="D725" i="16"/>
  <c r="U726" i="16"/>
  <c r="S726" i="16"/>
  <c r="R726" i="16"/>
  <c r="P726" i="16"/>
  <c r="L726" i="16"/>
  <c r="M726" i="16" s="1"/>
  <c r="N726" i="16" s="1"/>
  <c r="O726" i="16" s="1"/>
  <c r="D726" i="16"/>
  <c r="U727" i="16"/>
  <c r="S727" i="16"/>
  <c r="R727" i="16"/>
  <c r="P727" i="16"/>
  <c r="L727" i="16"/>
  <c r="M727" i="16" s="1"/>
  <c r="N727" i="16" s="1"/>
  <c r="O727" i="16" s="1"/>
  <c r="D727" i="16"/>
  <c r="U728" i="16"/>
  <c r="S728" i="16"/>
  <c r="R728" i="16"/>
  <c r="P728" i="16"/>
  <c r="L728" i="16"/>
  <c r="M728" i="16" s="1"/>
  <c r="N728" i="16" s="1"/>
  <c r="O728" i="16" s="1"/>
  <c r="D728" i="16"/>
  <c r="U729" i="16"/>
  <c r="S729" i="16"/>
  <c r="R729" i="16"/>
  <c r="P729" i="16"/>
  <c r="L729" i="16"/>
  <c r="M729" i="16" s="1"/>
  <c r="N729" i="16" s="1"/>
  <c r="O729" i="16" s="1"/>
  <c r="D729" i="16"/>
  <c r="U730" i="16"/>
  <c r="S730" i="16"/>
  <c r="R730" i="16"/>
  <c r="P730" i="16"/>
  <c r="L730" i="16"/>
  <c r="M730" i="16" s="1"/>
  <c r="N730" i="16" s="1"/>
  <c r="O730" i="16" s="1"/>
  <c r="D730" i="16"/>
  <c r="U731" i="16"/>
  <c r="S731" i="16"/>
  <c r="R731" i="16"/>
  <c r="P731" i="16"/>
  <c r="L731" i="16"/>
  <c r="M731" i="16" s="1"/>
  <c r="N731" i="16" s="1"/>
  <c r="O731" i="16" s="1"/>
  <c r="D731" i="16"/>
  <c r="U732" i="16"/>
  <c r="S732" i="16"/>
  <c r="R732" i="16"/>
  <c r="P732" i="16"/>
  <c r="L732" i="16"/>
  <c r="M732" i="16" s="1"/>
  <c r="N732" i="16" s="1"/>
  <c r="O732" i="16" s="1"/>
  <c r="D732" i="16"/>
  <c r="U733" i="16"/>
  <c r="S733" i="16"/>
  <c r="R733" i="16"/>
  <c r="P733" i="16"/>
  <c r="L733" i="16"/>
  <c r="M733" i="16" s="1"/>
  <c r="N733" i="16" s="1"/>
  <c r="O733" i="16" s="1"/>
  <c r="D733" i="16"/>
  <c r="U734" i="16"/>
  <c r="S734" i="16"/>
  <c r="R734" i="16"/>
  <c r="P734" i="16"/>
  <c r="L734" i="16"/>
  <c r="M734" i="16" s="1"/>
  <c r="N734" i="16" s="1"/>
  <c r="O734" i="16" s="1"/>
  <c r="D734" i="16"/>
  <c r="U735" i="16"/>
  <c r="S735" i="16"/>
  <c r="R735" i="16"/>
  <c r="P735" i="16"/>
  <c r="L735" i="16"/>
  <c r="M735" i="16" s="1"/>
  <c r="N735" i="16" s="1"/>
  <c r="O735" i="16" s="1"/>
  <c r="D735" i="16"/>
  <c r="U736" i="16"/>
  <c r="S736" i="16"/>
  <c r="R736" i="16"/>
  <c r="P736" i="16"/>
  <c r="L736" i="16"/>
  <c r="M736" i="16" s="1"/>
  <c r="N736" i="16" s="1"/>
  <c r="O736" i="16" s="1"/>
  <c r="D736" i="16"/>
  <c r="U737" i="16"/>
  <c r="S737" i="16"/>
  <c r="R737" i="16"/>
  <c r="P737" i="16"/>
  <c r="L737" i="16"/>
  <c r="M737" i="16" s="1"/>
  <c r="N737" i="16" s="1"/>
  <c r="O737" i="16" s="1"/>
  <c r="D737" i="16"/>
  <c r="U738" i="16"/>
  <c r="S738" i="16"/>
  <c r="R738" i="16"/>
  <c r="P738" i="16"/>
  <c r="L738" i="16"/>
  <c r="M738" i="16" s="1"/>
  <c r="N738" i="16" s="1"/>
  <c r="O738" i="16" s="1"/>
  <c r="D738" i="16"/>
  <c r="U739" i="16"/>
  <c r="S739" i="16"/>
  <c r="R739" i="16"/>
  <c r="P739" i="16"/>
  <c r="L739" i="16"/>
  <c r="M739" i="16" s="1"/>
  <c r="N739" i="16" s="1"/>
  <c r="O739" i="16" s="1"/>
  <c r="D739" i="16"/>
  <c r="U740" i="16"/>
  <c r="S740" i="16"/>
  <c r="R740" i="16"/>
  <c r="P740" i="16"/>
  <c r="L740" i="16"/>
  <c r="M740" i="16" s="1"/>
  <c r="N740" i="16" s="1"/>
  <c r="O740" i="16" s="1"/>
  <c r="D740" i="16"/>
  <c r="U741" i="16"/>
  <c r="S741" i="16"/>
  <c r="R741" i="16"/>
  <c r="P741" i="16"/>
  <c r="L741" i="16"/>
  <c r="M741" i="16" s="1"/>
  <c r="N741" i="16" s="1"/>
  <c r="O741" i="16" s="1"/>
  <c r="D741" i="16"/>
  <c r="U742" i="16"/>
  <c r="S742" i="16"/>
  <c r="R742" i="16"/>
  <c r="P742" i="16"/>
  <c r="L742" i="16"/>
  <c r="M742" i="16" s="1"/>
  <c r="N742" i="16" s="1"/>
  <c r="O742" i="16" s="1"/>
  <c r="D742" i="16"/>
  <c r="U743" i="16"/>
  <c r="S743" i="16"/>
  <c r="R743" i="16"/>
  <c r="P743" i="16"/>
  <c r="L743" i="16"/>
  <c r="M743" i="16" s="1"/>
  <c r="N743" i="16" s="1"/>
  <c r="O743" i="16" s="1"/>
  <c r="D743" i="16"/>
  <c r="U744" i="16"/>
  <c r="S744" i="16"/>
  <c r="R744" i="16"/>
  <c r="P744" i="16"/>
  <c r="L744" i="16"/>
  <c r="M744" i="16" s="1"/>
  <c r="N744" i="16" s="1"/>
  <c r="O744" i="16" s="1"/>
  <c r="D744" i="16"/>
  <c r="U745" i="16"/>
  <c r="S745" i="16"/>
  <c r="R745" i="16"/>
  <c r="P745" i="16"/>
  <c r="L745" i="16"/>
  <c r="M745" i="16" s="1"/>
  <c r="N745" i="16" s="1"/>
  <c r="O745" i="16" s="1"/>
  <c r="D745" i="16"/>
  <c r="U746" i="16"/>
  <c r="S746" i="16"/>
  <c r="R746" i="16"/>
  <c r="P746" i="16"/>
  <c r="L746" i="16"/>
  <c r="M746" i="16" s="1"/>
  <c r="N746" i="16" s="1"/>
  <c r="O746" i="16" s="1"/>
  <c r="D746" i="16"/>
  <c r="U747" i="16"/>
  <c r="S747" i="16"/>
  <c r="R747" i="16"/>
  <c r="P747" i="16"/>
  <c r="L747" i="16"/>
  <c r="M747" i="16" s="1"/>
  <c r="N747" i="16" s="1"/>
  <c r="O747" i="16" s="1"/>
  <c r="D747" i="16"/>
  <c r="U748" i="16"/>
  <c r="S748" i="16"/>
  <c r="R748" i="16"/>
  <c r="P748" i="16"/>
  <c r="L748" i="16"/>
  <c r="M748" i="16" s="1"/>
  <c r="N748" i="16" s="1"/>
  <c r="O748" i="16" s="1"/>
  <c r="D748" i="16"/>
  <c r="U749" i="16"/>
  <c r="S749" i="16"/>
  <c r="R749" i="16"/>
  <c r="P749" i="16"/>
  <c r="L749" i="16"/>
  <c r="M749" i="16" s="1"/>
  <c r="N749" i="16" s="1"/>
  <c r="O749" i="16" s="1"/>
  <c r="D749" i="16"/>
  <c r="U750" i="16"/>
  <c r="S750" i="16"/>
  <c r="R750" i="16"/>
  <c r="P750" i="16"/>
  <c r="L750" i="16"/>
  <c r="M750" i="16" s="1"/>
  <c r="N750" i="16" s="1"/>
  <c r="O750" i="16" s="1"/>
  <c r="D750" i="16"/>
  <c r="U751" i="16"/>
  <c r="S751" i="16"/>
  <c r="R751" i="16"/>
  <c r="P751" i="16"/>
  <c r="L751" i="16"/>
  <c r="M751" i="16" s="1"/>
  <c r="N751" i="16" s="1"/>
  <c r="O751" i="16" s="1"/>
  <c r="D751" i="16"/>
  <c r="U752" i="16"/>
  <c r="S752" i="16"/>
  <c r="R752" i="16"/>
  <c r="P752" i="16"/>
  <c r="L752" i="16"/>
  <c r="M752" i="16" s="1"/>
  <c r="N752" i="16" s="1"/>
  <c r="O752" i="16" s="1"/>
  <c r="D752" i="16"/>
  <c r="U753" i="16"/>
  <c r="S753" i="16"/>
  <c r="R753" i="16"/>
  <c r="P753" i="16"/>
  <c r="L753" i="16"/>
  <c r="M753" i="16" s="1"/>
  <c r="N753" i="16" s="1"/>
  <c r="O753" i="16" s="1"/>
  <c r="D753" i="16"/>
  <c r="U754" i="16"/>
  <c r="S754" i="16"/>
  <c r="R754" i="16"/>
  <c r="P754" i="16"/>
  <c r="L754" i="16"/>
  <c r="M754" i="16" s="1"/>
  <c r="N754" i="16" s="1"/>
  <c r="O754" i="16" s="1"/>
  <c r="D754" i="16"/>
  <c r="U755" i="16"/>
  <c r="S755" i="16"/>
  <c r="R755" i="16"/>
  <c r="P755" i="16"/>
  <c r="L755" i="16"/>
  <c r="M755" i="16" s="1"/>
  <c r="N755" i="16" s="1"/>
  <c r="O755" i="16" s="1"/>
  <c r="D755" i="16"/>
  <c r="U756" i="16"/>
  <c r="S756" i="16"/>
  <c r="R756" i="16"/>
  <c r="P756" i="16"/>
  <c r="L756" i="16"/>
  <c r="M756" i="16" s="1"/>
  <c r="N756" i="16" s="1"/>
  <c r="O756" i="16" s="1"/>
  <c r="D756" i="16"/>
  <c r="U757" i="16"/>
  <c r="S757" i="16"/>
  <c r="R757" i="16"/>
  <c r="P757" i="16"/>
  <c r="L757" i="16"/>
  <c r="M757" i="16" s="1"/>
  <c r="N757" i="16" s="1"/>
  <c r="O757" i="16" s="1"/>
  <c r="D757" i="16"/>
  <c r="U758" i="16"/>
  <c r="S758" i="16"/>
  <c r="R758" i="16"/>
  <c r="P758" i="16"/>
  <c r="L758" i="16"/>
  <c r="M758" i="16" s="1"/>
  <c r="N758" i="16" s="1"/>
  <c r="O758" i="16" s="1"/>
  <c r="D758" i="16"/>
  <c r="U759" i="16"/>
  <c r="S759" i="16"/>
  <c r="R759" i="16"/>
  <c r="P759" i="16"/>
  <c r="L759" i="16"/>
  <c r="M759" i="16" s="1"/>
  <c r="N759" i="16" s="1"/>
  <c r="O759" i="16" s="1"/>
  <c r="D759" i="16"/>
  <c r="U760" i="16"/>
  <c r="S760" i="16"/>
  <c r="R760" i="16"/>
  <c r="P760" i="16"/>
  <c r="L760" i="16"/>
  <c r="M760" i="16" s="1"/>
  <c r="N760" i="16" s="1"/>
  <c r="O760" i="16" s="1"/>
  <c r="D760" i="16"/>
  <c r="U761" i="16"/>
  <c r="S761" i="16"/>
  <c r="R761" i="16"/>
  <c r="P761" i="16"/>
  <c r="L761" i="16"/>
  <c r="M761" i="16" s="1"/>
  <c r="N761" i="16" s="1"/>
  <c r="O761" i="16" s="1"/>
  <c r="D761" i="16"/>
  <c r="U762" i="16"/>
  <c r="S762" i="16"/>
  <c r="R762" i="16"/>
  <c r="P762" i="16"/>
  <c r="L762" i="16"/>
  <c r="M762" i="16" s="1"/>
  <c r="N762" i="16" s="1"/>
  <c r="O762" i="16" s="1"/>
  <c r="D762" i="16"/>
  <c r="U763" i="16"/>
  <c r="S763" i="16"/>
  <c r="R763" i="16"/>
  <c r="P763" i="16"/>
  <c r="L763" i="16"/>
  <c r="M763" i="16" s="1"/>
  <c r="N763" i="16" s="1"/>
  <c r="O763" i="16" s="1"/>
  <c r="D763" i="16"/>
  <c r="U764" i="16"/>
  <c r="S764" i="16"/>
  <c r="R764" i="16"/>
  <c r="P764" i="16"/>
  <c r="L764" i="16"/>
  <c r="M764" i="16" s="1"/>
  <c r="N764" i="16" s="1"/>
  <c r="O764" i="16" s="1"/>
  <c r="D764" i="16"/>
  <c r="U765" i="16"/>
  <c r="S765" i="16"/>
  <c r="R765" i="16"/>
  <c r="P765" i="16"/>
  <c r="L765" i="16"/>
  <c r="M765" i="16" s="1"/>
  <c r="N765" i="16" s="1"/>
  <c r="O765" i="16" s="1"/>
  <c r="D765" i="16"/>
  <c r="U766" i="16"/>
  <c r="S766" i="16"/>
  <c r="R766" i="16"/>
  <c r="P766" i="16"/>
  <c r="L766" i="16"/>
  <c r="M766" i="16" s="1"/>
  <c r="N766" i="16" s="1"/>
  <c r="O766" i="16" s="1"/>
  <c r="D766" i="16"/>
  <c r="U767" i="16"/>
  <c r="S767" i="16"/>
  <c r="R767" i="16"/>
  <c r="P767" i="16"/>
  <c r="L767" i="16"/>
  <c r="M767" i="16" s="1"/>
  <c r="N767" i="16" s="1"/>
  <c r="O767" i="16" s="1"/>
  <c r="D767" i="16"/>
  <c r="U768" i="16"/>
  <c r="S768" i="16"/>
  <c r="R768" i="16"/>
  <c r="P768" i="16"/>
  <c r="L768" i="16"/>
  <c r="M768" i="16" s="1"/>
  <c r="N768" i="16" s="1"/>
  <c r="O768" i="16" s="1"/>
  <c r="D768" i="16"/>
  <c r="U769" i="16"/>
  <c r="S769" i="16"/>
  <c r="R769" i="16"/>
  <c r="P769" i="16"/>
  <c r="L769" i="16"/>
  <c r="M769" i="16" s="1"/>
  <c r="N769" i="16" s="1"/>
  <c r="O769" i="16" s="1"/>
  <c r="D769" i="16"/>
  <c r="U770" i="16"/>
  <c r="S770" i="16"/>
  <c r="R770" i="16"/>
  <c r="P770" i="16"/>
  <c r="L770" i="16"/>
  <c r="M770" i="16" s="1"/>
  <c r="N770" i="16" s="1"/>
  <c r="O770" i="16" s="1"/>
  <c r="D770" i="16"/>
  <c r="U771" i="16"/>
  <c r="S771" i="16"/>
  <c r="R771" i="16"/>
  <c r="P771" i="16"/>
  <c r="L771" i="16"/>
  <c r="M771" i="16" s="1"/>
  <c r="N771" i="16" s="1"/>
  <c r="O771" i="16" s="1"/>
  <c r="D771" i="16"/>
  <c r="U772" i="16"/>
  <c r="S772" i="16"/>
  <c r="R772" i="16"/>
  <c r="P772" i="16"/>
  <c r="L772" i="16"/>
  <c r="M772" i="16" s="1"/>
  <c r="N772" i="16" s="1"/>
  <c r="O772" i="16" s="1"/>
  <c r="D772" i="16"/>
  <c r="U773" i="16"/>
  <c r="S773" i="16"/>
  <c r="R773" i="16"/>
  <c r="P773" i="16"/>
  <c r="L773" i="16"/>
  <c r="M773" i="16" s="1"/>
  <c r="N773" i="16" s="1"/>
  <c r="O773" i="16" s="1"/>
  <c r="D773" i="16"/>
  <c r="U774" i="16"/>
  <c r="S774" i="16"/>
  <c r="R774" i="16"/>
  <c r="P774" i="16"/>
  <c r="L774" i="16"/>
  <c r="M774" i="16" s="1"/>
  <c r="N774" i="16" s="1"/>
  <c r="O774" i="16" s="1"/>
  <c r="D774" i="16"/>
  <c r="U775" i="16"/>
  <c r="S775" i="16"/>
  <c r="R775" i="16"/>
  <c r="P775" i="16"/>
  <c r="L775" i="16"/>
  <c r="M775" i="16" s="1"/>
  <c r="N775" i="16" s="1"/>
  <c r="O775" i="16" s="1"/>
  <c r="D775" i="16"/>
  <c r="U776" i="16"/>
  <c r="S776" i="16"/>
  <c r="R776" i="16"/>
  <c r="P776" i="16"/>
  <c r="L776" i="16"/>
  <c r="M776" i="16" s="1"/>
  <c r="N776" i="16" s="1"/>
  <c r="O776" i="16" s="1"/>
  <c r="D776" i="16"/>
  <c r="U777" i="16"/>
  <c r="S777" i="16"/>
  <c r="R777" i="16"/>
  <c r="P777" i="16"/>
  <c r="L777" i="16"/>
  <c r="M777" i="16" s="1"/>
  <c r="N777" i="16" s="1"/>
  <c r="O777" i="16" s="1"/>
  <c r="D777" i="16"/>
  <c r="U778" i="16"/>
  <c r="S778" i="16"/>
  <c r="R778" i="16"/>
  <c r="P778" i="16"/>
  <c r="L778" i="16"/>
  <c r="M778" i="16" s="1"/>
  <c r="N778" i="16" s="1"/>
  <c r="O778" i="16" s="1"/>
  <c r="D778" i="16"/>
  <c r="U779" i="16"/>
  <c r="S779" i="16"/>
  <c r="R779" i="16"/>
  <c r="P779" i="16"/>
  <c r="L779" i="16"/>
  <c r="M779" i="16" s="1"/>
  <c r="N779" i="16" s="1"/>
  <c r="O779" i="16" s="1"/>
  <c r="D779" i="16"/>
  <c r="U780" i="16"/>
  <c r="S780" i="16"/>
  <c r="R780" i="16"/>
  <c r="P780" i="16"/>
  <c r="L780" i="16"/>
  <c r="M780" i="16" s="1"/>
  <c r="N780" i="16" s="1"/>
  <c r="O780" i="16" s="1"/>
  <c r="D780" i="16"/>
  <c r="U781" i="16"/>
  <c r="S781" i="16"/>
  <c r="R781" i="16"/>
  <c r="P781" i="16"/>
  <c r="L781" i="16"/>
  <c r="M781" i="16" s="1"/>
  <c r="N781" i="16" s="1"/>
  <c r="O781" i="16" s="1"/>
  <c r="D781" i="16"/>
  <c r="U782" i="16"/>
  <c r="S782" i="16"/>
  <c r="R782" i="16"/>
  <c r="P782" i="16"/>
  <c r="L782" i="16"/>
  <c r="M782" i="16" s="1"/>
  <c r="N782" i="16" s="1"/>
  <c r="O782" i="16" s="1"/>
  <c r="D782" i="16"/>
  <c r="U783" i="16"/>
  <c r="S783" i="16"/>
  <c r="R783" i="16"/>
  <c r="P783" i="16"/>
  <c r="L783" i="16"/>
  <c r="M783" i="16" s="1"/>
  <c r="N783" i="16" s="1"/>
  <c r="O783" i="16" s="1"/>
  <c r="D783" i="16"/>
  <c r="U784" i="16"/>
  <c r="S784" i="16"/>
  <c r="R784" i="16"/>
  <c r="P784" i="16"/>
  <c r="L784" i="16"/>
  <c r="M784" i="16" s="1"/>
  <c r="N784" i="16" s="1"/>
  <c r="O784" i="16" s="1"/>
  <c r="D784" i="16"/>
  <c r="U785" i="16"/>
  <c r="S785" i="16"/>
  <c r="R785" i="16"/>
  <c r="P785" i="16"/>
  <c r="L785" i="16"/>
  <c r="M785" i="16" s="1"/>
  <c r="N785" i="16" s="1"/>
  <c r="O785" i="16" s="1"/>
  <c r="D785" i="16"/>
  <c r="U786" i="16"/>
  <c r="S786" i="16"/>
  <c r="R786" i="16"/>
  <c r="P786" i="16"/>
  <c r="L786" i="16"/>
  <c r="M786" i="16" s="1"/>
  <c r="N786" i="16" s="1"/>
  <c r="O786" i="16" s="1"/>
  <c r="D786" i="16"/>
  <c r="U787" i="16"/>
  <c r="S787" i="16"/>
  <c r="R787" i="16"/>
  <c r="P787" i="16"/>
  <c r="L787" i="16"/>
  <c r="M787" i="16" s="1"/>
  <c r="N787" i="16" s="1"/>
  <c r="O787" i="16" s="1"/>
  <c r="D787" i="16"/>
  <c r="U788" i="16"/>
  <c r="S788" i="16"/>
  <c r="R788" i="16"/>
  <c r="P788" i="16"/>
  <c r="L788" i="16"/>
  <c r="M788" i="16" s="1"/>
  <c r="N788" i="16" s="1"/>
  <c r="O788" i="16" s="1"/>
  <c r="D788" i="16"/>
  <c r="U789" i="16"/>
  <c r="S789" i="16"/>
  <c r="R789" i="16"/>
  <c r="P789" i="16"/>
  <c r="L789" i="16"/>
  <c r="M789" i="16" s="1"/>
  <c r="N789" i="16" s="1"/>
  <c r="O789" i="16" s="1"/>
  <c r="D789" i="16"/>
  <c r="U790" i="16"/>
  <c r="S790" i="16"/>
  <c r="R790" i="16"/>
  <c r="P790" i="16"/>
  <c r="L790" i="16"/>
  <c r="M790" i="16" s="1"/>
  <c r="N790" i="16" s="1"/>
  <c r="O790" i="16" s="1"/>
  <c r="D790" i="16"/>
  <c r="U791" i="16"/>
  <c r="S791" i="16"/>
  <c r="R791" i="16"/>
  <c r="P791" i="16"/>
  <c r="L791" i="16"/>
  <c r="M791" i="16" s="1"/>
  <c r="N791" i="16" s="1"/>
  <c r="O791" i="16" s="1"/>
  <c r="D791" i="16"/>
  <c r="U792" i="16"/>
  <c r="S792" i="16"/>
  <c r="R792" i="16"/>
  <c r="P792" i="16"/>
  <c r="L792" i="16"/>
  <c r="M792" i="16" s="1"/>
  <c r="N792" i="16" s="1"/>
  <c r="O792" i="16" s="1"/>
  <c r="D792" i="16"/>
  <c r="U793" i="16"/>
  <c r="S793" i="16"/>
  <c r="R793" i="16"/>
  <c r="P793" i="16"/>
  <c r="L793" i="16"/>
  <c r="M793" i="16" s="1"/>
  <c r="N793" i="16" s="1"/>
  <c r="O793" i="16" s="1"/>
  <c r="D793" i="16"/>
  <c r="U794" i="16"/>
  <c r="S794" i="16"/>
  <c r="R794" i="16"/>
  <c r="P794" i="16"/>
  <c r="L794" i="16"/>
  <c r="M794" i="16" s="1"/>
  <c r="N794" i="16" s="1"/>
  <c r="O794" i="16" s="1"/>
  <c r="D794" i="16"/>
  <c r="U795" i="16"/>
  <c r="S795" i="16"/>
  <c r="R795" i="16"/>
  <c r="P795" i="16"/>
  <c r="L795" i="16"/>
  <c r="M795" i="16" s="1"/>
  <c r="N795" i="16" s="1"/>
  <c r="O795" i="16" s="1"/>
  <c r="D795" i="16"/>
  <c r="U796" i="16"/>
  <c r="S796" i="16"/>
  <c r="R796" i="16"/>
  <c r="P796" i="16"/>
  <c r="L796" i="16"/>
  <c r="M796" i="16" s="1"/>
  <c r="N796" i="16" s="1"/>
  <c r="O796" i="16" s="1"/>
  <c r="D796" i="16"/>
  <c r="U797" i="16"/>
  <c r="S797" i="16"/>
  <c r="R797" i="16"/>
  <c r="P797" i="16"/>
  <c r="L797" i="16"/>
  <c r="M797" i="16" s="1"/>
  <c r="N797" i="16" s="1"/>
  <c r="O797" i="16" s="1"/>
  <c r="D797" i="16"/>
  <c r="U798" i="16"/>
  <c r="S798" i="16"/>
  <c r="R798" i="16"/>
  <c r="P798" i="16"/>
  <c r="L798" i="16"/>
  <c r="M798" i="16" s="1"/>
  <c r="N798" i="16" s="1"/>
  <c r="O798" i="16" s="1"/>
  <c r="D798" i="16"/>
  <c r="U799" i="16"/>
  <c r="S799" i="16"/>
  <c r="R799" i="16"/>
  <c r="P799" i="16"/>
  <c r="L799" i="16"/>
  <c r="M799" i="16" s="1"/>
  <c r="N799" i="16" s="1"/>
  <c r="O799" i="16" s="1"/>
  <c r="D799" i="16"/>
  <c r="U800" i="16"/>
  <c r="S800" i="16"/>
  <c r="R800" i="16"/>
  <c r="P800" i="16"/>
  <c r="L800" i="16"/>
  <c r="M800" i="16" s="1"/>
  <c r="N800" i="16" s="1"/>
  <c r="O800" i="16" s="1"/>
  <c r="D800" i="16"/>
  <c r="U801" i="16"/>
  <c r="S801" i="16"/>
  <c r="R801" i="16"/>
  <c r="P801" i="16"/>
  <c r="L801" i="16"/>
  <c r="M801" i="16" s="1"/>
  <c r="N801" i="16" s="1"/>
  <c r="O801" i="16" s="1"/>
  <c r="D801" i="16"/>
  <c r="U802" i="16"/>
  <c r="S802" i="16"/>
  <c r="R802" i="16"/>
  <c r="P802" i="16"/>
  <c r="L802" i="16"/>
  <c r="M802" i="16" s="1"/>
  <c r="N802" i="16" s="1"/>
  <c r="O802" i="16" s="1"/>
  <c r="D802" i="16"/>
  <c r="U803" i="16"/>
  <c r="S803" i="16"/>
  <c r="R803" i="16"/>
  <c r="P803" i="16"/>
  <c r="L803" i="16"/>
  <c r="M803" i="16" s="1"/>
  <c r="N803" i="16" s="1"/>
  <c r="O803" i="16" s="1"/>
  <c r="D803" i="16"/>
  <c r="U804" i="16"/>
  <c r="S804" i="16"/>
  <c r="R804" i="16"/>
  <c r="P804" i="16"/>
  <c r="L804" i="16"/>
  <c r="M804" i="16" s="1"/>
  <c r="N804" i="16" s="1"/>
  <c r="O804" i="16" s="1"/>
  <c r="D804" i="16"/>
  <c r="U805" i="16"/>
  <c r="S805" i="16"/>
  <c r="R805" i="16"/>
  <c r="P805" i="16"/>
  <c r="L805" i="16"/>
  <c r="M805" i="16" s="1"/>
  <c r="N805" i="16" s="1"/>
  <c r="O805" i="16" s="1"/>
  <c r="D805" i="16"/>
  <c r="U806" i="16"/>
  <c r="S806" i="16"/>
  <c r="R806" i="16"/>
  <c r="P806" i="16"/>
  <c r="L806" i="16"/>
  <c r="M806" i="16" s="1"/>
  <c r="N806" i="16" s="1"/>
  <c r="O806" i="16" s="1"/>
  <c r="D806" i="16"/>
  <c r="U807" i="16"/>
  <c r="S807" i="16"/>
  <c r="R807" i="16"/>
  <c r="P807" i="16"/>
  <c r="L807" i="16"/>
  <c r="M807" i="16" s="1"/>
  <c r="N807" i="16" s="1"/>
  <c r="O807" i="16" s="1"/>
  <c r="D807" i="16"/>
  <c r="U808" i="16"/>
  <c r="S808" i="16"/>
  <c r="R808" i="16"/>
  <c r="P808" i="16"/>
  <c r="L808" i="16"/>
  <c r="M808" i="16" s="1"/>
  <c r="N808" i="16" s="1"/>
  <c r="O808" i="16" s="1"/>
  <c r="D808" i="16"/>
  <c r="U809" i="16"/>
  <c r="S809" i="16"/>
  <c r="R809" i="16"/>
  <c r="P809" i="16"/>
  <c r="L809" i="16"/>
  <c r="M809" i="16" s="1"/>
  <c r="N809" i="16" s="1"/>
  <c r="O809" i="16" s="1"/>
  <c r="D809" i="16"/>
  <c r="U810" i="16"/>
  <c r="S810" i="16"/>
  <c r="R810" i="16"/>
  <c r="P810" i="16"/>
  <c r="L810" i="16"/>
  <c r="M810" i="16" s="1"/>
  <c r="N810" i="16" s="1"/>
  <c r="O810" i="16" s="1"/>
  <c r="D810" i="16"/>
  <c r="U811" i="16"/>
  <c r="S811" i="16"/>
  <c r="R811" i="16"/>
  <c r="P811" i="16"/>
  <c r="L811" i="16"/>
  <c r="M811" i="16" s="1"/>
  <c r="N811" i="16" s="1"/>
  <c r="O811" i="16" s="1"/>
  <c r="D811" i="16"/>
  <c r="U812" i="16"/>
  <c r="S812" i="16"/>
  <c r="R812" i="16"/>
  <c r="P812" i="16"/>
  <c r="L812" i="16"/>
  <c r="M812" i="16" s="1"/>
  <c r="N812" i="16" s="1"/>
  <c r="O812" i="16" s="1"/>
  <c r="D812" i="16"/>
  <c r="U813" i="16"/>
  <c r="S813" i="16"/>
  <c r="R813" i="16"/>
  <c r="P813" i="16"/>
  <c r="L813" i="16"/>
  <c r="M813" i="16" s="1"/>
  <c r="N813" i="16" s="1"/>
  <c r="O813" i="16" s="1"/>
  <c r="D813" i="16"/>
  <c r="U814" i="16"/>
  <c r="S814" i="16"/>
  <c r="R814" i="16"/>
  <c r="P814" i="16"/>
  <c r="L814" i="16"/>
  <c r="M814" i="16" s="1"/>
  <c r="N814" i="16" s="1"/>
  <c r="O814" i="16" s="1"/>
  <c r="D814" i="16"/>
  <c r="U815" i="16"/>
  <c r="S815" i="16"/>
  <c r="R815" i="16"/>
  <c r="P815" i="16"/>
  <c r="L815" i="16"/>
  <c r="M815" i="16" s="1"/>
  <c r="N815" i="16" s="1"/>
  <c r="O815" i="16" s="1"/>
  <c r="D815" i="16"/>
  <c r="U816" i="16"/>
  <c r="S816" i="16"/>
  <c r="R816" i="16"/>
  <c r="P816" i="16"/>
  <c r="L816" i="16"/>
  <c r="M816" i="16" s="1"/>
  <c r="N816" i="16" s="1"/>
  <c r="O816" i="16" s="1"/>
  <c r="D816" i="16"/>
  <c r="U817" i="16"/>
  <c r="S817" i="16"/>
  <c r="R817" i="16"/>
  <c r="P817" i="16"/>
  <c r="L817" i="16"/>
  <c r="M817" i="16" s="1"/>
  <c r="N817" i="16" s="1"/>
  <c r="O817" i="16" s="1"/>
  <c r="D817" i="16"/>
  <c r="U818" i="16"/>
  <c r="S818" i="16"/>
  <c r="R818" i="16"/>
  <c r="P818" i="16"/>
  <c r="L818" i="16"/>
  <c r="M818" i="16" s="1"/>
  <c r="N818" i="16" s="1"/>
  <c r="O818" i="16" s="1"/>
  <c r="D818" i="16"/>
  <c r="U819" i="16"/>
  <c r="S819" i="16"/>
  <c r="R819" i="16"/>
  <c r="P819" i="16"/>
  <c r="L819" i="16"/>
  <c r="M819" i="16" s="1"/>
  <c r="N819" i="16" s="1"/>
  <c r="O819" i="16" s="1"/>
  <c r="D819" i="16"/>
  <c r="U820" i="16"/>
  <c r="S820" i="16"/>
  <c r="R820" i="16"/>
  <c r="P820" i="16"/>
  <c r="L820" i="16"/>
  <c r="M820" i="16" s="1"/>
  <c r="N820" i="16" s="1"/>
  <c r="O820" i="16" s="1"/>
  <c r="D820" i="16"/>
  <c r="U821" i="16"/>
  <c r="S821" i="16"/>
  <c r="R821" i="16"/>
  <c r="P821" i="16"/>
  <c r="L821" i="16"/>
  <c r="M821" i="16" s="1"/>
  <c r="N821" i="16" s="1"/>
  <c r="O821" i="16" s="1"/>
  <c r="D821" i="16"/>
  <c r="U822" i="16"/>
  <c r="S822" i="16"/>
  <c r="R822" i="16"/>
  <c r="P822" i="16"/>
  <c r="L822" i="16"/>
  <c r="M822" i="16" s="1"/>
  <c r="N822" i="16" s="1"/>
  <c r="O822" i="16" s="1"/>
  <c r="D822" i="16"/>
  <c r="U823" i="16"/>
  <c r="S823" i="16"/>
  <c r="R823" i="16"/>
  <c r="P823" i="16"/>
  <c r="L823" i="16"/>
  <c r="M823" i="16" s="1"/>
  <c r="N823" i="16" s="1"/>
  <c r="O823" i="16" s="1"/>
  <c r="D823" i="16"/>
  <c r="U824" i="16"/>
  <c r="S824" i="16"/>
  <c r="R824" i="16"/>
  <c r="P824" i="16"/>
  <c r="L824" i="16"/>
  <c r="M824" i="16" s="1"/>
  <c r="N824" i="16" s="1"/>
  <c r="O824" i="16" s="1"/>
  <c r="D824" i="16"/>
  <c r="U825" i="16"/>
  <c r="S825" i="16"/>
  <c r="R825" i="16"/>
  <c r="P825" i="16"/>
  <c r="L825" i="16"/>
  <c r="M825" i="16" s="1"/>
  <c r="N825" i="16" s="1"/>
  <c r="O825" i="16" s="1"/>
  <c r="D825" i="16"/>
  <c r="U826" i="16"/>
  <c r="S826" i="16"/>
  <c r="R826" i="16"/>
  <c r="P826" i="16"/>
  <c r="L826" i="16"/>
  <c r="M826" i="16" s="1"/>
  <c r="N826" i="16" s="1"/>
  <c r="O826" i="16" s="1"/>
  <c r="D826" i="16"/>
  <c r="U827" i="16"/>
  <c r="S827" i="16"/>
  <c r="R827" i="16"/>
  <c r="P827" i="16"/>
  <c r="L827" i="16"/>
  <c r="M827" i="16" s="1"/>
  <c r="N827" i="16" s="1"/>
  <c r="O827" i="16" s="1"/>
  <c r="D827" i="16"/>
  <c r="U828" i="16"/>
  <c r="S828" i="16"/>
  <c r="R828" i="16"/>
  <c r="P828" i="16"/>
  <c r="L828" i="16"/>
  <c r="M828" i="16" s="1"/>
  <c r="N828" i="16" s="1"/>
  <c r="O828" i="16" s="1"/>
  <c r="D828" i="16"/>
  <c r="U829" i="16"/>
  <c r="S829" i="16"/>
  <c r="R829" i="16"/>
  <c r="P829" i="16"/>
  <c r="L829" i="16"/>
  <c r="M829" i="16" s="1"/>
  <c r="N829" i="16" s="1"/>
  <c r="O829" i="16" s="1"/>
  <c r="D829" i="16"/>
  <c r="U830" i="16"/>
  <c r="S830" i="16"/>
  <c r="R830" i="16"/>
  <c r="P830" i="16"/>
  <c r="L830" i="16"/>
  <c r="M830" i="16" s="1"/>
  <c r="N830" i="16" s="1"/>
  <c r="O830" i="16" s="1"/>
  <c r="D830" i="16"/>
  <c r="U831" i="16"/>
  <c r="S831" i="16"/>
  <c r="R831" i="16"/>
  <c r="P831" i="16"/>
  <c r="L831" i="16"/>
  <c r="M831" i="16" s="1"/>
  <c r="N831" i="16" s="1"/>
  <c r="O831" i="16" s="1"/>
  <c r="D831" i="16"/>
  <c r="U832" i="16"/>
  <c r="S832" i="16"/>
  <c r="R832" i="16"/>
  <c r="P832" i="16"/>
  <c r="L832" i="16"/>
  <c r="M832" i="16" s="1"/>
  <c r="N832" i="16" s="1"/>
  <c r="O832" i="16" s="1"/>
  <c r="D832" i="16"/>
  <c r="U833" i="16"/>
  <c r="S833" i="16"/>
  <c r="R833" i="16"/>
  <c r="P833" i="16"/>
  <c r="L833" i="16"/>
  <c r="M833" i="16" s="1"/>
  <c r="N833" i="16" s="1"/>
  <c r="O833" i="16" s="1"/>
  <c r="D833" i="16"/>
  <c r="U834" i="16"/>
  <c r="S834" i="16"/>
  <c r="R834" i="16"/>
  <c r="P834" i="16"/>
  <c r="L834" i="16"/>
  <c r="M834" i="16" s="1"/>
  <c r="N834" i="16" s="1"/>
  <c r="O834" i="16" s="1"/>
  <c r="D834" i="16"/>
  <c r="U835" i="16"/>
  <c r="S835" i="16"/>
  <c r="R835" i="16"/>
  <c r="P835" i="16"/>
  <c r="L835" i="16"/>
  <c r="M835" i="16" s="1"/>
  <c r="N835" i="16" s="1"/>
  <c r="O835" i="16" s="1"/>
  <c r="D835" i="16"/>
  <c r="U836" i="16"/>
  <c r="S836" i="16"/>
  <c r="R836" i="16"/>
  <c r="P836" i="16"/>
  <c r="L836" i="16"/>
  <c r="M836" i="16" s="1"/>
  <c r="N836" i="16" s="1"/>
  <c r="O836" i="16" s="1"/>
  <c r="D836" i="16"/>
  <c r="U837" i="16"/>
  <c r="S837" i="16"/>
  <c r="R837" i="16"/>
  <c r="P837" i="16"/>
  <c r="L837" i="16"/>
  <c r="M837" i="16" s="1"/>
  <c r="N837" i="16" s="1"/>
  <c r="O837" i="16" s="1"/>
  <c r="D837" i="16"/>
  <c r="U838" i="16"/>
  <c r="S838" i="16"/>
  <c r="R838" i="16"/>
  <c r="P838" i="16"/>
  <c r="L838" i="16"/>
  <c r="M838" i="16" s="1"/>
  <c r="N838" i="16" s="1"/>
  <c r="O838" i="16" s="1"/>
  <c r="D838" i="16"/>
  <c r="U839" i="16"/>
  <c r="S839" i="16"/>
  <c r="R839" i="16"/>
  <c r="P839" i="16"/>
  <c r="L839" i="16"/>
  <c r="M839" i="16" s="1"/>
  <c r="N839" i="16" s="1"/>
  <c r="O839" i="16" s="1"/>
  <c r="D839" i="16"/>
  <c r="U840" i="16"/>
  <c r="S840" i="16"/>
  <c r="R840" i="16"/>
  <c r="P840" i="16"/>
  <c r="L840" i="16"/>
  <c r="M840" i="16" s="1"/>
  <c r="N840" i="16" s="1"/>
  <c r="O840" i="16" s="1"/>
  <c r="D840" i="16"/>
  <c r="U841" i="16"/>
  <c r="S841" i="16"/>
  <c r="R841" i="16"/>
  <c r="P841" i="16"/>
  <c r="L841" i="16"/>
  <c r="M841" i="16" s="1"/>
  <c r="N841" i="16" s="1"/>
  <c r="O841" i="16" s="1"/>
  <c r="D841" i="16"/>
  <c r="U842" i="16"/>
  <c r="S842" i="16"/>
  <c r="R842" i="16"/>
  <c r="P842" i="16"/>
  <c r="L842" i="16"/>
  <c r="M842" i="16" s="1"/>
  <c r="N842" i="16" s="1"/>
  <c r="O842" i="16" s="1"/>
  <c r="D842" i="16"/>
  <c r="U843" i="16"/>
  <c r="S843" i="16"/>
  <c r="R843" i="16"/>
  <c r="P843" i="16"/>
  <c r="L843" i="16"/>
  <c r="M843" i="16" s="1"/>
  <c r="N843" i="16" s="1"/>
  <c r="O843" i="16" s="1"/>
  <c r="D843" i="16"/>
  <c r="U844" i="16"/>
  <c r="S844" i="16"/>
  <c r="R844" i="16"/>
  <c r="P844" i="16"/>
  <c r="L844" i="16"/>
  <c r="M844" i="16" s="1"/>
  <c r="N844" i="16" s="1"/>
  <c r="O844" i="16" s="1"/>
  <c r="D844" i="16"/>
  <c r="U845" i="16"/>
  <c r="S845" i="16"/>
  <c r="R845" i="16"/>
  <c r="P845" i="16"/>
  <c r="L845" i="16"/>
  <c r="M845" i="16" s="1"/>
  <c r="N845" i="16" s="1"/>
  <c r="O845" i="16" s="1"/>
  <c r="D845" i="16"/>
  <c r="U846" i="16"/>
  <c r="S846" i="16"/>
  <c r="R846" i="16"/>
  <c r="P846" i="16"/>
  <c r="L846" i="16"/>
  <c r="M846" i="16" s="1"/>
  <c r="N846" i="16" s="1"/>
  <c r="O846" i="16" s="1"/>
  <c r="D846" i="16"/>
  <c r="U847" i="16"/>
  <c r="S847" i="16"/>
  <c r="R847" i="16"/>
  <c r="P847" i="16"/>
  <c r="L847" i="16"/>
  <c r="M847" i="16" s="1"/>
  <c r="N847" i="16" s="1"/>
  <c r="O847" i="16" s="1"/>
  <c r="D847" i="16"/>
  <c r="U848" i="16"/>
  <c r="S848" i="16"/>
  <c r="R848" i="16"/>
  <c r="P848" i="16"/>
  <c r="L848" i="16"/>
  <c r="M848" i="16" s="1"/>
  <c r="N848" i="16" s="1"/>
  <c r="O848" i="16" s="1"/>
  <c r="D848" i="16"/>
  <c r="U849" i="16"/>
  <c r="S849" i="16"/>
  <c r="R849" i="16"/>
  <c r="P849" i="16"/>
  <c r="L849" i="16"/>
  <c r="M849" i="16" s="1"/>
  <c r="N849" i="16" s="1"/>
  <c r="O849" i="16" s="1"/>
  <c r="D849" i="16"/>
  <c r="U850" i="16"/>
  <c r="S850" i="16"/>
  <c r="R850" i="16"/>
  <c r="P850" i="16"/>
  <c r="L850" i="16"/>
  <c r="M850" i="16" s="1"/>
  <c r="N850" i="16" s="1"/>
  <c r="O850" i="16" s="1"/>
  <c r="D850" i="16"/>
  <c r="U851" i="16"/>
  <c r="S851" i="16"/>
  <c r="R851" i="16"/>
  <c r="P851" i="16"/>
  <c r="L851" i="16"/>
  <c r="M851" i="16" s="1"/>
  <c r="N851" i="16" s="1"/>
  <c r="O851" i="16" s="1"/>
  <c r="D851" i="16"/>
  <c r="U852" i="16"/>
  <c r="S852" i="16"/>
  <c r="R852" i="16"/>
  <c r="P852" i="16"/>
  <c r="L852" i="16"/>
  <c r="M852" i="16" s="1"/>
  <c r="N852" i="16" s="1"/>
  <c r="O852" i="16" s="1"/>
  <c r="D852" i="16"/>
  <c r="U853" i="16"/>
  <c r="S853" i="16"/>
  <c r="R853" i="16"/>
  <c r="P853" i="16"/>
  <c r="L853" i="16"/>
  <c r="M853" i="16" s="1"/>
  <c r="N853" i="16" s="1"/>
  <c r="O853" i="16" s="1"/>
  <c r="D853" i="16"/>
  <c r="U854" i="16"/>
  <c r="S854" i="16"/>
  <c r="R854" i="16"/>
  <c r="P854" i="16"/>
  <c r="L854" i="16"/>
  <c r="M854" i="16" s="1"/>
  <c r="N854" i="16" s="1"/>
  <c r="O854" i="16" s="1"/>
  <c r="D854" i="16"/>
  <c r="U855" i="16"/>
  <c r="S855" i="16"/>
  <c r="R855" i="16"/>
  <c r="P855" i="16"/>
  <c r="L855" i="16"/>
  <c r="M855" i="16" s="1"/>
  <c r="N855" i="16" s="1"/>
  <c r="O855" i="16" s="1"/>
  <c r="D855" i="16"/>
  <c r="U856" i="16"/>
  <c r="S856" i="16"/>
  <c r="R856" i="16"/>
  <c r="P856" i="16"/>
  <c r="L856" i="16"/>
  <c r="M856" i="16" s="1"/>
  <c r="N856" i="16" s="1"/>
  <c r="O856" i="16" s="1"/>
  <c r="D856" i="16"/>
  <c r="U857" i="16"/>
  <c r="S857" i="16"/>
  <c r="R857" i="16"/>
  <c r="P857" i="16"/>
  <c r="L857" i="16"/>
  <c r="M857" i="16" s="1"/>
  <c r="N857" i="16" s="1"/>
  <c r="O857" i="16" s="1"/>
  <c r="D857" i="16"/>
  <c r="U858" i="16"/>
  <c r="S858" i="16"/>
  <c r="R858" i="16"/>
  <c r="P858" i="16"/>
  <c r="L858" i="16"/>
  <c r="M858" i="16" s="1"/>
  <c r="N858" i="16" s="1"/>
  <c r="O858" i="16" s="1"/>
  <c r="D858" i="16"/>
  <c r="U859" i="16"/>
  <c r="S859" i="16"/>
  <c r="R859" i="16"/>
  <c r="P859" i="16"/>
  <c r="L859" i="16"/>
  <c r="M859" i="16" s="1"/>
  <c r="N859" i="16" s="1"/>
  <c r="O859" i="16" s="1"/>
  <c r="D859" i="16"/>
  <c r="U860" i="16"/>
  <c r="S860" i="16"/>
  <c r="R860" i="16"/>
  <c r="P860" i="16"/>
  <c r="L860" i="16"/>
  <c r="M860" i="16" s="1"/>
  <c r="N860" i="16" s="1"/>
  <c r="O860" i="16" s="1"/>
  <c r="D860" i="16"/>
  <c r="U861" i="16"/>
  <c r="S861" i="16"/>
  <c r="R861" i="16"/>
  <c r="P861" i="16"/>
  <c r="L861" i="16"/>
  <c r="M861" i="16" s="1"/>
  <c r="N861" i="16" s="1"/>
  <c r="O861" i="16" s="1"/>
  <c r="D861" i="16"/>
  <c r="U862" i="16"/>
  <c r="S862" i="16"/>
  <c r="R862" i="16"/>
  <c r="P862" i="16"/>
  <c r="L862" i="16"/>
  <c r="M862" i="16" s="1"/>
  <c r="N862" i="16" s="1"/>
  <c r="O862" i="16" s="1"/>
  <c r="D862" i="16"/>
  <c r="U863" i="16"/>
  <c r="S863" i="16"/>
  <c r="R863" i="16"/>
  <c r="P863" i="16"/>
  <c r="L863" i="16"/>
  <c r="M863" i="16" s="1"/>
  <c r="N863" i="16" s="1"/>
  <c r="O863" i="16" s="1"/>
  <c r="D863" i="16"/>
  <c r="U864" i="16"/>
  <c r="S864" i="16"/>
  <c r="R864" i="16"/>
  <c r="P864" i="16"/>
  <c r="L864" i="16"/>
  <c r="M864" i="16" s="1"/>
  <c r="N864" i="16" s="1"/>
  <c r="O864" i="16" s="1"/>
  <c r="D864" i="16"/>
  <c r="U865" i="16"/>
  <c r="S865" i="16"/>
  <c r="R865" i="16"/>
  <c r="P865" i="16"/>
  <c r="L865" i="16"/>
  <c r="M865" i="16" s="1"/>
  <c r="N865" i="16" s="1"/>
  <c r="O865" i="16" s="1"/>
  <c r="D865" i="16"/>
  <c r="U866" i="16"/>
  <c r="S866" i="16"/>
  <c r="R866" i="16"/>
  <c r="P866" i="16"/>
  <c r="L866" i="16"/>
  <c r="M866" i="16" s="1"/>
  <c r="N866" i="16" s="1"/>
  <c r="O866" i="16" s="1"/>
  <c r="D866" i="16"/>
  <c r="U867" i="16"/>
  <c r="S867" i="16"/>
  <c r="R867" i="16"/>
  <c r="P867" i="16"/>
  <c r="L867" i="16"/>
  <c r="M867" i="16" s="1"/>
  <c r="N867" i="16" s="1"/>
  <c r="O867" i="16" s="1"/>
  <c r="D867" i="16"/>
  <c r="U868" i="16"/>
  <c r="S868" i="16"/>
  <c r="R868" i="16"/>
  <c r="P868" i="16"/>
  <c r="L868" i="16"/>
  <c r="M868" i="16" s="1"/>
  <c r="N868" i="16" s="1"/>
  <c r="O868" i="16" s="1"/>
  <c r="D868" i="16"/>
  <c r="U869" i="16"/>
  <c r="S869" i="16"/>
  <c r="R869" i="16"/>
  <c r="P869" i="16"/>
  <c r="L869" i="16"/>
  <c r="M869" i="16" s="1"/>
  <c r="N869" i="16" s="1"/>
  <c r="O869" i="16" s="1"/>
  <c r="D869" i="16"/>
  <c r="U870" i="16"/>
  <c r="S870" i="16"/>
  <c r="R870" i="16"/>
  <c r="P870" i="16"/>
  <c r="L870" i="16"/>
  <c r="M870" i="16" s="1"/>
  <c r="N870" i="16" s="1"/>
  <c r="O870" i="16" s="1"/>
  <c r="D870" i="16"/>
  <c r="U871" i="16"/>
  <c r="S871" i="16"/>
  <c r="R871" i="16"/>
  <c r="P871" i="16"/>
  <c r="L871" i="16"/>
  <c r="M871" i="16" s="1"/>
  <c r="N871" i="16" s="1"/>
  <c r="O871" i="16" s="1"/>
  <c r="D871" i="16"/>
  <c r="U872" i="16"/>
  <c r="S872" i="16"/>
  <c r="R872" i="16"/>
  <c r="P872" i="16"/>
  <c r="L872" i="16"/>
  <c r="M872" i="16" s="1"/>
  <c r="N872" i="16" s="1"/>
  <c r="O872" i="16" s="1"/>
  <c r="D872" i="16"/>
  <c r="U873" i="16"/>
  <c r="S873" i="16"/>
  <c r="R873" i="16"/>
  <c r="P873" i="16"/>
  <c r="L873" i="16"/>
  <c r="M873" i="16" s="1"/>
  <c r="N873" i="16" s="1"/>
  <c r="O873" i="16" s="1"/>
  <c r="D873" i="16"/>
  <c r="U874" i="16"/>
  <c r="S874" i="16"/>
  <c r="R874" i="16"/>
  <c r="P874" i="16"/>
  <c r="L874" i="16"/>
  <c r="M874" i="16" s="1"/>
  <c r="N874" i="16" s="1"/>
  <c r="O874" i="16" s="1"/>
  <c r="D874" i="16"/>
  <c r="U875" i="16"/>
  <c r="S875" i="16"/>
  <c r="R875" i="16"/>
  <c r="P875" i="16"/>
  <c r="L875" i="16"/>
  <c r="M875" i="16" s="1"/>
  <c r="N875" i="16" s="1"/>
  <c r="O875" i="16" s="1"/>
  <c r="D875" i="16"/>
  <c r="U876" i="16"/>
  <c r="S876" i="16"/>
  <c r="R876" i="16"/>
  <c r="P876" i="16"/>
  <c r="L876" i="16"/>
  <c r="M876" i="16" s="1"/>
  <c r="N876" i="16" s="1"/>
  <c r="O876" i="16" s="1"/>
  <c r="D876" i="16"/>
  <c r="U877" i="16"/>
  <c r="S877" i="16"/>
  <c r="R877" i="16"/>
  <c r="P877" i="16"/>
  <c r="L877" i="16"/>
  <c r="M877" i="16" s="1"/>
  <c r="N877" i="16" s="1"/>
  <c r="O877" i="16" s="1"/>
  <c r="D877" i="16"/>
  <c r="U878" i="16"/>
  <c r="S878" i="16"/>
  <c r="R878" i="16"/>
  <c r="P878" i="16"/>
  <c r="L878" i="16"/>
  <c r="M878" i="16" s="1"/>
  <c r="N878" i="16" s="1"/>
  <c r="O878" i="16" s="1"/>
  <c r="D878" i="16"/>
  <c r="U879" i="16"/>
  <c r="S879" i="16"/>
  <c r="R879" i="16"/>
  <c r="P879" i="16"/>
  <c r="L879" i="16"/>
  <c r="M879" i="16" s="1"/>
  <c r="N879" i="16" s="1"/>
  <c r="O879" i="16" s="1"/>
  <c r="D879" i="16"/>
  <c r="U880" i="16"/>
  <c r="S880" i="16"/>
  <c r="R880" i="16"/>
  <c r="P880" i="16"/>
  <c r="L880" i="16"/>
  <c r="M880" i="16" s="1"/>
  <c r="N880" i="16" s="1"/>
  <c r="O880" i="16" s="1"/>
  <c r="D880" i="16"/>
  <c r="U881" i="16"/>
  <c r="S881" i="16"/>
  <c r="R881" i="16"/>
  <c r="P881" i="16"/>
  <c r="L881" i="16"/>
  <c r="M881" i="16" s="1"/>
  <c r="N881" i="16" s="1"/>
  <c r="O881" i="16" s="1"/>
  <c r="D881" i="16"/>
  <c r="U882" i="16"/>
  <c r="S882" i="16"/>
  <c r="R882" i="16"/>
  <c r="P882" i="16"/>
  <c r="L882" i="16"/>
  <c r="M882" i="16" s="1"/>
  <c r="N882" i="16" s="1"/>
  <c r="O882" i="16" s="1"/>
  <c r="D882" i="16"/>
  <c r="U883" i="16"/>
  <c r="S883" i="16"/>
  <c r="R883" i="16"/>
  <c r="P883" i="16"/>
  <c r="L883" i="16"/>
  <c r="M883" i="16" s="1"/>
  <c r="N883" i="16" s="1"/>
  <c r="O883" i="16" s="1"/>
  <c r="D883" i="16"/>
  <c r="U884" i="16"/>
  <c r="S884" i="16"/>
  <c r="R884" i="16"/>
  <c r="P884" i="16"/>
  <c r="L884" i="16"/>
  <c r="M884" i="16" s="1"/>
  <c r="N884" i="16" s="1"/>
  <c r="O884" i="16" s="1"/>
  <c r="D884" i="16"/>
  <c r="U885" i="16"/>
  <c r="S885" i="16"/>
  <c r="R885" i="16"/>
  <c r="P885" i="16"/>
  <c r="L885" i="16"/>
  <c r="M885" i="16" s="1"/>
  <c r="N885" i="16" s="1"/>
  <c r="O885" i="16" s="1"/>
  <c r="D885" i="16"/>
  <c r="U886" i="16"/>
  <c r="S886" i="16"/>
  <c r="R886" i="16"/>
  <c r="P886" i="16"/>
  <c r="L886" i="16"/>
  <c r="M886" i="16" s="1"/>
  <c r="N886" i="16" s="1"/>
  <c r="O886" i="16" s="1"/>
  <c r="D886" i="16"/>
  <c r="U887" i="16"/>
  <c r="S887" i="16"/>
  <c r="R887" i="16"/>
  <c r="P887" i="16"/>
  <c r="L887" i="16"/>
  <c r="M887" i="16" s="1"/>
  <c r="N887" i="16" s="1"/>
  <c r="O887" i="16" s="1"/>
  <c r="D887" i="16"/>
  <c r="U888" i="16"/>
  <c r="S888" i="16"/>
  <c r="R888" i="16"/>
  <c r="P888" i="16"/>
  <c r="L888" i="16"/>
  <c r="M888" i="16" s="1"/>
  <c r="N888" i="16" s="1"/>
  <c r="O888" i="16" s="1"/>
  <c r="D888" i="16"/>
  <c r="U889" i="16"/>
  <c r="S889" i="16"/>
  <c r="R889" i="16"/>
  <c r="P889" i="16"/>
  <c r="L889" i="16"/>
  <c r="M889" i="16" s="1"/>
  <c r="N889" i="16" s="1"/>
  <c r="O889" i="16" s="1"/>
  <c r="D889" i="16"/>
  <c r="U890" i="16"/>
  <c r="S890" i="16"/>
  <c r="R890" i="16"/>
  <c r="P890" i="16"/>
  <c r="L890" i="16"/>
  <c r="M890" i="16" s="1"/>
  <c r="N890" i="16" s="1"/>
  <c r="O890" i="16" s="1"/>
  <c r="D890" i="16"/>
  <c r="U891" i="16"/>
  <c r="S891" i="16"/>
  <c r="R891" i="16"/>
  <c r="P891" i="16"/>
  <c r="L891" i="16"/>
  <c r="M891" i="16" s="1"/>
  <c r="N891" i="16" s="1"/>
  <c r="O891" i="16" s="1"/>
  <c r="D891" i="16"/>
  <c r="U892" i="16"/>
  <c r="S892" i="16"/>
  <c r="R892" i="16"/>
  <c r="P892" i="16"/>
  <c r="L892" i="16"/>
  <c r="M892" i="16" s="1"/>
  <c r="N892" i="16" s="1"/>
  <c r="O892" i="16" s="1"/>
  <c r="D892" i="16"/>
  <c r="U893" i="16"/>
  <c r="S893" i="16"/>
  <c r="R893" i="16"/>
  <c r="P893" i="16"/>
  <c r="L893" i="16"/>
  <c r="M893" i="16" s="1"/>
  <c r="N893" i="16" s="1"/>
  <c r="O893" i="16" s="1"/>
  <c r="D893" i="16"/>
  <c r="U894" i="16"/>
  <c r="S894" i="16"/>
  <c r="R894" i="16"/>
  <c r="P894" i="16"/>
  <c r="L894" i="16"/>
  <c r="M894" i="16" s="1"/>
  <c r="N894" i="16" s="1"/>
  <c r="O894" i="16" s="1"/>
  <c r="D894" i="16"/>
  <c r="U895" i="16"/>
  <c r="S895" i="16"/>
  <c r="R895" i="16"/>
  <c r="P895" i="16"/>
  <c r="L895" i="16"/>
  <c r="M895" i="16" s="1"/>
  <c r="N895" i="16" s="1"/>
  <c r="O895" i="16" s="1"/>
  <c r="D895" i="16"/>
  <c r="U896" i="16"/>
  <c r="S896" i="16"/>
  <c r="R896" i="16"/>
  <c r="P896" i="16"/>
  <c r="L896" i="16"/>
  <c r="M896" i="16" s="1"/>
  <c r="N896" i="16" s="1"/>
  <c r="O896" i="16" s="1"/>
  <c r="D896" i="16"/>
  <c r="U897" i="16"/>
  <c r="S897" i="16"/>
  <c r="R897" i="16"/>
  <c r="P897" i="16"/>
  <c r="L897" i="16"/>
  <c r="M897" i="16" s="1"/>
  <c r="N897" i="16" s="1"/>
  <c r="O897" i="16" s="1"/>
  <c r="D897" i="16"/>
  <c r="U898" i="16"/>
  <c r="S898" i="16"/>
  <c r="R898" i="16"/>
  <c r="P898" i="16"/>
  <c r="L898" i="16"/>
  <c r="M898" i="16" s="1"/>
  <c r="N898" i="16" s="1"/>
  <c r="O898" i="16" s="1"/>
  <c r="D898" i="16"/>
  <c r="U899" i="16"/>
  <c r="S899" i="16"/>
  <c r="R899" i="16"/>
  <c r="P899" i="16"/>
  <c r="L899" i="16"/>
  <c r="M899" i="16" s="1"/>
  <c r="N899" i="16" s="1"/>
  <c r="O899" i="16" s="1"/>
  <c r="D899" i="16"/>
  <c r="U900" i="16"/>
  <c r="S900" i="16"/>
  <c r="R900" i="16"/>
  <c r="P900" i="16"/>
  <c r="L900" i="16"/>
  <c r="M900" i="16" s="1"/>
  <c r="N900" i="16" s="1"/>
  <c r="O900" i="16" s="1"/>
  <c r="D900" i="16"/>
  <c r="U901" i="16"/>
  <c r="S901" i="16"/>
  <c r="R901" i="16"/>
  <c r="P901" i="16"/>
  <c r="L901" i="16"/>
  <c r="M901" i="16" s="1"/>
  <c r="N901" i="16" s="1"/>
  <c r="O901" i="16" s="1"/>
  <c r="D901" i="16"/>
  <c r="U902" i="16"/>
  <c r="S902" i="16"/>
  <c r="R902" i="16"/>
  <c r="P902" i="16"/>
  <c r="L902" i="16"/>
  <c r="M902" i="16" s="1"/>
  <c r="N902" i="16" s="1"/>
  <c r="O902" i="16" s="1"/>
  <c r="D902" i="16"/>
  <c r="U903" i="16"/>
  <c r="S903" i="16"/>
  <c r="R903" i="16"/>
  <c r="P903" i="16"/>
  <c r="L903" i="16"/>
  <c r="M903" i="16" s="1"/>
  <c r="N903" i="16" s="1"/>
  <c r="O903" i="16" s="1"/>
  <c r="D903" i="16"/>
  <c r="U904" i="16"/>
  <c r="S904" i="16"/>
  <c r="R904" i="16"/>
  <c r="P904" i="16"/>
  <c r="L904" i="16"/>
  <c r="M904" i="16" s="1"/>
  <c r="N904" i="16" s="1"/>
  <c r="O904" i="16" s="1"/>
  <c r="D904" i="16"/>
  <c r="U905" i="16"/>
  <c r="S905" i="16"/>
  <c r="R905" i="16"/>
  <c r="P905" i="16"/>
  <c r="L905" i="16"/>
  <c r="M905" i="16" s="1"/>
  <c r="N905" i="16" s="1"/>
  <c r="O905" i="16" s="1"/>
  <c r="D905" i="16"/>
  <c r="U906" i="16"/>
  <c r="S906" i="16"/>
  <c r="R906" i="16"/>
  <c r="P906" i="16"/>
  <c r="L906" i="16"/>
  <c r="M906" i="16" s="1"/>
  <c r="N906" i="16" s="1"/>
  <c r="O906" i="16" s="1"/>
  <c r="D906" i="16"/>
  <c r="U907" i="16"/>
  <c r="S907" i="16"/>
  <c r="R907" i="16"/>
  <c r="P907" i="16"/>
  <c r="L907" i="16"/>
  <c r="M907" i="16" s="1"/>
  <c r="N907" i="16" s="1"/>
  <c r="O907" i="16" s="1"/>
  <c r="D907" i="16"/>
  <c r="U908" i="16"/>
  <c r="S908" i="16"/>
  <c r="R908" i="16"/>
  <c r="P908" i="16"/>
  <c r="L908" i="16"/>
  <c r="M908" i="16" s="1"/>
  <c r="N908" i="16" s="1"/>
  <c r="O908" i="16" s="1"/>
  <c r="D908" i="16"/>
  <c r="U909" i="16"/>
  <c r="S909" i="16"/>
  <c r="R909" i="16"/>
  <c r="P909" i="16"/>
  <c r="L909" i="16"/>
  <c r="M909" i="16" s="1"/>
  <c r="N909" i="16" s="1"/>
  <c r="O909" i="16" s="1"/>
  <c r="D909" i="16"/>
  <c r="U910" i="16"/>
  <c r="S910" i="16"/>
  <c r="R910" i="16"/>
  <c r="P910" i="16"/>
  <c r="L910" i="16"/>
  <c r="M910" i="16" s="1"/>
  <c r="N910" i="16" s="1"/>
  <c r="O910" i="16" s="1"/>
  <c r="D910" i="16"/>
  <c r="U911" i="16"/>
  <c r="S911" i="16"/>
  <c r="R911" i="16"/>
  <c r="P911" i="16"/>
  <c r="L911" i="16"/>
  <c r="M911" i="16" s="1"/>
  <c r="N911" i="16" s="1"/>
  <c r="O911" i="16" s="1"/>
  <c r="D911" i="16"/>
  <c r="U912" i="16"/>
  <c r="S912" i="16"/>
  <c r="R912" i="16"/>
  <c r="P912" i="16"/>
  <c r="L912" i="16"/>
  <c r="M912" i="16" s="1"/>
  <c r="N912" i="16" s="1"/>
  <c r="O912" i="16" s="1"/>
  <c r="D912" i="16"/>
  <c r="U913" i="16"/>
  <c r="S913" i="16"/>
  <c r="R913" i="16"/>
  <c r="P913" i="16"/>
  <c r="L913" i="16"/>
  <c r="M913" i="16" s="1"/>
  <c r="N913" i="16" s="1"/>
  <c r="O913" i="16" s="1"/>
  <c r="D913" i="16"/>
  <c r="U914" i="16"/>
  <c r="S914" i="16"/>
  <c r="R914" i="16"/>
  <c r="P914" i="16"/>
  <c r="L914" i="16"/>
  <c r="M914" i="16" s="1"/>
  <c r="N914" i="16" s="1"/>
  <c r="O914" i="16" s="1"/>
  <c r="D914" i="16"/>
  <c r="U915" i="16"/>
  <c r="S915" i="16"/>
  <c r="R915" i="16"/>
  <c r="P915" i="16"/>
  <c r="L915" i="16"/>
  <c r="M915" i="16" s="1"/>
  <c r="N915" i="16" s="1"/>
  <c r="O915" i="16" s="1"/>
  <c r="D915" i="16"/>
  <c r="U916" i="16"/>
  <c r="S916" i="16"/>
  <c r="R916" i="16"/>
  <c r="P916" i="16"/>
  <c r="L916" i="16"/>
  <c r="M916" i="16" s="1"/>
  <c r="N916" i="16" s="1"/>
  <c r="O916" i="16" s="1"/>
  <c r="D916" i="16"/>
  <c r="U917" i="16"/>
  <c r="S917" i="16"/>
  <c r="R917" i="16"/>
  <c r="P917" i="16"/>
  <c r="L917" i="16"/>
  <c r="M917" i="16" s="1"/>
  <c r="N917" i="16" s="1"/>
  <c r="O917" i="16" s="1"/>
  <c r="D917" i="16"/>
  <c r="U918" i="16"/>
  <c r="S918" i="16"/>
  <c r="R918" i="16"/>
  <c r="P918" i="16"/>
  <c r="L918" i="16"/>
  <c r="M918" i="16" s="1"/>
  <c r="N918" i="16" s="1"/>
  <c r="O918" i="16" s="1"/>
  <c r="D918" i="16"/>
  <c r="U919" i="16"/>
  <c r="S919" i="16"/>
  <c r="R919" i="16"/>
  <c r="P919" i="16"/>
  <c r="L919" i="16"/>
  <c r="M919" i="16" s="1"/>
  <c r="N919" i="16" s="1"/>
  <c r="O919" i="16" s="1"/>
  <c r="D919" i="16"/>
  <c r="U920" i="16"/>
  <c r="S920" i="16"/>
  <c r="R920" i="16"/>
  <c r="P920" i="16"/>
  <c r="L920" i="16"/>
  <c r="M920" i="16" s="1"/>
  <c r="N920" i="16" s="1"/>
  <c r="O920" i="16" s="1"/>
  <c r="D920" i="16"/>
  <c r="U921" i="16"/>
  <c r="S921" i="16"/>
  <c r="R921" i="16"/>
  <c r="P921" i="16"/>
  <c r="L921" i="16"/>
  <c r="M921" i="16" s="1"/>
  <c r="N921" i="16" s="1"/>
  <c r="O921" i="16" s="1"/>
  <c r="D921" i="16"/>
  <c r="U922" i="16"/>
  <c r="S922" i="16"/>
  <c r="R922" i="16"/>
  <c r="P922" i="16"/>
  <c r="L922" i="16"/>
  <c r="M922" i="16" s="1"/>
  <c r="N922" i="16" s="1"/>
  <c r="O922" i="16" s="1"/>
  <c r="D922" i="16"/>
  <c r="U923" i="16"/>
  <c r="S923" i="16"/>
  <c r="R923" i="16"/>
  <c r="P923" i="16"/>
  <c r="L923" i="16"/>
  <c r="M923" i="16" s="1"/>
  <c r="N923" i="16" s="1"/>
  <c r="O923" i="16" s="1"/>
  <c r="D923" i="16"/>
  <c r="U924" i="16"/>
  <c r="S924" i="16"/>
  <c r="R924" i="16"/>
  <c r="P924" i="16"/>
  <c r="L924" i="16"/>
  <c r="M924" i="16" s="1"/>
  <c r="N924" i="16" s="1"/>
  <c r="O924" i="16" s="1"/>
  <c r="D924" i="16"/>
  <c r="U925" i="16"/>
  <c r="S925" i="16"/>
  <c r="R925" i="16"/>
  <c r="P925" i="16"/>
  <c r="L925" i="16"/>
  <c r="M925" i="16" s="1"/>
  <c r="N925" i="16" s="1"/>
  <c r="O925" i="16" s="1"/>
  <c r="D925" i="16"/>
  <c r="U926" i="16"/>
  <c r="S926" i="16"/>
  <c r="R926" i="16"/>
  <c r="P926" i="16"/>
  <c r="L926" i="16"/>
  <c r="M926" i="16" s="1"/>
  <c r="N926" i="16" s="1"/>
  <c r="O926" i="16" s="1"/>
  <c r="D926" i="16"/>
  <c r="U927" i="16"/>
  <c r="S927" i="16"/>
  <c r="R927" i="16"/>
  <c r="P927" i="16"/>
  <c r="L927" i="16"/>
  <c r="M927" i="16" s="1"/>
  <c r="N927" i="16" s="1"/>
  <c r="O927" i="16" s="1"/>
  <c r="D927" i="16"/>
  <c r="U928" i="16"/>
  <c r="S928" i="16"/>
  <c r="R928" i="16"/>
  <c r="P928" i="16"/>
  <c r="L928" i="16"/>
  <c r="M928" i="16" s="1"/>
  <c r="N928" i="16" s="1"/>
  <c r="O928" i="16" s="1"/>
  <c r="D928" i="16"/>
  <c r="U929" i="16"/>
  <c r="S929" i="16"/>
  <c r="R929" i="16"/>
  <c r="P929" i="16"/>
  <c r="L929" i="16"/>
  <c r="M929" i="16" s="1"/>
  <c r="N929" i="16" s="1"/>
  <c r="O929" i="16" s="1"/>
  <c r="D929" i="16"/>
  <c r="U930" i="16"/>
  <c r="S930" i="16"/>
  <c r="R930" i="16"/>
  <c r="P930" i="16"/>
  <c r="L930" i="16"/>
  <c r="M930" i="16" s="1"/>
  <c r="N930" i="16" s="1"/>
  <c r="O930" i="16" s="1"/>
  <c r="D930" i="16"/>
  <c r="U931" i="16"/>
  <c r="S931" i="16"/>
  <c r="R931" i="16"/>
  <c r="P931" i="16"/>
  <c r="L931" i="16"/>
  <c r="M931" i="16" s="1"/>
  <c r="N931" i="16" s="1"/>
  <c r="O931" i="16" s="1"/>
  <c r="D931" i="16"/>
  <c r="U932" i="16"/>
  <c r="S932" i="16"/>
  <c r="R932" i="16"/>
  <c r="P932" i="16"/>
  <c r="L932" i="16"/>
  <c r="M932" i="16" s="1"/>
  <c r="N932" i="16" s="1"/>
  <c r="O932" i="16" s="1"/>
  <c r="D932" i="16"/>
  <c r="U933" i="16"/>
  <c r="S933" i="16"/>
  <c r="R933" i="16"/>
  <c r="P933" i="16"/>
  <c r="L933" i="16"/>
  <c r="M933" i="16" s="1"/>
  <c r="N933" i="16" s="1"/>
  <c r="O933" i="16" s="1"/>
  <c r="D933" i="16"/>
  <c r="U934" i="16"/>
  <c r="S934" i="16"/>
  <c r="R934" i="16"/>
  <c r="P934" i="16"/>
  <c r="L934" i="16"/>
  <c r="M934" i="16" s="1"/>
  <c r="N934" i="16" s="1"/>
  <c r="O934" i="16" s="1"/>
  <c r="D934" i="16"/>
  <c r="U935" i="16"/>
  <c r="S935" i="16"/>
  <c r="R935" i="16"/>
  <c r="P935" i="16"/>
  <c r="L935" i="16"/>
  <c r="M935" i="16" s="1"/>
  <c r="N935" i="16" s="1"/>
  <c r="O935" i="16" s="1"/>
  <c r="D935" i="16"/>
  <c r="U936" i="16"/>
  <c r="S936" i="16"/>
  <c r="R936" i="16"/>
  <c r="P936" i="16"/>
  <c r="L936" i="16"/>
  <c r="M936" i="16" s="1"/>
  <c r="N936" i="16" s="1"/>
  <c r="O936" i="16" s="1"/>
  <c r="D936" i="16"/>
  <c r="U937" i="16"/>
  <c r="S937" i="16"/>
  <c r="R937" i="16"/>
  <c r="P937" i="16"/>
  <c r="L937" i="16"/>
  <c r="M937" i="16" s="1"/>
  <c r="N937" i="16" s="1"/>
  <c r="O937" i="16" s="1"/>
  <c r="D937" i="16"/>
  <c r="U938" i="16"/>
  <c r="S938" i="16"/>
  <c r="R938" i="16"/>
  <c r="P938" i="16"/>
  <c r="L938" i="16"/>
  <c r="M938" i="16" s="1"/>
  <c r="N938" i="16" s="1"/>
  <c r="O938" i="16" s="1"/>
  <c r="D938" i="16"/>
  <c r="U939" i="16"/>
  <c r="S939" i="16"/>
  <c r="R939" i="16"/>
  <c r="P939" i="16"/>
  <c r="L939" i="16"/>
  <c r="M939" i="16" s="1"/>
  <c r="N939" i="16" s="1"/>
  <c r="O939" i="16" s="1"/>
  <c r="D939" i="16"/>
  <c r="U940" i="16"/>
  <c r="S940" i="16"/>
  <c r="R940" i="16"/>
  <c r="P940" i="16"/>
  <c r="L940" i="16"/>
  <c r="M940" i="16" s="1"/>
  <c r="N940" i="16" s="1"/>
  <c r="O940" i="16" s="1"/>
  <c r="D940" i="16"/>
  <c r="U941" i="16"/>
  <c r="S941" i="16"/>
  <c r="R941" i="16"/>
  <c r="P941" i="16"/>
  <c r="L941" i="16"/>
  <c r="M941" i="16" s="1"/>
  <c r="N941" i="16" s="1"/>
  <c r="O941" i="16" s="1"/>
  <c r="D941" i="16"/>
  <c r="U942" i="16"/>
  <c r="S942" i="16"/>
  <c r="R942" i="16"/>
  <c r="P942" i="16"/>
  <c r="L942" i="16"/>
  <c r="M942" i="16" s="1"/>
  <c r="N942" i="16" s="1"/>
  <c r="O942" i="16" s="1"/>
  <c r="D942" i="16"/>
  <c r="U943" i="16"/>
  <c r="S943" i="16"/>
  <c r="R943" i="16"/>
  <c r="P943" i="16"/>
  <c r="L943" i="16"/>
  <c r="M943" i="16" s="1"/>
  <c r="N943" i="16" s="1"/>
  <c r="O943" i="16" s="1"/>
  <c r="D943" i="16"/>
  <c r="U944" i="16"/>
  <c r="S944" i="16"/>
  <c r="R944" i="16"/>
  <c r="P944" i="16"/>
  <c r="L944" i="16"/>
  <c r="M944" i="16" s="1"/>
  <c r="N944" i="16" s="1"/>
  <c r="O944" i="16" s="1"/>
  <c r="D944" i="16"/>
  <c r="U945" i="16"/>
  <c r="S945" i="16"/>
  <c r="R945" i="16"/>
  <c r="P945" i="16"/>
  <c r="L945" i="16"/>
  <c r="M945" i="16" s="1"/>
  <c r="N945" i="16" s="1"/>
  <c r="O945" i="16" s="1"/>
  <c r="D945" i="16"/>
  <c r="U946" i="16"/>
  <c r="S946" i="16"/>
  <c r="R946" i="16"/>
  <c r="P946" i="16"/>
  <c r="L946" i="16"/>
  <c r="M946" i="16" s="1"/>
  <c r="N946" i="16" s="1"/>
  <c r="O946" i="16" s="1"/>
  <c r="D946" i="16"/>
  <c r="U947" i="16"/>
  <c r="S947" i="16"/>
  <c r="R947" i="16"/>
  <c r="P947" i="16"/>
  <c r="L947" i="16"/>
  <c r="M947" i="16" s="1"/>
  <c r="N947" i="16" s="1"/>
  <c r="O947" i="16" s="1"/>
  <c r="D947" i="16"/>
  <c r="U948" i="16"/>
  <c r="S948" i="16"/>
  <c r="R948" i="16"/>
  <c r="P948" i="16"/>
  <c r="L948" i="16"/>
  <c r="M948" i="16" s="1"/>
  <c r="N948" i="16" s="1"/>
  <c r="O948" i="16" s="1"/>
  <c r="D948" i="16"/>
  <c r="U949" i="16"/>
  <c r="S949" i="16"/>
  <c r="R949" i="16"/>
  <c r="P949" i="16"/>
  <c r="L949" i="16"/>
  <c r="M949" i="16" s="1"/>
  <c r="N949" i="16" s="1"/>
  <c r="O949" i="16" s="1"/>
  <c r="D949" i="16"/>
  <c r="U950" i="16"/>
  <c r="S950" i="16"/>
  <c r="R950" i="16"/>
  <c r="P950" i="16"/>
  <c r="L950" i="16"/>
  <c r="M950" i="16" s="1"/>
  <c r="N950" i="16" s="1"/>
  <c r="O950" i="16" s="1"/>
  <c r="D950" i="16"/>
  <c r="U951" i="16"/>
  <c r="S951" i="16"/>
  <c r="R951" i="16"/>
  <c r="P951" i="16"/>
  <c r="L951" i="16"/>
  <c r="M951" i="16" s="1"/>
  <c r="N951" i="16" s="1"/>
  <c r="O951" i="16" s="1"/>
  <c r="D951" i="16"/>
  <c r="U952" i="16"/>
  <c r="S952" i="16"/>
  <c r="R952" i="16"/>
  <c r="P952" i="16"/>
  <c r="L952" i="16"/>
  <c r="M952" i="16" s="1"/>
  <c r="N952" i="16" s="1"/>
  <c r="O952" i="16" s="1"/>
  <c r="D952" i="16"/>
  <c r="U953" i="16"/>
  <c r="S953" i="16"/>
  <c r="R953" i="16"/>
  <c r="P953" i="16"/>
  <c r="L953" i="16"/>
  <c r="M953" i="16" s="1"/>
  <c r="N953" i="16" s="1"/>
  <c r="O953" i="16" s="1"/>
  <c r="D953" i="16"/>
  <c r="U954" i="16"/>
  <c r="S954" i="16"/>
  <c r="R954" i="16"/>
  <c r="P954" i="16"/>
  <c r="L954" i="16"/>
  <c r="M954" i="16" s="1"/>
  <c r="N954" i="16" s="1"/>
  <c r="O954" i="16" s="1"/>
  <c r="D954" i="16"/>
  <c r="U955" i="16"/>
  <c r="S955" i="16"/>
  <c r="R955" i="16"/>
  <c r="P955" i="16"/>
  <c r="L955" i="16"/>
  <c r="M955" i="16" s="1"/>
  <c r="N955" i="16" s="1"/>
  <c r="O955" i="16" s="1"/>
  <c r="D955" i="16"/>
  <c r="U956" i="16"/>
  <c r="S956" i="16"/>
  <c r="R956" i="16"/>
  <c r="P956" i="16"/>
  <c r="L956" i="16"/>
  <c r="M956" i="16" s="1"/>
  <c r="N956" i="16" s="1"/>
  <c r="O956" i="16" s="1"/>
  <c r="D956" i="16"/>
  <c r="U957" i="16"/>
  <c r="S957" i="16"/>
  <c r="R957" i="16"/>
  <c r="P957" i="16"/>
  <c r="L957" i="16"/>
  <c r="M957" i="16" s="1"/>
  <c r="N957" i="16" s="1"/>
  <c r="O957" i="16" s="1"/>
  <c r="D957" i="16"/>
  <c r="U958" i="16"/>
  <c r="S958" i="16"/>
  <c r="R958" i="16"/>
  <c r="P958" i="16"/>
  <c r="L958" i="16"/>
  <c r="M958" i="16" s="1"/>
  <c r="N958" i="16" s="1"/>
  <c r="O958" i="16" s="1"/>
  <c r="D958" i="16"/>
  <c r="U959" i="16"/>
  <c r="S959" i="16"/>
  <c r="R959" i="16"/>
  <c r="P959" i="16"/>
  <c r="L959" i="16"/>
  <c r="M959" i="16" s="1"/>
  <c r="N959" i="16" s="1"/>
  <c r="O959" i="16" s="1"/>
  <c r="D959" i="16"/>
  <c r="U960" i="16"/>
  <c r="S960" i="16"/>
  <c r="R960" i="16"/>
  <c r="P960" i="16"/>
  <c r="L960" i="16"/>
  <c r="M960" i="16" s="1"/>
  <c r="N960" i="16" s="1"/>
  <c r="O960" i="16" s="1"/>
  <c r="D960" i="16"/>
  <c r="U961" i="16"/>
  <c r="S961" i="16"/>
  <c r="R961" i="16"/>
  <c r="P961" i="16"/>
  <c r="L961" i="16"/>
  <c r="M961" i="16" s="1"/>
  <c r="N961" i="16" s="1"/>
  <c r="O961" i="16" s="1"/>
  <c r="D961" i="16"/>
  <c r="U962" i="16"/>
  <c r="S962" i="16"/>
  <c r="R962" i="16"/>
  <c r="P962" i="16"/>
  <c r="L962" i="16"/>
  <c r="M962" i="16" s="1"/>
  <c r="N962" i="16" s="1"/>
  <c r="O962" i="16" s="1"/>
  <c r="D962" i="16"/>
  <c r="U963" i="16"/>
  <c r="S963" i="16"/>
  <c r="R963" i="16"/>
  <c r="P963" i="16"/>
  <c r="L963" i="16"/>
  <c r="M963" i="16" s="1"/>
  <c r="N963" i="16" s="1"/>
  <c r="O963" i="16" s="1"/>
  <c r="D963" i="16"/>
  <c r="U964" i="16"/>
  <c r="S964" i="16"/>
  <c r="R964" i="16"/>
  <c r="P964" i="16"/>
  <c r="L964" i="16"/>
  <c r="M964" i="16" s="1"/>
  <c r="N964" i="16" s="1"/>
  <c r="O964" i="16" s="1"/>
  <c r="D964" i="16"/>
  <c r="U965" i="16"/>
  <c r="S965" i="16"/>
  <c r="R965" i="16"/>
  <c r="P965" i="16"/>
  <c r="L965" i="16"/>
  <c r="M965" i="16" s="1"/>
  <c r="N965" i="16" s="1"/>
  <c r="O965" i="16" s="1"/>
  <c r="D965" i="16"/>
  <c r="U966" i="16"/>
  <c r="S966" i="16"/>
  <c r="R966" i="16"/>
  <c r="P966" i="16"/>
  <c r="L966" i="16"/>
  <c r="M966" i="16" s="1"/>
  <c r="N966" i="16" s="1"/>
  <c r="O966" i="16" s="1"/>
  <c r="D966" i="16"/>
  <c r="U967" i="16"/>
  <c r="S967" i="16"/>
  <c r="R967" i="16"/>
  <c r="P967" i="16"/>
  <c r="L967" i="16"/>
  <c r="M967" i="16" s="1"/>
  <c r="N967" i="16" s="1"/>
  <c r="O967" i="16" s="1"/>
  <c r="D967" i="16"/>
  <c r="U968" i="16"/>
  <c r="S968" i="16"/>
  <c r="R968" i="16"/>
  <c r="P968" i="16"/>
  <c r="L968" i="16"/>
  <c r="M968" i="16" s="1"/>
  <c r="N968" i="16" s="1"/>
  <c r="O968" i="16" s="1"/>
  <c r="D968" i="16"/>
  <c r="U969" i="16"/>
  <c r="S969" i="16"/>
  <c r="R969" i="16"/>
  <c r="P969" i="16"/>
  <c r="L969" i="16"/>
  <c r="M969" i="16" s="1"/>
  <c r="N969" i="16" s="1"/>
  <c r="O969" i="16" s="1"/>
  <c r="D969" i="16"/>
  <c r="U970" i="16"/>
  <c r="S970" i="16"/>
  <c r="R970" i="16"/>
  <c r="P970" i="16"/>
  <c r="L970" i="16"/>
  <c r="M970" i="16" s="1"/>
  <c r="N970" i="16" s="1"/>
  <c r="O970" i="16" s="1"/>
  <c r="D970" i="16"/>
  <c r="U971" i="16"/>
  <c r="S971" i="16"/>
  <c r="R971" i="16"/>
  <c r="P971" i="16"/>
  <c r="L971" i="16"/>
  <c r="M971" i="16" s="1"/>
  <c r="N971" i="16" s="1"/>
  <c r="O971" i="16" s="1"/>
  <c r="D971" i="16"/>
  <c r="U972" i="16"/>
  <c r="S972" i="16"/>
  <c r="R972" i="16"/>
  <c r="P972" i="16"/>
  <c r="L972" i="16"/>
  <c r="M972" i="16" s="1"/>
  <c r="N972" i="16" s="1"/>
  <c r="O972" i="16" s="1"/>
  <c r="D972" i="16"/>
  <c r="U973" i="16"/>
  <c r="S973" i="16"/>
  <c r="R973" i="16"/>
  <c r="P973" i="16"/>
  <c r="L973" i="16"/>
  <c r="M973" i="16" s="1"/>
  <c r="N973" i="16" s="1"/>
  <c r="O973" i="16" s="1"/>
  <c r="D973" i="16"/>
  <c r="U974" i="16"/>
  <c r="S974" i="16"/>
  <c r="R974" i="16"/>
  <c r="P974" i="16"/>
  <c r="L974" i="16"/>
  <c r="M974" i="16" s="1"/>
  <c r="N974" i="16" s="1"/>
  <c r="O974" i="16" s="1"/>
  <c r="D974" i="16"/>
  <c r="U975" i="16"/>
  <c r="S975" i="16"/>
  <c r="R975" i="16"/>
  <c r="P975" i="16"/>
  <c r="L975" i="16"/>
  <c r="M975" i="16" s="1"/>
  <c r="N975" i="16" s="1"/>
  <c r="O975" i="16" s="1"/>
  <c r="D975" i="16"/>
  <c r="U976" i="16"/>
  <c r="S976" i="16"/>
  <c r="R976" i="16"/>
  <c r="P976" i="16"/>
  <c r="L976" i="16"/>
  <c r="M976" i="16" s="1"/>
  <c r="N976" i="16" s="1"/>
  <c r="O976" i="16" s="1"/>
  <c r="D976" i="16"/>
  <c r="U977" i="16"/>
  <c r="S977" i="16"/>
  <c r="R977" i="16"/>
  <c r="P977" i="16"/>
  <c r="L977" i="16"/>
  <c r="M977" i="16" s="1"/>
  <c r="N977" i="16" s="1"/>
  <c r="O977" i="16" s="1"/>
  <c r="D977" i="16"/>
  <c r="U978" i="16"/>
  <c r="S978" i="16"/>
  <c r="R978" i="16"/>
  <c r="P978" i="16"/>
  <c r="L978" i="16"/>
  <c r="M978" i="16" s="1"/>
  <c r="N978" i="16" s="1"/>
  <c r="O978" i="16" s="1"/>
  <c r="D978" i="16"/>
  <c r="U979" i="16"/>
  <c r="S979" i="16"/>
  <c r="R979" i="16"/>
  <c r="P979" i="16"/>
  <c r="L979" i="16"/>
  <c r="M979" i="16" s="1"/>
  <c r="N979" i="16" s="1"/>
  <c r="O979" i="16" s="1"/>
  <c r="D979" i="16"/>
  <c r="U980" i="16"/>
  <c r="S980" i="16"/>
  <c r="R980" i="16"/>
  <c r="P980" i="16"/>
  <c r="L980" i="16"/>
  <c r="M980" i="16" s="1"/>
  <c r="N980" i="16" s="1"/>
  <c r="O980" i="16" s="1"/>
  <c r="D980" i="16"/>
  <c r="U981" i="16"/>
  <c r="S981" i="16"/>
  <c r="R981" i="16"/>
  <c r="P981" i="16"/>
  <c r="L981" i="16"/>
  <c r="M981" i="16" s="1"/>
  <c r="N981" i="16" s="1"/>
  <c r="O981" i="16" s="1"/>
  <c r="D981" i="16"/>
  <c r="U982" i="16"/>
  <c r="S982" i="16"/>
  <c r="R982" i="16"/>
  <c r="P982" i="16"/>
  <c r="L982" i="16"/>
  <c r="M982" i="16" s="1"/>
  <c r="N982" i="16" s="1"/>
  <c r="O982" i="16" s="1"/>
  <c r="D982" i="16"/>
  <c r="U983" i="16"/>
  <c r="S983" i="16"/>
  <c r="R983" i="16"/>
  <c r="P983" i="16"/>
  <c r="L983" i="16"/>
  <c r="M983" i="16" s="1"/>
  <c r="N983" i="16" s="1"/>
  <c r="O983" i="16" s="1"/>
  <c r="D983" i="16"/>
  <c r="U984" i="16"/>
  <c r="S984" i="16"/>
  <c r="R984" i="16"/>
  <c r="P984" i="16"/>
  <c r="L984" i="16"/>
  <c r="M984" i="16" s="1"/>
  <c r="N984" i="16" s="1"/>
  <c r="O984" i="16" s="1"/>
  <c r="D984" i="16"/>
  <c r="U985" i="16"/>
  <c r="S985" i="16"/>
  <c r="R985" i="16"/>
  <c r="P985" i="16"/>
  <c r="L985" i="16"/>
  <c r="M985" i="16" s="1"/>
  <c r="N985" i="16" s="1"/>
  <c r="O985" i="16" s="1"/>
  <c r="D985" i="16"/>
  <c r="U986" i="16"/>
  <c r="S986" i="16"/>
  <c r="R986" i="16"/>
  <c r="P986" i="16"/>
  <c r="L986" i="16"/>
  <c r="M986" i="16" s="1"/>
  <c r="N986" i="16" s="1"/>
  <c r="O986" i="16" s="1"/>
  <c r="D986" i="16"/>
  <c r="U987" i="16"/>
  <c r="S987" i="16"/>
  <c r="R987" i="16"/>
  <c r="P987" i="16"/>
  <c r="L987" i="16"/>
  <c r="M987" i="16" s="1"/>
  <c r="N987" i="16" s="1"/>
  <c r="O987" i="16" s="1"/>
  <c r="D987" i="16"/>
  <c r="U988" i="16"/>
  <c r="S988" i="16"/>
  <c r="R988" i="16"/>
  <c r="P988" i="16"/>
  <c r="L988" i="16"/>
  <c r="M988" i="16" s="1"/>
  <c r="N988" i="16" s="1"/>
  <c r="O988" i="16" s="1"/>
  <c r="D988" i="16"/>
  <c r="U989" i="16"/>
  <c r="S989" i="16"/>
  <c r="R989" i="16"/>
  <c r="P989" i="16"/>
  <c r="L989" i="16"/>
  <c r="M989" i="16" s="1"/>
  <c r="N989" i="16" s="1"/>
  <c r="O989" i="16" s="1"/>
  <c r="D989" i="16"/>
  <c r="U990" i="16"/>
  <c r="S990" i="16"/>
  <c r="R990" i="16"/>
  <c r="P990" i="16"/>
  <c r="L990" i="16"/>
  <c r="M990" i="16" s="1"/>
  <c r="N990" i="16" s="1"/>
  <c r="O990" i="16" s="1"/>
  <c r="D990" i="16"/>
  <c r="U991" i="16"/>
  <c r="S991" i="16"/>
  <c r="R991" i="16"/>
  <c r="P991" i="16"/>
  <c r="L991" i="16"/>
  <c r="M991" i="16" s="1"/>
  <c r="N991" i="16" s="1"/>
  <c r="O991" i="16" s="1"/>
  <c r="D991" i="16"/>
  <c r="U992" i="16"/>
  <c r="S992" i="16"/>
  <c r="R992" i="16"/>
  <c r="P992" i="16"/>
  <c r="L992" i="16"/>
  <c r="M992" i="16" s="1"/>
  <c r="N992" i="16" s="1"/>
  <c r="O992" i="16" s="1"/>
  <c r="D992" i="16"/>
  <c r="U993" i="16"/>
  <c r="S993" i="16"/>
  <c r="R993" i="16"/>
  <c r="P993" i="16"/>
  <c r="L993" i="16"/>
  <c r="M993" i="16" s="1"/>
  <c r="N993" i="16" s="1"/>
  <c r="O993" i="16" s="1"/>
  <c r="D993" i="16"/>
  <c r="U994" i="16"/>
  <c r="S994" i="16"/>
  <c r="R994" i="16"/>
  <c r="P994" i="16"/>
  <c r="L994" i="16"/>
  <c r="M994" i="16" s="1"/>
  <c r="N994" i="16" s="1"/>
  <c r="O994" i="16" s="1"/>
  <c r="D994" i="16"/>
  <c r="U995" i="16"/>
  <c r="S995" i="16"/>
  <c r="R995" i="16"/>
  <c r="P995" i="16"/>
  <c r="L995" i="16"/>
  <c r="M995" i="16" s="1"/>
  <c r="N995" i="16" s="1"/>
  <c r="O995" i="16" s="1"/>
  <c r="D995" i="16"/>
  <c r="U996" i="16"/>
  <c r="S996" i="16"/>
  <c r="R996" i="16"/>
  <c r="P996" i="16"/>
  <c r="L996" i="16"/>
  <c r="M996" i="16" s="1"/>
  <c r="N996" i="16" s="1"/>
  <c r="O996" i="16" s="1"/>
  <c r="D996" i="16"/>
  <c r="U997" i="16"/>
  <c r="S997" i="16"/>
  <c r="R997" i="16"/>
  <c r="P997" i="16"/>
  <c r="L997" i="16"/>
  <c r="M997" i="16" s="1"/>
  <c r="N997" i="16" s="1"/>
  <c r="O997" i="16" s="1"/>
  <c r="D997" i="16"/>
  <c r="U998" i="16"/>
  <c r="S998" i="16"/>
  <c r="R998" i="16"/>
  <c r="P998" i="16"/>
  <c r="L998" i="16"/>
  <c r="M998" i="16" s="1"/>
  <c r="N998" i="16" s="1"/>
  <c r="O998" i="16" s="1"/>
  <c r="D998" i="16"/>
  <c r="U999" i="16"/>
  <c r="S999" i="16"/>
  <c r="R999" i="16"/>
  <c r="P999" i="16"/>
  <c r="L999" i="16"/>
  <c r="M999" i="16" s="1"/>
  <c r="N999" i="16" s="1"/>
  <c r="O999" i="16" s="1"/>
  <c r="D999" i="16"/>
  <c r="U1000" i="16"/>
  <c r="S1000" i="16"/>
  <c r="R1000" i="16"/>
  <c r="P1000" i="16"/>
  <c r="L1000" i="16"/>
  <c r="M1000" i="16" s="1"/>
  <c r="N1000" i="16" s="1"/>
  <c r="O1000" i="16" s="1"/>
  <c r="D1000" i="16"/>
  <c r="U1001" i="16"/>
  <c r="S1001" i="16"/>
  <c r="R1001" i="16"/>
  <c r="P1001" i="16"/>
  <c r="L1001" i="16"/>
  <c r="M1001" i="16" s="1"/>
  <c r="N1001" i="16" s="1"/>
  <c r="O1001" i="16" s="1"/>
  <c r="D1001" i="16"/>
  <c r="F14" i="14"/>
  <c r="F24" i="14"/>
  <c r="F25" i="14"/>
  <c r="F26" i="14"/>
  <c r="F27" i="14"/>
  <c r="F28" i="14"/>
  <c r="F23" i="14"/>
  <c r="E24" i="14"/>
  <c r="H24" i="14" s="1"/>
  <c r="E25" i="14"/>
  <c r="H25" i="14" s="1"/>
  <c r="E26" i="14"/>
  <c r="H26" i="14" s="1"/>
  <c r="E27" i="14"/>
  <c r="H27" i="14" s="1"/>
  <c r="E28" i="14"/>
  <c r="H28" i="14" s="1"/>
  <c r="E23" i="14"/>
  <c r="H23" i="14" s="1"/>
  <c r="D24" i="14"/>
  <c r="G24" i="14" s="1"/>
  <c r="D25" i="14"/>
  <c r="G25" i="14" s="1"/>
  <c r="D26" i="14"/>
  <c r="G26" i="14" s="1"/>
  <c r="D27" i="14"/>
  <c r="G27" i="14" s="1"/>
  <c r="D28" i="14"/>
  <c r="G28" i="14" s="1"/>
  <c r="D23" i="14"/>
  <c r="G23" i="14" s="1"/>
  <c r="C27" i="14"/>
  <c r="C28" i="14"/>
  <c r="C24" i="14"/>
  <c r="C25" i="14"/>
  <c r="C26" i="14"/>
  <c r="C23" i="14"/>
  <c r="B1001" i="6"/>
  <c r="W1001" i="6" l="1"/>
  <c r="T1001" i="16"/>
  <c r="Q1001" i="16"/>
  <c r="U1001" i="6"/>
  <c r="S1001" i="6"/>
  <c r="R1001" i="6"/>
  <c r="D1001" i="6"/>
  <c r="T1001" i="6"/>
  <c r="Q1001" i="6"/>
  <c r="E14" i="14" l="1"/>
  <c r="C9" i="7" l="1"/>
  <c r="B838" i="6"/>
  <c r="B839" i="6"/>
  <c r="B840" i="6"/>
  <c r="B841" i="6"/>
  <c r="B842" i="6"/>
  <c r="B843" i="6"/>
  <c r="B844" i="6"/>
  <c r="B845" i="6"/>
  <c r="B846" i="6"/>
  <c r="B847" i="6"/>
  <c r="B849" i="6"/>
  <c r="B850" i="6"/>
  <c r="B851" i="6"/>
  <c r="B852" i="6"/>
  <c r="B853" i="6"/>
  <c r="B854" i="6"/>
  <c r="B855" i="6"/>
  <c r="B856" i="6"/>
  <c r="B857" i="6"/>
  <c r="B858" i="6"/>
  <c r="B859" i="6"/>
  <c r="B860" i="6"/>
  <c r="B861" i="6"/>
  <c r="B862" i="6"/>
  <c r="B863" i="6"/>
  <c r="B864" i="6"/>
  <c r="B865" i="6"/>
  <c r="B866" i="6"/>
  <c r="B867" i="6"/>
  <c r="B868" i="6"/>
  <c r="B869" i="6"/>
  <c r="B870" i="6"/>
  <c r="B871" i="6"/>
  <c r="B872" i="6"/>
  <c r="B873" i="6"/>
  <c r="B874" i="6"/>
  <c r="B875" i="6"/>
  <c r="B876" i="6"/>
  <c r="B877" i="6"/>
  <c r="B878" i="6"/>
  <c r="B879" i="6"/>
  <c r="B880" i="6"/>
  <c r="B881" i="6"/>
  <c r="B882" i="6"/>
  <c r="B883" i="6"/>
  <c r="B884" i="6"/>
  <c r="B885" i="6"/>
  <c r="B886" i="6"/>
  <c r="B887" i="6"/>
  <c r="B888" i="6"/>
  <c r="B889" i="6"/>
  <c r="B890" i="6"/>
  <c r="B891" i="6"/>
  <c r="B892" i="6"/>
  <c r="B893" i="6"/>
  <c r="B894" i="6"/>
  <c r="B895" i="6"/>
  <c r="B896" i="6"/>
  <c r="B897" i="6"/>
  <c r="B898" i="6"/>
  <c r="B899" i="6"/>
  <c r="B900" i="6"/>
  <c r="B901" i="6"/>
  <c r="B902" i="6"/>
  <c r="B903" i="6"/>
  <c r="B904" i="6"/>
  <c r="B905" i="6"/>
  <c r="B906" i="6"/>
  <c r="B907" i="6"/>
  <c r="B908" i="6"/>
  <c r="B909" i="6"/>
  <c r="B910" i="6"/>
  <c r="B911" i="6"/>
  <c r="B912" i="6"/>
  <c r="B913" i="6"/>
  <c r="B914" i="6"/>
  <c r="B915" i="6"/>
  <c r="B916" i="6"/>
  <c r="B917" i="6"/>
  <c r="B918" i="6"/>
  <c r="B919" i="6"/>
  <c r="B920" i="6"/>
  <c r="B921" i="6"/>
  <c r="B922" i="6"/>
  <c r="B923" i="6"/>
  <c r="B925" i="6"/>
  <c r="B926" i="6"/>
  <c r="B927" i="6"/>
  <c r="B928" i="6"/>
  <c r="B929" i="6"/>
  <c r="B930" i="6"/>
  <c r="B931" i="6"/>
  <c r="B932" i="6"/>
  <c r="B933" i="6"/>
  <c r="B934" i="6"/>
  <c r="B935" i="6"/>
  <c r="B936" i="6"/>
  <c r="B937" i="6"/>
  <c r="B938" i="6"/>
  <c r="B939" i="6"/>
  <c r="B940" i="6"/>
  <c r="B941" i="6"/>
  <c r="B942" i="6"/>
  <c r="B943" i="6"/>
  <c r="B944" i="6"/>
  <c r="B945" i="6"/>
  <c r="B946" i="6"/>
  <c r="B947" i="6"/>
  <c r="B948" i="6"/>
  <c r="B949" i="6"/>
  <c r="B950" i="6"/>
  <c r="B951" i="6"/>
  <c r="B952" i="6"/>
  <c r="B953" i="6"/>
  <c r="B954" i="6"/>
  <c r="B955" i="6"/>
  <c r="B956" i="6"/>
  <c r="B957" i="6"/>
  <c r="B958" i="6"/>
  <c r="B959" i="6"/>
  <c r="B960" i="6"/>
  <c r="B961" i="6"/>
  <c r="B962" i="6"/>
  <c r="B963" i="6"/>
  <c r="B964" i="6"/>
  <c r="B965" i="6"/>
  <c r="B966" i="6"/>
  <c r="B967" i="6"/>
  <c r="B968" i="6"/>
  <c r="B969" i="6"/>
  <c r="B848" i="6"/>
  <c r="B970" i="6"/>
  <c r="B971" i="6"/>
  <c r="B972" i="6"/>
  <c r="B973" i="6"/>
  <c r="B974" i="6"/>
  <c r="B975" i="6"/>
  <c r="B976" i="6"/>
  <c r="B977" i="6"/>
  <c r="B978" i="6"/>
  <c r="B979" i="6"/>
  <c r="B980" i="6"/>
  <c r="B981" i="6"/>
  <c r="B982" i="6"/>
  <c r="B983" i="6"/>
  <c r="B984" i="6"/>
  <c r="B985" i="6"/>
  <c r="B986" i="6"/>
  <c r="B987" i="6"/>
  <c r="B988" i="6"/>
  <c r="B989" i="6"/>
  <c r="B990" i="6"/>
  <c r="B991" i="6"/>
  <c r="B992" i="6"/>
  <c r="B993" i="6"/>
  <c r="B924" i="6"/>
  <c r="B994" i="6"/>
  <c r="B995" i="6"/>
  <c r="B996" i="6"/>
  <c r="B997" i="6"/>
  <c r="B998" i="6"/>
  <c r="B999" i="6"/>
  <c r="B1000"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733" i="6"/>
  <c r="B734" i="6"/>
  <c r="B735" i="6"/>
  <c r="B736" i="6"/>
  <c r="B737" i="6"/>
  <c r="B738" i="6"/>
  <c r="B739" i="6"/>
  <c r="B740" i="6"/>
  <c r="B741" i="6"/>
  <c r="B742" i="6"/>
  <c r="B818" i="6"/>
  <c r="B743" i="6"/>
  <c r="B744" i="6"/>
  <c r="B745" i="6"/>
  <c r="B746" i="6"/>
  <c r="B747" i="6"/>
  <c r="B748" i="6"/>
  <c r="B749" i="6"/>
  <c r="B750" i="6"/>
  <c r="B751" i="6"/>
  <c r="B752" i="6"/>
  <c r="B753" i="6"/>
  <c r="B754" i="6"/>
  <c r="B755" i="6"/>
  <c r="B756" i="6"/>
  <c r="B757" i="6"/>
  <c r="B758" i="6"/>
  <c r="B759" i="6"/>
  <c r="B760" i="6"/>
  <c r="B761" i="6"/>
  <c r="B762" i="6"/>
  <c r="B763" i="6"/>
  <c r="B764" i="6"/>
  <c r="B765" i="6"/>
  <c r="B766" i="6"/>
  <c r="B767" i="6"/>
  <c r="B768" i="6"/>
  <c r="B769" i="6"/>
  <c r="B770" i="6"/>
  <c r="B771" i="6"/>
  <c r="B772" i="6"/>
  <c r="B773" i="6"/>
  <c r="B774" i="6"/>
  <c r="B775" i="6"/>
  <c r="B776" i="6"/>
  <c r="B777" i="6"/>
  <c r="B778" i="6"/>
  <c r="B779" i="6"/>
  <c r="B780" i="6"/>
  <c r="B781" i="6"/>
  <c r="B782" i="6"/>
  <c r="B783" i="6"/>
  <c r="B784" i="6"/>
  <c r="B785" i="6"/>
  <c r="B786" i="6"/>
  <c r="B787" i="6"/>
  <c r="B788" i="6"/>
  <c r="B789" i="6"/>
  <c r="B790" i="6"/>
  <c r="B791" i="6"/>
  <c r="B792" i="6"/>
  <c r="B793" i="6"/>
  <c r="B794" i="6"/>
  <c r="B795" i="6"/>
  <c r="B796" i="6"/>
  <c r="B797" i="6"/>
  <c r="B798" i="6"/>
  <c r="B799" i="6"/>
  <c r="B800" i="6"/>
  <c r="B801" i="6"/>
  <c r="B802" i="6"/>
  <c r="B803" i="6"/>
  <c r="B804" i="6"/>
  <c r="B805" i="6"/>
  <c r="B807" i="6"/>
  <c r="B808" i="6"/>
  <c r="B809" i="6"/>
  <c r="B810" i="6"/>
  <c r="B811" i="6"/>
  <c r="B812" i="6"/>
  <c r="B813" i="6"/>
  <c r="B814" i="6"/>
  <c r="B815" i="6"/>
  <c r="B816" i="6"/>
  <c r="B817" i="6"/>
  <c r="B819" i="6"/>
  <c r="B820" i="6"/>
  <c r="B821" i="6"/>
  <c r="B822" i="6"/>
  <c r="B823" i="6"/>
  <c r="B824" i="6"/>
  <c r="B825" i="6"/>
  <c r="B806" i="6"/>
  <c r="B826" i="6"/>
  <c r="B827" i="6"/>
  <c r="B828" i="6"/>
  <c r="B829" i="6"/>
  <c r="B830" i="6"/>
  <c r="B831" i="6"/>
  <c r="B832" i="6"/>
  <c r="B833" i="6"/>
  <c r="B834" i="6"/>
  <c r="B835" i="6"/>
  <c r="B836" i="6"/>
  <c r="B837" i="6"/>
  <c r="B679"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65"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6" i="6"/>
  <c r="B567" i="6"/>
  <c r="B568" i="6"/>
  <c r="B569" i="6"/>
  <c r="B570" i="6"/>
  <c r="B571" i="6"/>
  <c r="B572" i="6"/>
  <c r="B573" i="6"/>
  <c r="B574" i="6"/>
  <c r="B575" i="6"/>
  <c r="B576" i="6"/>
  <c r="B577" i="6"/>
  <c r="B578" i="6"/>
  <c r="B579" i="6"/>
  <c r="B580" i="6"/>
  <c r="B582" i="6"/>
  <c r="B583" i="6"/>
  <c r="B584" i="6"/>
  <c r="B585" i="6"/>
  <c r="B586" i="6"/>
  <c r="B587" i="6"/>
  <c r="B588" i="6"/>
  <c r="B589" i="6"/>
  <c r="B590" i="6"/>
  <c r="B591" i="6"/>
  <c r="B592" i="6"/>
  <c r="B593" i="6"/>
  <c r="B581" i="6"/>
  <c r="B594" i="6"/>
  <c r="B595" i="6"/>
  <c r="B596" i="6"/>
  <c r="B598" i="6"/>
  <c r="B599" i="6"/>
  <c r="B600" i="6"/>
  <c r="B601" i="6"/>
  <c r="B602" i="6"/>
  <c r="B603" i="6"/>
  <c r="B604" i="6"/>
  <c r="B605" i="6"/>
  <c r="B606" i="6"/>
  <c r="B607" i="6"/>
  <c r="B608" i="6"/>
  <c r="B609" i="6"/>
  <c r="B610" i="6"/>
  <c r="B611" i="6"/>
  <c r="B612" i="6"/>
  <c r="B613" i="6"/>
  <c r="B614" i="6"/>
  <c r="B615" i="6"/>
  <c r="B616" i="6"/>
  <c r="B677"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597" i="6"/>
  <c r="B678" i="6"/>
  <c r="B493" i="6"/>
  <c r="B322" i="6"/>
  <c r="B323" i="6"/>
  <c r="B324" i="6"/>
  <c r="B325" i="6"/>
  <c r="B326" i="6"/>
  <c r="B327" i="6"/>
  <c r="B328" i="6"/>
  <c r="B329" i="6"/>
  <c r="B355" i="6"/>
  <c r="B330" i="6"/>
  <c r="B331" i="6"/>
  <c r="B332" i="6"/>
  <c r="B333" i="6"/>
  <c r="B334" i="6"/>
  <c r="B335" i="6"/>
  <c r="B336" i="6"/>
  <c r="B337" i="6"/>
  <c r="B338" i="6"/>
  <c r="B339" i="6"/>
  <c r="B340" i="6"/>
  <c r="B341" i="6"/>
  <c r="B417" i="6"/>
  <c r="B342" i="6"/>
  <c r="B343" i="6"/>
  <c r="B344" i="6"/>
  <c r="B345" i="6"/>
  <c r="B346" i="6"/>
  <c r="B347" i="6"/>
  <c r="B348" i="6"/>
  <c r="B349" i="6"/>
  <c r="B350" i="6"/>
  <c r="B351" i="6"/>
  <c r="B352" i="6"/>
  <c r="B353" i="6"/>
  <c r="B354"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8" i="6"/>
  <c r="B419" i="6"/>
  <c r="B420" i="6"/>
  <c r="B476"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7" i="6"/>
  <c r="B478" i="6"/>
  <c r="B479" i="6"/>
  <c r="B480" i="6"/>
  <c r="B481" i="6"/>
  <c r="B482" i="6"/>
  <c r="B483" i="6"/>
  <c r="B484" i="6"/>
  <c r="B485" i="6"/>
  <c r="B486" i="6"/>
  <c r="B487" i="6"/>
  <c r="B488" i="6"/>
  <c r="B489" i="6"/>
  <c r="B490" i="6"/>
  <c r="B491" i="6"/>
  <c r="B492" i="6"/>
  <c r="B321" i="6"/>
  <c r="B201" i="6"/>
  <c r="B202" i="6"/>
  <c r="B204" i="6"/>
  <c r="B205" i="6"/>
  <c r="B206" i="6"/>
  <c r="B207" i="6"/>
  <c r="B319" i="6"/>
  <c r="B208" i="6"/>
  <c r="B209" i="6"/>
  <c r="B210" i="6"/>
  <c r="B211" i="6"/>
  <c r="B212" i="6"/>
  <c r="B213" i="6"/>
  <c r="B214" i="6"/>
  <c r="B215" i="6"/>
  <c r="B261"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03"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20"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161"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2" i="6"/>
  <c r="B14" i="14"/>
  <c r="B15" i="14"/>
  <c r="B16" i="14"/>
  <c r="B17" i="14"/>
  <c r="B18" i="14"/>
  <c r="B19" i="14"/>
  <c r="C7" i="9"/>
  <c r="C258" i="9"/>
  <c r="C298" i="9"/>
  <c r="C139" i="9"/>
  <c r="C92" i="9"/>
  <c r="C96" i="9"/>
  <c r="C236" i="9"/>
  <c r="C363" i="9"/>
  <c r="C444" i="9"/>
  <c r="C22" i="9"/>
  <c r="C206" i="9"/>
  <c r="C463" i="9"/>
  <c r="C383" i="9"/>
  <c r="C255" i="9"/>
  <c r="C102" i="9"/>
  <c r="C180" i="9"/>
  <c r="C63" i="9"/>
  <c r="C217" i="9"/>
  <c r="C94" i="9"/>
  <c r="C385" i="9"/>
  <c r="C482" i="9"/>
  <c r="C57" i="9"/>
  <c r="C406" i="9"/>
  <c r="C500" i="9"/>
  <c r="C205" i="9"/>
  <c r="C210" i="9"/>
  <c r="C167" i="9"/>
  <c r="C491" i="9"/>
  <c r="C319" i="9"/>
  <c r="C320" i="9"/>
  <c r="C455" i="9"/>
  <c r="C170" i="9"/>
  <c r="C110" i="9"/>
  <c r="C137" i="9"/>
  <c r="C261" i="9"/>
  <c r="C282" i="9"/>
  <c r="C9" i="9"/>
  <c r="C127" i="9"/>
  <c r="C354" i="9"/>
  <c r="C315" i="9"/>
  <c r="C323" i="9"/>
  <c r="C409" i="9"/>
  <c r="C389" i="9"/>
  <c r="C39" i="9"/>
  <c r="C378" i="9"/>
  <c r="C384" i="9"/>
  <c r="C55" i="9"/>
  <c r="C85" i="9"/>
  <c r="C171" i="9"/>
  <c r="C260" i="9"/>
  <c r="C60" i="9"/>
  <c r="C201" i="9"/>
  <c r="C430" i="9"/>
  <c r="C490" i="9"/>
  <c r="C501" i="9"/>
  <c r="C112" i="9"/>
  <c r="C262" i="9"/>
  <c r="C418" i="9"/>
  <c r="C68" i="9"/>
  <c r="C366" i="9"/>
  <c r="C404" i="9"/>
  <c r="C467" i="9"/>
  <c r="C140" i="9"/>
  <c r="C294" i="9"/>
  <c r="C365" i="9"/>
  <c r="C197" i="9"/>
  <c r="C37" i="9"/>
  <c r="C125" i="9"/>
  <c r="C314" i="9"/>
  <c r="C166" i="9"/>
  <c r="C371" i="9"/>
  <c r="C431" i="9"/>
  <c r="C84" i="9"/>
  <c r="C253" i="9"/>
  <c r="C343" i="9"/>
  <c r="C62" i="9"/>
  <c r="C56" i="9"/>
  <c r="C208" i="9"/>
  <c r="C45" i="9"/>
  <c r="C20" i="9"/>
  <c r="C493" i="9"/>
  <c r="C193" i="9"/>
  <c r="C496" i="9"/>
  <c r="C183" i="9"/>
  <c r="C58" i="9"/>
  <c r="C312" i="9"/>
  <c r="C486" i="9"/>
  <c r="C239" i="9"/>
  <c r="C373" i="9"/>
  <c r="C168" i="9"/>
  <c r="C328" i="9"/>
  <c r="C200" i="9"/>
  <c r="C203" i="9"/>
  <c r="C445" i="9"/>
  <c r="C403" i="9"/>
  <c r="C181" i="9"/>
  <c r="C192" i="9"/>
  <c r="C300" i="9"/>
  <c r="C376" i="9"/>
  <c r="C231" i="9"/>
  <c r="C204" i="9"/>
  <c r="C308" i="9"/>
  <c r="C457" i="9"/>
  <c r="C335" i="9"/>
  <c r="C54" i="9"/>
  <c r="C42" i="9"/>
  <c r="C349" i="9"/>
  <c r="C24" i="9"/>
  <c r="C248" i="9"/>
  <c r="C133" i="9"/>
  <c r="C35" i="9"/>
  <c r="C478" i="9"/>
  <c r="C242" i="9"/>
  <c r="C165" i="9"/>
  <c r="C465" i="9"/>
  <c r="C257" i="9"/>
  <c r="C246" i="9"/>
  <c r="C358" i="9"/>
  <c r="C34" i="9"/>
  <c r="C296" i="9"/>
  <c r="C407" i="9"/>
  <c r="C424" i="9"/>
  <c r="C325" i="9"/>
  <c r="C191" i="9"/>
  <c r="C287" i="9"/>
  <c r="C498" i="9"/>
  <c r="C345" i="9"/>
  <c r="C302" i="9"/>
  <c r="C462" i="9"/>
  <c r="C52" i="9"/>
  <c r="C67" i="9"/>
  <c r="C297" i="9"/>
  <c r="C346" i="9"/>
  <c r="C285" i="9"/>
  <c r="C450" i="9"/>
  <c r="C396" i="9"/>
  <c r="C6" i="9"/>
  <c r="C224" i="9"/>
  <c r="C347" i="9"/>
  <c r="C339" i="9"/>
  <c r="C400" i="9"/>
  <c r="C313" i="9"/>
  <c r="C402" i="9"/>
  <c r="C290" i="9"/>
  <c r="C321" i="9"/>
  <c r="C360" i="9"/>
  <c r="C487" i="9"/>
  <c r="C87" i="9"/>
  <c r="C169" i="9"/>
  <c r="C17" i="9"/>
  <c r="C230" i="9"/>
  <c r="C97" i="9"/>
  <c r="C330" i="9"/>
  <c r="C265" i="9"/>
  <c r="C483" i="9"/>
  <c r="C123" i="9"/>
  <c r="C408" i="9"/>
  <c r="C283" i="9"/>
  <c r="C392" i="9"/>
  <c r="C131" i="9"/>
  <c r="C391" i="9"/>
  <c r="C172" i="9"/>
  <c r="C369" i="9"/>
  <c r="C182" i="9"/>
  <c r="C26" i="9"/>
  <c r="C426" i="9"/>
  <c r="C362" i="9"/>
  <c r="C31" i="9"/>
  <c r="C66" i="9"/>
  <c r="C441" i="9"/>
  <c r="C241" i="9"/>
  <c r="C28" i="9"/>
  <c r="C174" i="9"/>
  <c r="C332" i="9"/>
  <c r="C212" i="9"/>
  <c r="C361" i="9"/>
  <c r="C423" i="9"/>
  <c r="C380" i="9"/>
  <c r="C73" i="9"/>
  <c r="C411" i="9"/>
  <c r="C90" i="9"/>
  <c r="C331" i="9"/>
  <c r="C395" i="9"/>
  <c r="C435" i="9"/>
  <c r="C38" i="9"/>
  <c r="C227" i="9"/>
  <c r="C479" i="9"/>
  <c r="C162" i="9"/>
  <c r="C342" i="9"/>
  <c r="C318" i="9"/>
  <c r="C271" i="9"/>
  <c r="C150" i="9"/>
  <c r="C337" i="9"/>
  <c r="C109" i="9"/>
  <c r="C10" i="9"/>
  <c r="C256" i="9"/>
  <c r="C247" i="9"/>
  <c r="C179" i="9"/>
  <c r="C234" i="9"/>
  <c r="C390" i="9"/>
  <c r="C211" i="9"/>
  <c r="C188" i="9"/>
  <c r="C451" i="9"/>
  <c r="C356" i="9"/>
  <c r="C415" i="9"/>
  <c r="C72" i="9"/>
  <c r="C134" i="9"/>
  <c r="C329" i="9"/>
  <c r="C273" i="9"/>
  <c r="C19" i="9"/>
  <c r="C436" i="9"/>
  <c r="C372" i="9"/>
  <c r="C291" i="9"/>
  <c r="C414" i="9"/>
  <c r="C327" i="9"/>
  <c r="C229" i="9"/>
  <c r="C419" i="9"/>
  <c r="C410" i="9"/>
  <c r="C338" i="9"/>
  <c r="C492" i="9"/>
  <c r="C464" i="9"/>
  <c r="C8" i="9"/>
  <c r="C148" i="9"/>
  <c r="C289" i="9"/>
  <c r="C126" i="9"/>
  <c r="C232" i="9"/>
  <c r="C151" i="9"/>
  <c r="C225" i="9"/>
  <c r="C89" i="9"/>
  <c r="C477" i="9"/>
  <c r="C160" i="9"/>
  <c r="C156" i="9"/>
  <c r="C228" i="9"/>
  <c r="C5" i="9"/>
  <c r="C370" i="9"/>
  <c r="C80" i="9"/>
  <c r="C447" i="9"/>
  <c r="C382" i="9"/>
  <c r="C223" i="9"/>
  <c r="C460" i="9"/>
  <c r="C397" i="9"/>
  <c r="C11" i="9"/>
  <c r="C65" i="9"/>
  <c r="C177" i="9"/>
  <c r="C254" i="9"/>
  <c r="C417" i="9"/>
  <c r="C454" i="9"/>
  <c r="C149" i="9"/>
  <c r="C340" i="9"/>
  <c r="C306" i="9"/>
  <c r="C322" i="9"/>
  <c r="C473" i="9"/>
  <c r="C189" i="9"/>
  <c r="C364" i="9"/>
  <c r="C263" i="9"/>
  <c r="C489" i="9"/>
  <c r="C119" i="9"/>
  <c r="C186" i="9"/>
  <c r="C115" i="9"/>
  <c r="C104" i="9"/>
  <c r="C299" i="9"/>
  <c r="C284" i="9"/>
  <c r="C216" i="9"/>
  <c r="C218" i="9"/>
  <c r="C416" i="9"/>
  <c r="C388" i="9"/>
  <c r="C279" i="9"/>
  <c r="C304" i="9"/>
  <c r="C348" i="9"/>
  <c r="C154" i="9"/>
  <c r="C309" i="9"/>
  <c r="C367" i="9"/>
  <c r="C121" i="9"/>
  <c r="C21" i="9"/>
  <c r="C278" i="9"/>
  <c r="C117" i="9"/>
  <c r="C352" i="9"/>
  <c r="C381" i="9"/>
  <c r="C474" i="9"/>
  <c r="C440" i="9"/>
  <c r="C152" i="9"/>
  <c r="C158" i="9"/>
  <c r="C157" i="9"/>
  <c r="C238" i="9"/>
  <c r="C269" i="9"/>
  <c r="C250" i="9"/>
  <c r="C413" i="9"/>
  <c r="C488" i="9"/>
  <c r="C264" i="9"/>
  <c r="C71" i="9"/>
  <c r="C13" i="9"/>
  <c r="C116" i="9"/>
  <c r="C275" i="9"/>
  <c r="C81" i="9"/>
  <c r="C277" i="9"/>
  <c r="C472" i="9"/>
  <c r="C350" i="9"/>
  <c r="C129" i="9"/>
  <c r="C83" i="9"/>
  <c r="C266" i="9"/>
  <c r="C469" i="9"/>
  <c r="C59" i="9"/>
  <c r="C164" i="9"/>
  <c r="C377" i="9"/>
  <c r="C484" i="9"/>
  <c r="C443" i="9"/>
  <c r="C305" i="9"/>
  <c r="C274" i="9"/>
  <c r="C78" i="9"/>
  <c r="C61" i="9"/>
  <c r="C18" i="9"/>
  <c r="C32" i="9"/>
  <c r="C136" i="9"/>
  <c r="C475" i="9"/>
  <c r="C40" i="9"/>
  <c r="C120" i="9"/>
  <c r="C393" i="9"/>
  <c r="C428" i="9"/>
  <c r="C412" i="9"/>
  <c r="C437" i="9"/>
  <c r="C276" i="9"/>
  <c r="C135" i="9"/>
  <c r="C178" i="9"/>
  <c r="C235" i="9"/>
  <c r="C433" i="9"/>
  <c r="C145" i="9"/>
  <c r="C272" i="9"/>
  <c r="C316" i="9"/>
  <c r="C468" i="9"/>
  <c r="C108" i="9"/>
  <c r="C280" i="9"/>
  <c r="C293" i="9"/>
  <c r="C432" i="9"/>
  <c r="C233" i="9"/>
  <c r="C207" i="9"/>
  <c r="C374" i="9"/>
  <c r="C303" i="9"/>
  <c r="C471" i="9"/>
  <c r="C103" i="9"/>
  <c r="C77" i="9"/>
  <c r="C466" i="9"/>
  <c r="C106" i="9"/>
  <c r="C481" i="9"/>
  <c r="C301" i="9"/>
  <c r="C12" i="9"/>
  <c r="C88" i="9"/>
  <c r="C286" i="9"/>
  <c r="C146" i="9"/>
  <c r="C398" i="9"/>
  <c r="C270" i="9"/>
  <c r="C387" i="9"/>
  <c r="C105" i="9"/>
  <c r="C44" i="9"/>
  <c r="C199" i="9"/>
  <c r="C220" i="9"/>
  <c r="C53" i="9"/>
  <c r="C326" i="9"/>
  <c r="C138" i="9"/>
  <c r="C295" i="9"/>
  <c r="C195" i="9"/>
  <c r="C161" i="9"/>
  <c r="C240" i="9"/>
  <c r="C252" i="9"/>
  <c r="C470" i="9"/>
  <c r="C202" i="9"/>
  <c r="C281" i="9"/>
  <c r="C49" i="9"/>
  <c r="C357" i="9"/>
  <c r="C82" i="9"/>
  <c r="C268" i="9"/>
  <c r="C98" i="9"/>
  <c r="C64" i="9"/>
  <c r="C249" i="9"/>
  <c r="C69" i="9"/>
  <c r="C355" i="9"/>
  <c r="C422" i="9"/>
  <c r="C70" i="9"/>
  <c r="C375" i="9"/>
  <c r="C190" i="9"/>
  <c r="C111" i="9"/>
  <c r="C341" i="9"/>
  <c r="C219" i="9"/>
  <c r="C456" i="9"/>
  <c r="C401" i="9"/>
  <c r="C442" i="9"/>
  <c r="C336" i="9"/>
  <c r="C394" i="9"/>
  <c r="C421" i="9"/>
  <c r="C461" i="9"/>
  <c r="C43" i="9"/>
  <c r="C244" i="9"/>
  <c r="C215" i="9"/>
  <c r="C439" i="9"/>
  <c r="C386" i="9"/>
  <c r="C100" i="9"/>
  <c r="C143" i="9"/>
  <c r="C310" i="9"/>
  <c r="C427" i="9"/>
  <c r="C494" i="9"/>
  <c r="C114" i="9"/>
  <c r="C76" i="9"/>
  <c r="C452" i="9"/>
  <c r="C16" i="9"/>
  <c r="C86" i="9"/>
  <c r="C214" i="9"/>
  <c r="C99" i="9"/>
  <c r="C226" i="9"/>
  <c r="C458" i="9"/>
  <c r="C187" i="9"/>
  <c r="C15" i="9"/>
  <c r="C194" i="9"/>
  <c r="C307" i="9"/>
  <c r="C425" i="9"/>
  <c r="C30" i="9"/>
  <c r="C113" i="9"/>
  <c r="C448" i="9"/>
  <c r="C36" i="9"/>
  <c r="C25" i="9"/>
  <c r="C499" i="9"/>
  <c r="C196" i="9"/>
  <c r="C243" i="9"/>
  <c r="C142" i="9"/>
  <c r="C101" i="9"/>
  <c r="C459" i="9"/>
  <c r="C33" i="9"/>
  <c r="C237" i="9"/>
  <c r="C311" i="9"/>
  <c r="C75" i="9"/>
  <c r="C351" i="9"/>
  <c r="C209" i="9"/>
  <c r="C184" i="9"/>
  <c r="C317" i="9"/>
  <c r="C353" i="9"/>
  <c r="C130" i="9"/>
  <c r="C173" i="9"/>
  <c r="C128" i="9"/>
  <c r="C122" i="9"/>
  <c r="C27" i="9"/>
  <c r="C163" i="9"/>
  <c r="C74" i="9"/>
  <c r="C497" i="9"/>
  <c r="C185" i="9"/>
  <c r="C288" i="9"/>
  <c r="C159" i="9"/>
  <c r="C175" i="9"/>
  <c r="C153" i="9"/>
  <c r="C91" i="9"/>
  <c r="C359" i="9"/>
  <c r="C222" i="9"/>
  <c r="C292" i="9"/>
  <c r="C368" i="9"/>
  <c r="C449" i="9"/>
  <c r="C132" i="9"/>
  <c r="C51" i="9"/>
  <c r="C107" i="9"/>
  <c r="C267" i="9"/>
  <c r="C453" i="9"/>
  <c r="C14" i="9"/>
  <c r="C485" i="9"/>
  <c r="C221" i="9"/>
  <c r="C446" i="9"/>
  <c r="C198" i="9"/>
  <c r="C333" i="9"/>
  <c r="C259" i="9"/>
  <c r="C429" i="9"/>
  <c r="C93" i="9"/>
  <c r="C334" i="9"/>
  <c r="C379" i="9"/>
  <c r="C155" i="9"/>
  <c r="C79" i="9"/>
  <c r="C434" i="9"/>
  <c r="C476" i="9"/>
  <c r="C144" i="9"/>
  <c r="C50" i="9"/>
  <c r="C29" i="9"/>
  <c r="C245" i="9"/>
  <c r="C213" i="9"/>
  <c r="C399" i="9"/>
  <c r="C480" i="9"/>
  <c r="C344" i="9"/>
  <c r="C47" i="9"/>
  <c r="C405" i="9"/>
  <c r="C23" i="9"/>
  <c r="C324" i="9"/>
  <c r="C95" i="9"/>
  <c r="C46" i="9"/>
  <c r="C118" i="9"/>
  <c r="C438" i="9"/>
  <c r="C495" i="9"/>
  <c r="C251" i="9"/>
  <c r="C48" i="9"/>
  <c r="C41" i="9"/>
  <c r="C147" i="9"/>
  <c r="C420" i="9"/>
  <c r="C124" i="9"/>
  <c r="C176" i="9"/>
  <c r="C141" i="9"/>
  <c r="R8" i="14"/>
  <c r="S6" i="14"/>
  <c r="S5" i="14"/>
  <c r="S4" i="14"/>
  <c r="S3" i="14"/>
  <c r="S2" i="14"/>
  <c r="S7" i="14"/>
  <c r="T6" i="14"/>
  <c r="T5" i="14"/>
  <c r="T4" i="14"/>
  <c r="T3" i="14"/>
  <c r="U3" i="14" s="1"/>
  <c r="T2" i="14"/>
  <c r="T7" i="14"/>
  <c r="L2" i="14"/>
  <c r="L3" i="14"/>
  <c r="L4" i="14"/>
  <c r="L5" i="14"/>
  <c r="L6" i="14"/>
  <c r="L7" i="14"/>
  <c r="B7" i="14"/>
  <c r="B3" i="14"/>
  <c r="B4" i="14"/>
  <c r="B5" i="14"/>
  <c r="B6" i="14"/>
  <c r="B2" i="14"/>
  <c r="C7" i="7"/>
  <c r="C6" i="7"/>
  <c r="C5" i="7"/>
  <c r="D10" i="7"/>
  <c r="D6" i="7"/>
  <c r="D5" i="7"/>
  <c r="W2" i="6" l="1"/>
  <c r="Q2" i="16"/>
  <c r="W160" i="6"/>
  <c r="T160" i="16"/>
  <c r="Q160" i="16"/>
  <c r="W159" i="6"/>
  <c r="T159" i="16"/>
  <c r="Q159" i="16"/>
  <c r="W158" i="6"/>
  <c r="T158" i="16"/>
  <c r="Q158" i="16"/>
  <c r="W157" i="6"/>
  <c r="T157" i="16"/>
  <c r="Q157" i="16"/>
  <c r="W156" i="6"/>
  <c r="T156" i="16"/>
  <c r="Q156" i="16"/>
  <c r="W155" i="6"/>
  <c r="T155" i="16"/>
  <c r="Q155" i="16"/>
  <c r="W154" i="6"/>
  <c r="T154" i="16"/>
  <c r="Q154" i="16"/>
  <c r="W153" i="6"/>
  <c r="T153" i="16"/>
  <c r="Q153" i="16"/>
  <c r="W152" i="6"/>
  <c r="T152" i="16"/>
  <c r="Q152" i="16"/>
  <c r="W151" i="6"/>
  <c r="T151" i="16"/>
  <c r="Q151" i="16"/>
  <c r="W150" i="6"/>
  <c r="T150" i="16"/>
  <c r="Q150" i="16"/>
  <c r="W149" i="6"/>
  <c r="T149" i="16"/>
  <c r="Q149" i="16"/>
  <c r="W148" i="6"/>
  <c r="T148" i="16"/>
  <c r="Q148" i="16"/>
  <c r="W147" i="6"/>
  <c r="T147" i="16"/>
  <c r="Q147" i="16"/>
  <c r="W146" i="6"/>
  <c r="T146" i="16"/>
  <c r="Q146" i="16"/>
  <c r="W145" i="6"/>
  <c r="T145" i="16"/>
  <c r="Q145" i="16"/>
  <c r="W144" i="6"/>
  <c r="T144" i="16"/>
  <c r="Q144" i="16"/>
  <c r="W143" i="6"/>
  <c r="T143" i="16"/>
  <c r="Q143" i="16"/>
  <c r="W142" i="6"/>
  <c r="T142" i="16"/>
  <c r="Q142" i="16"/>
  <c r="W141" i="6"/>
  <c r="T141" i="16"/>
  <c r="Q141" i="16"/>
  <c r="W140" i="6"/>
  <c r="T140" i="16"/>
  <c r="Q140" i="16"/>
  <c r="W139" i="6"/>
  <c r="T139" i="16"/>
  <c r="Q139" i="16"/>
  <c r="W138" i="6"/>
  <c r="T138" i="16"/>
  <c r="Q138" i="16"/>
  <c r="W137" i="6"/>
  <c r="T137" i="16"/>
  <c r="Q137" i="16"/>
  <c r="W136" i="6"/>
  <c r="T136" i="16"/>
  <c r="Q136" i="16"/>
  <c r="W135" i="6"/>
  <c r="T135" i="16"/>
  <c r="Q135" i="16"/>
  <c r="W134" i="6"/>
  <c r="T134" i="16"/>
  <c r="Q134" i="16"/>
  <c r="W133" i="6"/>
  <c r="T133" i="16"/>
  <c r="Q133" i="16"/>
  <c r="W132" i="6"/>
  <c r="T132" i="16"/>
  <c r="Q132" i="16"/>
  <c r="W131" i="6"/>
  <c r="T131" i="16"/>
  <c r="Q131" i="16"/>
  <c r="W130" i="6"/>
  <c r="T130" i="16"/>
  <c r="Q130" i="16"/>
  <c r="W129" i="6"/>
  <c r="T129" i="16"/>
  <c r="Q129" i="16"/>
  <c r="W128" i="6"/>
  <c r="T128" i="16"/>
  <c r="Q128" i="16"/>
  <c r="W127" i="6"/>
  <c r="T127" i="16"/>
  <c r="Q127" i="16"/>
  <c r="W126" i="6"/>
  <c r="T126" i="16"/>
  <c r="Q126" i="16"/>
  <c r="W125" i="6"/>
  <c r="T125" i="16"/>
  <c r="Q125" i="16"/>
  <c r="W124" i="6"/>
  <c r="T124" i="16"/>
  <c r="Q124" i="16"/>
  <c r="W123" i="6"/>
  <c r="T123" i="16"/>
  <c r="Q123" i="16"/>
  <c r="W122" i="6"/>
  <c r="T122" i="16"/>
  <c r="Q122" i="16"/>
  <c r="W121" i="6"/>
  <c r="T121" i="16"/>
  <c r="Q121" i="16"/>
  <c r="W120" i="6"/>
  <c r="T120" i="16"/>
  <c r="Q120" i="16"/>
  <c r="W119" i="6"/>
  <c r="T119" i="16"/>
  <c r="Q119" i="16"/>
  <c r="W118" i="6"/>
  <c r="T118" i="16"/>
  <c r="Q118" i="16"/>
  <c r="W117" i="6"/>
  <c r="T117" i="16"/>
  <c r="Q117" i="16"/>
  <c r="W116" i="6"/>
  <c r="T116" i="16"/>
  <c r="Q116" i="16"/>
  <c r="W115" i="6"/>
  <c r="T115" i="16"/>
  <c r="Q115" i="16"/>
  <c r="W114" i="6"/>
  <c r="T114" i="16"/>
  <c r="Q114" i="16"/>
  <c r="W113" i="6"/>
  <c r="T113" i="16"/>
  <c r="Q113" i="16"/>
  <c r="W112" i="6"/>
  <c r="T112" i="16"/>
  <c r="Q112" i="16"/>
  <c r="W111" i="6"/>
  <c r="T111" i="16"/>
  <c r="Q111" i="16"/>
  <c r="W110" i="6"/>
  <c r="T110" i="16"/>
  <c r="Q110" i="16"/>
  <c r="W109" i="6"/>
  <c r="T109" i="16"/>
  <c r="Q109" i="16"/>
  <c r="W108" i="6"/>
  <c r="T108" i="16"/>
  <c r="Q108" i="16"/>
  <c r="W107" i="6"/>
  <c r="T107" i="16"/>
  <c r="Q107" i="16"/>
  <c r="W106" i="6"/>
  <c r="T106" i="16"/>
  <c r="Q106" i="16"/>
  <c r="W105" i="6"/>
  <c r="T105" i="16"/>
  <c r="Q105" i="16"/>
  <c r="W104" i="6"/>
  <c r="T104" i="16"/>
  <c r="Q104" i="16"/>
  <c r="W103" i="6"/>
  <c r="T103" i="16"/>
  <c r="Q103" i="16"/>
  <c r="W102" i="6"/>
  <c r="T102" i="16"/>
  <c r="Q102" i="16"/>
  <c r="W101" i="6"/>
  <c r="T101" i="16"/>
  <c r="Q101" i="16"/>
  <c r="W100" i="6"/>
  <c r="T100" i="16"/>
  <c r="Q100" i="16"/>
  <c r="W99" i="6"/>
  <c r="T99" i="16"/>
  <c r="Q99" i="16"/>
  <c r="W98" i="6"/>
  <c r="T98" i="16"/>
  <c r="Q98" i="16"/>
  <c r="W97" i="6"/>
  <c r="T97" i="16"/>
  <c r="Q97" i="16"/>
  <c r="W96" i="6"/>
  <c r="T96" i="16"/>
  <c r="Q96" i="16"/>
  <c r="W95" i="6"/>
  <c r="T95" i="16"/>
  <c r="Q95" i="16"/>
  <c r="W94" i="6"/>
  <c r="T94" i="16"/>
  <c r="Q94" i="16"/>
  <c r="W93" i="6"/>
  <c r="T93" i="16"/>
  <c r="Q93" i="16"/>
  <c r="W92" i="6"/>
  <c r="T92" i="16"/>
  <c r="Q92" i="16"/>
  <c r="W91" i="6"/>
  <c r="T91" i="16"/>
  <c r="Q91" i="16"/>
  <c r="W90" i="6"/>
  <c r="T90" i="16"/>
  <c r="Q90" i="16"/>
  <c r="W89" i="6"/>
  <c r="T89" i="16"/>
  <c r="Q89" i="16"/>
  <c r="W88" i="6"/>
  <c r="T88" i="16"/>
  <c r="Q88" i="16"/>
  <c r="W87" i="6"/>
  <c r="T87" i="16"/>
  <c r="Q87" i="16"/>
  <c r="W86" i="6"/>
  <c r="T86" i="16"/>
  <c r="Q86" i="16"/>
  <c r="W85" i="6"/>
  <c r="T85" i="16"/>
  <c r="Q85" i="16"/>
  <c r="W84" i="6"/>
  <c r="T84" i="16"/>
  <c r="Q84" i="16"/>
  <c r="W83" i="6"/>
  <c r="T83" i="16"/>
  <c r="Q83" i="16"/>
  <c r="W82" i="6"/>
  <c r="T82" i="16"/>
  <c r="Q82" i="16"/>
  <c r="W81" i="6"/>
  <c r="T81" i="16"/>
  <c r="Q81" i="16"/>
  <c r="W80" i="6"/>
  <c r="T80" i="16"/>
  <c r="Q80" i="16"/>
  <c r="W79" i="6"/>
  <c r="T79" i="16"/>
  <c r="Q79" i="16"/>
  <c r="W78" i="6"/>
  <c r="T78" i="16"/>
  <c r="Q78" i="16"/>
  <c r="W77" i="6"/>
  <c r="T77" i="16"/>
  <c r="Q77" i="16"/>
  <c r="W76" i="6"/>
  <c r="T76" i="16"/>
  <c r="Q76" i="16"/>
  <c r="W75" i="6"/>
  <c r="T75" i="16"/>
  <c r="Q75" i="16"/>
  <c r="W74" i="6"/>
  <c r="T74" i="16"/>
  <c r="Q74" i="16"/>
  <c r="W73" i="6"/>
  <c r="T73" i="16"/>
  <c r="Q73" i="16"/>
  <c r="W72" i="6"/>
  <c r="T72" i="16"/>
  <c r="Q72" i="16"/>
  <c r="W71" i="6"/>
  <c r="T71" i="16"/>
  <c r="Q71" i="16"/>
  <c r="W70" i="6"/>
  <c r="T70" i="16"/>
  <c r="Q70" i="16"/>
  <c r="W69" i="6"/>
  <c r="T69" i="16"/>
  <c r="Q69" i="16"/>
  <c r="W68" i="6"/>
  <c r="T68" i="16"/>
  <c r="Q68" i="16"/>
  <c r="W67" i="6"/>
  <c r="T67" i="16"/>
  <c r="Q67" i="16"/>
  <c r="W66" i="6"/>
  <c r="T66" i="16"/>
  <c r="Q66" i="16"/>
  <c r="W65" i="6"/>
  <c r="T65" i="16"/>
  <c r="Q65" i="16"/>
  <c r="W64" i="6"/>
  <c r="T64" i="16"/>
  <c r="Q64" i="16"/>
  <c r="W63" i="6"/>
  <c r="T63" i="16"/>
  <c r="Q63" i="16"/>
  <c r="W62" i="6"/>
  <c r="T62" i="16"/>
  <c r="Q62" i="16"/>
  <c r="W61" i="6"/>
  <c r="T61" i="16"/>
  <c r="Q61" i="16"/>
  <c r="W60" i="6"/>
  <c r="T60" i="16"/>
  <c r="Q60" i="16"/>
  <c r="W59" i="6"/>
  <c r="T59" i="16"/>
  <c r="Q59" i="16"/>
  <c r="W58" i="6"/>
  <c r="T58" i="16"/>
  <c r="Q58" i="16"/>
  <c r="W57" i="6"/>
  <c r="T57" i="16"/>
  <c r="Q57" i="16"/>
  <c r="W56" i="6"/>
  <c r="T56" i="16"/>
  <c r="Q56" i="16"/>
  <c r="W55" i="6"/>
  <c r="T55" i="16"/>
  <c r="Q55" i="16"/>
  <c r="W54" i="6"/>
  <c r="T54" i="16"/>
  <c r="Q54" i="16"/>
  <c r="W53" i="6"/>
  <c r="T53" i="16"/>
  <c r="Q53" i="16"/>
  <c r="W52" i="6"/>
  <c r="T52" i="16"/>
  <c r="Q52" i="16"/>
  <c r="W51" i="6"/>
  <c r="T51" i="16"/>
  <c r="Q51" i="16"/>
  <c r="W50" i="6"/>
  <c r="T50" i="16"/>
  <c r="Q50" i="16"/>
  <c r="W49" i="6"/>
  <c r="T49" i="16"/>
  <c r="Q49" i="16"/>
  <c r="W48" i="6"/>
  <c r="T48" i="16"/>
  <c r="Q48" i="16"/>
  <c r="W47" i="6"/>
  <c r="T47" i="16"/>
  <c r="Q47" i="16"/>
  <c r="W46" i="6"/>
  <c r="T46" i="16"/>
  <c r="Q46" i="16"/>
  <c r="W45" i="6"/>
  <c r="T45" i="16"/>
  <c r="Q45" i="16"/>
  <c r="W44" i="6"/>
  <c r="T44" i="16"/>
  <c r="Q44" i="16"/>
  <c r="W43" i="6"/>
  <c r="T43" i="16"/>
  <c r="Q43" i="16"/>
  <c r="W42" i="6"/>
  <c r="T42" i="16"/>
  <c r="Q42" i="16"/>
  <c r="W41" i="6"/>
  <c r="T41" i="16"/>
  <c r="Q41" i="16"/>
  <c r="W40" i="6"/>
  <c r="T40" i="16"/>
  <c r="Q40" i="16"/>
  <c r="W39" i="6"/>
  <c r="T39" i="16"/>
  <c r="Q39" i="16"/>
  <c r="W38" i="6"/>
  <c r="T38" i="16"/>
  <c r="Q38" i="16"/>
  <c r="W37" i="6"/>
  <c r="T37" i="16"/>
  <c r="Q37" i="16"/>
  <c r="W36" i="6"/>
  <c r="T36" i="16"/>
  <c r="Q36" i="16"/>
  <c r="W35" i="6"/>
  <c r="T35" i="16"/>
  <c r="Q35" i="16"/>
  <c r="W34" i="6"/>
  <c r="T34" i="16"/>
  <c r="Q34" i="16"/>
  <c r="W33" i="6"/>
  <c r="T33" i="16"/>
  <c r="Q33" i="16"/>
  <c r="W32" i="6"/>
  <c r="T32" i="16"/>
  <c r="Q32" i="16"/>
  <c r="W31" i="6"/>
  <c r="T31" i="16"/>
  <c r="Q31" i="16"/>
  <c r="W30" i="6"/>
  <c r="T30" i="16"/>
  <c r="Q30" i="16"/>
  <c r="W29" i="6"/>
  <c r="T29" i="16"/>
  <c r="Q29" i="16"/>
  <c r="W28" i="6"/>
  <c r="T28" i="16"/>
  <c r="Q28" i="16"/>
  <c r="W27" i="6"/>
  <c r="T27" i="16"/>
  <c r="Q27" i="16"/>
  <c r="W26" i="6"/>
  <c r="T26" i="16"/>
  <c r="Q26" i="16"/>
  <c r="W25" i="6"/>
  <c r="T25" i="16"/>
  <c r="Q25" i="16"/>
  <c r="W24" i="6"/>
  <c r="T24" i="16"/>
  <c r="Q24" i="16"/>
  <c r="W23" i="6"/>
  <c r="T23" i="16"/>
  <c r="Q23" i="16"/>
  <c r="W22" i="6"/>
  <c r="T22" i="16"/>
  <c r="Q22" i="16"/>
  <c r="W21" i="6"/>
  <c r="T21" i="16"/>
  <c r="Q21" i="16"/>
  <c r="W20" i="6"/>
  <c r="T20" i="16"/>
  <c r="Q20" i="16"/>
  <c r="W19" i="6"/>
  <c r="T19" i="16"/>
  <c r="Q19" i="16"/>
  <c r="W18" i="6"/>
  <c r="T18" i="16"/>
  <c r="Q18" i="16"/>
  <c r="W17" i="6"/>
  <c r="T17" i="16"/>
  <c r="Q17" i="16"/>
  <c r="W16" i="6"/>
  <c r="T16" i="16"/>
  <c r="Q16" i="16"/>
  <c r="W15" i="6"/>
  <c r="T15" i="16"/>
  <c r="Q15" i="16"/>
  <c r="W14" i="6"/>
  <c r="T14" i="16"/>
  <c r="Q14" i="16"/>
  <c r="W13" i="6"/>
  <c r="T13" i="16"/>
  <c r="Q13" i="16"/>
  <c r="T12" i="16"/>
  <c r="Q12" i="16"/>
  <c r="W11" i="6"/>
  <c r="T11" i="16"/>
  <c r="Q11" i="16"/>
  <c r="W10" i="6"/>
  <c r="T10" i="16"/>
  <c r="Q10" i="16"/>
  <c r="W9" i="6"/>
  <c r="T9" i="16"/>
  <c r="Q9" i="16"/>
  <c r="W8" i="6"/>
  <c r="T8" i="16"/>
  <c r="Q8" i="16"/>
  <c r="W7" i="6"/>
  <c r="T7" i="16"/>
  <c r="Q7" i="16"/>
  <c r="W6" i="6"/>
  <c r="T6" i="16"/>
  <c r="Q6" i="16"/>
  <c r="W5" i="6"/>
  <c r="T5" i="16"/>
  <c r="Q5" i="16"/>
  <c r="W4" i="6"/>
  <c r="T4" i="16"/>
  <c r="Q4" i="16"/>
  <c r="Q3" i="16"/>
  <c r="T161" i="16"/>
  <c r="Q161" i="16"/>
  <c r="W200" i="6"/>
  <c r="T200" i="16"/>
  <c r="Q200" i="16"/>
  <c r="W199" i="6"/>
  <c r="T199" i="16"/>
  <c r="Q199" i="16"/>
  <c r="W198" i="6"/>
  <c r="T198" i="16"/>
  <c r="Q198" i="16"/>
  <c r="W197" i="6"/>
  <c r="T197" i="16"/>
  <c r="Q197" i="16"/>
  <c r="W196" i="6"/>
  <c r="T196" i="16"/>
  <c r="Q196" i="16"/>
  <c r="W195" i="6"/>
  <c r="T195" i="16"/>
  <c r="Q195" i="16"/>
  <c r="W194" i="6"/>
  <c r="T194" i="16"/>
  <c r="Q194" i="16"/>
  <c r="W193" i="6"/>
  <c r="T193" i="16"/>
  <c r="Q193" i="16"/>
  <c r="W192" i="6"/>
  <c r="T192" i="16"/>
  <c r="Q192" i="16"/>
  <c r="W191" i="6"/>
  <c r="T191" i="16"/>
  <c r="Q191" i="16"/>
  <c r="W190" i="6"/>
  <c r="T190" i="16"/>
  <c r="Q190" i="16"/>
  <c r="W189" i="6"/>
  <c r="T189" i="16"/>
  <c r="Q189" i="16"/>
  <c r="W188" i="6"/>
  <c r="T188" i="16"/>
  <c r="Q188" i="16"/>
  <c r="W187" i="6"/>
  <c r="T187" i="16"/>
  <c r="Q187" i="16"/>
  <c r="W186" i="6"/>
  <c r="T186" i="16"/>
  <c r="Q186" i="16"/>
  <c r="W185" i="6"/>
  <c r="T185" i="16"/>
  <c r="Q185" i="16"/>
  <c r="W184" i="6"/>
  <c r="T184" i="16"/>
  <c r="Q184" i="16"/>
  <c r="W183" i="6"/>
  <c r="T183" i="16"/>
  <c r="Q183" i="16"/>
  <c r="W182" i="6"/>
  <c r="T182" i="16"/>
  <c r="Q182" i="16"/>
  <c r="W181" i="6"/>
  <c r="T181" i="16"/>
  <c r="Q181" i="16"/>
  <c r="W180" i="6"/>
  <c r="T180" i="16"/>
  <c r="Q180" i="16"/>
  <c r="W179" i="6"/>
  <c r="T179" i="16"/>
  <c r="Q179" i="16"/>
  <c r="W178" i="6"/>
  <c r="T178" i="16"/>
  <c r="Q178" i="16"/>
  <c r="W177" i="6"/>
  <c r="T177" i="16"/>
  <c r="Q177" i="16"/>
  <c r="W176" i="6"/>
  <c r="T176" i="16"/>
  <c r="Q176" i="16"/>
  <c r="W175" i="6"/>
  <c r="T175" i="16"/>
  <c r="Q175" i="16"/>
  <c r="W174" i="6"/>
  <c r="T174" i="16"/>
  <c r="Q174" i="16"/>
  <c r="W173" i="6"/>
  <c r="T173" i="16"/>
  <c r="Q173" i="16"/>
  <c r="W172" i="6"/>
  <c r="T172" i="16"/>
  <c r="Q172" i="16"/>
  <c r="W171" i="6"/>
  <c r="T171" i="16"/>
  <c r="Q171" i="16"/>
  <c r="W170" i="6"/>
  <c r="T170" i="16"/>
  <c r="Q170" i="16"/>
  <c r="T169" i="16"/>
  <c r="Q169" i="16"/>
  <c r="T168" i="16"/>
  <c r="Q168" i="16"/>
  <c r="T167" i="16"/>
  <c r="Q167" i="16"/>
  <c r="T166" i="16"/>
  <c r="Q166" i="16"/>
  <c r="T165" i="16"/>
  <c r="Q165" i="16"/>
  <c r="T164" i="16"/>
  <c r="Q164" i="16"/>
  <c r="T163" i="16"/>
  <c r="Q163" i="16"/>
  <c r="T162" i="16"/>
  <c r="Q162" i="16"/>
  <c r="W320" i="6"/>
  <c r="T320" i="16"/>
  <c r="Q320" i="16"/>
  <c r="W318" i="6"/>
  <c r="T318" i="16"/>
  <c r="Q318" i="16"/>
  <c r="W317" i="6"/>
  <c r="T317" i="16"/>
  <c r="Q317" i="16"/>
  <c r="W316" i="6"/>
  <c r="T316" i="16"/>
  <c r="Q316" i="16"/>
  <c r="W315" i="6"/>
  <c r="T315" i="16"/>
  <c r="Q315" i="16"/>
  <c r="W314" i="6"/>
  <c r="T314" i="16"/>
  <c r="Q314" i="16"/>
  <c r="W313" i="6"/>
  <c r="T313" i="16"/>
  <c r="Q313" i="16"/>
  <c r="W312" i="6"/>
  <c r="T312" i="16"/>
  <c r="Q312" i="16"/>
  <c r="W311" i="6"/>
  <c r="T311" i="16"/>
  <c r="Q311" i="16"/>
  <c r="W310" i="6"/>
  <c r="T310" i="16"/>
  <c r="Q310" i="16"/>
  <c r="W309" i="6"/>
  <c r="T309" i="16"/>
  <c r="Q309" i="16"/>
  <c r="W308" i="6"/>
  <c r="T308" i="16"/>
  <c r="Q308" i="16"/>
  <c r="W307" i="6"/>
  <c r="T307" i="16"/>
  <c r="Q307" i="16"/>
  <c r="W306" i="6"/>
  <c r="T306" i="16"/>
  <c r="Q306" i="16"/>
  <c r="W305" i="6"/>
  <c r="T305" i="16"/>
  <c r="Q305" i="16"/>
  <c r="W304" i="6"/>
  <c r="T304" i="16"/>
  <c r="Q304" i="16"/>
  <c r="W303" i="6"/>
  <c r="T303" i="16"/>
  <c r="Q303" i="16"/>
  <c r="W302" i="6"/>
  <c r="T302" i="16"/>
  <c r="Q302" i="16"/>
  <c r="W301" i="6"/>
  <c r="T301" i="16"/>
  <c r="Q301" i="16"/>
  <c r="W300" i="6"/>
  <c r="T300" i="16"/>
  <c r="Q300" i="16"/>
  <c r="W299" i="6"/>
  <c r="T299" i="16"/>
  <c r="Q299" i="16"/>
  <c r="W298" i="6"/>
  <c r="T298" i="16"/>
  <c r="Q298" i="16"/>
  <c r="W297" i="6"/>
  <c r="T297" i="16"/>
  <c r="Q297" i="16"/>
  <c r="W296" i="6"/>
  <c r="T296" i="16"/>
  <c r="Q296" i="16"/>
  <c r="W295" i="6"/>
  <c r="T295" i="16"/>
  <c r="Q295" i="16"/>
  <c r="W294" i="6"/>
  <c r="T294" i="16"/>
  <c r="Q294" i="16"/>
  <c r="W293" i="6"/>
  <c r="T293" i="16"/>
  <c r="Q293" i="16"/>
  <c r="W292" i="6"/>
  <c r="T292" i="16"/>
  <c r="Q292" i="16"/>
  <c r="W291" i="6"/>
  <c r="T291" i="16"/>
  <c r="Q291" i="16"/>
  <c r="W290" i="6"/>
  <c r="T290" i="16"/>
  <c r="Q290" i="16"/>
  <c r="W289" i="6"/>
  <c r="T289" i="16"/>
  <c r="Q289" i="16"/>
  <c r="W288" i="6"/>
  <c r="T288" i="16"/>
  <c r="Q288" i="16"/>
  <c r="W287" i="6"/>
  <c r="T287" i="16"/>
  <c r="Q287" i="16"/>
  <c r="W286" i="6"/>
  <c r="T286" i="16"/>
  <c r="Q286" i="16"/>
  <c r="W285" i="6"/>
  <c r="T285" i="16"/>
  <c r="Q285" i="16"/>
  <c r="W284" i="6"/>
  <c r="T284" i="16"/>
  <c r="Q284" i="16"/>
  <c r="W283" i="6"/>
  <c r="T283" i="16"/>
  <c r="Q283" i="16"/>
  <c r="W282" i="6"/>
  <c r="T282" i="16"/>
  <c r="Q282" i="16"/>
  <c r="W281" i="6"/>
  <c r="T281" i="16"/>
  <c r="Q281" i="16"/>
  <c r="W280" i="6"/>
  <c r="T280" i="16"/>
  <c r="Q280" i="16"/>
  <c r="W279" i="6"/>
  <c r="T279" i="16"/>
  <c r="Q279" i="16"/>
  <c r="W278" i="6"/>
  <c r="T278" i="16"/>
  <c r="Q278" i="16"/>
  <c r="W277" i="6"/>
  <c r="T277" i="16"/>
  <c r="Q277" i="16"/>
  <c r="W276" i="6"/>
  <c r="T276" i="16"/>
  <c r="Q276" i="16"/>
  <c r="W275" i="6"/>
  <c r="T275" i="16"/>
  <c r="Q275" i="16"/>
  <c r="W274" i="6"/>
  <c r="T274" i="16"/>
  <c r="Q274" i="16"/>
  <c r="W273" i="6"/>
  <c r="T273" i="16"/>
  <c r="Q273" i="16"/>
  <c r="W272" i="6"/>
  <c r="T272" i="16"/>
  <c r="Q272" i="16"/>
  <c r="W271" i="6"/>
  <c r="T271" i="16"/>
  <c r="Q271" i="16"/>
  <c r="W270" i="6"/>
  <c r="T270" i="16"/>
  <c r="Q270" i="16"/>
  <c r="W269" i="6"/>
  <c r="T269" i="16"/>
  <c r="Q269" i="16"/>
  <c r="W268" i="6"/>
  <c r="T268" i="16"/>
  <c r="Q268" i="16"/>
  <c r="W267" i="6"/>
  <c r="T267" i="16"/>
  <c r="Q267" i="16"/>
  <c r="W266" i="6"/>
  <c r="T266" i="16"/>
  <c r="Q266" i="16"/>
  <c r="W265" i="6"/>
  <c r="T265" i="16"/>
  <c r="Q265" i="16"/>
  <c r="W264" i="6"/>
  <c r="T264" i="16"/>
  <c r="Q264" i="16"/>
  <c r="W263" i="6"/>
  <c r="T263" i="16"/>
  <c r="Q263" i="16"/>
  <c r="W262" i="6"/>
  <c r="T262" i="16"/>
  <c r="Q262" i="16"/>
  <c r="T203" i="16"/>
  <c r="Q203" i="16"/>
  <c r="W260" i="6"/>
  <c r="T260" i="16"/>
  <c r="Q260" i="16"/>
  <c r="W259" i="6"/>
  <c r="T259" i="16"/>
  <c r="Q259" i="16"/>
  <c r="W258" i="6"/>
  <c r="T258" i="16"/>
  <c r="Q258" i="16"/>
  <c r="W257" i="6"/>
  <c r="T257" i="16"/>
  <c r="Q257" i="16"/>
  <c r="W256" i="6"/>
  <c r="T256" i="16"/>
  <c r="Q256" i="16"/>
  <c r="W255" i="6"/>
  <c r="T255" i="16"/>
  <c r="Q255" i="16"/>
  <c r="W254" i="6"/>
  <c r="T254" i="16"/>
  <c r="Q254" i="16"/>
  <c r="W253" i="6"/>
  <c r="T253" i="16"/>
  <c r="Q253" i="16"/>
  <c r="W252" i="6"/>
  <c r="T252" i="16"/>
  <c r="Q252" i="16"/>
  <c r="W251" i="6"/>
  <c r="T251" i="16"/>
  <c r="Q251" i="16"/>
  <c r="W250" i="6"/>
  <c r="T250" i="16"/>
  <c r="Q250" i="16"/>
  <c r="W249" i="6"/>
  <c r="T249" i="16"/>
  <c r="Q249" i="16"/>
  <c r="W248" i="6"/>
  <c r="T248" i="16"/>
  <c r="Q248" i="16"/>
  <c r="W247" i="6"/>
  <c r="T247" i="16"/>
  <c r="Q247" i="16"/>
  <c r="W246" i="6"/>
  <c r="T246" i="16"/>
  <c r="Q246" i="16"/>
  <c r="W245" i="6"/>
  <c r="T245" i="16"/>
  <c r="Q245" i="16"/>
  <c r="W244" i="6"/>
  <c r="T244" i="16"/>
  <c r="Q244" i="16"/>
  <c r="W243" i="6"/>
  <c r="T243" i="16"/>
  <c r="Q243" i="16"/>
  <c r="W242" i="6"/>
  <c r="T242" i="16"/>
  <c r="Q242" i="16"/>
  <c r="W241" i="6"/>
  <c r="T241" i="16"/>
  <c r="Q241" i="16"/>
  <c r="W240" i="6"/>
  <c r="T240" i="16"/>
  <c r="Q240" i="16"/>
  <c r="W239" i="6"/>
  <c r="T239" i="16"/>
  <c r="Q239" i="16"/>
  <c r="W238" i="6"/>
  <c r="T238" i="16"/>
  <c r="Q238" i="16"/>
  <c r="W237" i="6"/>
  <c r="T237" i="16"/>
  <c r="Q237" i="16"/>
  <c r="W236" i="6"/>
  <c r="T236" i="16"/>
  <c r="Q236" i="16"/>
  <c r="W235" i="6"/>
  <c r="T235" i="16"/>
  <c r="Q235" i="16"/>
  <c r="W234" i="6"/>
  <c r="T234" i="16"/>
  <c r="Q234" i="16"/>
  <c r="W233" i="6"/>
  <c r="T233" i="16"/>
  <c r="Q233" i="16"/>
  <c r="W232" i="6"/>
  <c r="T232" i="16"/>
  <c r="Q232" i="16"/>
  <c r="W231" i="6"/>
  <c r="T231" i="16"/>
  <c r="Q231" i="16"/>
  <c r="W230" i="6"/>
  <c r="T230" i="16"/>
  <c r="Q230" i="16"/>
  <c r="W229" i="6"/>
  <c r="T229" i="16"/>
  <c r="Q229" i="16"/>
  <c r="W228" i="6"/>
  <c r="T228" i="16"/>
  <c r="Q228" i="16"/>
  <c r="W227" i="6"/>
  <c r="T227" i="16"/>
  <c r="Q227" i="16"/>
  <c r="W226" i="6"/>
  <c r="T226" i="16"/>
  <c r="Q226" i="16"/>
  <c r="W225" i="6"/>
  <c r="T225" i="16"/>
  <c r="Q225" i="16"/>
  <c r="W224" i="6"/>
  <c r="T224" i="16"/>
  <c r="Q224" i="16"/>
  <c r="W223" i="6"/>
  <c r="T223" i="16"/>
  <c r="Q223" i="16"/>
  <c r="W222" i="6"/>
  <c r="T222" i="16"/>
  <c r="Q222" i="16"/>
  <c r="W221" i="6"/>
  <c r="T221" i="16"/>
  <c r="Q221" i="16"/>
  <c r="W220" i="6"/>
  <c r="T220" i="16"/>
  <c r="Q220" i="16"/>
  <c r="W219" i="6"/>
  <c r="T219" i="16"/>
  <c r="Q219" i="16"/>
  <c r="W218" i="6"/>
  <c r="T218" i="16"/>
  <c r="Q218" i="16"/>
  <c r="W217" i="6"/>
  <c r="T217" i="16"/>
  <c r="Q217" i="16"/>
  <c r="W216" i="6"/>
  <c r="T216" i="16"/>
  <c r="Q216" i="16"/>
  <c r="T261" i="16"/>
  <c r="Q261" i="16"/>
  <c r="W215" i="6"/>
  <c r="T215" i="16"/>
  <c r="Q215" i="16"/>
  <c r="W214" i="6"/>
  <c r="T214" i="16"/>
  <c r="Q214" i="16"/>
  <c r="W213" i="6"/>
  <c r="T213" i="16"/>
  <c r="Q213" i="16"/>
  <c r="W212" i="6"/>
  <c r="T212" i="16"/>
  <c r="Q212" i="16"/>
  <c r="W211" i="6"/>
  <c r="T211" i="16"/>
  <c r="Q211" i="16"/>
  <c r="T210" i="16"/>
  <c r="Q210" i="16"/>
  <c r="W209" i="6"/>
  <c r="T209" i="16"/>
  <c r="Q209" i="16"/>
  <c r="W208" i="6"/>
  <c r="T208" i="16"/>
  <c r="Q208" i="16"/>
  <c r="T319" i="16"/>
  <c r="Q319" i="16"/>
  <c r="T207" i="16"/>
  <c r="Q207" i="16"/>
  <c r="T206" i="16"/>
  <c r="Q206" i="16"/>
  <c r="T205" i="16"/>
  <c r="Q205" i="16"/>
  <c r="T204" i="16"/>
  <c r="Q204" i="16"/>
  <c r="T202" i="16"/>
  <c r="Q202" i="16"/>
  <c r="T201" i="16"/>
  <c r="Q201" i="16"/>
  <c r="T321" i="16"/>
  <c r="Q321" i="16"/>
  <c r="W492" i="6"/>
  <c r="T492" i="16"/>
  <c r="Q492" i="16"/>
  <c r="W491" i="6"/>
  <c r="T491" i="16"/>
  <c r="Q491" i="16"/>
  <c r="W490" i="6"/>
  <c r="T490" i="16"/>
  <c r="Q490" i="16"/>
  <c r="W489" i="6"/>
  <c r="T489" i="16"/>
  <c r="Q489" i="16"/>
  <c r="W488" i="6"/>
  <c r="T488" i="16"/>
  <c r="Q488" i="16"/>
  <c r="W487" i="6"/>
  <c r="T487" i="16"/>
  <c r="Q487" i="16"/>
  <c r="W486" i="6"/>
  <c r="T486" i="16"/>
  <c r="Q486" i="16"/>
  <c r="W485" i="6"/>
  <c r="T485" i="16"/>
  <c r="Q485" i="16"/>
  <c r="W484" i="6"/>
  <c r="T484" i="16"/>
  <c r="Q484" i="16"/>
  <c r="W483" i="6"/>
  <c r="T483" i="16"/>
  <c r="Q483" i="16"/>
  <c r="W482" i="6"/>
  <c r="T482" i="16"/>
  <c r="Q482" i="16"/>
  <c r="W481" i="6"/>
  <c r="T481" i="16"/>
  <c r="Q481" i="16"/>
  <c r="W480" i="6"/>
  <c r="T480" i="16"/>
  <c r="Q480" i="16"/>
  <c r="W479" i="6"/>
  <c r="T479" i="16"/>
  <c r="Q479" i="16"/>
  <c r="W478" i="6"/>
  <c r="T478" i="16"/>
  <c r="Q478" i="16"/>
  <c r="W477" i="6"/>
  <c r="T477" i="16"/>
  <c r="Q477" i="16"/>
  <c r="W475" i="6"/>
  <c r="T475" i="16"/>
  <c r="Q475" i="16"/>
  <c r="W474" i="6"/>
  <c r="T474" i="16"/>
  <c r="Q474" i="16"/>
  <c r="W473" i="6"/>
  <c r="T473" i="16"/>
  <c r="Q473" i="16"/>
  <c r="W472" i="6"/>
  <c r="T472" i="16"/>
  <c r="Q472" i="16"/>
  <c r="W471" i="6"/>
  <c r="T471" i="16"/>
  <c r="Q471" i="16"/>
  <c r="W470" i="6"/>
  <c r="T470" i="16"/>
  <c r="Q470" i="16"/>
  <c r="W469" i="6"/>
  <c r="T469" i="16"/>
  <c r="Q469" i="16"/>
  <c r="W468" i="6"/>
  <c r="T468" i="16"/>
  <c r="Q468" i="16"/>
  <c r="W467" i="6"/>
  <c r="T467" i="16"/>
  <c r="Q467" i="16"/>
  <c r="W466" i="6"/>
  <c r="T466" i="16"/>
  <c r="Q466" i="16"/>
  <c r="W465" i="6"/>
  <c r="T465" i="16"/>
  <c r="Q465" i="16"/>
  <c r="W464" i="6"/>
  <c r="T464" i="16"/>
  <c r="Q464" i="16"/>
  <c r="W463" i="6"/>
  <c r="T463" i="16"/>
  <c r="Q463" i="16"/>
  <c r="W462" i="6"/>
  <c r="T462" i="16"/>
  <c r="Q462" i="16"/>
  <c r="W461" i="6"/>
  <c r="T461" i="16"/>
  <c r="Q461" i="16"/>
  <c r="W460" i="6"/>
  <c r="T460" i="16"/>
  <c r="Q460" i="16"/>
  <c r="W459" i="6"/>
  <c r="T459" i="16"/>
  <c r="Q459" i="16"/>
  <c r="W458" i="6"/>
  <c r="T458" i="16"/>
  <c r="Q458" i="16"/>
  <c r="W457" i="6"/>
  <c r="T457" i="16"/>
  <c r="Q457" i="16"/>
  <c r="W456" i="6"/>
  <c r="T456" i="16"/>
  <c r="Q456" i="16"/>
  <c r="W455" i="6"/>
  <c r="T455" i="16"/>
  <c r="Q455" i="16"/>
  <c r="W454" i="6"/>
  <c r="T454" i="16"/>
  <c r="Q454" i="16"/>
  <c r="W453" i="6"/>
  <c r="T453" i="16"/>
  <c r="Q453" i="16"/>
  <c r="W452" i="6"/>
  <c r="T452" i="16"/>
  <c r="Q452" i="16"/>
  <c r="W451" i="6"/>
  <c r="T451" i="16"/>
  <c r="Q451" i="16"/>
  <c r="W450" i="6"/>
  <c r="T450" i="16"/>
  <c r="Q450" i="16"/>
  <c r="W449" i="6"/>
  <c r="T449" i="16"/>
  <c r="Q449" i="16"/>
  <c r="W448" i="6"/>
  <c r="T448" i="16"/>
  <c r="Q448" i="16"/>
  <c r="W447" i="6"/>
  <c r="T447" i="16"/>
  <c r="Q447" i="16"/>
  <c r="W446" i="6"/>
  <c r="T446" i="16"/>
  <c r="Q446" i="16"/>
  <c r="W445" i="6"/>
  <c r="T445" i="16"/>
  <c r="Q445" i="16"/>
  <c r="W444" i="6"/>
  <c r="T444" i="16"/>
  <c r="Q444" i="16"/>
  <c r="W443" i="6"/>
  <c r="T443" i="16"/>
  <c r="Q443" i="16"/>
  <c r="W442" i="6"/>
  <c r="T442" i="16"/>
  <c r="Q442" i="16"/>
  <c r="W441" i="6"/>
  <c r="T441" i="16"/>
  <c r="Q441" i="16"/>
  <c r="W440" i="6"/>
  <c r="T440" i="16"/>
  <c r="Q440" i="16"/>
  <c r="W439" i="6"/>
  <c r="T439" i="16"/>
  <c r="Q439" i="16"/>
  <c r="W438" i="6"/>
  <c r="T438" i="16"/>
  <c r="Q438" i="16"/>
  <c r="W437" i="6"/>
  <c r="T437" i="16"/>
  <c r="Q437" i="16"/>
  <c r="W436" i="6"/>
  <c r="T436" i="16"/>
  <c r="Q436" i="16"/>
  <c r="W435" i="6"/>
  <c r="T435" i="16"/>
  <c r="Q435" i="16"/>
  <c r="W434" i="6"/>
  <c r="T434" i="16"/>
  <c r="Q434" i="16"/>
  <c r="W433" i="6"/>
  <c r="T433" i="16"/>
  <c r="Q433" i="16"/>
  <c r="W432" i="6"/>
  <c r="T432" i="16"/>
  <c r="Q432" i="16"/>
  <c r="W431" i="6"/>
  <c r="T431" i="16"/>
  <c r="Q431" i="16"/>
  <c r="W430" i="6"/>
  <c r="T430" i="16"/>
  <c r="Q430" i="16"/>
  <c r="W429" i="6"/>
  <c r="T429" i="16"/>
  <c r="Q429" i="16"/>
  <c r="W428" i="6"/>
  <c r="T428" i="16"/>
  <c r="Q428" i="16"/>
  <c r="W427" i="6"/>
  <c r="T427" i="16"/>
  <c r="Q427" i="16"/>
  <c r="W426" i="6"/>
  <c r="T426" i="16"/>
  <c r="Q426" i="16"/>
  <c r="W425" i="6"/>
  <c r="T425" i="16"/>
  <c r="Q425" i="16"/>
  <c r="W424" i="6"/>
  <c r="T424" i="16"/>
  <c r="Q424" i="16"/>
  <c r="W423" i="6"/>
  <c r="T423" i="16"/>
  <c r="Q423" i="16"/>
  <c r="W422" i="6"/>
  <c r="T422" i="16"/>
  <c r="Q422" i="16"/>
  <c r="W421" i="6"/>
  <c r="T421" i="16"/>
  <c r="Q421" i="16"/>
  <c r="T476" i="16"/>
  <c r="Q476" i="16"/>
  <c r="W420" i="6"/>
  <c r="T420" i="16"/>
  <c r="Q420" i="16"/>
  <c r="W419" i="6"/>
  <c r="T419" i="16"/>
  <c r="Q419" i="16"/>
  <c r="W418" i="6"/>
  <c r="T418" i="16"/>
  <c r="Q418" i="16"/>
  <c r="W416" i="6"/>
  <c r="T416" i="16"/>
  <c r="Q416" i="16"/>
  <c r="W415" i="6"/>
  <c r="T415" i="16"/>
  <c r="Q415" i="16"/>
  <c r="W414" i="6"/>
  <c r="T414" i="16"/>
  <c r="Q414" i="16"/>
  <c r="W413" i="6"/>
  <c r="T413" i="16"/>
  <c r="Q413" i="16"/>
  <c r="W412" i="6"/>
  <c r="T412" i="16"/>
  <c r="Q412" i="16"/>
  <c r="W411" i="6"/>
  <c r="T411" i="16"/>
  <c r="Q411" i="16"/>
  <c r="W410" i="6"/>
  <c r="T410" i="16"/>
  <c r="Q410" i="16"/>
  <c r="W409" i="6"/>
  <c r="T409" i="16"/>
  <c r="Q409" i="16"/>
  <c r="W408" i="6"/>
  <c r="T408" i="16"/>
  <c r="Q408" i="16"/>
  <c r="W407" i="6"/>
  <c r="T407" i="16"/>
  <c r="Q407" i="16"/>
  <c r="W406" i="6"/>
  <c r="T406" i="16"/>
  <c r="Q406" i="16"/>
  <c r="W405" i="6"/>
  <c r="T405" i="16"/>
  <c r="Q405" i="16"/>
  <c r="W404" i="6"/>
  <c r="T404" i="16"/>
  <c r="Q404" i="16"/>
  <c r="W403" i="6"/>
  <c r="T403" i="16"/>
  <c r="Q403" i="16"/>
  <c r="W402" i="6"/>
  <c r="T402" i="16"/>
  <c r="Q402" i="16"/>
  <c r="W401" i="6"/>
  <c r="T401" i="16"/>
  <c r="Q401" i="16"/>
  <c r="W400" i="6"/>
  <c r="T400" i="16"/>
  <c r="Q400" i="16"/>
  <c r="W399" i="6"/>
  <c r="T399" i="16"/>
  <c r="Q399" i="16"/>
  <c r="W398" i="6"/>
  <c r="T398" i="16"/>
  <c r="Q398" i="16"/>
  <c r="W397" i="6"/>
  <c r="T397" i="16"/>
  <c r="Q397" i="16"/>
  <c r="W396" i="6"/>
  <c r="T396" i="16"/>
  <c r="Q396" i="16"/>
  <c r="W395" i="6"/>
  <c r="T395" i="16"/>
  <c r="Q395" i="16"/>
  <c r="W394" i="6"/>
  <c r="T394" i="16"/>
  <c r="Q394" i="16"/>
  <c r="W393" i="6"/>
  <c r="T393" i="16"/>
  <c r="Q393" i="16"/>
  <c r="W392" i="6"/>
  <c r="T392" i="16"/>
  <c r="Q392" i="16"/>
  <c r="W391" i="6"/>
  <c r="T391" i="16"/>
  <c r="Q391" i="16"/>
  <c r="W390" i="6"/>
  <c r="T390" i="16"/>
  <c r="Q390" i="16"/>
  <c r="W389" i="6"/>
  <c r="T389" i="16"/>
  <c r="Q389" i="16"/>
  <c r="W388" i="6"/>
  <c r="T388" i="16"/>
  <c r="Q388" i="16"/>
  <c r="W387" i="6"/>
  <c r="T387" i="16"/>
  <c r="Q387" i="16"/>
  <c r="W386" i="6"/>
  <c r="T386" i="16"/>
  <c r="Q386" i="16"/>
  <c r="W385" i="6"/>
  <c r="T385" i="16"/>
  <c r="Q385" i="16"/>
  <c r="W384" i="6"/>
  <c r="T384" i="16"/>
  <c r="Q384" i="16"/>
  <c r="W383" i="6"/>
  <c r="T383" i="16"/>
  <c r="Q383" i="16"/>
  <c r="W382" i="6"/>
  <c r="T382" i="16"/>
  <c r="Q382" i="16"/>
  <c r="W381" i="6"/>
  <c r="T381" i="16"/>
  <c r="Q381" i="16"/>
  <c r="W380" i="6"/>
  <c r="T380" i="16"/>
  <c r="Q380" i="16"/>
  <c r="W379" i="6"/>
  <c r="T379" i="16"/>
  <c r="Q379" i="16"/>
  <c r="W378" i="6"/>
  <c r="T378" i="16"/>
  <c r="Q378" i="16"/>
  <c r="W377" i="6"/>
  <c r="T377" i="16"/>
  <c r="Q377" i="16"/>
  <c r="W376" i="6"/>
  <c r="T376" i="16"/>
  <c r="Q376" i="16"/>
  <c r="W375" i="6"/>
  <c r="T375" i="16"/>
  <c r="Q375" i="16"/>
  <c r="W374" i="6"/>
  <c r="T374" i="16"/>
  <c r="Q374" i="16"/>
  <c r="W373" i="6"/>
  <c r="T373" i="16"/>
  <c r="Q373" i="16"/>
  <c r="W372" i="6"/>
  <c r="T372" i="16"/>
  <c r="Q372" i="16"/>
  <c r="W371" i="6"/>
  <c r="T371" i="16"/>
  <c r="Q371" i="16"/>
  <c r="W370" i="6"/>
  <c r="T370" i="16"/>
  <c r="Q370" i="16"/>
  <c r="W369" i="6"/>
  <c r="T369" i="16"/>
  <c r="Q369" i="16"/>
  <c r="W368" i="6"/>
  <c r="T368" i="16"/>
  <c r="Q368" i="16"/>
  <c r="W367" i="6"/>
  <c r="T367" i="16"/>
  <c r="Q367" i="16"/>
  <c r="W366" i="6"/>
  <c r="T366" i="16"/>
  <c r="Q366" i="16"/>
  <c r="W365" i="6"/>
  <c r="T365" i="16"/>
  <c r="Q365" i="16"/>
  <c r="W364" i="6"/>
  <c r="T364" i="16"/>
  <c r="Q364" i="16"/>
  <c r="W363" i="6"/>
  <c r="T363" i="16"/>
  <c r="Q363" i="16"/>
  <c r="W362" i="6"/>
  <c r="T362" i="16"/>
  <c r="Q362" i="16"/>
  <c r="W361" i="6"/>
  <c r="T361" i="16"/>
  <c r="Q361" i="16"/>
  <c r="W360" i="6"/>
  <c r="T360" i="16"/>
  <c r="Q360" i="16"/>
  <c r="W359" i="6"/>
  <c r="T359" i="16"/>
  <c r="Q359" i="16"/>
  <c r="W358" i="6"/>
  <c r="T358" i="16"/>
  <c r="Q358" i="16"/>
  <c r="W357" i="6"/>
  <c r="T357" i="16"/>
  <c r="Q357" i="16"/>
  <c r="W356" i="6"/>
  <c r="T356" i="16"/>
  <c r="Q356" i="16"/>
  <c r="W354" i="6"/>
  <c r="T354" i="16"/>
  <c r="Q354" i="16"/>
  <c r="W353" i="6"/>
  <c r="T353" i="16"/>
  <c r="Q353" i="16"/>
  <c r="W352" i="6"/>
  <c r="T352" i="16"/>
  <c r="Q352" i="16"/>
  <c r="W351" i="6"/>
  <c r="T351" i="16"/>
  <c r="Q351" i="16"/>
  <c r="W350" i="6"/>
  <c r="T350" i="16"/>
  <c r="Q350" i="16"/>
  <c r="W349" i="6"/>
  <c r="T349" i="16"/>
  <c r="Q349" i="16"/>
  <c r="W348" i="6"/>
  <c r="T348" i="16"/>
  <c r="Q348" i="16"/>
  <c r="W347" i="6"/>
  <c r="T347" i="16"/>
  <c r="Q347" i="16"/>
  <c r="W346" i="6"/>
  <c r="T346" i="16"/>
  <c r="Q346" i="16"/>
  <c r="W345" i="6"/>
  <c r="T345" i="16"/>
  <c r="Q345" i="16"/>
  <c r="W344" i="6"/>
  <c r="T344" i="16"/>
  <c r="Q344" i="16"/>
  <c r="W343" i="6"/>
  <c r="T343" i="16"/>
  <c r="Q343" i="16"/>
  <c r="W342" i="6"/>
  <c r="T342" i="16"/>
  <c r="Q342" i="16"/>
  <c r="T417" i="16"/>
  <c r="Q417" i="16"/>
  <c r="W341" i="6"/>
  <c r="T341" i="16"/>
  <c r="Q341" i="16"/>
  <c r="W340" i="6"/>
  <c r="T340" i="16"/>
  <c r="Q340" i="16"/>
  <c r="W339" i="6"/>
  <c r="T339" i="16"/>
  <c r="Q339" i="16"/>
  <c r="W338" i="6"/>
  <c r="T338" i="16"/>
  <c r="Q338" i="16"/>
  <c r="W337" i="6"/>
  <c r="T337" i="16"/>
  <c r="Q337" i="16"/>
  <c r="W336" i="6"/>
  <c r="T336" i="16"/>
  <c r="Q336" i="16"/>
  <c r="W335" i="6"/>
  <c r="T335" i="16"/>
  <c r="Q335" i="16"/>
  <c r="W334" i="6"/>
  <c r="T334" i="16"/>
  <c r="Q334" i="16"/>
  <c r="W333" i="6"/>
  <c r="T333" i="16"/>
  <c r="Q333" i="16"/>
  <c r="W332" i="6"/>
  <c r="T332" i="16"/>
  <c r="Q332" i="16"/>
  <c r="W331" i="6"/>
  <c r="T331" i="16"/>
  <c r="Q331" i="16"/>
  <c r="W330" i="6"/>
  <c r="T330" i="16"/>
  <c r="Q330" i="16"/>
  <c r="T355" i="16"/>
  <c r="Q355" i="16"/>
  <c r="W329" i="6"/>
  <c r="T329" i="16"/>
  <c r="Q329" i="16"/>
  <c r="T328" i="16"/>
  <c r="Q328" i="16"/>
  <c r="T327" i="16"/>
  <c r="Q327" i="16"/>
  <c r="T326" i="16"/>
  <c r="Q326" i="16"/>
  <c r="T325" i="16"/>
  <c r="Q325" i="16"/>
  <c r="T324" i="16"/>
  <c r="Q324" i="16"/>
  <c r="T323" i="16"/>
  <c r="Q323" i="16"/>
  <c r="T322" i="16"/>
  <c r="Q322" i="16"/>
  <c r="T493" i="16"/>
  <c r="Q493" i="16"/>
  <c r="W678" i="6"/>
  <c r="T678" i="16"/>
  <c r="Q678" i="16"/>
  <c r="W597" i="6"/>
  <c r="T597" i="16"/>
  <c r="Q597" i="16"/>
  <c r="W676" i="6"/>
  <c r="T676" i="16"/>
  <c r="Q676" i="16"/>
  <c r="W675" i="6"/>
  <c r="T675" i="16"/>
  <c r="Q675" i="16"/>
  <c r="W674" i="6"/>
  <c r="T674" i="16"/>
  <c r="Q674" i="16"/>
  <c r="W673" i="6"/>
  <c r="T673" i="16"/>
  <c r="Q673" i="16"/>
  <c r="W672" i="6"/>
  <c r="T672" i="16"/>
  <c r="Q672" i="16"/>
  <c r="W671" i="6"/>
  <c r="T671" i="16"/>
  <c r="Q671" i="16"/>
  <c r="W670" i="6"/>
  <c r="T670" i="16"/>
  <c r="Q670" i="16"/>
  <c r="W669" i="6"/>
  <c r="T669" i="16"/>
  <c r="Q669" i="16"/>
  <c r="W668" i="6"/>
  <c r="T668" i="16"/>
  <c r="Q668" i="16"/>
  <c r="W667" i="6"/>
  <c r="T667" i="16"/>
  <c r="Q667" i="16"/>
  <c r="W666" i="6"/>
  <c r="T666" i="16"/>
  <c r="Q666" i="16"/>
  <c r="W665" i="6"/>
  <c r="T665" i="16"/>
  <c r="Q665" i="16"/>
  <c r="W664" i="6"/>
  <c r="T664" i="16"/>
  <c r="Q664" i="16"/>
  <c r="W663" i="6"/>
  <c r="T663" i="16"/>
  <c r="Q663" i="16"/>
  <c r="W662" i="6"/>
  <c r="T662" i="16"/>
  <c r="Q662" i="16"/>
  <c r="W661" i="6"/>
  <c r="T661" i="16"/>
  <c r="Q661" i="16"/>
  <c r="W660" i="6"/>
  <c r="T660" i="16"/>
  <c r="Q660" i="16"/>
  <c r="W659" i="6"/>
  <c r="T659" i="16"/>
  <c r="Q659" i="16"/>
  <c r="W658" i="6"/>
  <c r="T658" i="16"/>
  <c r="Q658" i="16"/>
  <c r="W657" i="6"/>
  <c r="T657" i="16"/>
  <c r="Q657" i="16"/>
  <c r="W656" i="6"/>
  <c r="T656" i="16"/>
  <c r="Q656" i="16"/>
  <c r="W655" i="6"/>
  <c r="T655" i="16"/>
  <c r="Q655" i="16"/>
  <c r="W654" i="6"/>
  <c r="T654" i="16"/>
  <c r="Q654" i="16"/>
  <c r="W653" i="6"/>
  <c r="T653" i="16"/>
  <c r="Q653" i="16"/>
  <c r="W652" i="6"/>
  <c r="T652" i="16"/>
  <c r="Q652" i="16"/>
  <c r="W651" i="6"/>
  <c r="T651" i="16"/>
  <c r="Q651" i="16"/>
  <c r="W650" i="6"/>
  <c r="T650" i="16"/>
  <c r="Q650" i="16"/>
  <c r="W649" i="6"/>
  <c r="T649" i="16"/>
  <c r="Q649" i="16"/>
  <c r="W648" i="6"/>
  <c r="T648" i="16"/>
  <c r="Q648" i="16"/>
  <c r="W647" i="6"/>
  <c r="T647" i="16"/>
  <c r="Q647" i="16"/>
  <c r="W646" i="6"/>
  <c r="T646" i="16"/>
  <c r="Q646" i="16"/>
  <c r="W645" i="6"/>
  <c r="T645" i="16"/>
  <c r="Q645" i="16"/>
  <c r="W644" i="6"/>
  <c r="T644" i="16"/>
  <c r="Q644" i="16"/>
  <c r="W643" i="6"/>
  <c r="T643" i="16"/>
  <c r="Q643" i="16"/>
  <c r="W642" i="6"/>
  <c r="T642" i="16"/>
  <c r="Q642" i="16"/>
  <c r="W641" i="6"/>
  <c r="T641" i="16"/>
  <c r="Q641" i="16"/>
  <c r="W640" i="6"/>
  <c r="T640" i="16"/>
  <c r="Q640" i="16"/>
  <c r="W639" i="6"/>
  <c r="T639" i="16"/>
  <c r="Q639" i="16"/>
  <c r="W638" i="6"/>
  <c r="T638" i="16"/>
  <c r="Q638" i="16"/>
  <c r="W637" i="6"/>
  <c r="T637" i="16"/>
  <c r="Q637" i="16"/>
  <c r="W636" i="6"/>
  <c r="T636" i="16"/>
  <c r="Q636" i="16"/>
  <c r="W635" i="6"/>
  <c r="T635" i="16"/>
  <c r="Q635" i="16"/>
  <c r="W634" i="6"/>
  <c r="T634" i="16"/>
  <c r="Q634" i="16"/>
  <c r="W633" i="6"/>
  <c r="T633" i="16"/>
  <c r="Q633" i="16"/>
  <c r="W632" i="6"/>
  <c r="T632" i="16"/>
  <c r="Q632" i="16"/>
  <c r="W631" i="6"/>
  <c r="T631" i="16"/>
  <c r="Q631" i="16"/>
  <c r="W630" i="6"/>
  <c r="T630" i="16"/>
  <c r="Q630" i="16"/>
  <c r="W629" i="6"/>
  <c r="T629" i="16"/>
  <c r="Q629" i="16"/>
  <c r="W628" i="6"/>
  <c r="T628" i="16"/>
  <c r="Q628" i="16"/>
  <c r="W627" i="6"/>
  <c r="T627" i="16"/>
  <c r="Q627" i="16"/>
  <c r="W626" i="6"/>
  <c r="T626" i="16"/>
  <c r="Q626" i="16"/>
  <c r="W625" i="6"/>
  <c r="T625" i="16"/>
  <c r="Q625" i="16"/>
  <c r="W624" i="6"/>
  <c r="T624" i="16"/>
  <c r="Q624" i="16"/>
  <c r="W623" i="6"/>
  <c r="T623" i="16"/>
  <c r="Q623" i="16"/>
  <c r="W622" i="6"/>
  <c r="T622" i="16"/>
  <c r="Q622" i="16"/>
  <c r="W621" i="6"/>
  <c r="T621" i="16"/>
  <c r="Q621" i="16"/>
  <c r="W620" i="6"/>
  <c r="T620" i="16"/>
  <c r="Q620" i="16"/>
  <c r="W619" i="6"/>
  <c r="T619" i="16"/>
  <c r="Q619" i="16"/>
  <c r="W618" i="6"/>
  <c r="T618" i="16"/>
  <c r="Q618" i="16"/>
  <c r="W617" i="6"/>
  <c r="T617" i="16"/>
  <c r="Q617" i="16"/>
  <c r="T677" i="16"/>
  <c r="Q677" i="16"/>
  <c r="W616" i="6"/>
  <c r="T616" i="16"/>
  <c r="Q616" i="16"/>
  <c r="W615" i="6"/>
  <c r="T615" i="16"/>
  <c r="Q615" i="16"/>
  <c r="W614" i="6"/>
  <c r="T614" i="16"/>
  <c r="Q614" i="16"/>
  <c r="W613" i="6"/>
  <c r="T613" i="16"/>
  <c r="Q613" i="16"/>
  <c r="W612" i="6"/>
  <c r="T612" i="16"/>
  <c r="Q612" i="16"/>
  <c r="W611" i="6"/>
  <c r="T611" i="16"/>
  <c r="Q611" i="16"/>
  <c r="W610" i="6"/>
  <c r="T610" i="16"/>
  <c r="Q610" i="16"/>
  <c r="W609" i="6"/>
  <c r="T609" i="16"/>
  <c r="Q609" i="16"/>
  <c r="W608" i="6"/>
  <c r="T608" i="16"/>
  <c r="Q608" i="16"/>
  <c r="W607" i="6"/>
  <c r="T607" i="16"/>
  <c r="Q607" i="16"/>
  <c r="W606" i="6"/>
  <c r="T606" i="16"/>
  <c r="Q606" i="16"/>
  <c r="W605" i="6"/>
  <c r="T605" i="16"/>
  <c r="Q605" i="16"/>
  <c r="W604" i="6"/>
  <c r="T604" i="16"/>
  <c r="Q604" i="16"/>
  <c r="W603" i="6"/>
  <c r="T603" i="16"/>
  <c r="Q603" i="16"/>
  <c r="W602" i="6"/>
  <c r="T602" i="16"/>
  <c r="Q602" i="16"/>
  <c r="T601" i="16"/>
  <c r="Q601" i="16"/>
  <c r="W600" i="6"/>
  <c r="T600" i="16"/>
  <c r="Q600" i="16"/>
  <c r="W599" i="6"/>
  <c r="T599" i="16"/>
  <c r="Q599" i="16"/>
  <c r="W598" i="6"/>
  <c r="T598" i="16"/>
  <c r="Q598" i="16"/>
  <c r="W596" i="6"/>
  <c r="T596" i="16"/>
  <c r="Q596" i="16"/>
  <c r="W595" i="6"/>
  <c r="T595" i="16"/>
  <c r="Q595" i="16"/>
  <c r="W594" i="6"/>
  <c r="T594" i="16"/>
  <c r="Q594" i="16"/>
  <c r="W581" i="6"/>
  <c r="T581" i="16"/>
  <c r="Q581" i="16"/>
  <c r="W593" i="6"/>
  <c r="T593" i="16"/>
  <c r="Q593" i="16"/>
  <c r="W592" i="6"/>
  <c r="T592" i="16"/>
  <c r="Q592" i="16"/>
  <c r="W591" i="6"/>
  <c r="T591" i="16"/>
  <c r="Q591" i="16"/>
  <c r="W590" i="6"/>
  <c r="T590" i="16"/>
  <c r="Q590" i="16"/>
  <c r="W589" i="6"/>
  <c r="T589" i="16"/>
  <c r="Q589" i="16"/>
  <c r="W588" i="6"/>
  <c r="T588" i="16"/>
  <c r="Q588" i="16"/>
  <c r="W587" i="6"/>
  <c r="T587" i="16"/>
  <c r="Q587" i="16"/>
  <c r="W586" i="6"/>
  <c r="T586" i="16"/>
  <c r="Q586" i="16"/>
  <c r="T585" i="16"/>
  <c r="Q585" i="16"/>
  <c r="W584" i="6"/>
  <c r="T584" i="16"/>
  <c r="Q584" i="16"/>
  <c r="W583" i="6"/>
  <c r="T583" i="16"/>
  <c r="Q583" i="16"/>
  <c r="W582" i="6"/>
  <c r="T582" i="16"/>
  <c r="Q582" i="16"/>
  <c r="W580" i="6"/>
  <c r="T580" i="16"/>
  <c r="Q580" i="16"/>
  <c r="W579" i="6"/>
  <c r="T579" i="16"/>
  <c r="Q579" i="16"/>
  <c r="W578" i="6"/>
  <c r="T578" i="16"/>
  <c r="Q578" i="16"/>
  <c r="W577" i="6"/>
  <c r="T577" i="16"/>
  <c r="Q577" i="16"/>
  <c r="W576" i="6"/>
  <c r="T576" i="16"/>
  <c r="Q576" i="16"/>
  <c r="W575" i="6"/>
  <c r="T575" i="16"/>
  <c r="Q575" i="16"/>
  <c r="W574" i="6"/>
  <c r="T574" i="16"/>
  <c r="Q574" i="16"/>
  <c r="W573" i="6"/>
  <c r="T573" i="16"/>
  <c r="Q573" i="16"/>
  <c r="W572" i="6"/>
  <c r="T572" i="16"/>
  <c r="Q572" i="16"/>
  <c r="W571" i="6"/>
  <c r="T571" i="16"/>
  <c r="Q571" i="16"/>
  <c r="W570" i="6"/>
  <c r="T570" i="16"/>
  <c r="Q570" i="16"/>
  <c r="W569" i="6"/>
  <c r="T569" i="16"/>
  <c r="Q569" i="16"/>
  <c r="W568" i="6"/>
  <c r="T568" i="16"/>
  <c r="Q568" i="16"/>
  <c r="W567" i="6"/>
  <c r="T567" i="16"/>
  <c r="Q567" i="16"/>
  <c r="W566" i="6"/>
  <c r="T566" i="16"/>
  <c r="Q566" i="16"/>
  <c r="W564" i="6"/>
  <c r="T564" i="16"/>
  <c r="Q564" i="16"/>
  <c r="W563" i="6"/>
  <c r="T563" i="16"/>
  <c r="Q563" i="16"/>
  <c r="W562" i="6"/>
  <c r="T562" i="16"/>
  <c r="Q562" i="16"/>
  <c r="W561" i="6"/>
  <c r="T561" i="16"/>
  <c r="Q561" i="16"/>
  <c r="W560" i="6"/>
  <c r="T560" i="16"/>
  <c r="Q560" i="16"/>
  <c r="W559" i="6"/>
  <c r="T559" i="16"/>
  <c r="Q559" i="16"/>
  <c r="W558" i="6"/>
  <c r="T558" i="16"/>
  <c r="Q558" i="16"/>
  <c r="W557" i="6"/>
  <c r="T557" i="16"/>
  <c r="Q557" i="16"/>
  <c r="W556" i="6"/>
  <c r="T556" i="16"/>
  <c r="Q556" i="16"/>
  <c r="W555" i="6"/>
  <c r="T555" i="16"/>
  <c r="Q555" i="16"/>
  <c r="W554" i="6"/>
  <c r="T554" i="16"/>
  <c r="Q554" i="16"/>
  <c r="W553" i="6"/>
  <c r="T553" i="16"/>
  <c r="Q553" i="16"/>
  <c r="W552" i="6"/>
  <c r="T552" i="16"/>
  <c r="Q552" i="16"/>
  <c r="W551" i="6"/>
  <c r="T551" i="16"/>
  <c r="Q551" i="16"/>
  <c r="W550" i="6"/>
  <c r="T550" i="16"/>
  <c r="Q550" i="16"/>
  <c r="W549" i="6"/>
  <c r="T549" i="16"/>
  <c r="Q549" i="16"/>
  <c r="W548" i="6"/>
  <c r="T548" i="16"/>
  <c r="Q548" i="16"/>
  <c r="W547" i="6"/>
  <c r="T547" i="16"/>
  <c r="Q547" i="16"/>
  <c r="W546" i="6"/>
  <c r="T546" i="16"/>
  <c r="Q546" i="16"/>
  <c r="W545" i="6"/>
  <c r="T545" i="16"/>
  <c r="Q545" i="16"/>
  <c r="W544" i="6"/>
  <c r="T544" i="16"/>
  <c r="Q544" i="16"/>
  <c r="W543" i="6"/>
  <c r="T543" i="16"/>
  <c r="Q543" i="16"/>
  <c r="W542" i="6"/>
  <c r="T542" i="16"/>
  <c r="Q542" i="16"/>
  <c r="W541" i="6"/>
  <c r="T541" i="16"/>
  <c r="Q541" i="16"/>
  <c r="W540" i="6"/>
  <c r="T540" i="16"/>
  <c r="Q540" i="16"/>
  <c r="W539" i="6"/>
  <c r="T539" i="16"/>
  <c r="Q539" i="16"/>
  <c r="T565" i="16"/>
  <c r="Q565" i="16"/>
  <c r="W538" i="6"/>
  <c r="T538" i="16"/>
  <c r="Q538" i="16"/>
  <c r="W537" i="6"/>
  <c r="T537" i="16"/>
  <c r="Q537" i="16"/>
  <c r="W536" i="6"/>
  <c r="T536" i="16"/>
  <c r="Q536" i="16"/>
  <c r="W535" i="6"/>
  <c r="T535" i="16"/>
  <c r="Q535" i="16"/>
  <c r="W534" i="6"/>
  <c r="T534" i="16"/>
  <c r="Q534" i="16"/>
  <c r="W533" i="6"/>
  <c r="T533" i="16"/>
  <c r="Q533" i="16"/>
  <c r="W532" i="6"/>
  <c r="T532" i="16"/>
  <c r="Q532" i="16"/>
  <c r="W531" i="6"/>
  <c r="T531" i="16"/>
  <c r="Q531" i="16"/>
  <c r="W530" i="6"/>
  <c r="T530" i="16"/>
  <c r="Q530" i="16"/>
  <c r="W529" i="6"/>
  <c r="T529" i="16"/>
  <c r="Q529" i="16"/>
  <c r="W528" i="6"/>
  <c r="T528" i="16"/>
  <c r="Q528" i="16"/>
  <c r="W527" i="6"/>
  <c r="T527" i="16"/>
  <c r="Q527" i="16"/>
  <c r="W526" i="6"/>
  <c r="T526" i="16"/>
  <c r="Q526" i="16"/>
  <c r="W525" i="6"/>
  <c r="T525" i="16"/>
  <c r="Q525" i="16"/>
  <c r="W524" i="6"/>
  <c r="T524" i="16"/>
  <c r="Q524" i="16"/>
  <c r="W523" i="6"/>
  <c r="T523" i="16"/>
  <c r="Q523" i="16"/>
  <c r="W522" i="6"/>
  <c r="T522" i="16"/>
  <c r="Q522" i="16"/>
  <c r="W521" i="6"/>
  <c r="T521" i="16"/>
  <c r="Q521" i="16"/>
  <c r="W520" i="6"/>
  <c r="T520" i="16"/>
  <c r="Q520" i="16"/>
  <c r="W519" i="6"/>
  <c r="T519" i="16"/>
  <c r="Q519" i="16"/>
  <c r="W518" i="6"/>
  <c r="T518" i="16"/>
  <c r="Q518" i="16"/>
  <c r="W517" i="6"/>
  <c r="T517" i="16"/>
  <c r="Q517" i="16"/>
  <c r="W516" i="6"/>
  <c r="T516" i="16"/>
  <c r="Q516" i="16"/>
  <c r="W515" i="6"/>
  <c r="T515" i="16"/>
  <c r="Q515" i="16"/>
  <c r="W514" i="6"/>
  <c r="T514" i="16"/>
  <c r="Q514" i="16"/>
  <c r="W513" i="6"/>
  <c r="T513" i="16"/>
  <c r="Q513" i="16"/>
  <c r="W512" i="6"/>
  <c r="T512" i="16"/>
  <c r="Q512" i="16"/>
  <c r="W511" i="6"/>
  <c r="T511" i="16"/>
  <c r="Q511" i="16"/>
  <c r="W510" i="6"/>
  <c r="T510" i="16"/>
  <c r="Q510" i="16"/>
  <c r="W509" i="6"/>
  <c r="T509" i="16"/>
  <c r="Q509" i="16"/>
  <c r="W508" i="6"/>
  <c r="T508" i="16"/>
  <c r="Q508" i="16"/>
  <c r="W507" i="6"/>
  <c r="T507" i="16"/>
  <c r="Q507" i="16"/>
  <c r="W506" i="6"/>
  <c r="T506" i="16"/>
  <c r="Q506" i="16"/>
  <c r="W505" i="6"/>
  <c r="T505" i="16"/>
  <c r="Q505" i="16"/>
  <c r="W504" i="6"/>
  <c r="T504" i="16"/>
  <c r="Q504" i="16"/>
  <c r="W503" i="6"/>
  <c r="T503" i="16"/>
  <c r="Q503" i="16"/>
  <c r="W502" i="6"/>
  <c r="T502" i="16"/>
  <c r="Q502" i="16"/>
  <c r="W501" i="6"/>
  <c r="T501" i="16"/>
  <c r="Q501" i="16"/>
  <c r="W500" i="6"/>
  <c r="T500" i="16"/>
  <c r="Q500" i="16"/>
  <c r="W499" i="6"/>
  <c r="T499" i="16"/>
  <c r="Q499" i="16"/>
  <c r="T498" i="16"/>
  <c r="Q498" i="16"/>
  <c r="T497" i="16"/>
  <c r="Q497" i="16"/>
  <c r="T496" i="16"/>
  <c r="Q496" i="16"/>
  <c r="T495" i="16"/>
  <c r="Q495" i="16"/>
  <c r="T494" i="16"/>
  <c r="Q494" i="16"/>
  <c r="T679" i="16"/>
  <c r="Q679" i="16"/>
  <c r="W837" i="6"/>
  <c r="T837" i="16"/>
  <c r="Q837" i="16"/>
  <c r="W836" i="6"/>
  <c r="T836" i="16"/>
  <c r="Q836" i="16"/>
  <c r="W835" i="6"/>
  <c r="T835" i="16"/>
  <c r="Q835" i="16"/>
  <c r="W834" i="6"/>
  <c r="T834" i="16"/>
  <c r="Q834" i="16"/>
  <c r="W833" i="6"/>
  <c r="T833" i="16"/>
  <c r="Q833" i="16"/>
  <c r="W832" i="6"/>
  <c r="T832" i="16"/>
  <c r="Q832" i="16"/>
  <c r="W831" i="6"/>
  <c r="T831" i="16"/>
  <c r="Q831" i="16"/>
  <c r="W830" i="6"/>
  <c r="T830" i="16"/>
  <c r="Q830" i="16"/>
  <c r="W829" i="6"/>
  <c r="T829" i="16"/>
  <c r="Q829" i="16"/>
  <c r="W828" i="6"/>
  <c r="T828" i="16"/>
  <c r="Q828" i="16"/>
  <c r="W827" i="6"/>
  <c r="T827" i="16"/>
  <c r="Q827" i="16"/>
  <c r="W826" i="6"/>
  <c r="T826" i="16"/>
  <c r="Q826" i="16"/>
  <c r="W806" i="6"/>
  <c r="T806" i="16"/>
  <c r="Q806" i="16"/>
  <c r="W825" i="6"/>
  <c r="T825" i="16"/>
  <c r="Q825" i="16"/>
  <c r="W824" i="6"/>
  <c r="T824" i="16"/>
  <c r="Q824" i="16"/>
  <c r="W823" i="6"/>
  <c r="T823" i="16"/>
  <c r="Q823" i="16"/>
  <c r="W822" i="6"/>
  <c r="T822" i="16"/>
  <c r="Q822" i="16"/>
  <c r="W821" i="6"/>
  <c r="T821" i="16"/>
  <c r="Q821" i="16"/>
  <c r="W820" i="6"/>
  <c r="T820" i="16"/>
  <c r="Q820" i="16"/>
  <c r="W819" i="6"/>
  <c r="T819" i="16"/>
  <c r="Q819" i="16"/>
  <c r="W817" i="6"/>
  <c r="T817" i="16"/>
  <c r="Q817" i="16"/>
  <c r="W816" i="6"/>
  <c r="T816" i="16"/>
  <c r="Q816" i="16"/>
  <c r="W815" i="6"/>
  <c r="T815" i="16"/>
  <c r="Q815" i="16"/>
  <c r="W814" i="6"/>
  <c r="T814" i="16"/>
  <c r="Q814" i="16"/>
  <c r="W813" i="6"/>
  <c r="T813" i="16"/>
  <c r="Q813" i="16"/>
  <c r="W812" i="6"/>
  <c r="T812" i="16"/>
  <c r="Q812" i="16"/>
  <c r="W811" i="6"/>
  <c r="T811" i="16"/>
  <c r="Q811" i="16"/>
  <c r="W810" i="6"/>
  <c r="T810" i="16"/>
  <c r="Q810" i="16"/>
  <c r="T809" i="16"/>
  <c r="Q809" i="16"/>
  <c r="W808" i="6"/>
  <c r="T808" i="16"/>
  <c r="Q808" i="16"/>
  <c r="W807" i="6"/>
  <c r="T807" i="16"/>
  <c r="Q807" i="16"/>
  <c r="W805" i="6"/>
  <c r="T805" i="16"/>
  <c r="Q805" i="16"/>
  <c r="W804" i="6"/>
  <c r="T804" i="16"/>
  <c r="Q804" i="16"/>
  <c r="W803" i="6"/>
  <c r="T803" i="16"/>
  <c r="Q803" i="16"/>
  <c r="W802" i="6"/>
  <c r="T802" i="16"/>
  <c r="Q802" i="16"/>
  <c r="W801" i="6"/>
  <c r="T801" i="16"/>
  <c r="Q801" i="16"/>
  <c r="W800" i="6"/>
  <c r="T800" i="16"/>
  <c r="Q800" i="16"/>
  <c r="W799" i="6"/>
  <c r="T799" i="16"/>
  <c r="Q799" i="16"/>
  <c r="W798" i="6"/>
  <c r="T798" i="16"/>
  <c r="Q798" i="16"/>
  <c r="W797" i="6"/>
  <c r="T797" i="16"/>
  <c r="Q797" i="16"/>
  <c r="W796" i="6"/>
  <c r="T796" i="16"/>
  <c r="Q796" i="16"/>
  <c r="W795" i="6"/>
  <c r="T795" i="16"/>
  <c r="Q795" i="16"/>
  <c r="W794" i="6"/>
  <c r="T794" i="16"/>
  <c r="Q794" i="16"/>
  <c r="W793" i="6"/>
  <c r="T793" i="16"/>
  <c r="Q793" i="16"/>
  <c r="W792" i="6"/>
  <c r="T792" i="16"/>
  <c r="Q792" i="16"/>
  <c r="W791" i="6"/>
  <c r="T791" i="16"/>
  <c r="Q791" i="16"/>
  <c r="W790" i="6"/>
  <c r="T790" i="16"/>
  <c r="Q790" i="16"/>
  <c r="W789" i="6"/>
  <c r="T789" i="16"/>
  <c r="Q789" i="16"/>
  <c r="W788" i="6"/>
  <c r="T788" i="16"/>
  <c r="Q788" i="16"/>
  <c r="W787" i="6"/>
  <c r="T787" i="16"/>
  <c r="Q787" i="16"/>
  <c r="W786" i="6"/>
  <c r="T786" i="16"/>
  <c r="Q786" i="16"/>
  <c r="W785" i="6"/>
  <c r="T785" i="16"/>
  <c r="Q785" i="16"/>
  <c r="W784" i="6"/>
  <c r="T784" i="16"/>
  <c r="Q784" i="16"/>
  <c r="W783" i="6"/>
  <c r="T783" i="16"/>
  <c r="Q783" i="16"/>
  <c r="W782" i="6"/>
  <c r="T782" i="16"/>
  <c r="Q782" i="16"/>
  <c r="W781" i="6"/>
  <c r="T781" i="16"/>
  <c r="Q781" i="16"/>
  <c r="W780" i="6"/>
  <c r="T780" i="16"/>
  <c r="Q780" i="16"/>
  <c r="W779" i="6"/>
  <c r="T779" i="16"/>
  <c r="Q779" i="16"/>
  <c r="W778" i="6"/>
  <c r="T778" i="16"/>
  <c r="Q778" i="16"/>
  <c r="W777" i="6"/>
  <c r="T777" i="16"/>
  <c r="Q777" i="16"/>
  <c r="W776" i="6"/>
  <c r="T776" i="16"/>
  <c r="Q776" i="16"/>
  <c r="W775" i="6"/>
  <c r="T775" i="16"/>
  <c r="Q775" i="16"/>
  <c r="W774" i="6"/>
  <c r="T774" i="16"/>
  <c r="Q774" i="16"/>
  <c r="W773" i="6"/>
  <c r="T773" i="16"/>
  <c r="Q773" i="16"/>
  <c r="W772" i="6"/>
  <c r="T772" i="16"/>
  <c r="Q772" i="16"/>
  <c r="W771" i="6"/>
  <c r="T771" i="16"/>
  <c r="Q771" i="16"/>
  <c r="W770" i="6"/>
  <c r="T770" i="16"/>
  <c r="Q770" i="16"/>
  <c r="W769" i="6"/>
  <c r="T769" i="16"/>
  <c r="Q769" i="16"/>
  <c r="W768" i="6"/>
  <c r="T768" i="16"/>
  <c r="Q768" i="16"/>
  <c r="W767" i="6"/>
  <c r="T767" i="16"/>
  <c r="Q767" i="16"/>
  <c r="W766" i="6"/>
  <c r="T766" i="16"/>
  <c r="Q766" i="16"/>
  <c r="W765" i="6"/>
  <c r="T765" i="16"/>
  <c r="Q765" i="16"/>
  <c r="W764" i="6"/>
  <c r="T764" i="16"/>
  <c r="Q764" i="16"/>
  <c r="W763" i="6"/>
  <c r="T763" i="16"/>
  <c r="Q763" i="16"/>
  <c r="W762" i="6"/>
  <c r="T762" i="16"/>
  <c r="Q762" i="16"/>
  <c r="W761" i="6"/>
  <c r="T761" i="16"/>
  <c r="Q761" i="16"/>
  <c r="W760" i="6"/>
  <c r="T760" i="16"/>
  <c r="Q760" i="16"/>
  <c r="W759" i="6"/>
  <c r="T759" i="16"/>
  <c r="Q759" i="16"/>
  <c r="W758" i="6"/>
  <c r="T758" i="16"/>
  <c r="Q758" i="16"/>
  <c r="W757" i="6"/>
  <c r="T757" i="16"/>
  <c r="Q757" i="16"/>
  <c r="W756" i="6"/>
  <c r="T756" i="16"/>
  <c r="Q756" i="16"/>
  <c r="W755" i="6"/>
  <c r="T755" i="16"/>
  <c r="Q755" i="16"/>
  <c r="W754" i="6"/>
  <c r="T754" i="16"/>
  <c r="Q754" i="16"/>
  <c r="W753" i="6"/>
  <c r="T753" i="16"/>
  <c r="Q753" i="16"/>
  <c r="W752" i="6"/>
  <c r="T752" i="16"/>
  <c r="Q752" i="16"/>
  <c r="W751" i="6"/>
  <c r="T751" i="16"/>
  <c r="Q751" i="16"/>
  <c r="W750" i="6"/>
  <c r="T750" i="16"/>
  <c r="Q750" i="16"/>
  <c r="W749" i="6"/>
  <c r="T749" i="16"/>
  <c r="Q749" i="16"/>
  <c r="W748" i="6"/>
  <c r="T748" i="16"/>
  <c r="Q748" i="16"/>
  <c r="W747" i="6"/>
  <c r="T747" i="16"/>
  <c r="Q747" i="16"/>
  <c r="W746" i="6"/>
  <c r="T746" i="16"/>
  <c r="Q746" i="16"/>
  <c r="W745" i="6"/>
  <c r="T745" i="16"/>
  <c r="Q745" i="16"/>
  <c r="W744" i="6"/>
  <c r="T744" i="16"/>
  <c r="Q744" i="16"/>
  <c r="W743" i="6"/>
  <c r="T743" i="16"/>
  <c r="Q743" i="16"/>
  <c r="T818" i="16"/>
  <c r="Q818" i="16"/>
  <c r="W742" i="6"/>
  <c r="T742" i="16"/>
  <c r="Q742" i="16"/>
  <c r="W741" i="6"/>
  <c r="T741" i="16"/>
  <c r="Q741" i="16"/>
  <c r="W740" i="6"/>
  <c r="T740" i="16"/>
  <c r="Q740" i="16"/>
  <c r="W739" i="6"/>
  <c r="T739" i="16"/>
  <c r="Q739" i="16"/>
  <c r="W738" i="6"/>
  <c r="T738" i="16"/>
  <c r="Q738" i="16"/>
  <c r="W737" i="6"/>
  <c r="T737" i="16"/>
  <c r="Q737" i="16"/>
  <c r="W736" i="6"/>
  <c r="T736" i="16"/>
  <c r="Q736" i="16"/>
  <c r="W735" i="6"/>
  <c r="T735" i="16"/>
  <c r="Q735" i="16"/>
  <c r="W734" i="6"/>
  <c r="T734" i="16"/>
  <c r="Q734" i="16"/>
  <c r="W733" i="6"/>
  <c r="T733" i="16"/>
  <c r="Q733" i="16"/>
  <c r="W732" i="6"/>
  <c r="T732" i="16"/>
  <c r="Q732" i="16"/>
  <c r="W731" i="6"/>
  <c r="T731" i="16"/>
  <c r="Q731" i="16"/>
  <c r="W730" i="6"/>
  <c r="T730" i="16"/>
  <c r="Q730" i="16"/>
  <c r="W729" i="6"/>
  <c r="T729" i="16"/>
  <c r="Q729" i="16"/>
  <c r="W728" i="6"/>
  <c r="T728" i="16"/>
  <c r="Q728" i="16"/>
  <c r="W727" i="6"/>
  <c r="T727" i="16"/>
  <c r="Q727" i="16"/>
  <c r="W726" i="6"/>
  <c r="T726" i="16"/>
  <c r="Q726" i="16"/>
  <c r="W725" i="6"/>
  <c r="T725" i="16"/>
  <c r="Q725" i="16"/>
  <c r="W724" i="6"/>
  <c r="T724" i="16"/>
  <c r="Q724" i="16"/>
  <c r="W723" i="6"/>
  <c r="T723" i="16"/>
  <c r="Q723" i="16"/>
  <c r="W722" i="6"/>
  <c r="T722" i="16"/>
  <c r="Q722" i="16"/>
  <c r="W721" i="6"/>
  <c r="T721" i="16"/>
  <c r="Q721" i="16"/>
  <c r="W720" i="6"/>
  <c r="T720" i="16"/>
  <c r="Q720" i="16"/>
  <c r="W719" i="6"/>
  <c r="T719" i="16"/>
  <c r="Q719" i="16"/>
  <c r="W718" i="6"/>
  <c r="T718" i="16"/>
  <c r="Q718" i="16"/>
  <c r="W717" i="6"/>
  <c r="T717" i="16"/>
  <c r="Q717" i="16"/>
  <c r="W716" i="6"/>
  <c r="T716" i="16"/>
  <c r="Q716" i="16"/>
  <c r="W715" i="6"/>
  <c r="T715" i="16"/>
  <c r="Q715" i="16"/>
  <c r="W714" i="6"/>
  <c r="T714" i="16"/>
  <c r="Q714" i="16"/>
  <c r="W713" i="6"/>
  <c r="T713" i="16"/>
  <c r="Q713" i="16"/>
  <c r="W712" i="6"/>
  <c r="T712" i="16"/>
  <c r="Q712" i="16"/>
  <c r="W711" i="6"/>
  <c r="T711" i="16"/>
  <c r="Q711" i="16"/>
  <c r="W710" i="6"/>
  <c r="T710" i="16"/>
  <c r="Q710" i="16"/>
  <c r="W709" i="6"/>
  <c r="T709" i="16"/>
  <c r="Q709" i="16"/>
  <c r="W708" i="6"/>
  <c r="T708" i="16"/>
  <c r="Q708" i="16"/>
  <c r="W707" i="6"/>
  <c r="T707" i="16"/>
  <c r="Q707" i="16"/>
  <c r="W706" i="6"/>
  <c r="T706" i="16"/>
  <c r="Q706" i="16"/>
  <c r="W705" i="6"/>
  <c r="T705" i="16"/>
  <c r="Q705" i="16"/>
  <c r="W704" i="6"/>
  <c r="T704" i="16"/>
  <c r="Q704" i="16"/>
  <c r="W703" i="6"/>
  <c r="T703" i="16"/>
  <c r="Q703" i="16"/>
  <c r="W702" i="6"/>
  <c r="T702" i="16"/>
  <c r="Q702" i="16"/>
  <c r="W701" i="6"/>
  <c r="T701" i="16"/>
  <c r="Q701" i="16"/>
  <c r="W700" i="6"/>
  <c r="T700" i="16"/>
  <c r="Q700" i="16"/>
  <c r="W699" i="6"/>
  <c r="T699" i="16"/>
  <c r="Q699" i="16"/>
  <c r="W698" i="6"/>
  <c r="T698" i="16"/>
  <c r="Q698" i="16"/>
  <c r="W697" i="6"/>
  <c r="T697" i="16"/>
  <c r="Q697" i="16"/>
  <c r="W696" i="6"/>
  <c r="T696" i="16"/>
  <c r="Q696" i="16"/>
  <c r="W695" i="6"/>
  <c r="T695" i="16"/>
  <c r="Q695" i="16"/>
  <c r="W694" i="6"/>
  <c r="T694" i="16"/>
  <c r="Q694" i="16"/>
  <c r="W693" i="6"/>
  <c r="T693" i="16"/>
  <c r="Q693" i="16"/>
  <c r="W692" i="6"/>
  <c r="T692" i="16"/>
  <c r="Q692" i="16"/>
  <c r="W691" i="6"/>
  <c r="T691" i="16"/>
  <c r="Q691" i="16"/>
  <c r="W690" i="6"/>
  <c r="T690" i="16"/>
  <c r="Q690" i="16"/>
  <c r="W689" i="6"/>
  <c r="T689" i="16"/>
  <c r="Q689" i="16"/>
  <c r="W688" i="6"/>
  <c r="T688" i="16"/>
  <c r="Q688" i="16"/>
  <c r="W687" i="6"/>
  <c r="T687" i="16"/>
  <c r="Q687" i="16"/>
  <c r="W686" i="6"/>
  <c r="T686" i="16"/>
  <c r="Q686" i="16"/>
  <c r="W685" i="6"/>
  <c r="T685" i="16"/>
  <c r="Q685" i="16"/>
  <c r="W684" i="6"/>
  <c r="T684" i="16"/>
  <c r="Q684" i="16"/>
  <c r="T683" i="16"/>
  <c r="Q683" i="16"/>
  <c r="T682" i="16"/>
  <c r="Q682" i="16"/>
  <c r="T681" i="16"/>
  <c r="Q681" i="16"/>
  <c r="T680" i="16"/>
  <c r="Q680" i="16"/>
  <c r="W1000" i="6"/>
  <c r="T1000" i="16"/>
  <c r="Q1000" i="16"/>
  <c r="W999" i="6"/>
  <c r="T999" i="16"/>
  <c r="Q999" i="16"/>
  <c r="W998" i="6"/>
  <c r="T998" i="16"/>
  <c r="Q998" i="16"/>
  <c r="W997" i="6"/>
  <c r="T997" i="16"/>
  <c r="Q997" i="16"/>
  <c r="W996" i="6"/>
  <c r="T996" i="16"/>
  <c r="Q996" i="16"/>
  <c r="W995" i="6"/>
  <c r="T995" i="16"/>
  <c r="Q995" i="16"/>
  <c r="W994" i="6"/>
  <c r="T994" i="16"/>
  <c r="Q994" i="16"/>
  <c r="W924" i="6"/>
  <c r="T924" i="16"/>
  <c r="Q924" i="16"/>
  <c r="W993" i="6"/>
  <c r="T993" i="16"/>
  <c r="Q993" i="16"/>
  <c r="W992" i="6"/>
  <c r="T992" i="16"/>
  <c r="Q992" i="16"/>
  <c r="W991" i="6"/>
  <c r="T991" i="16"/>
  <c r="Q991" i="16"/>
  <c r="W990" i="6"/>
  <c r="T990" i="16"/>
  <c r="Q990" i="16"/>
  <c r="W989" i="6"/>
  <c r="T989" i="16"/>
  <c r="Q989" i="16"/>
  <c r="W988" i="6"/>
  <c r="T988" i="16"/>
  <c r="Q988" i="16"/>
  <c r="W987" i="6"/>
  <c r="T987" i="16"/>
  <c r="Q987" i="16"/>
  <c r="W986" i="6"/>
  <c r="T986" i="16"/>
  <c r="Q986" i="16"/>
  <c r="W985" i="6"/>
  <c r="T985" i="16"/>
  <c r="Q985" i="16"/>
  <c r="W984" i="6"/>
  <c r="T984" i="16"/>
  <c r="Q984" i="16"/>
  <c r="W983" i="6"/>
  <c r="T983" i="16"/>
  <c r="Q983" i="16"/>
  <c r="W982" i="6"/>
  <c r="T982" i="16"/>
  <c r="Q982" i="16"/>
  <c r="W981" i="6"/>
  <c r="T981" i="16"/>
  <c r="Q981" i="16"/>
  <c r="W980" i="6"/>
  <c r="T980" i="16"/>
  <c r="Q980" i="16"/>
  <c r="W979" i="6"/>
  <c r="T979" i="16"/>
  <c r="Q979" i="16"/>
  <c r="W978" i="6"/>
  <c r="T978" i="16"/>
  <c r="Q978" i="16"/>
  <c r="W977" i="6"/>
  <c r="T977" i="16"/>
  <c r="Q977" i="16"/>
  <c r="W976" i="6"/>
  <c r="T976" i="16"/>
  <c r="Q976" i="16"/>
  <c r="W975" i="6"/>
  <c r="T975" i="16"/>
  <c r="Q975" i="16"/>
  <c r="W974" i="6"/>
  <c r="T974" i="16"/>
  <c r="Q974" i="16"/>
  <c r="W973" i="6"/>
  <c r="T973" i="16"/>
  <c r="Q973" i="16"/>
  <c r="W972" i="6"/>
  <c r="T972" i="16"/>
  <c r="Q972" i="16"/>
  <c r="W971" i="6"/>
  <c r="T971" i="16"/>
  <c r="Q971" i="16"/>
  <c r="W970" i="6"/>
  <c r="T970" i="16"/>
  <c r="Q970" i="16"/>
  <c r="W848" i="6"/>
  <c r="T848" i="16"/>
  <c r="Q848" i="16"/>
  <c r="W969" i="6"/>
  <c r="T969" i="16"/>
  <c r="Q969" i="16"/>
  <c r="W968" i="6"/>
  <c r="T968" i="16"/>
  <c r="Q968" i="16"/>
  <c r="W967" i="6"/>
  <c r="T967" i="16"/>
  <c r="Q967" i="16"/>
  <c r="W966" i="6"/>
  <c r="T966" i="16"/>
  <c r="Q966" i="16"/>
  <c r="W965" i="6"/>
  <c r="T965" i="16"/>
  <c r="Q965" i="16"/>
  <c r="W964" i="6"/>
  <c r="T964" i="16"/>
  <c r="Q964" i="16"/>
  <c r="W963" i="6"/>
  <c r="T963" i="16"/>
  <c r="Q963" i="16"/>
  <c r="W962" i="6"/>
  <c r="T962" i="16"/>
  <c r="Q962" i="16"/>
  <c r="W961" i="6"/>
  <c r="T961" i="16"/>
  <c r="Q961" i="16"/>
  <c r="W960" i="6"/>
  <c r="T960" i="16"/>
  <c r="Q960" i="16"/>
  <c r="W959" i="6"/>
  <c r="T959" i="16"/>
  <c r="Q959" i="16"/>
  <c r="W958" i="6"/>
  <c r="T958" i="16"/>
  <c r="Q958" i="16"/>
  <c r="W957" i="6"/>
  <c r="T957" i="16"/>
  <c r="Q957" i="16"/>
  <c r="W956" i="6"/>
  <c r="T956" i="16"/>
  <c r="Q956" i="16"/>
  <c r="W955" i="6"/>
  <c r="T955" i="16"/>
  <c r="Q955" i="16"/>
  <c r="W954" i="6"/>
  <c r="T954" i="16"/>
  <c r="Q954" i="16"/>
  <c r="W953" i="6"/>
  <c r="T953" i="16"/>
  <c r="Q953" i="16"/>
  <c r="W952" i="6"/>
  <c r="T952" i="16"/>
  <c r="Q952" i="16"/>
  <c r="W951" i="6"/>
  <c r="T951" i="16"/>
  <c r="Q951" i="16"/>
  <c r="W950" i="6"/>
  <c r="T950" i="16"/>
  <c r="Q950" i="16"/>
  <c r="W949" i="6"/>
  <c r="T949" i="16"/>
  <c r="Q949" i="16"/>
  <c r="W948" i="6"/>
  <c r="T948" i="16"/>
  <c r="Q948" i="16"/>
  <c r="W947" i="6"/>
  <c r="T947" i="16"/>
  <c r="Q947" i="16"/>
  <c r="W946" i="6"/>
  <c r="T946" i="16"/>
  <c r="Q946" i="16"/>
  <c r="W945" i="6"/>
  <c r="T945" i="16"/>
  <c r="Q945" i="16"/>
  <c r="W944" i="6"/>
  <c r="T944" i="16"/>
  <c r="Q944" i="16"/>
  <c r="W943" i="6"/>
  <c r="T943" i="16"/>
  <c r="Q943" i="16"/>
  <c r="W942" i="6"/>
  <c r="T942" i="16"/>
  <c r="Q942" i="16"/>
  <c r="W941" i="6"/>
  <c r="T941" i="16"/>
  <c r="Q941" i="16"/>
  <c r="W940" i="6"/>
  <c r="T940" i="16"/>
  <c r="Q940" i="16"/>
  <c r="W939" i="6"/>
  <c r="T939" i="16"/>
  <c r="Q939" i="16"/>
  <c r="W938" i="6"/>
  <c r="T938" i="16"/>
  <c r="Q938" i="16"/>
  <c r="W937" i="6"/>
  <c r="T937" i="16"/>
  <c r="Q937" i="16"/>
  <c r="W936" i="6"/>
  <c r="T936" i="16"/>
  <c r="Q936" i="16"/>
  <c r="W935" i="6"/>
  <c r="T935" i="16"/>
  <c r="Q935" i="16"/>
  <c r="W934" i="6"/>
  <c r="T934" i="16"/>
  <c r="Q934" i="16"/>
  <c r="W933" i="6"/>
  <c r="T933" i="16"/>
  <c r="Q933" i="16"/>
  <c r="W932" i="6"/>
  <c r="T932" i="16"/>
  <c r="Q932" i="16"/>
  <c r="W931" i="6"/>
  <c r="T931" i="16"/>
  <c r="Q931" i="16"/>
  <c r="W930" i="6"/>
  <c r="T930" i="16"/>
  <c r="Q930" i="16"/>
  <c r="W929" i="6"/>
  <c r="T929" i="16"/>
  <c r="Q929" i="16"/>
  <c r="W928" i="6"/>
  <c r="T928" i="16"/>
  <c r="Q928" i="16"/>
  <c r="W927" i="6"/>
  <c r="T927" i="16"/>
  <c r="Q927" i="16"/>
  <c r="W926" i="6"/>
  <c r="T926" i="16"/>
  <c r="Q926" i="16"/>
  <c r="T925" i="16"/>
  <c r="Q925" i="16"/>
  <c r="W923" i="6"/>
  <c r="T923" i="16"/>
  <c r="Q923" i="16"/>
  <c r="W922" i="6"/>
  <c r="T922" i="16"/>
  <c r="Q922" i="16"/>
  <c r="W921" i="6"/>
  <c r="T921" i="16"/>
  <c r="Q921" i="16"/>
  <c r="W920" i="6"/>
  <c r="T920" i="16"/>
  <c r="Q920" i="16"/>
  <c r="W919" i="6"/>
  <c r="T919" i="16"/>
  <c r="Q919" i="16"/>
  <c r="W918" i="6"/>
  <c r="T918" i="16"/>
  <c r="Q918" i="16"/>
  <c r="W917" i="6"/>
  <c r="T917" i="16"/>
  <c r="Q917" i="16"/>
  <c r="W916" i="6"/>
  <c r="T916" i="16"/>
  <c r="Q916" i="16"/>
  <c r="W915" i="6"/>
  <c r="T915" i="16"/>
  <c r="Q915" i="16"/>
  <c r="W914" i="6"/>
  <c r="T914" i="16"/>
  <c r="Q914" i="16"/>
  <c r="W913" i="6"/>
  <c r="T913" i="16"/>
  <c r="Q913" i="16"/>
  <c r="W912" i="6"/>
  <c r="T912" i="16"/>
  <c r="Q912" i="16"/>
  <c r="W911" i="6"/>
  <c r="T911" i="16"/>
  <c r="Q911" i="16"/>
  <c r="W910" i="6"/>
  <c r="T910" i="16"/>
  <c r="Q910" i="16"/>
  <c r="W909" i="6"/>
  <c r="T909" i="16"/>
  <c r="Q909" i="16"/>
  <c r="W908" i="6"/>
  <c r="T908" i="16"/>
  <c r="Q908" i="16"/>
  <c r="W907" i="6"/>
  <c r="T907" i="16"/>
  <c r="Q907" i="16"/>
  <c r="W906" i="6"/>
  <c r="T906" i="16"/>
  <c r="Q906" i="16"/>
  <c r="W905" i="6"/>
  <c r="T905" i="16"/>
  <c r="Q905" i="16"/>
  <c r="W904" i="6"/>
  <c r="T904" i="16"/>
  <c r="Q904" i="16"/>
  <c r="W903" i="6"/>
  <c r="T903" i="16"/>
  <c r="Q903" i="16"/>
  <c r="W902" i="6"/>
  <c r="T902" i="16"/>
  <c r="Q902" i="16"/>
  <c r="W901" i="6"/>
  <c r="T901" i="16"/>
  <c r="Q901" i="16"/>
  <c r="W900" i="6"/>
  <c r="T900" i="16"/>
  <c r="Q900" i="16"/>
  <c r="W899" i="6"/>
  <c r="T899" i="16"/>
  <c r="Q899" i="16"/>
  <c r="W898" i="6"/>
  <c r="T898" i="16"/>
  <c r="Q898" i="16"/>
  <c r="W897" i="6"/>
  <c r="T897" i="16"/>
  <c r="Q897" i="16"/>
  <c r="W896" i="6"/>
  <c r="T896" i="16"/>
  <c r="Q896" i="16"/>
  <c r="W895" i="6"/>
  <c r="T895" i="16"/>
  <c r="Q895" i="16"/>
  <c r="W894" i="6"/>
  <c r="T894" i="16"/>
  <c r="Q894" i="16"/>
  <c r="W893" i="6"/>
  <c r="T893" i="16"/>
  <c r="Q893" i="16"/>
  <c r="W892" i="6"/>
  <c r="T892" i="16"/>
  <c r="Q892" i="16"/>
  <c r="W891" i="6"/>
  <c r="T891" i="16"/>
  <c r="Q891" i="16"/>
  <c r="W890" i="6"/>
  <c r="T890" i="16"/>
  <c r="Q890" i="16"/>
  <c r="W889" i="6"/>
  <c r="T889" i="16"/>
  <c r="Q889" i="16"/>
  <c r="W888" i="6"/>
  <c r="T888" i="16"/>
  <c r="Q888" i="16"/>
  <c r="W887" i="6"/>
  <c r="T887" i="16"/>
  <c r="Q887" i="16"/>
  <c r="W886" i="6"/>
  <c r="T886" i="16"/>
  <c r="Q886" i="16"/>
  <c r="W885" i="6"/>
  <c r="T885" i="16"/>
  <c r="Q885" i="16"/>
  <c r="W884" i="6"/>
  <c r="T884" i="16"/>
  <c r="Q884" i="16"/>
  <c r="W883" i="6"/>
  <c r="T883" i="16"/>
  <c r="Q883" i="16"/>
  <c r="W882" i="6"/>
  <c r="T882" i="16"/>
  <c r="Q882" i="16"/>
  <c r="W881" i="6"/>
  <c r="T881" i="16"/>
  <c r="Q881" i="16"/>
  <c r="W880" i="6"/>
  <c r="T880" i="16"/>
  <c r="Q880" i="16"/>
  <c r="W879" i="6"/>
  <c r="T879" i="16"/>
  <c r="Q879" i="16"/>
  <c r="W878" i="6"/>
  <c r="T878" i="16"/>
  <c r="Q878" i="16"/>
  <c r="W877" i="6"/>
  <c r="T877" i="16"/>
  <c r="Q877" i="16"/>
  <c r="W876" i="6"/>
  <c r="T876" i="16"/>
  <c r="Q876" i="16"/>
  <c r="W875" i="6"/>
  <c r="T875" i="16"/>
  <c r="Q875" i="16"/>
  <c r="W874" i="6"/>
  <c r="T874" i="16"/>
  <c r="Q874" i="16"/>
  <c r="W873" i="6"/>
  <c r="T873" i="16"/>
  <c r="Q873" i="16"/>
  <c r="W872" i="6"/>
  <c r="T872" i="16"/>
  <c r="Q872" i="16"/>
  <c r="W871" i="6"/>
  <c r="T871" i="16"/>
  <c r="Q871" i="16"/>
  <c r="W870" i="6"/>
  <c r="T870" i="16"/>
  <c r="Q870" i="16"/>
  <c r="W869" i="6"/>
  <c r="T869" i="16"/>
  <c r="Q869" i="16"/>
  <c r="W868" i="6"/>
  <c r="T868" i="16"/>
  <c r="Q868" i="16"/>
  <c r="W867" i="6"/>
  <c r="T867" i="16"/>
  <c r="Q867" i="16"/>
  <c r="W866" i="6"/>
  <c r="T866" i="16"/>
  <c r="Q866" i="16"/>
  <c r="W865" i="6"/>
  <c r="T865" i="16"/>
  <c r="Q865" i="16"/>
  <c r="W864" i="6"/>
  <c r="T864" i="16"/>
  <c r="Q864" i="16"/>
  <c r="W863" i="6"/>
  <c r="T863" i="16"/>
  <c r="Q863" i="16"/>
  <c r="W862" i="6"/>
  <c r="T862" i="16"/>
  <c r="Q862" i="16"/>
  <c r="W861" i="6"/>
  <c r="T861" i="16"/>
  <c r="Q861" i="16"/>
  <c r="W860" i="6"/>
  <c r="T860" i="16"/>
  <c r="Q860" i="16"/>
  <c r="W859" i="6"/>
  <c r="T859" i="16"/>
  <c r="Q859" i="16"/>
  <c r="W858" i="6"/>
  <c r="T858" i="16"/>
  <c r="Q858" i="16"/>
  <c r="W857" i="6"/>
  <c r="T857" i="16"/>
  <c r="Q857" i="16"/>
  <c r="W856" i="6"/>
  <c r="T856" i="16"/>
  <c r="Q856" i="16"/>
  <c r="W855" i="6"/>
  <c r="T855" i="16"/>
  <c r="Q855" i="16"/>
  <c r="W854" i="6"/>
  <c r="T854" i="16"/>
  <c r="Q854" i="16"/>
  <c r="W853" i="6"/>
  <c r="T853" i="16"/>
  <c r="Q853" i="16"/>
  <c r="W852" i="6"/>
  <c r="T852" i="16"/>
  <c r="Q852" i="16"/>
  <c r="W851" i="6"/>
  <c r="T851" i="16"/>
  <c r="Q851" i="16"/>
  <c r="T850" i="16"/>
  <c r="Q850" i="16"/>
  <c r="W849" i="6"/>
  <c r="T849" i="16"/>
  <c r="Q849" i="16"/>
  <c r="W847" i="6"/>
  <c r="T847" i="16"/>
  <c r="Q847" i="16"/>
  <c r="W846" i="6"/>
  <c r="T846" i="16"/>
  <c r="Q846" i="16"/>
  <c r="W845" i="6"/>
  <c r="T845" i="16"/>
  <c r="Q845" i="16"/>
  <c r="W844" i="6"/>
  <c r="T844" i="16"/>
  <c r="Q844" i="16"/>
  <c r="W843" i="6"/>
  <c r="T843" i="16"/>
  <c r="Q843" i="16"/>
  <c r="W842" i="6"/>
  <c r="T842" i="16"/>
  <c r="Q842" i="16"/>
  <c r="W841" i="6"/>
  <c r="T841" i="16"/>
  <c r="Q841" i="16"/>
  <c r="W840" i="6"/>
  <c r="T840" i="16"/>
  <c r="Q840" i="16"/>
  <c r="T839" i="16"/>
  <c r="Q839" i="16"/>
  <c r="T838" i="16"/>
  <c r="Q838" i="16"/>
  <c r="W12" i="6"/>
  <c r="W3" i="6"/>
  <c r="W161" i="6"/>
  <c r="W169" i="6"/>
  <c r="W168" i="6"/>
  <c r="W167" i="6"/>
  <c r="W166" i="6"/>
  <c r="W165" i="6"/>
  <c r="W164" i="6"/>
  <c r="W163" i="6"/>
  <c r="W162" i="6"/>
  <c r="W203" i="6"/>
  <c r="W261" i="6"/>
  <c r="W210" i="6"/>
  <c r="W319" i="6"/>
  <c r="W207" i="6"/>
  <c r="W206" i="6"/>
  <c r="W205" i="6"/>
  <c r="W204" i="6"/>
  <c r="W202" i="6"/>
  <c r="W201" i="6"/>
  <c r="W321" i="6"/>
  <c r="W476" i="6"/>
  <c r="W417" i="6"/>
  <c r="W355" i="6"/>
  <c r="W328" i="6"/>
  <c r="W327" i="6"/>
  <c r="W326" i="6"/>
  <c r="W325" i="6"/>
  <c r="W324" i="6"/>
  <c r="W323" i="6"/>
  <c r="W322" i="6"/>
  <c r="W493" i="6"/>
  <c r="W677" i="6"/>
  <c r="W601" i="6"/>
  <c r="W585" i="6"/>
  <c r="W565" i="6"/>
  <c r="W498" i="6"/>
  <c r="W497" i="6"/>
  <c r="W496" i="6"/>
  <c r="W495" i="6"/>
  <c r="W494" i="6"/>
  <c r="W679" i="6"/>
  <c r="W809" i="6"/>
  <c r="W818" i="6"/>
  <c r="W683" i="6"/>
  <c r="W682" i="6"/>
  <c r="W681" i="6"/>
  <c r="W680" i="6"/>
  <c r="W925" i="6"/>
  <c r="W850" i="6"/>
  <c r="W839" i="6"/>
  <c r="W838" i="6"/>
  <c r="U2" i="6"/>
  <c r="S2" i="6"/>
  <c r="R2" i="6"/>
  <c r="U160" i="6"/>
  <c r="S160" i="6"/>
  <c r="R160" i="6"/>
  <c r="U159" i="6"/>
  <c r="S159" i="6"/>
  <c r="R159" i="6"/>
  <c r="U158" i="6"/>
  <c r="S158" i="6"/>
  <c r="R158" i="6"/>
  <c r="U157" i="6"/>
  <c r="S157" i="6"/>
  <c r="R157" i="6"/>
  <c r="U156" i="6"/>
  <c r="S156" i="6"/>
  <c r="R156" i="6"/>
  <c r="U155" i="6"/>
  <c r="S155" i="6"/>
  <c r="R155" i="6"/>
  <c r="U154" i="6"/>
  <c r="S154" i="6"/>
  <c r="R154" i="6"/>
  <c r="U153" i="6"/>
  <c r="S153" i="6"/>
  <c r="R153" i="6"/>
  <c r="U152" i="6"/>
  <c r="S152" i="6"/>
  <c r="R152" i="6"/>
  <c r="U151" i="6"/>
  <c r="S151" i="6"/>
  <c r="R151" i="6"/>
  <c r="U150" i="6"/>
  <c r="S150" i="6"/>
  <c r="R150" i="6"/>
  <c r="U149" i="6"/>
  <c r="S149" i="6"/>
  <c r="R149" i="6"/>
  <c r="U148" i="6"/>
  <c r="S148" i="6"/>
  <c r="R148" i="6"/>
  <c r="U147" i="6"/>
  <c r="S147" i="6"/>
  <c r="R147" i="6"/>
  <c r="U146" i="6"/>
  <c r="S146" i="6"/>
  <c r="R146" i="6"/>
  <c r="U145" i="6"/>
  <c r="S145" i="6"/>
  <c r="R145" i="6"/>
  <c r="U144" i="6"/>
  <c r="S144" i="6"/>
  <c r="R144" i="6"/>
  <c r="U143" i="6"/>
  <c r="S143" i="6"/>
  <c r="R143" i="6"/>
  <c r="U142" i="6"/>
  <c r="S142" i="6"/>
  <c r="R142" i="6"/>
  <c r="U141" i="6"/>
  <c r="S141" i="6"/>
  <c r="R141" i="6"/>
  <c r="U140" i="6"/>
  <c r="S140" i="6"/>
  <c r="R140" i="6"/>
  <c r="U139" i="6"/>
  <c r="S139" i="6"/>
  <c r="R139" i="6"/>
  <c r="U138" i="6"/>
  <c r="S138" i="6"/>
  <c r="R138" i="6"/>
  <c r="U137" i="6"/>
  <c r="S137" i="6"/>
  <c r="R137" i="6"/>
  <c r="U136" i="6"/>
  <c r="S136" i="6"/>
  <c r="R136" i="6"/>
  <c r="U135" i="6"/>
  <c r="S135" i="6"/>
  <c r="R135" i="6"/>
  <c r="U134" i="6"/>
  <c r="S134" i="6"/>
  <c r="R134" i="6"/>
  <c r="U133" i="6"/>
  <c r="S133" i="6"/>
  <c r="R133" i="6"/>
  <c r="U132" i="6"/>
  <c r="S132" i="6"/>
  <c r="R132" i="6"/>
  <c r="U131" i="6"/>
  <c r="S131" i="6"/>
  <c r="R131" i="6"/>
  <c r="U130" i="6"/>
  <c r="S130" i="6"/>
  <c r="R130" i="6"/>
  <c r="U129" i="6"/>
  <c r="S129" i="6"/>
  <c r="R129" i="6"/>
  <c r="U128" i="6"/>
  <c r="S128" i="6"/>
  <c r="R128" i="6"/>
  <c r="U127" i="6"/>
  <c r="S127" i="6"/>
  <c r="R127" i="6"/>
  <c r="U126" i="6"/>
  <c r="S126" i="6"/>
  <c r="R126" i="6"/>
  <c r="U125" i="6"/>
  <c r="S125" i="6"/>
  <c r="R125" i="6"/>
  <c r="U124" i="6"/>
  <c r="S124" i="6"/>
  <c r="R124" i="6"/>
  <c r="U123" i="6"/>
  <c r="S123" i="6"/>
  <c r="R123" i="6"/>
  <c r="U122" i="6"/>
  <c r="S122" i="6"/>
  <c r="R122" i="6"/>
  <c r="U121" i="6"/>
  <c r="S121" i="6"/>
  <c r="R121" i="6"/>
  <c r="U120" i="6"/>
  <c r="S120" i="6"/>
  <c r="R120" i="6"/>
  <c r="U119" i="6"/>
  <c r="S119" i="6"/>
  <c r="R119" i="6"/>
  <c r="U118" i="6"/>
  <c r="S118" i="6"/>
  <c r="R118" i="6"/>
  <c r="U117" i="6"/>
  <c r="S117" i="6"/>
  <c r="R117" i="6"/>
  <c r="U116" i="6"/>
  <c r="S116" i="6"/>
  <c r="R116" i="6"/>
  <c r="U115" i="6"/>
  <c r="S115" i="6"/>
  <c r="R115" i="6"/>
  <c r="U114" i="6"/>
  <c r="S114" i="6"/>
  <c r="R114" i="6"/>
  <c r="U113" i="6"/>
  <c r="S113" i="6"/>
  <c r="R113" i="6"/>
  <c r="U112" i="6"/>
  <c r="S112" i="6"/>
  <c r="R112" i="6"/>
  <c r="U111" i="6"/>
  <c r="S111" i="6"/>
  <c r="R111" i="6"/>
  <c r="U110" i="6"/>
  <c r="S110" i="6"/>
  <c r="R110" i="6"/>
  <c r="U109" i="6"/>
  <c r="S109" i="6"/>
  <c r="R109" i="6"/>
  <c r="U108" i="6"/>
  <c r="S108" i="6"/>
  <c r="R108" i="6"/>
  <c r="U107" i="6"/>
  <c r="S107" i="6"/>
  <c r="R107" i="6"/>
  <c r="U106" i="6"/>
  <c r="S106" i="6"/>
  <c r="R106" i="6"/>
  <c r="U105" i="6"/>
  <c r="S105" i="6"/>
  <c r="R105" i="6"/>
  <c r="U104" i="6"/>
  <c r="S104" i="6"/>
  <c r="R104" i="6"/>
  <c r="U103" i="6"/>
  <c r="S103" i="6"/>
  <c r="R103" i="6"/>
  <c r="U102" i="6"/>
  <c r="S102" i="6"/>
  <c r="R102" i="6"/>
  <c r="U101" i="6"/>
  <c r="S101" i="6"/>
  <c r="R101" i="6"/>
  <c r="U100" i="6"/>
  <c r="S100" i="6"/>
  <c r="R100" i="6"/>
  <c r="U99" i="6"/>
  <c r="S99" i="6"/>
  <c r="R99" i="6"/>
  <c r="U98" i="6"/>
  <c r="S98" i="6"/>
  <c r="R98" i="6"/>
  <c r="U97" i="6"/>
  <c r="S97" i="6"/>
  <c r="R97" i="6"/>
  <c r="U96" i="6"/>
  <c r="S96" i="6"/>
  <c r="R96" i="6"/>
  <c r="U95" i="6"/>
  <c r="S95" i="6"/>
  <c r="R95" i="6"/>
  <c r="U94" i="6"/>
  <c r="S94" i="6"/>
  <c r="R94" i="6"/>
  <c r="U93" i="6"/>
  <c r="S93" i="6"/>
  <c r="R93" i="6"/>
  <c r="U92" i="6"/>
  <c r="S92" i="6"/>
  <c r="R92" i="6"/>
  <c r="U91" i="6"/>
  <c r="S91" i="6"/>
  <c r="R91" i="6"/>
  <c r="U90" i="6"/>
  <c r="S90" i="6"/>
  <c r="R90" i="6"/>
  <c r="U89" i="6"/>
  <c r="S89" i="6"/>
  <c r="R89" i="6"/>
  <c r="U88" i="6"/>
  <c r="S88" i="6"/>
  <c r="R88" i="6"/>
  <c r="U87" i="6"/>
  <c r="S87" i="6"/>
  <c r="R87" i="6"/>
  <c r="U86" i="6"/>
  <c r="S86" i="6"/>
  <c r="R86" i="6"/>
  <c r="U85" i="6"/>
  <c r="S85" i="6"/>
  <c r="R85" i="6"/>
  <c r="U84" i="6"/>
  <c r="S84" i="6"/>
  <c r="R84" i="6"/>
  <c r="U83" i="6"/>
  <c r="S83" i="6"/>
  <c r="R83" i="6"/>
  <c r="U82" i="6"/>
  <c r="S82" i="6"/>
  <c r="R82" i="6"/>
  <c r="U81" i="6"/>
  <c r="S81" i="6"/>
  <c r="R81" i="6"/>
  <c r="U80" i="6"/>
  <c r="S80" i="6"/>
  <c r="R80" i="6"/>
  <c r="U79" i="6"/>
  <c r="S79" i="6"/>
  <c r="R79" i="6"/>
  <c r="U78" i="6"/>
  <c r="S78" i="6"/>
  <c r="R78" i="6"/>
  <c r="U77" i="6"/>
  <c r="S77" i="6"/>
  <c r="R77" i="6"/>
  <c r="U76" i="6"/>
  <c r="S76" i="6"/>
  <c r="R76" i="6"/>
  <c r="U75" i="6"/>
  <c r="S75" i="6"/>
  <c r="R75" i="6"/>
  <c r="U74" i="6"/>
  <c r="S74" i="6"/>
  <c r="R74" i="6"/>
  <c r="U73" i="6"/>
  <c r="S73" i="6"/>
  <c r="R73" i="6"/>
  <c r="U72" i="6"/>
  <c r="S72" i="6"/>
  <c r="R72" i="6"/>
  <c r="U71" i="6"/>
  <c r="S71" i="6"/>
  <c r="R71" i="6"/>
  <c r="U70" i="6"/>
  <c r="S70" i="6"/>
  <c r="R70" i="6"/>
  <c r="U69" i="6"/>
  <c r="S69" i="6"/>
  <c r="R69" i="6"/>
  <c r="U68" i="6"/>
  <c r="S68" i="6"/>
  <c r="R68" i="6"/>
  <c r="U67" i="6"/>
  <c r="S67" i="6"/>
  <c r="R67" i="6"/>
  <c r="U66" i="6"/>
  <c r="S66" i="6"/>
  <c r="R66" i="6"/>
  <c r="U65" i="6"/>
  <c r="S65" i="6"/>
  <c r="R65" i="6"/>
  <c r="U64" i="6"/>
  <c r="S64" i="6"/>
  <c r="R64" i="6"/>
  <c r="U63" i="6"/>
  <c r="S63" i="6"/>
  <c r="R63" i="6"/>
  <c r="U62" i="6"/>
  <c r="S62" i="6"/>
  <c r="R62" i="6"/>
  <c r="U61" i="6"/>
  <c r="S61" i="6"/>
  <c r="R61" i="6"/>
  <c r="U60" i="6"/>
  <c r="S60" i="6"/>
  <c r="R60" i="6"/>
  <c r="U59" i="6"/>
  <c r="S59" i="6"/>
  <c r="R59" i="6"/>
  <c r="U58" i="6"/>
  <c r="S58" i="6"/>
  <c r="R58" i="6"/>
  <c r="U57" i="6"/>
  <c r="S57" i="6"/>
  <c r="R57" i="6"/>
  <c r="U56" i="6"/>
  <c r="S56" i="6"/>
  <c r="R56" i="6"/>
  <c r="U55" i="6"/>
  <c r="S55" i="6"/>
  <c r="R55" i="6"/>
  <c r="U54" i="6"/>
  <c r="S54" i="6"/>
  <c r="R54" i="6"/>
  <c r="U53" i="6"/>
  <c r="S53" i="6"/>
  <c r="R53" i="6"/>
  <c r="U52" i="6"/>
  <c r="S52" i="6"/>
  <c r="R52" i="6"/>
  <c r="U51" i="6"/>
  <c r="S51" i="6"/>
  <c r="R51" i="6"/>
  <c r="U50" i="6"/>
  <c r="S50" i="6"/>
  <c r="R50" i="6"/>
  <c r="U49" i="6"/>
  <c r="S49" i="6"/>
  <c r="R49" i="6"/>
  <c r="U48" i="6"/>
  <c r="S48" i="6"/>
  <c r="R48" i="6"/>
  <c r="U47" i="6"/>
  <c r="S47" i="6"/>
  <c r="R47" i="6"/>
  <c r="U46" i="6"/>
  <c r="S46" i="6"/>
  <c r="R46" i="6"/>
  <c r="U45" i="6"/>
  <c r="S45" i="6"/>
  <c r="R45" i="6"/>
  <c r="U44" i="6"/>
  <c r="S44" i="6"/>
  <c r="R44" i="6"/>
  <c r="U43" i="6"/>
  <c r="S43" i="6"/>
  <c r="R43" i="6"/>
  <c r="U42" i="6"/>
  <c r="S42" i="6"/>
  <c r="R42" i="6"/>
  <c r="U41" i="6"/>
  <c r="S41" i="6"/>
  <c r="R41" i="6"/>
  <c r="U40" i="6"/>
  <c r="S40" i="6"/>
  <c r="R40" i="6"/>
  <c r="U39" i="6"/>
  <c r="S39" i="6"/>
  <c r="R39" i="6"/>
  <c r="U38" i="6"/>
  <c r="S38" i="6"/>
  <c r="R38" i="6"/>
  <c r="U37" i="6"/>
  <c r="S37" i="6"/>
  <c r="R37" i="6"/>
  <c r="U36" i="6"/>
  <c r="S36" i="6"/>
  <c r="R36" i="6"/>
  <c r="U35" i="6"/>
  <c r="S35" i="6"/>
  <c r="R35" i="6"/>
  <c r="U34" i="6"/>
  <c r="S34" i="6"/>
  <c r="R34" i="6"/>
  <c r="U33" i="6"/>
  <c r="S33" i="6"/>
  <c r="R33" i="6"/>
  <c r="U32" i="6"/>
  <c r="S32" i="6"/>
  <c r="R32" i="6"/>
  <c r="U31" i="6"/>
  <c r="S31" i="6"/>
  <c r="R31" i="6"/>
  <c r="U30" i="6"/>
  <c r="S30" i="6"/>
  <c r="R30" i="6"/>
  <c r="U29" i="6"/>
  <c r="S29" i="6"/>
  <c r="R29" i="6"/>
  <c r="U28" i="6"/>
  <c r="S28" i="6"/>
  <c r="R28" i="6"/>
  <c r="U27" i="6"/>
  <c r="S27" i="6"/>
  <c r="R27" i="6"/>
  <c r="U26" i="6"/>
  <c r="S26" i="6"/>
  <c r="R26" i="6"/>
  <c r="U25" i="6"/>
  <c r="S25" i="6"/>
  <c r="R25" i="6"/>
  <c r="U24" i="6"/>
  <c r="S24" i="6"/>
  <c r="R24" i="6"/>
  <c r="U23" i="6"/>
  <c r="S23" i="6"/>
  <c r="R23" i="6"/>
  <c r="U22" i="6"/>
  <c r="S22" i="6"/>
  <c r="R22" i="6"/>
  <c r="U21" i="6"/>
  <c r="S21" i="6"/>
  <c r="R21" i="6"/>
  <c r="U20" i="6"/>
  <c r="S20" i="6"/>
  <c r="R20" i="6"/>
  <c r="U19" i="6"/>
  <c r="S19" i="6"/>
  <c r="R19" i="6"/>
  <c r="U18" i="6"/>
  <c r="S18" i="6"/>
  <c r="R18" i="6"/>
  <c r="U17" i="6"/>
  <c r="S17" i="6"/>
  <c r="R17" i="6"/>
  <c r="U16" i="6"/>
  <c r="S16" i="6"/>
  <c r="R16" i="6"/>
  <c r="U15" i="6"/>
  <c r="S15" i="6"/>
  <c r="R15" i="6"/>
  <c r="U14" i="6"/>
  <c r="S14" i="6"/>
  <c r="R14" i="6"/>
  <c r="U13" i="6"/>
  <c r="S13" i="6"/>
  <c r="R13" i="6"/>
  <c r="U12" i="6"/>
  <c r="S12" i="6"/>
  <c r="R12" i="6"/>
  <c r="U11" i="6"/>
  <c r="S11" i="6"/>
  <c r="U10" i="6"/>
  <c r="S10" i="6"/>
  <c r="R10" i="6"/>
  <c r="U9" i="6"/>
  <c r="S9" i="6"/>
  <c r="R9" i="6"/>
  <c r="U8" i="6"/>
  <c r="S8" i="6"/>
  <c r="R8" i="6"/>
  <c r="U7" i="6"/>
  <c r="S7" i="6"/>
  <c r="R7" i="6"/>
  <c r="U6" i="6"/>
  <c r="S6" i="6"/>
  <c r="R6" i="6"/>
  <c r="U5" i="6"/>
  <c r="S5" i="6"/>
  <c r="R5" i="6"/>
  <c r="U4" i="6"/>
  <c r="S4" i="6"/>
  <c r="R4" i="6"/>
  <c r="U3" i="6"/>
  <c r="S3" i="6"/>
  <c r="R3" i="6"/>
  <c r="U161" i="6"/>
  <c r="S161" i="6"/>
  <c r="R161" i="6"/>
  <c r="U200" i="6"/>
  <c r="S200" i="6"/>
  <c r="R200" i="6"/>
  <c r="U199" i="6"/>
  <c r="S199" i="6"/>
  <c r="R199" i="6"/>
  <c r="U198" i="6"/>
  <c r="S198" i="6"/>
  <c r="R198" i="6"/>
  <c r="U197" i="6"/>
  <c r="S197" i="6"/>
  <c r="R197" i="6"/>
  <c r="U196" i="6"/>
  <c r="S196" i="6"/>
  <c r="R196" i="6"/>
  <c r="U195" i="6"/>
  <c r="S195" i="6"/>
  <c r="R195" i="6"/>
  <c r="U194" i="6"/>
  <c r="S194" i="6"/>
  <c r="R194" i="6"/>
  <c r="U193" i="6"/>
  <c r="S193" i="6"/>
  <c r="R193" i="6"/>
  <c r="U192" i="6"/>
  <c r="S192" i="6"/>
  <c r="R192" i="6"/>
  <c r="U191" i="6"/>
  <c r="S191" i="6"/>
  <c r="R191" i="6"/>
  <c r="U190" i="6"/>
  <c r="S190" i="6"/>
  <c r="R190" i="6"/>
  <c r="U189" i="6"/>
  <c r="S189" i="6"/>
  <c r="R189" i="6"/>
  <c r="U188" i="6"/>
  <c r="S188" i="6"/>
  <c r="R188" i="6"/>
  <c r="U187" i="6"/>
  <c r="S187" i="6"/>
  <c r="R187" i="6"/>
  <c r="U186" i="6"/>
  <c r="S186" i="6"/>
  <c r="R186" i="6"/>
  <c r="U185" i="6"/>
  <c r="S185" i="6"/>
  <c r="R185" i="6"/>
  <c r="U184" i="6"/>
  <c r="S184" i="6"/>
  <c r="R184" i="6"/>
  <c r="U183" i="6"/>
  <c r="S183" i="6"/>
  <c r="R183" i="6"/>
  <c r="U182" i="6"/>
  <c r="S182" i="6"/>
  <c r="R182" i="6"/>
  <c r="U181" i="6"/>
  <c r="S181" i="6"/>
  <c r="R181" i="6"/>
  <c r="U180" i="6"/>
  <c r="S180" i="6"/>
  <c r="R180" i="6"/>
  <c r="U179" i="6"/>
  <c r="S179" i="6"/>
  <c r="R179" i="6"/>
  <c r="U178" i="6"/>
  <c r="S178" i="6"/>
  <c r="R178" i="6"/>
  <c r="U177" i="6"/>
  <c r="S177" i="6"/>
  <c r="R177" i="6"/>
  <c r="U176" i="6"/>
  <c r="S176" i="6"/>
  <c r="R176" i="6"/>
  <c r="U175" i="6"/>
  <c r="S175" i="6"/>
  <c r="R175" i="6"/>
  <c r="U174" i="6"/>
  <c r="S174" i="6"/>
  <c r="R174" i="6"/>
  <c r="U173" i="6"/>
  <c r="S173" i="6"/>
  <c r="R173" i="6"/>
  <c r="U172" i="6"/>
  <c r="S172" i="6"/>
  <c r="R172" i="6"/>
  <c r="U171" i="6"/>
  <c r="S171" i="6"/>
  <c r="R171" i="6"/>
  <c r="U170" i="6"/>
  <c r="S170" i="6"/>
  <c r="R170" i="6"/>
  <c r="U169" i="6"/>
  <c r="S169" i="6"/>
  <c r="R169" i="6"/>
  <c r="U168" i="6"/>
  <c r="S168" i="6"/>
  <c r="R168" i="6"/>
  <c r="U167" i="6"/>
  <c r="S167" i="6"/>
  <c r="R167" i="6"/>
  <c r="U166" i="6"/>
  <c r="S166" i="6"/>
  <c r="R166" i="6"/>
  <c r="U165" i="6"/>
  <c r="S165" i="6"/>
  <c r="R165" i="6"/>
  <c r="U164" i="6"/>
  <c r="S164" i="6"/>
  <c r="R164" i="6"/>
  <c r="U163" i="6"/>
  <c r="S163" i="6"/>
  <c r="R163" i="6"/>
  <c r="U162" i="6"/>
  <c r="S162" i="6"/>
  <c r="R162" i="6"/>
  <c r="U320" i="6"/>
  <c r="S320" i="6"/>
  <c r="R320" i="6"/>
  <c r="U318" i="6"/>
  <c r="S318" i="6"/>
  <c r="R318" i="6"/>
  <c r="U317" i="6"/>
  <c r="S317" i="6"/>
  <c r="R317" i="6"/>
  <c r="U316" i="6"/>
  <c r="S316" i="6"/>
  <c r="R316" i="6"/>
  <c r="U315" i="6"/>
  <c r="S315" i="6"/>
  <c r="R315" i="6"/>
  <c r="U314" i="6"/>
  <c r="S314" i="6"/>
  <c r="R314" i="6"/>
  <c r="U313" i="6"/>
  <c r="S313" i="6"/>
  <c r="R313" i="6"/>
  <c r="U312" i="6"/>
  <c r="S312" i="6"/>
  <c r="R312" i="6"/>
  <c r="U311" i="6"/>
  <c r="S311" i="6"/>
  <c r="R311" i="6"/>
  <c r="U310" i="6"/>
  <c r="S310" i="6"/>
  <c r="R310" i="6"/>
  <c r="U309" i="6"/>
  <c r="S309" i="6"/>
  <c r="R309" i="6"/>
  <c r="U308" i="6"/>
  <c r="S308" i="6"/>
  <c r="R308" i="6"/>
  <c r="U307" i="6"/>
  <c r="S307" i="6"/>
  <c r="R307" i="6"/>
  <c r="U306" i="6"/>
  <c r="S306" i="6"/>
  <c r="R306" i="6"/>
  <c r="U305" i="6"/>
  <c r="S305" i="6"/>
  <c r="R305" i="6"/>
  <c r="U304" i="6"/>
  <c r="S304" i="6"/>
  <c r="R304" i="6"/>
  <c r="U303" i="6"/>
  <c r="S303" i="6"/>
  <c r="R303" i="6"/>
  <c r="U302" i="6"/>
  <c r="S302" i="6"/>
  <c r="R302" i="6"/>
  <c r="U301" i="6"/>
  <c r="S301" i="6"/>
  <c r="R301" i="6"/>
  <c r="U300" i="6"/>
  <c r="S300" i="6"/>
  <c r="R300" i="6"/>
  <c r="U299" i="6"/>
  <c r="S299" i="6"/>
  <c r="R299" i="6"/>
  <c r="U298" i="6"/>
  <c r="S298" i="6"/>
  <c r="R298" i="6"/>
  <c r="U297" i="6"/>
  <c r="S297" i="6"/>
  <c r="R297" i="6"/>
  <c r="U296" i="6"/>
  <c r="S296" i="6"/>
  <c r="R296" i="6"/>
  <c r="U295" i="6"/>
  <c r="S295" i="6"/>
  <c r="R295" i="6"/>
  <c r="U294" i="6"/>
  <c r="S294" i="6"/>
  <c r="R294" i="6"/>
  <c r="U293" i="6"/>
  <c r="S293" i="6"/>
  <c r="R293" i="6"/>
  <c r="U292" i="6"/>
  <c r="S292" i="6"/>
  <c r="R292" i="6"/>
  <c r="U291" i="6"/>
  <c r="S291" i="6"/>
  <c r="R291" i="6"/>
  <c r="U290" i="6"/>
  <c r="S290" i="6"/>
  <c r="R290" i="6"/>
  <c r="U289" i="6"/>
  <c r="S289" i="6"/>
  <c r="R289" i="6"/>
  <c r="U288" i="6"/>
  <c r="S288" i="6"/>
  <c r="R288" i="6"/>
  <c r="U287" i="6"/>
  <c r="S287" i="6"/>
  <c r="R287" i="6"/>
  <c r="U286" i="6"/>
  <c r="S286" i="6"/>
  <c r="R286" i="6"/>
  <c r="U285" i="6"/>
  <c r="S285" i="6"/>
  <c r="R285" i="6"/>
  <c r="U284" i="6"/>
  <c r="S284" i="6"/>
  <c r="R284" i="6"/>
  <c r="U283" i="6"/>
  <c r="S283" i="6"/>
  <c r="R283" i="6"/>
  <c r="U282" i="6"/>
  <c r="S282" i="6"/>
  <c r="R282" i="6"/>
  <c r="U281" i="6"/>
  <c r="S281" i="6"/>
  <c r="R281" i="6"/>
  <c r="U280" i="6"/>
  <c r="S280" i="6"/>
  <c r="R280" i="6"/>
  <c r="U279" i="6"/>
  <c r="S279" i="6"/>
  <c r="R279" i="6"/>
  <c r="U278" i="6"/>
  <c r="S278" i="6"/>
  <c r="R278" i="6"/>
  <c r="U277" i="6"/>
  <c r="S277" i="6"/>
  <c r="R277" i="6"/>
  <c r="U276" i="6"/>
  <c r="S276" i="6"/>
  <c r="R276" i="6"/>
  <c r="U275" i="6"/>
  <c r="S275" i="6"/>
  <c r="R275" i="6"/>
  <c r="U274" i="6"/>
  <c r="S274" i="6"/>
  <c r="R274" i="6"/>
  <c r="U273" i="6"/>
  <c r="S273" i="6"/>
  <c r="R273" i="6"/>
  <c r="U272" i="6"/>
  <c r="S272" i="6"/>
  <c r="R272" i="6"/>
  <c r="U271" i="6"/>
  <c r="S271" i="6"/>
  <c r="R271" i="6"/>
  <c r="U270" i="6"/>
  <c r="S270" i="6"/>
  <c r="R270" i="6"/>
  <c r="U269" i="6"/>
  <c r="S269" i="6"/>
  <c r="R269" i="6"/>
  <c r="U268" i="6"/>
  <c r="S268" i="6"/>
  <c r="R268" i="6"/>
  <c r="U267" i="6"/>
  <c r="S267" i="6"/>
  <c r="R267" i="6"/>
  <c r="U266" i="6"/>
  <c r="S266" i="6"/>
  <c r="R266" i="6"/>
  <c r="U265" i="6"/>
  <c r="S265" i="6"/>
  <c r="R265" i="6"/>
  <c r="U264" i="6"/>
  <c r="S264" i="6"/>
  <c r="R264" i="6"/>
  <c r="U263" i="6"/>
  <c r="S263" i="6"/>
  <c r="R263" i="6"/>
  <c r="U262" i="6"/>
  <c r="S262" i="6"/>
  <c r="R262" i="6"/>
  <c r="U203" i="6"/>
  <c r="S203" i="6"/>
  <c r="R203" i="6"/>
  <c r="U260" i="6"/>
  <c r="S260" i="6"/>
  <c r="R260" i="6"/>
  <c r="U259" i="6"/>
  <c r="S259" i="6"/>
  <c r="R259" i="6"/>
  <c r="U258" i="6"/>
  <c r="S258" i="6"/>
  <c r="R258" i="6"/>
  <c r="U257" i="6"/>
  <c r="S257" i="6"/>
  <c r="R257" i="6"/>
  <c r="U256" i="6"/>
  <c r="S256" i="6"/>
  <c r="R256" i="6"/>
  <c r="U255" i="6"/>
  <c r="S255" i="6"/>
  <c r="R255" i="6"/>
  <c r="U254" i="6"/>
  <c r="S254" i="6"/>
  <c r="R254" i="6"/>
  <c r="U253" i="6"/>
  <c r="S253" i="6"/>
  <c r="R253" i="6"/>
  <c r="U252" i="6"/>
  <c r="S252" i="6"/>
  <c r="R252" i="6"/>
  <c r="U251" i="6"/>
  <c r="S251" i="6"/>
  <c r="R251" i="6"/>
  <c r="U250" i="6"/>
  <c r="S250" i="6"/>
  <c r="R250" i="6"/>
  <c r="U249" i="6"/>
  <c r="S249" i="6"/>
  <c r="R249" i="6"/>
  <c r="U248" i="6"/>
  <c r="S248" i="6"/>
  <c r="R248" i="6"/>
  <c r="U247" i="6"/>
  <c r="S247" i="6"/>
  <c r="R247" i="6"/>
  <c r="U246" i="6"/>
  <c r="S246" i="6"/>
  <c r="R246" i="6"/>
  <c r="U245" i="6"/>
  <c r="S245" i="6"/>
  <c r="R245" i="6"/>
  <c r="U244" i="6"/>
  <c r="S244" i="6"/>
  <c r="R244" i="6"/>
  <c r="U243" i="6"/>
  <c r="S243" i="6"/>
  <c r="R243" i="6"/>
  <c r="U242" i="6"/>
  <c r="S242" i="6"/>
  <c r="R242" i="6"/>
  <c r="U241" i="6"/>
  <c r="S241" i="6"/>
  <c r="R241" i="6"/>
  <c r="U240" i="6"/>
  <c r="S240" i="6"/>
  <c r="R240" i="6"/>
  <c r="U239" i="6"/>
  <c r="S239" i="6"/>
  <c r="R239" i="6"/>
  <c r="U238" i="6"/>
  <c r="S238" i="6"/>
  <c r="R238" i="6"/>
  <c r="U237" i="6"/>
  <c r="S237" i="6"/>
  <c r="R237" i="6"/>
  <c r="U236" i="6"/>
  <c r="S236" i="6"/>
  <c r="R236" i="6"/>
  <c r="U235" i="6"/>
  <c r="S235" i="6"/>
  <c r="R235" i="6"/>
  <c r="U234" i="6"/>
  <c r="S234" i="6"/>
  <c r="R234" i="6"/>
  <c r="U233" i="6"/>
  <c r="S233" i="6"/>
  <c r="R233" i="6"/>
  <c r="U232" i="6"/>
  <c r="S232" i="6"/>
  <c r="R232" i="6"/>
  <c r="U231" i="6"/>
  <c r="S231" i="6"/>
  <c r="R231" i="6"/>
  <c r="U230" i="6"/>
  <c r="S230" i="6"/>
  <c r="R230" i="6"/>
  <c r="U229" i="6"/>
  <c r="S229" i="6"/>
  <c r="R229" i="6"/>
  <c r="U228" i="6"/>
  <c r="S228" i="6"/>
  <c r="R228" i="6"/>
  <c r="U227" i="6"/>
  <c r="S227" i="6"/>
  <c r="R227" i="6"/>
  <c r="U226" i="6"/>
  <c r="S226" i="6"/>
  <c r="R226" i="6"/>
  <c r="U225" i="6"/>
  <c r="S225" i="6"/>
  <c r="R225" i="6"/>
  <c r="U224" i="6"/>
  <c r="S224" i="6"/>
  <c r="R224" i="6"/>
  <c r="U223" i="6"/>
  <c r="S223" i="6"/>
  <c r="R223" i="6"/>
  <c r="U222" i="6"/>
  <c r="S222" i="6"/>
  <c r="R222" i="6"/>
  <c r="U221" i="6"/>
  <c r="S221" i="6"/>
  <c r="R221" i="6"/>
  <c r="U220" i="6"/>
  <c r="S220" i="6"/>
  <c r="R220" i="6"/>
  <c r="U219" i="6"/>
  <c r="S219" i="6"/>
  <c r="R219" i="6"/>
  <c r="U218" i="6"/>
  <c r="S218" i="6"/>
  <c r="R218" i="6"/>
  <c r="U217" i="6"/>
  <c r="S217" i="6"/>
  <c r="R217" i="6"/>
  <c r="U216" i="6"/>
  <c r="S216" i="6"/>
  <c r="R216" i="6"/>
  <c r="U261" i="6"/>
  <c r="S261" i="6"/>
  <c r="R261" i="6"/>
  <c r="U215" i="6"/>
  <c r="S215" i="6"/>
  <c r="R215" i="6"/>
  <c r="U214" i="6"/>
  <c r="S214" i="6"/>
  <c r="R214" i="6"/>
  <c r="U213" i="6"/>
  <c r="S213" i="6"/>
  <c r="R213" i="6"/>
  <c r="U212" i="6"/>
  <c r="S212" i="6"/>
  <c r="R212" i="6"/>
  <c r="U211" i="6"/>
  <c r="S211" i="6"/>
  <c r="R211" i="6"/>
  <c r="U210" i="6"/>
  <c r="S210" i="6"/>
  <c r="R210" i="6"/>
  <c r="U209" i="6"/>
  <c r="S209" i="6"/>
  <c r="R209" i="6"/>
  <c r="U208" i="6"/>
  <c r="S208" i="6"/>
  <c r="R208" i="6"/>
  <c r="U319" i="6"/>
  <c r="S319" i="6"/>
  <c r="R319" i="6"/>
  <c r="U207" i="6"/>
  <c r="S207" i="6"/>
  <c r="R207" i="6"/>
  <c r="U206" i="6"/>
  <c r="S206" i="6"/>
  <c r="R206" i="6"/>
  <c r="U205" i="6"/>
  <c r="S205" i="6"/>
  <c r="R205" i="6"/>
  <c r="U204" i="6"/>
  <c r="S204" i="6"/>
  <c r="R204" i="6"/>
  <c r="U202" i="6"/>
  <c r="S202" i="6"/>
  <c r="R202" i="6"/>
  <c r="U201" i="6"/>
  <c r="S201" i="6"/>
  <c r="R201" i="6"/>
  <c r="U321" i="6"/>
  <c r="S321" i="6"/>
  <c r="R321" i="6"/>
  <c r="U492" i="6"/>
  <c r="S492" i="6"/>
  <c r="R492" i="6"/>
  <c r="U491" i="6"/>
  <c r="S491" i="6"/>
  <c r="R491" i="6"/>
  <c r="U490" i="6"/>
  <c r="S490" i="6"/>
  <c r="R490" i="6"/>
  <c r="U489" i="6"/>
  <c r="S489" i="6"/>
  <c r="R489" i="6"/>
  <c r="U488" i="6"/>
  <c r="S488" i="6"/>
  <c r="R488" i="6"/>
  <c r="U487" i="6"/>
  <c r="S487" i="6"/>
  <c r="R487" i="6"/>
  <c r="U486" i="6"/>
  <c r="S486" i="6"/>
  <c r="R486" i="6"/>
  <c r="U485" i="6"/>
  <c r="S485" i="6"/>
  <c r="R485" i="6"/>
  <c r="U484" i="6"/>
  <c r="S484" i="6"/>
  <c r="R484" i="6"/>
  <c r="U483" i="6"/>
  <c r="S483" i="6"/>
  <c r="R483" i="6"/>
  <c r="U482" i="6"/>
  <c r="S482" i="6"/>
  <c r="R482" i="6"/>
  <c r="U481" i="6"/>
  <c r="S481" i="6"/>
  <c r="R481" i="6"/>
  <c r="U480" i="6"/>
  <c r="S480" i="6"/>
  <c r="R480" i="6"/>
  <c r="U479" i="6"/>
  <c r="S479" i="6"/>
  <c r="R479" i="6"/>
  <c r="U478" i="6"/>
  <c r="S478" i="6"/>
  <c r="R478" i="6"/>
  <c r="U477" i="6"/>
  <c r="S477" i="6"/>
  <c r="R477" i="6"/>
  <c r="U475" i="6"/>
  <c r="S475" i="6"/>
  <c r="R475" i="6"/>
  <c r="U474" i="6"/>
  <c r="S474" i="6"/>
  <c r="R474" i="6"/>
  <c r="U473" i="6"/>
  <c r="S473" i="6"/>
  <c r="R473" i="6"/>
  <c r="U472" i="6"/>
  <c r="S472" i="6"/>
  <c r="R472" i="6"/>
  <c r="U471" i="6"/>
  <c r="S471" i="6"/>
  <c r="R471" i="6"/>
  <c r="U470" i="6"/>
  <c r="S470" i="6"/>
  <c r="R470" i="6"/>
  <c r="U469" i="6"/>
  <c r="S469" i="6"/>
  <c r="R469" i="6"/>
  <c r="U468" i="6"/>
  <c r="S468" i="6"/>
  <c r="R468" i="6"/>
  <c r="U467" i="6"/>
  <c r="S467" i="6"/>
  <c r="R467" i="6"/>
  <c r="U466" i="6"/>
  <c r="S466" i="6"/>
  <c r="R466" i="6"/>
  <c r="U465" i="6"/>
  <c r="S465" i="6"/>
  <c r="R465" i="6"/>
  <c r="U464" i="6"/>
  <c r="S464" i="6"/>
  <c r="R464" i="6"/>
  <c r="U463" i="6"/>
  <c r="S463" i="6"/>
  <c r="R463" i="6"/>
  <c r="U462" i="6"/>
  <c r="S462" i="6"/>
  <c r="R462" i="6"/>
  <c r="U461" i="6"/>
  <c r="S461" i="6"/>
  <c r="R461" i="6"/>
  <c r="U460" i="6"/>
  <c r="S460" i="6"/>
  <c r="R460" i="6"/>
  <c r="U459" i="6"/>
  <c r="S459" i="6"/>
  <c r="R459" i="6"/>
  <c r="U458" i="6"/>
  <c r="S458" i="6"/>
  <c r="R458" i="6"/>
  <c r="U457" i="6"/>
  <c r="S457" i="6"/>
  <c r="R457" i="6"/>
  <c r="U456" i="6"/>
  <c r="S456" i="6"/>
  <c r="R456" i="6"/>
  <c r="U455" i="6"/>
  <c r="S455" i="6"/>
  <c r="R455" i="6"/>
  <c r="U454" i="6"/>
  <c r="S454" i="6"/>
  <c r="R454" i="6"/>
  <c r="U453" i="6"/>
  <c r="S453" i="6"/>
  <c r="R453" i="6"/>
  <c r="U452" i="6"/>
  <c r="S452" i="6"/>
  <c r="R452" i="6"/>
  <c r="U451" i="6"/>
  <c r="S451" i="6"/>
  <c r="R451" i="6"/>
  <c r="U450" i="6"/>
  <c r="S450" i="6"/>
  <c r="R450" i="6"/>
  <c r="U449" i="6"/>
  <c r="S449" i="6"/>
  <c r="R449" i="6"/>
  <c r="U448" i="6"/>
  <c r="S448" i="6"/>
  <c r="R448" i="6"/>
  <c r="U447" i="6"/>
  <c r="S447" i="6"/>
  <c r="R447" i="6"/>
  <c r="U446" i="6"/>
  <c r="S446" i="6"/>
  <c r="R446" i="6"/>
  <c r="U445" i="6"/>
  <c r="S445" i="6"/>
  <c r="R445" i="6"/>
  <c r="U444" i="6"/>
  <c r="S444" i="6"/>
  <c r="R444" i="6"/>
  <c r="U443" i="6"/>
  <c r="S443" i="6"/>
  <c r="R443" i="6"/>
  <c r="U442" i="6"/>
  <c r="S442" i="6"/>
  <c r="R442" i="6"/>
  <c r="U441" i="6"/>
  <c r="S441" i="6"/>
  <c r="R441" i="6"/>
  <c r="U440" i="6"/>
  <c r="S440" i="6"/>
  <c r="R440" i="6"/>
  <c r="U439" i="6"/>
  <c r="S439" i="6"/>
  <c r="R439" i="6"/>
  <c r="U438" i="6"/>
  <c r="S438" i="6"/>
  <c r="R438" i="6"/>
  <c r="U437" i="6"/>
  <c r="S437" i="6"/>
  <c r="R437" i="6"/>
  <c r="U436" i="6"/>
  <c r="S436" i="6"/>
  <c r="R436" i="6"/>
  <c r="U435" i="6"/>
  <c r="S435" i="6"/>
  <c r="R435" i="6"/>
  <c r="U434" i="6"/>
  <c r="S434" i="6"/>
  <c r="R434" i="6"/>
  <c r="U433" i="6"/>
  <c r="S433" i="6"/>
  <c r="R433" i="6"/>
  <c r="U432" i="6"/>
  <c r="S432" i="6"/>
  <c r="R432" i="6"/>
  <c r="U431" i="6"/>
  <c r="S431" i="6"/>
  <c r="R431" i="6"/>
  <c r="U430" i="6"/>
  <c r="S430" i="6"/>
  <c r="R430" i="6"/>
  <c r="U429" i="6"/>
  <c r="S429" i="6"/>
  <c r="R429" i="6"/>
  <c r="U428" i="6"/>
  <c r="S428" i="6"/>
  <c r="R428" i="6"/>
  <c r="U427" i="6"/>
  <c r="S427" i="6"/>
  <c r="R427" i="6"/>
  <c r="U426" i="6"/>
  <c r="S426" i="6"/>
  <c r="R426" i="6"/>
  <c r="U425" i="6"/>
  <c r="S425" i="6"/>
  <c r="R425" i="6"/>
  <c r="U424" i="6"/>
  <c r="S424" i="6"/>
  <c r="R424" i="6"/>
  <c r="U423" i="6"/>
  <c r="S423" i="6"/>
  <c r="R423" i="6"/>
  <c r="U422" i="6"/>
  <c r="S422" i="6"/>
  <c r="R422" i="6"/>
  <c r="U421" i="6"/>
  <c r="S421" i="6"/>
  <c r="R421" i="6"/>
  <c r="U476" i="6"/>
  <c r="S476" i="6"/>
  <c r="R476" i="6"/>
  <c r="U420" i="6"/>
  <c r="S420" i="6"/>
  <c r="R420" i="6"/>
  <c r="U419" i="6"/>
  <c r="S419" i="6"/>
  <c r="R419" i="6"/>
  <c r="U418" i="6"/>
  <c r="S418" i="6"/>
  <c r="R418" i="6"/>
  <c r="U416" i="6"/>
  <c r="S416" i="6"/>
  <c r="R416" i="6"/>
  <c r="U415" i="6"/>
  <c r="S415" i="6"/>
  <c r="R415" i="6"/>
  <c r="U414" i="6"/>
  <c r="S414" i="6"/>
  <c r="R414" i="6"/>
  <c r="U413" i="6"/>
  <c r="S413" i="6"/>
  <c r="R413" i="6"/>
  <c r="U412" i="6"/>
  <c r="S412" i="6"/>
  <c r="R412" i="6"/>
  <c r="U411" i="6"/>
  <c r="S411" i="6"/>
  <c r="R411" i="6"/>
  <c r="U410" i="6"/>
  <c r="S410" i="6"/>
  <c r="R410" i="6"/>
  <c r="U409" i="6"/>
  <c r="S409" i="6"/>
  <c r="R409" i="6"/>
  <c r="U408" i="6"/>
  <c r="S408" i="6"/>
  <c r="R408" i="6"/>
  <c r="U407" i="6"/>
  <c r="S407" i="6"/>
  <c r="R407" i="6"/>
  <c r="U406" i="6"/>
  <c r="S406" i="6"/>
  <c r="R406" i="6"/>
  <c r="U405" i="6"/>
  <c r="S405" i="6"/>
  <c r="R405" i="6"/>
  <c r="U404" i="6"/>
  <c r="S404" i="6"/>
  <c r="R404" i="6"/>
  <c r="U403" i="6"/>
  <c r="S403" i="6"/>
  <c r="R403" i="6"/>
  <c r="U402" i="6"/>
  <c r="S402" i="6"/>
  <c r="R402" i="6"/>
  <c r="U401" i="6"/>
  <c r="S401" i="6"/>
  <c r="R401" i="6"/>
  <c r="U400" i="6"/>
  <c r="S400" i="6"/>
  <c r="R400" i="6"/>
  <c r="U399" i="6"/>
  <c r="S399" i="6"/>
  <c r="R399" i="6"/>
  <c r="U398" i="6"/>
  <c r="S398" i="6"/>
  <c r="R398" i="6"/>
  <c r="U397" i="6"/>
  <c r="S397" i="6"/>
  <c r="R397" i="6"/>
  <c r="U396" i="6"/>
  <c r="S396" i="6"/>
  <c r="R396" i="6"/>
  <c r="U395" i="6"/>
  <c r="S395" i="6"/>
  <c r="R395" i="6"/>
  <c r="U394" i="6"/>
  <c r="S394" i="6"/>
  <c r="R394" i="6"/>
  <c r="U393" i="6"/>
  <c r="S393" i="6"/>
  <c r="R393" i="6"/>
  <c r="U392" i="6"/>
  <c r="S392" i="6"/>
  <c r="R392" i="6"/>
  <c r="U391" i="6"/>
  <c r="S391" i="6"/>
  <c r="R391" i="6"/>
  <c r="U390" i="6"/>
  <c r="S390" i="6"/>
  <c r="R390" i="6"/>
  <c r="U389" i="6"/>
  <c r="S389" i="6"/>
  <c r="R389" i="6"/>
  <c r="U388" i="6"/>
  <c r="S388" i="6"/>
  <c r="R388" i="6"/>
  <c r="U387" i="6"/>
  <c r="S387" i="6"/>
  <c r="R387" i="6"/>
  <c r="U386" i="6"/>
  <c r="S386" i="6"/>
  <c r="R386" i="6"/>
  <c r="U385" i="6"/>
  <c r="S385" i="6"/>
  <c r="R385" i="6"/>
  <c r="U384" i="6"/>
  <c r="S384" i="6"/>
  <c r="R384" i="6"/>
  <c r="U383" i="6"/>
  <c r="S383" i="6"/>
  <c r="R383" i="6"/>
  <c r="U382" i="6"/>
  <c r="S382" i="6"/>
  <c r="R382" i="6"/>
  <c r="U381" i="6"/>
  <c r="S381" i="6"/>
  <c r="R381" i="6"/>
  <c r="U380" i="6"/>
  <c r="S380" i="6"/>
  <c r="R380" i="6"/>
  <c r="U379" i="6"/>
  <c r="S379" i="6"/>
  <c r="R379" i="6"/>
  <c r="U378" i="6"/>
  <c r="S378" i="6"/>
  <c r="R378" i="6"/>
  <c r="U377" i="6"/>
  <c r="S377" i="6"/>
  <c r="R377" i="6"/>
  <c r="U376" i="6"/>
  <c r="S376" i="6"/>
  <c r="R376" i="6"/>
  <c r="U375" i="6"/>
  <c r="S375" i="6"/>
  <c r="R375" i="6"/>
  <c r="U374" i="6"/>
  <c r="S374" i="6"/>
  <c r="R374" i="6"/>
  <c r="U373" i="6"/>
  <c r="S373" i="6"/>
  <c r="R373" i="6"/>
  <c r="U372" i="6"/>
  <c r="S372" i="6"/>
  <c r="R372" i="6"/>
  <c r="U371" i="6"/>
  <c r="S371" i="6"/>
  <c r="R371" i="6"/>
  <c r="U370" i="6"/>
  <c r="S370" i="6"/>
  <c r="R370" i="6"/>
  <c r="U369" i="6"/>
  <c r="S369" i="6"/>
  <c r="R369" i="6"/>
  <c r="U368" i="6"/>
  <c r="S368" i="6"/>
  <c r="R368" i="6"/>
  <c r="U367" i="6"/>
  <c r="S367" i="6"/>
  <c r="R367" i="6"/>
  <c r="U366" i="6"/>
  <c r="S366" i="6"/>
  <c r="R366" i="6"/>
  <c r="U365" i="6"/>
  <c r="S365" i="6"/>
  <c r="R365" i="6"/>
  <c r="U364" i="6"/>
  <c r="S364" i="6"/>
  <c r="R364" i="6"/>
  <c r="U363" i="6"/>
  <c r="S363" i="6"/>
  <c r="R363" i="6"/>
  <c r="U362" i="6"/>
  <c r="S362" i="6"/>
  <c r="R362" i="6"/>
  <c r="U361" i="6"/>
  <c r="S361" i="6"/>
  <c r="R361" i="6"/>
  <c r="U360" i="6"/>
  <c r="S360" i="6"/>
  <c r="R360" i="6"/>
  <c r="U359" i="6"/>
  <c r="S359" i="6"/>
  <c r="R359" i="6"/>
  <c r="U358" i="6"/>
  <c r="S358" i="6"/>
  <c r="R358" i="6"/>
  <c r="U357" i="6"/>
  <c r="S357" i="6"/>
  <c r="R357" i="6"/>
  <c r="U356" i="6"/>
  <c r="S356" i="6"/>
  <c r="R356" i="6"/>
  <c r="U354" i="6"/>
  <c r="S354" i="6"/>
  <c r="R354" i="6"/>
  <c r="U353" i="6"/>
  <c r="S353" i="6"/>
  <c r="R353" i="6"/>
  <c r="U352" i="6"/>
  <c r="S352" i="6"/>
  <c r="R352" i="6"/>
  <c r="U351" i="6"/>
  <c r="S351" i="6"/>
  <c r="R351" i="6"/>
  <c r="U350" i="6"/>
  <c r="S350" i="6"/>
  <c r="R350" i="6"/>
  <c r="U349" i="6"/>
  <c r="S349" i="6"/>
  <c r="R349" i="6"/>
  <c r="U348" i="6"/>
  <c r="S348" i="6"/>
  <c r="R348" i="6"/>
  <c r="U347" i="6"/>
  <c r="S347" i="6"/>
  <c r="R347" i="6"/>
  <c r="U346" i="6"/>
  <c r="S346" i="6"/>
  <c r="R346" i="6"/>
  <c r="U345" i="6"/>
  <c r="S345" i="6"/>
  <c r="R345" i="6"/>
  <c r="U344" i="6"/>
  <c r="S344" i="6"/>
  <c r="R344" i="6"/>
  <c r="U343" i="6"/>
  <c r="S343" i="6"/>
  <c r="R343" i="6"/>
  <c r="U342" i="6"/>
  <c r="S342" i="6"/>
  <c r="R342" i="6"/>
  <c r="U417" i="6"/>
  <c r="S417" i="6"/>
  <c r="R417" i="6"/>
  <c r="U341" i="6"/>
  <c r="S341" i="6"/>
  <c r="R341" i="6"/>
  <c r="U340" i="6"/>
  <c r="S340" i="6"/>
  <c r="R340" i="6"/>
  <c r="U339" i="6"/>
  <c r="S339" i="6"/>
  <c r="R339" i="6"/>
  <c r="U338" i="6"/>
  <c r="S338" i="6"/>
  <c r="R338" i="6"/>
  <c r="U337" i="6"/>
  <c r="S337" i="6"/>
  <c r="R337" i="6"/>
  <c r="U336" i="6"/>
  <c r="S336" i="6"/>
  <c r="R336" i="6"/>
  <c r="U335" i="6"/>
  <c r="S335" i="6"/>
  <c r="R335" i="6"/>
  <c r="U334" i="6"/>
  <c r="S334" i="6"/>
  <c r="R334" i="6"/>
  <c r="U333" i="6"/>
  <c r="S333" i="6"/>
  <c r="R333" i="6"/>
  <c r="U332" i="6"/>
  <c r="S332" i="6"/>
  <c r="R332" i="6"/>
  <c r="U331" i="6"/>
  <c r="S331" i="6"/>
  <c r="R331" i="6"/>
  <c r="U330" i="6"/>
  <c r="S330" i="6"/>
  <c r="R330" i="6"/>
  <c r="U355" i="6"/>
  <c r="S355" i="6"/>
  <c r="R355" i="6"/>
  <c r="U329" i="6"/>
  <c r="S329" i="6"/>
  <c r="R329" i="6"/>
  <c r="U328" i="6"/>
  <c r="S328" i="6"/>
  <c r="R328" i="6"/>
  <c r="U327" i="6"/>
  <c r="S327" i="6"/>
  <c r="R327" i="6"/>
  <c r="U326" i="6"/>
  <c r="S326" i="6"/>
  <c r="R326" i="6"/>
  <c r="U325" i="6"/>
  <c r="S325" i="6"/>
  <c r="R325" i="6"/>
  <c r="U324" i="6"/>
  <c r="S324" i="6"/>
  <c r="R324" i="6"/>
  <c r="U323" i="6"/>
  <c r="S323" i="6"/>
  <c r="R323" i="6"/>
  <c r="U322" i="6"/>
  <c r="S322" i="6"/>
  <c r="R322" i="6"/>
  <c r="U493" i="6"/>
  <c r="S493" i="6"/>
  <c r="R493" i="6"/>
  <c r="U678" i="6"/>
  <c r="S678" i="6"/>
  <c r="R678" i="6"/>
  <c r="U597" i="6"/>
  <c r="S597" i="6"/>
  <c r="R597" i="6"/>
  <c r="U676" i="6"/>
  <c r="S676" i="6"/>
  <c r="R676" i="6"/>
  <c r="U675" i="6"/>
  <c r="S675" i="6"/>
  <c r="R675" i="6"/>
  <c r="U674" i="6"/>
  <c r="S674" i="6"/>
  <c r="R674" i="6"/>
  <c r="U673" i="6"/>
  <c r="S673" i="6"/>
  <c r="R673" i="6"/>
  <c r="U672" i="6"/>
  <c r="S672" i="6"/>
  <c r="R672" i="6"/>
  <c r="U671" i="6"/>
  <c r="S671" i="6"/>
  <c r="R671" i="6"/>
  <c r="U670" i="6"/>
  <c r="S670" i="6"/>
  <c r="R670" i="6"/>
  <c r="U669" i="6"/>
  <c r="S669" i="6"/>
  <c r="R669" i="6"/>
  <c r="U668" i="6"/>
  <c r="S668" i="6"/>
  <c r="R668" i="6"/>
  <c r="U667" i="6"/>
  <c r="S667" i="6"/>
  <c r="R667" i="6"/>
  <c r="U666" i="6"/>
  <c r="S666" i="6"/>
  <c r="R666" i="6"/>
  <c r="U665" i="6"/>
  <c r="S665" i="6"/>
  <c r="R665" i="6"/>
  <c r="U664" i="6"/>
  <c r="S664" i="6"/>
  <c r="R664" i="6"/>
  <c r="U663" i="6"/>
  <c r="S663" i="6"/>
  <c r="R663" i="6"/>
  <c r="U662" i="6"/>
  <c r="S662" i="6"/>
  <c r="R662" i="6"/>
  <c r="U661" i="6"/>
  <c r="S661" i="6"/>
  <c r="R661" i="6"/>
  <c r="U660" i="6"/>
  <c r="S660" i="6"/>
  <c r="R660" i="6"/>
  <c r="U659" i="6"/>
  <c r="S659" i="6"/>
  <c r="R659" i="6"/>
  <c r="U658" i="6"/>
  <c r="S658" i="6"/>
  <c r="R658" i="6"/>
  <c r="U657" i="6"/>
  <c r="S657" i="6"/>
  <c r="R657" i="6"/>
  <c r="U656" i="6"/>
  <c r="S656" i="6"/>
  <c r="R656" i="6"/>
  <c r="U655" i="6"/>
  <c r="S655" i="6"/>
  <c r="R655" i="6"/>
  <c r="U654" i="6"/>
  <c r="S654" i="6"/>
  <c r="R654" i="6"/>
  <c r="U653" i="6"/>
  <c r="S653" i="6"/>
  <c r="R653" i="6"/>
  <c r="U652" i="6"/>
  <c r="S652" i="6"/>
  <c r="R652" i="6"/>
  <c r="U651" i="6"/>
  <c r="S651" i="6"/>
  <c r="R651" i="6"/>
  <c r="U650" i="6"/>
  <c r="S650" i="6"/>
  <c r="R650" i="6"/>
  <c r="U649" i="6"/>
  <c r="S649" i="6"/>
  <c r="R649" i="6"/>
  <c r="U648" i="6"/>
  <c r="S648" i="6"/>
  <c r="R648" i="6"/>
  <c r="U647" i="6"/>
  <c r="S647" i="6"/>
  <c r="R647" i="6"/>
  <c r="U646" i="6"/>
  <c r="S646" i="6"/>
  <c r="R646" i="6"/>
  <c r="U645" i="6"/>
  <c r="S645" i="6"/>
  <c r="R645" i="6"/>
  <c r="U644" i="6"/>
  <c r="S644" i="6"/>
  <c r="R644" i="6"/>
  <c r="U643" i="6"/>
  <c r="S643" i="6"/>
  <c r="R643" i="6"/>
  <c r="U642" i="6"/>
  <c r="S642" i="6"/>
  <c r="R642" i="6"/>
  <c r="U641" i="6"/>
  <c r="S641" i="6"/>
  <c r="R641" i="6"/>
  <c r="U640" i="6"/>
  <c r="S640" i="6"/>
  <c r="R640" i="6"/>
  <c r="U639" i="6"/>
  <c r="S639" i="6"/>
  <c r="R639" i="6"/>
  <c r="U638" i="6"/>
  <c r="S638" i="6"/>
  <c r="R638" i="6"/>
  <c r="U637" i="6"/>
  <c r="S637" i="6"/>
  <c r="R637" i="6"/>
  <c r="U636" i="6"/>
  <c r="S636" i="6"/>
  <c r="R636" i="6"/>
  <c r="U635" i="6"/>
  <c r="S635" i="6"/>
  <c r="R635" i="6"/>
  <c r="U634" i="6"/>
  <c r="S634" i="6"/>
  <c r="R634" i="6"/>
  <c r="U633" i="6"/>
  <c r="S633" i="6"/>
  <c r="R633" i="6"/>
  <c r="U632" i="6"/>
  <c r="S632" i="6"/>
  <c r="R632" i="6"/>
  <c r="U631" i="6"/>
  <c r="S631" i="6"/>
  <c r="R631" i="6"/>
  <c r="U630" i="6"/>
  <c r="S630" i="6"/>
  <c r="R630" i="6"/>
  <c r="U629" i="6"/>
  <c r="S629" i="6"/>
  <c r="R629" i="6"/>
  <c r="U628" i="6"/>
  <c r="S628" i="6"/>
  <c r="R628" i="6"/>
  <c r="U627" i="6"/>
  <c r="S627" i="6"/>
  <c r="R627" i="6"/>
  <c r="U626" i="6"/>
  <c r="S626" i="6"/>
  <c r="R626" i="6"/>
  <c r="U625" i="6"/>
  <c r="S625" i="6"/>
  <c r="R625" i="6"/>
  <c r="U624" i="6"/>
  <c r="S624" i="6"/>
  <c r="R624" i="6"/>
  <c r="U623" i="6"/>
  <c r="S623" i="6"/>
  <c r="R623" i="6"/>
  <c r="U622" i="6"/>
  <c r="S622" i="6"/>
  <c r="R622" i="6"/>
  <c r="U621" i="6"/>
  <c r="S621" i="6"/>
  <c r="R621" i="6"/>
  <c r="U620" i="6"/>
  <c r="S620" i="6"/>
  <c r="R620" i="6"/>
  <c r="U619" i="6"/>
  <c r="S619" i="6"/>
  <c r="R619" i="6"/>
  <c r="U618" i="6"/>
  <c r="S618" i="6"/>
  <c r="R618" i="6"/>
  <c r="U617" i="6"/>
  <c r="S617" i="6"/>
  <c r="R617" i="6"/>
  <c r="U677" i="6"/>
  <c r="S677" i="6"/>
  <c r="R677" i="6"/>
  <c r="U616" i="6"/>
  <c r="S616" i="6"/>
  <c r="R616" i="6"/>
  <c r="U615" i="6"/>
  <c r="S615" i="6"/>
  <c r="R615" i="6"/>
  <c r="U614" i="6"/>
  <c r="S614" i="6"/>
  <c r="R614" i="6"/>
  <c r="U613" i="6"/>
  <c r="S613" i="6"/>
  <c r="R613" i="6"/>
  <c r="U612" i="6"/>
  <c r="S612" i="6"/>
  <c r="R612" i="6"/>
  <c r="U611" i="6"/>
  <c r="S611" i="6"/>
  <c r="R611" i="6"/>
  <c r="U610" i="6"/>
  <c r="S610" i="6"/>
  <c r="R610" i="6"/>
  <c r="U609" i="6"/>
  <c r="S609" i="6"/>
  <c r="R609" i="6"/>
  <c r="U608" i="6"/>
  <c r="S608" i="6"/>
  <c r="R608" i="6"/>
  <c r="U607" i="6"/>
  <c r="S607" i="6"/>
  <c r="R607" i="6"/>
  <c r="U606" i="6"/>
  <c r="S606" i="6"/>
  <c r="R606" i="6"/>
  <c r="U605" i="6"/>
  <c r="S605" i="6"/>
  <c r="R605" i="6"/>
  <c r="U604" i="6"/>
  <c r="S604" i="6"/>
  <c r="R604" i="6"/>
  <c r="U603" i="6"/>
  <c r="S603" i="6"/>
  <c r="R603" i="6"/>
  <c r="U602" i="6"/>
  <c r="S602" i="6"/>
  <c r="R602" i="6"/>
  <c r="U601" i="6"/>
  <c r="S601" i="6"/>
  <c r="R601" i="6"/>
  <c r="U600" i="6"/>
  <c r="S600" i="6"/>
  <c r="R600" i="6"/>
  <c r="U599" i="6"/>
  <c r="S599" i="6"/>
  <c r="R599" i="6"/>
  <c r="U598" i="6"/>
  <c r="S598" i="6"/>
  <c r="R598" i="6"/>
  <c r="U596" i="6"/>
  <c r="S596" i="6"/>
  <c r="R596" i="6"/>
  <c r="U595" i="6"/>
  <c r="S595" i="6"/>
  <c r="R595" i="6"/>
  <c r="U594" i="6"/>
  <c r="S594" i="6"/>
  <c r="R594" i="6"/>
  <c r="U581" i="6"/>
  <c r="S581" i="6"/>
  <c r="R581" i="6"/>
  <c r="U593" i="6"/>
  <c r="S593" i="6"/>
  <c r="R593" i="6"/>
  <c r="U592" i="6"/>
  <c r="S592" i="6"/>
  <c r="R592" i="6"/>
  <c r="U591" i="6"/>
  <c r="S591" i="6"/>
  <c r="R591" i="6"/>
  <c r="U590" i="6"/>
  <c r="S590" i="6"/>
  <c r="R590" i="6"/>
  <c r="U589" i="6"/>
  <c r="S589" i="6"/>
  <c r="R589" i="6"/>
  <c r="U588" i="6"/>
  <c r="S588" i="6"/>
  <c r="R588" i="6"/>
  <c r="U587" i="6"/>
  <c r="S587" i="6"/>
  <c r="R587" i="6"/>
  <c r="U586" i="6"/>
  <c r="S586" i="6"/>
  <c r="R586" i="6"/>
  <c r="U585" i="6"/>
  <c r="S585" i="6"/>
  <c r="R585" i="6"/>
  <c r="U584" i="6"/>
  <c r="S584" i="6"/>
  <c r="R584" i="6"/>
  <c r="U583" i="6"/>
  <c r="S583" i="6"/>
  <c r="R583" i="6"/>
  <c r="U582" i="6"/>
  <c r="S582" i="6"/>
  <c r="R582" i="6"/>
  <c r="U580" i="6"/>
  <c r="S580" i="6"/>
  <c r="R580" i="6"/>
  <c r="U579" i="6"/>
  <c r="S579" i="6"/>
  <c r="R579" i="6"/>
  <c r="U578" i="6"/>
  <c r="S578" i="6"/>
  <c r="R578" i="6"/>
  <c r="U577" i="6"/>
  <c r="S577" i="6"/>
  <c r="R577" i="6"/>
  <c r="U576" i="6"/>
  <c r="S576" i="6"/>
  <c r="R576" i="6"/>
  <c r="U575" i="6"/>
  <c r="S575" i="6"/>
  <c r="R575" i="6"/>
  <c r="U574" i="6"/>
  <c r="S574" i="6"/>
  <c r="R574" i="6"/>
  <c r="U573" i="6"/>
  <c r="S573" i="6"/>
  <c r="R573" i="6"/>
  <c r="U572" i="6"/>
  <c r="S572" i="6"/>
  <c r="R572" i="6"/>
  <c r="U571" i="6"/>
  <c r="S571" i="6"/>
  <c r="R571" i="6"/>
  <c r="U570" i="6"/>
  <c r="S570" i="6"/>
  <c r="R570" i="6"/>
  <c r="U569" i="6"/>
  <c r="S569" i="6"/>
  <c r="R569" i="6"/>
  <c r="U568" i="6"/>
  <c r="S568" i="6"/>
  <c r="R568" i="6"/>
  <c r="U567" i="6"/>
  <c r="S567" i="6"/>
  <c r="R567" i="6"/>
  <c r="U566" i="6"/>
  <c r="S566" i="6"/>
  <c r="R566" i="6"/>
  <c r="U564" i="6"/>
  <c r="S564" i="6"/>
  <c r="R564" i="6"/>
  <c r="U563" i="6"/>
  <c r="S563" i="6"/>
  <c r="R563" i="6"/>
  <c r="U562" i="6"/>
  <c r="S562" i="6"/>
  <c r="R562" i="6"/>
  <c r="U561" i="6"/>
  <c r="S561" i="6"/>
  <c r="R561" i="6"/>
  <c r="U560" i="6"/>
  <c r="S560" i="6"/>
  <c r="R560" i="6"/>
  <c r="U559" i="6"/>
  <c r="S559" i="6"/>
  <c r="R559" i="6"/>
  <c r="U558" i="6"/>
  <c r="S558" i="6"/>
  <c r="R558" i="6"/>
  <c r="U557" i="6"/>
  <c r="S557" i="6"/>
  <c r="R557" i="6"/>
  <c r="U556" i="6"/>
  <c r="S556" i="6"/>
  <c r="R556" i="6"/>
  <c r="U555" i="6"/>
  <c r="S555" i="6"/>
  <c r="R555" i="6"/>
  <c r="U554" i="6"/>
  <c r="S554" i="6"/>
  <c r="R554" i="6"/>
  <c r="U553" i="6"/>
  <c r="S553" i="6"/>
  <c r="R553" i="6"/>
  <c r="U552" i="6"/>
  <c r="S552" i="6"/>
  <c r="R552" i="6"/>
  <c r="U551" i="6"/>
  <c r="S551" i="6"/>
  <c r="R551" i="6"/>
  <c r="U550" i="6"/>
  <c r="S550" i="6"/>
  <c r="R550" i="6"/>
  <c r="U549" i="6"/>
  <c r="S549" i="6"/>
  <c r="R549" i="6"/>
  <c r="U548" i="6"/>
  <c r="S548" i="6"/>
  <c r="R548" i="6"/>
  <c r="U547" i="6"/>
  <c r="S547" i="6"/>
  <c r="R547" i="6"/>
  <c r="U546" i="6"/>
  <c r="S546" i="6"/>
  <c r="R546" i="6"/>
  <c r="U545" i="6"/>
  <c r="S545" i="6"/>
  <c r="R545" i="6"/>
  <c r="U544" i="6"/>
  <c r="S544" i="6"/>
  <c r="R544" i="6"/>
  <c r="U543" i="6"/>
  <c r="S543" i="6"/>
  <c r="R543" i="6"/>
  <c r="U542" i="6"/>
  <c r="S542" i="6"/>
  <c r="R542" i="6"/>
  <c r="U541" i="6"/>
  <c r="S541" i="6"/>
  <c r="R541" i="6"/>
  <c r="U540" i="6"/>
  <c r="S540" i="6"/>
  <c r="R540" i="6"/>
  <c r="U539" i="6"/>
  <c r="S539" i="6"/>
  <c r="R539" i="6"/>
  <c r="U565" i="6"/>
  <c r="S565" i="6"/>
  <c r="R565" i="6"/>
  <c r="U538" i="6"/>
  <c r="S538" i="6"/>
  <c r="R538" i="6"/>
  <c r="U537" i="6"/>
  <c r="S537" i="6"/>
  <c r="R537" i="6"/>
  <c r="U536" i="6"/>
  <c r="S536" i="6"/>
  <c r="R536" i="6"/>
  <c r="U535" i="6"/>
  <c r="S535" i="6"/>
  <c r="R535" i="6"/>
  <c r="U534" i="6"/>
  <c r="S534" i="6"/>
  <c r="R534" i="6"/>
  <c r="U533" i="6"/>
  <c r="S533" i="6"/>
  <c r="R533" i="6"/>
  <c r="U532" i="6"/>
  <c r="S532" i="6"/>
  <c r="R532" i="6"/>
  <c r="U531" i="6"/>
  <c r="S531" i="6"/>
  <c r="R531" i="6"/>
  <c r="U530" i="6"/>
  <c r="S530" i="6"/>
  <c r="R530" i="6"/>
  <c r="U529" i="6"/>
  <c r="S529" i="6"/>
  <c r="R529" i="6"/>
  <c r="U528" i="6"/>
  <c r="S528" i="6"/>
  <c r="R528" i="6"/>
  <c r="U527" i="6"/>
  <c r="S527" i="6"/>
  <c r="R527" i="6"/>
  <c r="U526" i="6"/>
  <c r="S526" i="6"/>
  <c r="R526" i="6"/>
  <c r="U525" i="6"/>
  <c r="S525" i="6"/>
  <c r="R525" i="6"/>
  <c r="U524" i="6"/>
  <c r="S524" i="6"/>
  <c r="R524" i="6"/>
  <c r="U523" i="6"/>
  <c r="S523" i="6"/>
  <c r="R523" i="6"/>
  <c r="U522" i="6"/>
  <c r="S522" i="6"/>
  <c r="R522" i="6"/>
  <c r="U521" i="6"/>
  <c r="S521" i="6"/>
  <c r="R521" i="6"/>
  <c r="U520" i="6"/>
  <c r="S520" i="6"/>
  <c r="R520" i="6"/>
  <c r="U519" i="6"/>
  <c r="S519" i="6"/>
  <c r="R519" i="6"/>
  <c r="U518" i="6"/>
  <c r="S518" i="6"/>
  <c r="R518" i="6"/>
  <c r="U517" i="6"/>
  <c r="S517" i="6"/>
  <c r="R517" i="6"/>
  <c r="U516" i="6"/>
  <c r="S516" i="6"/>
  <c r="R516" i="6"/>
  <c r="U515" i="6"/>
  <c r="S515" i="6"/>
  <c r="R515" i="6"/>
  <c r="U514" i="6"/>
  <c r="S514" i="6"/>
  <c r="R514" i="6"/>
  <c r="U513" i="6"/>
  <c r="S513" i="6"/>
  <c r="R513" i="6"/>
  <c r="U512" i="6"/>
  <c r="S512" i="6"/>
  <c r="R512" i="6"/>
  <c r="U511" i="6"/>
  <c r="S511" i="6"/>
  <c r="R511" i="6"/>
  <c r="U510" i="6"/>
  <c r="S510" i="6"/>
  <c r="R510" i="6"/>
  <c r="U509" i="6"/>
  <c r="S509" i="6"/>
  <c r="R509" i="6"/>
  <c r="U508" i="6"/>
  <c r="S508" i="6"/>
  <c r="R508" i="6"/>
  <c r="U507" i="6"/>
  <c r="S507" i="6"/>
  <c r="R507" i="6"/>
  <c r="U506" i="6"/>
  <c r="S506" i="6"/>
  <c r="R506" i="6"/>
  <c r="U505" i="6"/>
  <c r="S505" i="6"/>
  <c r="R505" i="6"/>
  <c r="U504" i="6"/>
  <c r="S504" i="6"/>
  <c r="R504" i="6"/>
  <c r="U503" i="6"/>
  <c r="S503" i="6"/>
  <c r="R503" i="6"/>
  <c r="U502" i="6"/>
  <c r="S502" i="6"/>
  <c r="R502" i="6"/>
  <c r="U501" i="6"/>
  <c r="S501" i="6"/>
  <c r="R501" i="6"/>
  <c r="U500" i="6"/>
  <c r="S500" i="6"/>
  <c r="R500" i="6"/>
  <c r="U499" i="6"/>
  <c r="S499" i="6"/>
  <c r="R499" i="6"/>
  <c r="U498" i="6"/>
  <c r="S498" i="6"/>
  <c r="R498" i="6"/>
  <c r="U497" i="6"/>
  <c r="S497" i="6"/>
  <c r="R497" i="6"/>
  <c r="U496" i="6"/>
  <c r="S496" i="6"/>
  <c r="R496" i="6"/>
  <c r="U495" i="6"/>
  <c r="S495" i="6"/>
  <c r="R495" i="6"/>
  <c r="U494" i="6"/>
  <c r="S494" i="6"/>
  <c r="R494" i="6"/>
  <c r="U679" i="6"/>
  <c r="S679" i="6"/>
  <c r="R679" i="6"/>
  <c r="U837" i="6"/>
  <c r="S837" i="6"/>
  <c r="R837" i="6"/>
  <c r="U836" i="6"/>
  <c r="S836" i="6"/>
  <c r="R836" i="6"/>
  <c r="U835" i="6"/>
  <c r="S835" i="6"/>
  <c r="R835" i="6"/>
  <c r="U834" i="6"/>
  <c r="S834" i="6"/>
  <c r="R834" i="6"/>
  <c r="U833" i="6"/>
  <c r="S833" i="6"/>
  <c r="R833" i="6"/>
  <c r="U832" i="6"/>
  <c r="S832" i="6"/>
  <c r="R832" i="6"/>
  <c r="U831" i="6"/>
  <c r="S831" i="6"/>
  <c r="R831" i="6"/>
  <c r="U830" i="6"/>
  <c r="S830" i="6"/>
  <c r="R830" i="6"/>
  <c r="U829" i="6"/>
  <c r="S829" i="6"/>
  <c r="R829" i="6"/>
  <c r="U828" i="6"/>
  <c r="S828" i="6"/>
  <c r="R828" i="6"/>
  <c r="U827" i="6"/>
  <c r="S827" i="6"/>
  <c r="R827" i="6"/>
  <c r="U826" i="6"/>
  <c r="S826" i="6"/>
  <c r="R826" i="6"/>
  <c r="U806" i="6"/>
  <c r="S806" i="6"/>
  <c r="R806" i="6"/>
  <c r="U825" i="6"/>
  <c r="S825" i="6"/>
  <c r="R825" i="6"/>
  <c r="U824" i="6"/>
  <c r="S824" i="6"/>
  <c r="R824" i="6"/>
  <c r="U823" i="6"/>
  <c r="S823" i="6"/>
  <c r="R823" i="6"/>
  <c r="U822" i="6"/>
  <c r="S822" i="6"/>
  <c r="R822" i="6"/>
  <c r="U821" i="6"/>
  <c r="S821" i="6"/>
  <c r="R821" i="6"/>
  <c r="U820" i="6"/>
  <c r="S820" i="6"/>
  <c r="R820" i="6"/>
  <c r="U819" i="6"/>
  <c r="S819" i="6"/>
  <c r="R819" i="6"/>
  <c r="U817" i="6"/>
  <c r="S817" i="6"/>
  <c r="R817" i="6"/>
  <c r="U816" i="6"/>
  <c r="S816" i="6"/>
  <c r="R816" i="6"/>
  <c r="U815" i="6"/>
  <c r="S815" i="6"/>
  <c r="R815" i="6"/>
  <c r="U814" i="6"/>
  <c r="S814" i="6"/>
  <c r="R814" i="6"/>
  <c r="U813" i="6"/>
  <c r="S813" i="6"/>
  <c r="R813" i="6"/>
  <c r="U812" i="6"/>
  <c r="S812" i="6"/>
  <c r="R812" i="6"/>
  <c r="U811" i="6"/>
  <c r="S811" i="6"/>
  <c r="R811" i="6"/>
  <c r="U810" i="6"/>
  <c r="S810" i="6"/>
  <c r="R810" i="6"/>
  <c r="U809" i="6"/>
  <c r="S809" i="6"/>
  <c r="R809" i="6"/>
  <c r="U808" i="6"/>
  <c r="S808" i="6"/>
  <c r="R808" i="6"/>
  <c r="U807" i="6"/>
  <c r="S807" i="6"/>
  <c r="R807" i="6"/>
  <c r="U805" i="6"/>
  <c r="S805" i="6"/>
  <c r="R805" i="6"/>
  <c r="U804" i="6"/>
  <c r="S804" i="6"/>
  <c r="R804" i="6"/>
  <c r="U803" i="6"/>
  <c r="S803" i="6"/>
  <c r="R803" i="6"/>
  <c r="U802" i="6"/>
  <c r="S802" i="6"/>
  <c r="R802" i="6"/>
  <c r="U801" i="6"/>
  <c r="S801" i="6"/>
  <c r="R801" i="6"/>
  <c r="U800" i="6"/>
  <c r="S800" i="6"/>
  <c r="R800" i="6"/>
  <c r="U799" i="6"/>
  <c r="S799" i="6"/>
  <c r="R799" i="6"/>
  <c r="U798" i="6"/>
  <c r="S798" i="6"/>
  <c r="R798" i="6"/>
  <c r="U797" i="6"/>
  <c r="S797" i="6"/>
  <c r="R797" i="6"/>
  <c r="U796" i="6"/>
  <c r="S796" i="6"/>
  <c r="R796" i="6"/>
  <c r="U795" i="6"/>
  <c r="S795" i="6"/>
  <c r="R795" i="6"/>
  <c r="U794" i="6"/>
  <c r="S794" i="6"/>
  <c r="R794" i="6"/>
  <c r="U793" i="6"/>
  <c r="S793" i="6"/>
  <c r="R793" i="6"/>
  <c r="U792" i="6"/>
  <c r="S792" i="6"/>
  <c r="R792" i="6"/>
  <c r="U791" i="6"/>
  <c r="S791" i="6"/>
  <c r="R791" i="6"/>
  <c r="U790" i="6"/>
  <c r="S790" i="6"/>
  <c r="R790" i="6"/>
  <c r="U789" i="6"/>
  <c r="S789" i="6"/>
  <c r="R789" i="6"/>
  <c r="U788" i="6"/>
  <c r="S788" i="6"/>
  <c r="R788" i="6"/>
  <c r="U787" i="6"/>
  <c r="S787" i="6"/>
  <c r="R787" i="6"/>
  <c r="U786" i="6"/>
  <c r="S786" i="6"/>
  <c r="R786" i="6"/>
  <c r="U785" i="6"/>
  <c r="S785" i="6"/>
  <c r="R785" i="6"/>
  <c r="U784" i="6"/>
  <c r="S784" i="6"/>
  <c r="R784" i="6"/>
  <c r="U783" i="6"/>
  <c r="S783" i="6"/>
  <c r="R783" i="6"/>
  <c r="U782" i="6"/>
  <c r="S782" i="6"/>
  <c r="R782" i="6"/>
  <c r="U781" i="6"/>
  <c r="S781" i="6"/>
  <c r="R781" i="6"/>
  <c r="U780" i="6"/>
  <c r="S780" i="6"/>
  <c r="R780" i="6"/>
  <c r="U779" i="6"/>
  <c r="S779" i="6"/>
  <c r="R779" i="6"/>
  <c r="U778" i="6"/>
  <c r="S778" i="6"/>
  <c r="R778" i="6"/>
  <c r="U777" i="6"/>
  <c r="S777" i="6"/>
  <c r="R777" i="6"/>
  <c r="U776" i="6"/>
  <c r="S776" i="6"/>
  <c r="R776" i="6"/>
  <c r="U775" i="6"/>
  <c r="S775" i="6"/>
  <c r="R775" i="6"/>
  <c r="U774" i="6"/>
  <c r="S774" i="6"/>
  <c r="R774" i="6"/>
  <c r="U773" i="6"/>
  <c r="S773" i="6"/>
  <c r="R773" i="6"/>
  <c r="U772" i="6"/>
  <c r="S772" i="6"/>
  <c r="R772" i="6"/>
  <c r="U771" i="6"/>
  <c r="S771" i="6"/>
  <c r="R771" i="6"/>
  <c r="U770" i="6"/>
  <c r="S770" i="6"/>
  <c r="R770" i="6"/>
  <c r="U769" i="6"/>
  <c r="S769" i="6"/>
  <c r="R769" i="6"/>
  <c r="U768" i="6"/>
  <c r="S768" i="6"/>
  <c r="R768" i="6"/>
  <c r="U767" i="6"/>
  <c r="S767" i="6"/>
  <c r="R767" i="6"/>
  <c r="U766" i="6"/>
  <c r="S766" i="6"/>
  <c r="R766" i="6"/>
  <c r="U765" i="6"/>
  <c r="S765" i="6"/>
  <c r="R765" i="6"/>
  <c r="U764" i="6"/>
  <c r="S764" i="6"/>
  <c r="R764" i="6"/>
  <c r="U763" i="6"/>
  <c r="S763" i="6"/>
  <c r="R763" i="6"/>
  <c r="U762" i="6"/>
  <c r="S762" i="6"/>
  <c r="R762" i="6"/>
  <c r="U761" i="6"/>
  <c r="S761" i="6"/>
  <c r="R761" i="6"/>
  <c r="U760" i="6"/>
  <c r="S760" i="6"/>
  <c r="R760" i="6"/>
  <c r="U759" i="6"/>
  <c r="S759" i="6"/>
  <c r="R759" i="6"/>
  <c r="U758" i="6"/>
  <c r="S758" i="6"/>
  <c r="R758" i="6"/>
  <c r="U757" i="6"/>
  <c r="S757" i="6"/>
  <c r="R757" i="6"/>
  <c r="U756" i="6"/>
  <c r="S756" i="6"/>
  <c r="R756" i="6"/>
  <c r="U755" i="6"/>
  <c r="S755" i="6"/>
  <c r="R755" i="6"/>
  <c r="U754" i="6"/>
  <c r="S754" i="6"/>
  <c r="R754" i="6"/>
  <c r="U753" i="6"/>
  <c r="S753" i="6"/>
  <c r="R753" i="6"/>
  <c r="U752" i="6"/>
  <c r="S752" i="6"/>
  <c r="R752" i="6"/>
  <c r="U751" i="6"/>
  <c r="S751" i="6"/>
  <c r="R751" i="6"/>
  <c r="U750" i="6"/>
  <c r="S750" i="6"/>
  <c r="R750" i="6"/>
  <c r="U749" i="6"/>
  <c r="S749" i="6"/>
  <c r="R749" i="6"/>
  <c r="U748" i="6"/>
  <c r="S748" i="6"/>
  <c r="R748" i="6"/>
  <c r="U747" i="6"/>
  <c r="S747" i="6"/>
  <c r="R747" i="6"/>
  <c r="U746" i="6"/>
  <c r="S746" i="6"/>
  <c r="R746" i="6"/>
  <c r="U745" i="6"/>
  <c r="S745" i="6"/>
  <c r="R745" i="6"/>
  <c r="U744" i="6"/>
  <c r="S744" i="6"/>
  <c r="R744" i="6"/>
  <c r="U743" i="6"/>
  <c r="S743" i="6"/>
  <c r="R743" i="6"/>
  <c r="U818" i="6"/>
  <c r="S818" i="6"/>
  <c r="R818" i="6"/>
  <c r="U742" i="6"/>
  <c r="S742" i="6"/>
  <c r="R742" i="6"/>
  <c r="U741" i="6"/>
  <c r="S741" i="6"/>
  <c r="R741" i="6"/>
  <c r="U740" i="6"/>
  <c r="S740" i="6"/>
  <c r="R740" i="6"/>
  <c r="U739" i="6"/>
  <c r="S739" i="6"/>
  <c r="R739" i="6"/>
  <c r="U738" i="6"/>
  <c r="S738" i="6"/>
  <c r="R738" i="6"/>
  <c r="U737" i="6"/>
  <c r="S737" i="6"/>
  <c r="R737" i="6"/>
  <c r="U736" i="6"/>
  <c r="S736" i="6"/>
  <c r="R736" i="6"/>
  <c r="U735" i="6"/>
  <c r="S735" i="6"/>
  <c r="R735" i="6"/>
  <c r="U734" i="6"/>
  <c r="S734" i="6"/>
  <c r="R734" i="6"/>
  <c r="U733" i="6"/>
  <c r="S733" i="6"/>
  <c r="R733" i="6"/>
  <c r="U732" i="6"/>
  <c r="S732" i="6"/>
  <c r="R732" i="6"/>
  <c r="U731" i="6"/>
  <c r="S731" i="6"/>
  <c r="R731" i="6"/>
  <c r="U730" i="6"/>
  <c r="S730" i="6"/>
  <c r="R730" i="6"/>
  <c r="U729" i="6"/>
  <c r="S729" i="6"/>
  <c r="R729" i="6"/>
  <c r="U728" i="6"/>
  <c r="S728" i="6"/>
  <c r="R728" i="6"/>
  <c r="U727" i="6"/>
  <c r="S727" i="6"/>
  <c r="R727" i="6"/>
  <c r="U726" i="6"/>
  <c r="S726" i="6"/>
  <c r="R726" i="6"/>
  <c r="U725" i="6"/>
  <c r="S725" i="6"/>
  <c r="R725" i="6"/>
  <c r="U724" i="6"/>
  <c r="S724" i="6"/>
  <c r="R724" i="6"/>
  <c r="U723" i="6"/>
  <c r="S723" i="6"/>
  <c r="R723" i="6"/>
  <c r="U722" i="6"/>
  <c r="S722" i="6"/>
  <c r="R722" i="6"/>
  <c r="U721" i="6"/>
  <c r="S721" i="6"/>
  <c r="R721" i="6"/>
  <c r="U720" i="6"/>
  <c r="S720" i="6"/>
  <c r="R720" i="6"/>
  <c r="U719" i="6"/>
  <c r="S719" i="6"/>
  <c r="R719" i="6"/>
  <c r="U718" i="6"/>
  <c r="S718" i="6"/>
  <c r="R718" i="6"/>
  <c r="U717" i="6"/>
  <c r="S717" i="6"/>
  <c r="R717" i="6"/>
  <c r="U716" i="6"/>
  <c r="S716" i="6"/>
  <c r="R716" i="6"/>
  <c r="U715" i="6"/>
  <c r="S715" i="6"/>
  <c r="R715" i="6"/>
  <c r="U714" i="6"/>
  <c r="S714" i="6"/>
  <c r="R714" i="6"/>
  <c r="U713" i="6"/>
  <c r="S713" i="6"/>
  <c r="R713" i="6"/>
  <c r="U712" i="6"/>
  <c r="S712" i="6"/>
  <c r="R712" i="6"/>
  <c r="U711" i="6"/>
  <c r="S711" i="6"/>
  <c r="R711" i="6"/>
  <c r="U710" i="6"/>
  <c r="S710" i="6"/>
  <c r="R710" i="6"/>
  <c r="U709" i="6"/>
  <c r="S709" i="6"/>
  <c r="R709" i="6"/>
  <c r="U708" i="6"/>
  <c r="S708" i="6"/>
  <c r="R708" i="6"/>
  <c r="U707" i="6"/>
  <c r="S707" i="6"/>
  <c r="R707" i="6"/>
  <c r="U706" i="6"/>
  <c r="S706" i="6"/>
  <c r="R706" i="6"/>
  <c r="U705" i="6"/>
  <c r="S705" i="6"/>
  <c r="R705" i="6"/>
  <c r="U704" i="6"/>
  <c r="S704" i="6"/>
  <c r="R704" i="6"/>
  <c r="U703" i="6"/>
  <c r="S703" i="6"/>
  <c r="R703" i="6"/>
  <c r="U702" i="6"/>
  <c r="S702" i="6"/>
  <c r="R702" i="6"/>
  <c r="U701" i="6"/>
  <c r="S701" i="6"/>
  <c r="R701" i="6"/>
  <c r="U700" i="6"/>
  <c r="S700" i="6"/>
  <c r="R700" i="6"/>
  <c r="U699" i="6"/>
  <c r="S699" i="6"/>
  <c r="R699" i="6"/>
  <c r="U698" i="6"/>
  <c r="S698" i="6"/>
  <c r="R698" i="6"/>
  <c r="U697" i="6"/>
  <c r="S697" i="6"/>
  <c r="R697" i="6"/>
  <c r="U696" i="6"/>
  <c r="S696" i="6"/>
  <c r="R696" i="6"/>
  <c r="U695" i="6"/>
  <c r="S695" i="6"/>
  <c r="R695" i="6"/>
  <c r="U694" i="6"/>
  <c r="S694" i="6"/>
  <c r="R694" i="6"/>
  <c r="U693" i="6"/>
  <c r="S693" i="6"/>
  <c r="R693" i="6"/>
  <c r="U692" i="6"/>
  <c r="S692" i="6"/>
  <c r="R692" i="6"/>
  <c r="U691" i="6"/>
  <c r="S691" i="6"/>
  <c r="R691" i="6"/>
  <c r="U690" i="6"/>
  <c r="S690" i="6"/>
  <c r="R690" i="6"/>
  <c r="U689" i="6"/>
  <c r="S689" i="6"/>
  <c r="R689" i="6"/>
  <c r="U688" i="6"/>
  <c r="S688" i="6"/>
  <c r="R688" i="6"/>
  <c r="U687" i="6"/>
  <c r="S687" i="6"/>
  <c r="R687" i="6"/>
  <c r="U686" i="6"/>
  <c r="S686" i="6"/>
  <c r="R686" i="6"/>
  <c r="U685" i="6"/>
  <c r="S685" i="6"/>
  <c r="R685" i="6"/>
  <c r="U684" i="6"/>
  <c r="S684" i="6"/>
  <c r="R684" i="6"/>
  <c r="U683" i="6"/>
  <c r="S683" i="6"/>
  <c r="R683" i="6"/>
  <c r="U682" i="6"/>
  <c r="S682" i="6"/>
  <c r="R682" i="6"/>
  <c r="U681" i="6"/>
  <c r="S681" i="6"/>
  <c r="R681" i="6"/>
  <c r="U680" i="6"/>
  <c r="S680" i="6"/>
  <c r="R680" i="6"/>
  <c r="U1000" i="6"/>
  <c r="S1000" i="6"/>
  <c r="R1000" i="6"/>
  <c r="U999" i="6"/>
  <c r="S999" i="6"/>
  <c r="R999" i="6"/>
  <c r="U998" i="6"/>
  <c r="S998" i="6"/>
  <c r="R998" i="6"/>
  <c r="U997" i="6"/>
  <c r="S997" i="6"/>
  <c r="R997" i="6"/>
  <c r="U996" i="6"/>
  <c r="S996" i="6"/>
  <c r="R996" i="6"/>
  <c r="U995" i="6"/>
  <c r="S995" i="6"/>
  <c r="R995" i="6"/>
  <c r="U994" i="6"/>
  <c r="S994" i="6"/>
  <c r="R994" i="6"/>
  <c r="U924" i="6"/>
  <c r="S924" i="6"/>
  <c r="R924" i="6"/>
  <c r="U993" i="6"/>
  <c r="S993" i="6"/>
  <c r="R993" i="6"/>
  <c r="U992" i="6"/>
  <c r="S992" i="6"/>
  <c r="R992" i="6"/>
  <c r="U991" i="6"/>
  <c r="S991" i="6"/>
  <c r="R991" i="6"/>
  <c r="U990" i="6"/>
  <c r="S990" i="6"/>
  <c r="R990" i="6"/>
  <c r="U989" i="6"/>
  <c r="S989" i="6"/>
  <c r="R989" i="6"/>
  <c r="U988" i="6"/>
  <c r="S988" i="6"/>
  <c r="R988" i="6"/>
  <c r="U987" i="6"/>
  <c r="S987" i="6"/>
  <c r="R987" i="6"/>
  <c r="U986" i="6"/>
  <c r="S986" i="6"/>
  <c r="R986" i="6"/>
  <c r="U985" i="6"/>
  <c r="S985" i="6"/>
  <c r="R985" i="6"/>
  <c r="U984" i="6"/>
  <c r="S984" i="6"/>
  <c r="R984" i="6"/>
  <c r="U983" i="6"/>
  <c r="S983" i="6"/>
  <c r="R983" i="6"/>
  <c r="U982" i="6"/>
  <c r="S982" i="6"/>
  <c r="R982" i="6"/>
  <c r="U981" i="6"/>
  <c r="S981" i="6"/>
  <c r="R981" i="6"/>
  <c r="U980" i="6"/>
  <c r="S980" i="6"/>
  <c r="R980" i="6"/>
  <c r="U979" i="6"/>
  <c r="S979" i="6"/>
  <c r="R979" i="6"/>
  <c r="U978" i="6"/>
  <c r="S978" i="6"/>
  <c r="R978" i="6"/>
  <c r="U977" i="6"/>
  <c r="S977" i="6"/>
  <c r="R977" i="6"/>
  <c r="U976" i="6"/>
  <c r="S976" i="6"/>
  <c r="R976" i="6"/>
  <c r="U975" i="6"/>
  <c r="S975" i="6"/>
  <c r="R975" i="6"/>
  <c r="U974" i="6"/>
  <c r="S974" i="6"/>
  <c r="R974" i="6"/>
  <c r="U973" i="6"/>
  <c r="S973" i="6"/>
  <c r="R973" i="6"/>
  <c r="U972" i="6"/>
  <c r="S972" i="6"/>
  <c r="R972" i="6"/>
  <c r="U971" i="6"/>
  <c r="S971" i="6"/>
  <c r="R971" i="6"/>
  <c r="U970" i="6"/>
  <c r="S970" i="6"/>
  <c r="R970" i="6"/>
  <c r="U848" i="6"/>
  <c r="S848" i="6"/>
  <c r="R848" i="6"/>
  <c r="U969" i="6"/>
  <c r="S969" i="6"/>
  <c r="R969" i="6"/>
  <c r="U968" i="6"/>
  <c r="S968" i="6"/>
  <c r="R968" i="6"/>
  <c r="U967" i="6"/>
  <c r="S967" i="6"/>
  <c r="R967" i="6"/>
  <c r="U966" i="6"/>
  <c r="S966" i="6"/>
  <c r="R966" i="6"/>
  <c r="U965" i="6"/>
  <c r="S965" i="6"/>
  <c r="R965" i="6"/>
  <c r="U964" i="6"/>
  <c r="S964" i="6"/>
  <c r="R964" i="6"/>
  <c r="U963" i="6"/>
  <c r="S963" i="6"/>
  <c r="R963" i="6"/>
  <c r="U962" i="6"/>
  <c r="S962" i="6"/>
  <c r="R962" i="6"/>
  <c r="U961" i="6"/>
  <c r="S961" i="6"/>
  <c r="R961" i="6"/>
  <c r="U960" i="6"/>
  <c r="S960" i="6"/>
  <c r="R960" i="6"/>
  <c r="U959" i="6"/>
  <c r="S959" i="6"/>
  <c r="R959" i="6"/>
  <c r="U958" i="6"/>
  <c r="S958" i="6"/>
  <c r="R958" i="6"/>
  <c r="U957" i="6"/>
  <c r="S957" i="6"/>
  <c r="R957" i="6"/>
  <c r="U956" i="6"/>
  <c r="S956" i="6"/>
  <c r="R956" i="6"/>
  <c r="U955" i="6"/>
  <c r="S955" i="6"/>
  <c r="R955" i="6"/>
  <c r="U954" i="6"/>
  <c r="S954" i="6"/>
  <c r="R954" i="6"/>
  <c r="U953" i="6"/>
  <c r="S953" i="6"/>
  <c r="R953" i="6"/>
  <c r="U952" i="6"/>
  <c r="S952" i="6"/>
  <c r="R952" i="6"/>
  <c r="U951" i="6"/>
  <c r="S951" i="6"/>
  <c r="R951" i="6"/>
  <c r="U950" i="6"/>
  <c r="S950" i="6"/>
  <c r="R950" i="6"/>
  <c r="U949" i="6"/>
  <c r="S949" i="6"/>
  <c r="R949" i="6"/>
  <c r="U948" i="6"/>
  <c r="S948" i="6"/>
  <c r="R948" i="6"/>
  <c r="U947" i="6"/>
  <c r="S947" i="6"/>
  <c r="R947" i="6"/>
  <c r="U946" i="6"/>
  <c r="S946" i="6"/>
  <c r="R946" i="6"/>
  <c r="U945" i="6"/>
  <c r="S945" i="6"/>
  <c r="R945" i="6"/>
  <c r="U944" i="6"/>
  <c r="S944" i="6"/>
  <c r="R944" i="6"/>
  <c r="U943" i="6"/>
  <c r="S943" i="6"/>
  <c r="R943" i="6"/>
  <c r="U942" i="6"/>
  <c r="S942" i="6"/>
  <c r="R942" i="6"/>
  <c r="U941" i="6"/>
  <c r="S941" i="6"/>
  <c r="R941" i="6"/>
  <c r="U940" i="6"/>
  <c r="S940" i="6"/>
  <c r="R940" i="6"/>
  <c r="U939" i="6"/>
  <c r="S939" i="6"/>
  <c r="R939" i="6"/>
  <c r="U938" i="6"/>
  <c r="S938" i="6"/>
  <c r="R938" i="6"/>
  <c r="U937" i="6"/>
  <c r="S937" i="6"/>
  <c r="R937" i="6"/>
  <c r="U936" i="6"/>
  <c r="S936" i="6"/>
  <c r="R936" i="6"/>
  <c r="U935" i="6"/>
  <c r="S935" i="6"/>
  <c r="R935" i="6"/>
  <c r="U934" i="6"/>
  <c r="S934" i="6"/>
  <c r="R934" i="6"/>
  <c r="U933" i="6"/>
  <c r="S933" i="6"/>
  <c r="R933" i="6"/>
  <c r="U932" i="6"/>
  <c r="S932" i="6"/>
  <c r="R932" i="6"/>
  <c r="U931" i="6"/>
  <c r="S931" i="6"/>
  <c r="R931" i="6"/>
  <c r="U930" i="6"/>
  <c r="S930" i="6"/>
  <c r="R930" i="6"/>
  <c r="U929" i="6"/>
  <c r="S929" i="6"/>
  <c r="R929" i="6"/>
  <c r="U928" i="6"/>
  <c r="S928" i="6"/>
  <c r="R928" i="6"/>
  <c r="U927" i="6"/>
  <c r="S927" i="6"/>
  <c r="R927" i="6"/>
  <c r="U926" i="6"/>
  <c r="S926" i="6"/>
  <c r="R926" i="6"/>
  <c r="U925" i="6"/>
  <c r="S925" i="6"/>
  <c r="R925" i="6"/>
  <c r="U923" i="6"/>
  <c r="S923" i="6"/>
  <c r="R923" i="6"/>
  <c r="U922" i="6"/>
  <c r="S922" i="6"/>
  <c r="R922" i="6"/>
  <c r="U921" i="6"/>
  <c r="S921" i="6"/>
  <c r="R921" i="6"/>
  <c r="U920" i="6"/>
  <c r="S920" i="6"/>
  <c r="R920" i="6"/>
  <c r="U919" i="6"/>
  <c r="S919" i="6"/>
  <c r="R919" i="6"/>
  <c r="U918" i="6"/>
  <c r="S918" i="6"/>
  <c r="R918" i="6"/>
  <c r="U917" i="6"/>
  <c r="S917" i="6"/>
  <c r="R917" i="6"/>
  <c r="U916" i="6"/>
  <c r="S916" i="6"/>
  <c r="R916" i="6"/>
  <c r="U915" i="6"/>
  <c r="S915" i="6"/>
  <c r="R915" i="6"/>
  <c r="U914" i="6"/>
  <c r="S914" i="6"/>
  <c r="R914" i="6"/>
  <c r="U913" i="6"/>
  <c r="S913" i="6"/>
  <c r="R913" i="6"/>
  <c r="U912" i="6"/>
  <c r="S912" i="6"/>
  <c r="R912" i="6"/>
  <c r="U911" i="6"/>
  <c r="S911" i="6"/>
  <c r="R911" i="6"/>
  <c r="U910" i="6"/>
  <c r="S910" i="6"/>
  <c r="R910" i="6"/>
  <c r="U909" i="6"/>
  <c r="S909" i="6"/>
  <c r="R909" i="6"/>
  <c r="U908" i="6"/>
  <c r="S908" i="6"/>
  <c r="R908" i="6"/>
  <c r="U907" i="6"/>
  <c r="S907" i="6"/>
  <c r="R907" i="6"/>
  <c r="U906" i="6"/>
  <c r="S906" i="6"/>
  <c r="R906" i="6"/>
  <c r="U905" i="6"/>
  <c r="S905" i="6"/>
  <c r="R905" i="6"/>
  <c r="U904" i="6"/>
  <c r="S904" i="6"/>
  <c r="R904" i="6"/>
  <c r="U903" i="6"/>
  <c r="S903" i="6"/>
  <c r="R903" i="6"/>
  <c r="U902" i="6"/>
  <c r="S902" i="6"/>
  <c r="R902" i="6"/>
  <c r="U901" i="6"/>
  <c r="S901" i="6"/>
  <c r="R901" i="6"/>
  <c r="U900" i="6"/>
  <c r="S900" i="6"/>
  <c r="R900" i="6"/>
  <c r="U899" i="6"/>
  <c r="S899" i="6"/>
  <c r="R899" i="6"/>
  <c r="U898" i="6"/>
  <c r="S898" i="6"/>
  <c r="R898" i="6"/>
  <c r="U897" i="6"/>
  <c r="S897" i="6"/>
  <c r="R897" i="6"/>
  <c r="U896" i="6"/>
  <c r="S896" i="6"/>
  <c r="R896" i="6"/>
  <c r="U895" i="6"/>
  <c r="S895" i="6"/>
  <c r="R895" i="6"/>
  <c r="U894" i="6"/>
  <c r="S894" i="6"/>
  <c r="R894" i="6"/>
  <c r="U893" i="6"/>
  <c r="S893" i="6"/>
  <c r="R893" i="6"/>
  <c r="U892" i="6"/>
  <c r="S892" i="6"/>
  <c r="R892" i="6"/>
  <c r="U891" i="6"/>
  <c r="S891" i="6"/>
  <c r="R891" i="6"/>
  <c r="U890" i="6"/>
  <c r="S890" i="6"/>
  <c r="R890" i="6"/>
  <c r="U889" i="6"/>
  <c r="S889" i="6"/>
  <c r="R889" i="6"/>
  <c r="U888" i="6"/>
  <c r="S888" i="6"/>
  <c r="R888" i="6"/>
  <c r="U887" i="6"/>
  <c r="S887" i="6"/>
  <c r="R887" i="6"/>
  <c r="U886" i="6"/>
  <c r="S886" i="6"/>
  <c r="R886" i="6"/>
  <c r="U885" i="6"/>
  <c r="S885" i="6"/>
  <c r="R885" i="6"/>
  <c r="U884" i="6"/>
  <c r="S884" i="6"/>
  <c r="R884" i="6"/>
  <c r="U883" i="6"/>
  <c r="S883" i="6"/>
  <c r="R883" i="6"/>
  <c r="U882" i="6"/>
  <c r="S882" i="6"/>
  <c r="R882" i="6"/>
  <c r="U881" i="6"/>
  <c r="S881" i="6"/>
  <c r="R881" i="6"/>
  <c r="U880" i="6"/>
  <c r="S880" i="6"/>
  <c r="R880" i="6"/>
  <c r="U879" i="6"/>
  <c r="S879" i="6"/>
  <c r="R879" i="6"/>
  <c r="U878" i="6"/>
  <c r="S878" i="6"/>
  <c r="R878" i="6"/>
  <c r="U877" i="6"/>
  <c r="S877" i="6"/>
  <c r="R877" i="6"/>
  <c r="U876" i="6"/>
  <c r="S876" i="6"/>
  <c r="R876" i="6"/>
  <c r="U875" i="6"/>
  <c r="S875" i="6"/>
  <c r="R875" i="6"/>
  <c r="U874" i="6"/>
  <c r="S874" i="6"/>
  <c r="R874" i="6"/>
  <c r="U873" i="6"/>
  <c r="S873" i="6"/>
  <c r="R873" i="6"/>
  <c r="U872" i="6"/>
  <c r="S872" i="6"/>
  <c r="R872" i="6"/>
  <c r="U871" i="6"/>
  <c r="S871" i="6"/>
  <c r="R871" i="6"/>
  <c r="U870" i="6"/>
  <c r="S870" i="6"/>
  <c r="R870" i="6"/>
  <c r="U869" i="6"/>
  <c r="S869" i="6"/>
  <c r="R869" i="6"/>
  <c r="U868" i="6"/>
  <c r="S868" i="6"/>
  <c r="R868" i="6"/>
  <c r="U867" i="6"/>
  <c r="S867" i="6"/>
  <c r="R867" i="6"/>
  <c r="U866" i="6"/>
  <c r="S866" i="6"/>
  <c r="R866" i="6"/>
  <c r="U865" i="6"/>
  <c r="S865" i="6"/>
  <c r="R865" i="6"/>
  <c r="U864" i="6"/>
  <c r="S864" i="6"/>
  <c r="R864" i="6"/>
  <c r="U863" i="6"/>
  <c r="S863" i="6"/>
  <c r="R863" i="6"/>
  <c r="U862" i="6"/>
  <c r="S862" i="6"/>
  <c r="R862" i="6"/>
  <c r="U861" i="6"/>
  <c r="S861" i="6"/>
  <c r="R861" i="6"/>
  <c r="U860" i="6"/>
  <c r="S860" i="6"/>
  <c r="R860" i="6"/>
  <c r="U859" i="6"/>
  <c r="S859" i="6"/>
  <c r="R859" i="6"/>
  <c r="U858" i="6"/>
  <c r="S858" i="6"/>
  <c r="R858" i="6"/>
  <c r="U857" i="6"/>
  <c r="S857" i="6"/>
  <c r="R857" i="6"/>
  <c r="U856" i="6"/>
  <c r="S856" i="6"/>
  <c r="R856" i="6"/>
  <c r="U855" i="6"/>
  <c r="S855" i="6"/>
  <c r="R855" i="6"/>
  <c r="U854" i="6"/>
  <c r="S854" i="6"/>
  <c r="R854" i="6"/>
  <c r="U853" i="6"/>
  <c r="S853" i="6"/>
  <c r="R853" i="6"/>
  <c r="U852" i="6"/>
  <c r="S852" i="6"/>
  <c r="R852" i="6"/>
  <c r="U851" i="6"/>
  <c r="S851" i="6"/>
  <c r="R851" i="6"/>
  <c r="U850" i="6"/>
  <c r="S850" i="6"/>
  <c r="R850" i="6"/>
  <c r="U849" i="6"/>
  <c r="S849" i="6"/>
  <c r="R849" i="6"/>
  <c r="U847" i="6"/>
  <c r="S847" i="6"/>
  <c r="R847" i="6"/>
  <c r="U846" i="6"/>
  <c r="S846" i="6"/>
  <c r="R846" i="6"/>
  <c r="U845" i="6"/>
  <c r="S845" i="6"/>
  <c r="R845" i="6"/>
  <c r="U844" i="6"/>
  <c r="S844" i="6"/>
  <c r="R844" i="6"/>
  <c r="U843" i="6"/>
  <c r="S843" i="6"/>
  <c r="R843" i="6"/>
  <c r="U842" i="6"/>
  <c r="S842" i="6"/>
  <c r="R842" i="6"/>
  <c r="U841" i="6"/>
  <c r="S841" i="6"/>
  <c r="R841" i="6"/>
  <c r="U840" i="6"/>
  <c r="S840" i="6"/>
  <c r="R840" i="6"/>
  <c r="U839" i="6"/>
  <c r="S839" i="6"/>
  <c r="R839" i="6"/>
  <c r="U838" i="6"/>
  <c r="S838" i="6"/>
  <c r="R838" i="6"/>
  <c r="T2" i="6"/>
  <c r="Q2" i="6"/>
  <c r="T160" i="6"/>
  <c r="Q160" i="6"/>
  <c r="T159" i="6"/>
  <c r="Q159" i="6"/>
  <c r="T158" i="6"/>
  <c r="Q158" i="6"/>
  <c r="T157" i="6"/>
  <c r="Q157" i="6"/>
  <c r="T156" i="6"/>
  <c r="Q156" i="6"/>
  <c r="T155" i="6"/>
  <c r="Q155" i="6"/>
  <c r="T154" i="6"/>
  <c r="Q154" i="6"/>
  <c r="T153" i="6"/>
  <c r="Q153" i="6"/>
  <c r="T152" i="6"/>
  <c r="Q152" i="6"/>
  <c r="T151" i="6"/>
  <c r="Q151" i="6"/>
  <c r="T150" i="6"/>
  <c r="Q150" i="6"/>
  <c r="T149" i="6"/>
  <c r="Q149" i="6"/>
  <c r="T148" i="6"/>
  <c r="Q148" i="6"/>
  <c r="T147" i="6"/>
  <c r="Q147" i="6"/>
  <c r="T146" i="6"/>
  <c r="Q146" i="6"/>
  <c r="T145" i="6"/>
  <c r="Q145" i="6"/>
  <c r="T144" i="6"/>
  <c r="Q144" i="6"/>
  <c r="T143" i="6"/>
  <c r="Q143" i="6"/>
  <c r="T142" i="6"/>
  <c r="Q142" i="6"/>
  <c r="T141" i="6"/>
  <c r="Q141" i="6"/>
  <c r="T140" i="6"/>
  <c r="Q140" i="6"/>
  <c r="T139" i="6"/>
  <c r="Q139" i="6"/>
  <c r="T138" i="6"/>
  <c r="Q138" i="6"/>
  <c r="T137" i="6"/>
  <c r="Q137" i="6"/>
  <c r="T136" i="6"/>
  <c r="Q136" i="6"/>
  <c r="T135" i="6"/>
  <c r="Q135" i="6"/>
  <c r="T134" i="6"/>
  <c r="Q134" i="6"/>
  <c r="T133" i="6"/>
  <c r="Q133" i="6"/>
  <c r="T132" i="6"/>
  <c r="Q132" i="6"/>
  <c r="T131" i="6"/>
  <c r="Q131" i="6"/>
  <c r="T130" i="6"/>
  <c r="Q130" i="6"/>
  <c r="T129" i="6"/>
  <c r="Q129" i="6"/>
  <c r="T128" i="6"/>
  <c r="Q128" i="6"/>
  <c r="T127" i="6"/>
  <c r="Q127" i="6"/>
  <c r="T126" i="6"/>
  <c r="Q126" i="6"/>
  <c r="T125" i="6"/>
  <c r="Q125" i="6"/>
  <c r="T124" i="6"/>
  <c r="Q124" i="6"/>
  <c r="T123" i="6"/>
  <c r="Q123" i="6"/>
  <c r="T122" i="6"/>
  <c r="Q122" i="6"/>
  <c r="T121" i="6"/>
  <c r="Q121" i="6"/>
  <c r="T120" i="6"/>
  <c r="Q120" i="6"/>
  <c r="T119" i="6"/>
  <c r="Q119" i="6"/>
  <c r="T118" i="6"/>
  <c r="Q118" i="6"/>
  <c r="T117" i="6"/>
  <c r="Q117" i="6"/>
  <c r="T116" i="6"/>
  <c r="Q116" i="6"/>
  <c r="T115" i="6"/>
  <c r="Q115" i="6"/>
  <c r="T114" i="6"/>
  <c r="Q114" i="6"/>
  <c r="T113" i="6"/>
  <c r="Q113" i="6"/>
  <c r="T112" i="6"/>
  <c r="Q112" i="6"/>
  <c r="T111" i="6"/>
  <c r="Q111" i="6"/>
  <c r="T110" i="6"/>
  <c r="Q110" i="6"/>
  <c r="T109" i="6"/>
  <c r="Q109" i="6"/>
  <c r="T108" i="6"/>
  <c r="Q108" i="6"/>
  <c r="T107" i="6"/>
  <c r="Q107" i="6"/>
  <c r="T106" i="6"/>
  <c r="Q106" i="6"/>
  <c r="T105" i="6"/>
  <c r="Q105" i="6"/>
  <c r="T104" i="6"/>
  <c r="Q104" i="6"/>
  <c r="T103" i="6"/>
  <c r="Q103" i="6"/>
  <c r="T102" i="6"/>
  <c r="Q102" i="6"/>
  <c r="T101" i="6"/>
  <c r="Q101" i="6"/>
  <c r="T100" i="6"/>
  <c r="Q100" i="6"/>
  <c r="T99" i="6"/>
  <c r="Q99" i="6"/>
  <c r="T98" i="6"/>
  <c r="Q98" i="6"/>
  <c r="T97" i="6"/>
  <c r="Q97" i="6"/>
  <c r="T96" i="6"/>
  <c r="Q96" i="6"/>
  <c r="T95" i="6"/>
  <c r="Q95" i="6"/>
  <c r="T94" i="6"/>
  <c r="Q94" i="6"/>
  <c r="T93" i="6"/>
  <c r="Q93" i="6"/>
  <c r="T92" i="6"/>
  <c r="Q92" i="6"/>
  <c r="T91" i="6"/>
  <c r="Q91" i="6"/>
  <c r="T90" i="6"/>
  <c r="Q90" i="6"/>
  <c r="T89" i="6"/>
  <c r="Q89" i="6"/>
  <c r="T88" i="6"/>
  <c r="Q88" i="6"/>
  <c r="T87" i="6"/>
  <c r="Q87" i="6"/>
  <c r="T86" i="6"/>
  <c r="Q86" i="6"/>
  <c r="T85" i="6"/>
  <c r="Q85" i="6"/>
  <c r="T84" i="6"/>
  <c r="Q84" i="6"/>
  <c r="T83" i="6"/>
  <c r="Q83" i="6"/>
  <c r="T82" i="6"/>
  <c r="Q82" i="6"/>
  <c r="T81" i="6"/>
  <c r="Q81" i="6"/>
  <c r="T80" i="6"/>
  <c r="Q80" i="6"/>
  <c r="T79" i="6"/>
  <c r="Q79" i="6"/>
  <c r="T78" i="6"/>
  <c r="Q78" i="6"/>
  <c r="T77" i="6"/>
  <c r="Q77" i="6"/>
  <c r="T76" i="6"/>
  <c r="Q76" i="6"/>
  <c r="T75" i="6"/>
  <c r="Q75" i="6"/>
  <c r="T74" i="6"/>
  <c r="Q74" i="6"/>
  <c r="T73" i="6"/>
  <c r="Q73" i="6"/>
  <c r="T72" i="6"/>
  <c r="Q72" i="6"/>
  <c r="T71" i="6"/>
  <c r="Q71" i="6"/>
  <c r="T70" i="6"/>
  <c r="Q70" i="6"/>
  <c r="T69" i="6"/>
  <c r="Q69" i="6"/>
  <c r="T68" i="6"/>
  <c r="Q68" i="6"/>
  <c r="T67" i="6"/>
  <c r="Q67" i="6"/>
  <c r="T66" i="6"/>
  <c r="Q66" i="6"/>
  <c r="T65" i="6"/>
  <c r="Q65" i="6"/>
  <c r="T64" i="6"/>
  <c r="Q64" i="6"/>
  <c r="T63" i="6"/>
  <c r="Q63" i="6"/>
  <c r="T62" i="6"/>
  <c r="Q62" i="6"/>
  <c r="T61" i="6"/>
  <c r="Q61" i="6"/>
  <c r="T60" i="6"/>
  <c r="Q60" i="6"/>
  <c r="T59" i="6"/>
  <c r="Q59" i="6"/>
  <c r="T58" i="6"/>
  <c r="Q58" i="6"/>
  <c r="T57" i="6"/>
  <c r="Q57" i="6"/>
  <c r="T56" i="6"/>
  <c r="Q56" i="6"/>
  <c r="T55" i="6"/>
  <c r="Q55" i="6"/>
  <c r="T54" i="6"/>
  <c r="Q54" i="6"/>
  <c r="T53" i="6"/>
  <c r="Q53" i="6"/>
  <c r="T52" i="6"/>
  <c r="Q52" i="6"/>
  <c r="T51" i="6"/>
  <c r="Q51" i="6"/>
  <c r="T50" i="6"/>
  <c r="Q50" i="6"/>
  <c r="T49" i="6"/>
  <c r="Q49" i="6"/>
  <c r="T48" i="6"/>
  <c r="Q48" i="6"/>
  <c r="T47" i="6"/>
  <c r="Q47" i="6"/>
  <c r="T46" i="6"/>
  <c r="Q46" i="6"/>
  <c r="T45" i="6"/>
  <c r="Q45" i="6"/>
  <c r="T44" i="6"/>
  <c r="Q44" i="6"/>
  <c r="T43" i="6"/>
  <c r="Q43" i="6"/>
  <c r="T42" i="6"/>
  <c r="Q42" i="6"/>
  <c r="T41" i="6"/>
  <c r="Q41" i="6"/>
  <c r="T40" i="6"/>
  <c r="Q40" i="6"/>
  <c r="T39" i="6"/>
  <c r="Q39" i="6"/>
  <c r="T38" i="6"/>
  <c r="Q38" i="6"/>
  <c r="T37" i="6"/>
  <c r="Q37" i="6"/>
  <c r="T36" i="6"/>
  <c r="Q36" i="6"/>
  <c r="T35" i="6"/>
  <c r="Q35" i="6"/>
  <c r="T34" i="6"/>
  <c r="Q34" i="6"/>
  <c r="T33" i="6"/>
  <c r="Q33" i="6"/>
  <c r="T32" i="6"/>
  <c r="Q32" i="6"/>
  <c r="T31" i="6"/>
  <c r="Q31" i="6"/>
  <c r="T30" i="6"/>
  <c r="Q30" i="6"/>
  <c r="T29" i="6"/>
  <c r="Q29" i="6"/>
  <c r="T28" i="6"/>
  <c r="Q28" i="6"/>
  <c r="T27" i="6"/>
  <c r="Q27" i="6"/>
  <c r="T26" i="6"/>
  <c r="Q26" i="6"/>
  <c r="T25" i="6"/>
  <c r="Q25" i="6"/>
  <c r="T24" i="6"/>
  <c r="Q24" i="6"/>
  <c r="T23" i="6"/>
  <c r="Q23" i="6"/>
  <c r="T22" i="6"/>
  <c r="Q22" i="6"/>
  <c r="T21" i="6"/>
  <c r="Q21" i="6"/>
  <c r="T20" i="6"/>
  <c r="Q20" i="6"/>
  <c r="T19" i="6"/>
  <c r="Q19" i="6"/>
  <c r="T18" i="6"/>
  <c r="Q18" i="6"/>
  <c r="T17" i="6"/>
  <c r="Q17" i="6"/>
  <c r="T16" i="6"/>
  <c r="Q16" i="6"/>
  <c r="T15" i="6"/>
  <c r="Q15" i="6"/>
  <c r="T14" i="6"/>
  <c r="Q14" i="6"/>
  <c r="T13" i="6"/>
  <c r="Q13" i="6"/>
  <c r="T12" i="6"/>
  <c r="Q12" i="6"/>
  <c r="T11" i="6"/>
  <c r="Q11" i="6"/>
  <c r="T10" i="6"/>
  <c r="Q10" i="6"/>
  <c r="T9" i="6"/>
  <c r="Q9" i="6"/>
  <c r="T8" i="6"/>
  <c r="Q8" i="6"/>
  <c r="T7" i="6"/>
  <c r="Q7" i="6"/>
  <c r="T6" i="6"/>
  <c r="Q6" i="6"/>
  <c r="T5" i="6"/>
  <c r="Q5" i="6"/>
  <c r="T4" i="6"/>
  <c r="Q4" i="6"/>
  <c r="T3" i="6"/>
  <c r="Q3" i="6"/>
  <c r="T161" i="6"/>
  <c r="Q161" i="6"/>
  <c r="T200" i="6"/>
  <c r="Q200" i="6"/>
  <c r="T199" i="6"/>
  <c r="Q199" i="6"/>
  <c r="T198" i="6"/>
  <c r="Q198" i="6"/>
  <c r="T197" i="6"/>
  <c r="Q197" i="6"/>
  <c r="T196" i="6"/>
  <c r="Q196" i="6"/>
  <c r="T195" i="6"/>
  <c r="Q195" i="6"/>
  <c r="T194" i="6"/>
  <c r="Q194" i="6"/>
  <c r="T193" i="6"/>
  <c r="Q193" i="6"/>
  <c r="T192" i="6"/>
  <c r="Q192" i="6"/>
  <c r="T191" i="6"/>
  <c r="Q191" i="6"/>
  <c r="T190" i="6"/>
  <c r="Q190" i="6"/>
  <c r="T189" i="6"/>
  <c r="Q189" i="6"/>
  <c r="T188" i="6"/>
  <c r="Q188" i="6"/>
  <c r="T187" i="6"/>
  <c r="Q187" i="6"/>
  <c r="T186" i="6"/>
  <c r="Q186" i="6"/>
  <c r="T185" i="6"/>
  <c r="Q185" i="6"/>
  <c r="T184" i="6"/>
  <c r="Q184" i="6"/>
  <c r="T183" i="6"/>
  <c r="Q183" i="6"/>
  <c r="T182" i="6"/>
  <c r="Q182" i="6"/>
  <c r="T181" i="6"/>
  <c r="Q181" i="6"/>
  <c r="T180" i="6"/>
  <c r="Q180" i="6"/>
  <c r="T179" i="6"/>
  <c r="Q179" i="6"/>
  <c r="T178" i="6"/>
  <c r="Q178" i="6"/>
  <c r="T177" i="6"/>
  <c r="Q177" i="6"/>
  <c r="T176" i="6"/>
  <c r="Q176" i="6"/>
  <c r="T175" i="6"/>
  <c r="Q175" i="6"/>
  <c r="T174" i="6"/>
  <c r="Q174" i="6"/>
  <c r="T173" i="6"/>
  <c r="Q173" i="6"/>
  <c r="T172" i="6"/>
  <c r="Q172" i="6"/>
  <c r="T171" i="6"/>
  <c r="Q171" i="6"/>
  <c r="T170" i="6"/>
  <c r="Q170" i="6"/>
  <c r="T169" i="6"/>
  <c r="Q169" i="6"/>
  <c r="T168" i="6"/>
  <c r="Q168" i="6"/>
  <c r="T167" i="6"/>
  <c r="Q167" i="6"/>
  <c r="T166" i="6"/>
  <c r="Q166" i="6"/>
  <c r="T165" i="6"/>
  <c r="Q165" i="6"/>
  <c r="T164" i="6"/>
  <c r="Q164" i="6"/>
  <c r="T163" i="6"/>
  <c r="Q163" i="6"/>
  <c r="T162" i="6"/>
  <c r="Q162" i="6"/>
  <c r="T320" i="6"/>
  <c r="Q320" i="6"/>
  <c r="T318" i="6"/>
  <c r="Q318" i="6"/>
  <c r="T317" i="6"/>
  <c r="Q317" i="6"/>
  <c r="T316" i="6"/>
  <c r="Q316" i="6"/>
  <c r="T315" i="6"/>
  <c r="Q315" i="6"/>
  <c r="T314" i="6"/>
  <c r="Q314" i="6"/>
  <c r="T313" i="6"/>
  <c r="Q313" i="6"/>
  <c r="T312" i="6"/>
  <c r="Q312" i="6"/>
  <c r="T311" i="6"/>
  <c r="Q311" i="6"/>
  <c r="T310" i="6"/>
  <c r="Q310" i="6"/>
  <c r="T309" i="6"/>
  <c r="Q309" i="6"/>
  <c r="T308" i="6"/>
  <c r="Q308" i="6"/>
  <c r="T307" i="6"/>
  <c r="Q307" i="6"/>
  <c r="T306" i="6"/>
  <c r="Q306" i="6"/>
  <c r="T305" i="6"/>
  <c r="Q305" i="6"/>
  <c r="T304" i="6"/>
  <c r="Q304" i="6"/>
  <c r="T303" i="6"/>
  <c r="Q303" i="6"/>
  <c r="T302" i="6"/>
  <c r="Q302" i="6"/>
  <c r="T301" i="6"/>
  <c r="Q301" i="6"/>
  <c r="T300" i="6"/>
  <c r="Q300" i="6"/>
  <c r="T299" i="6"/>
  <c r="Q299" i="6"/>
  <c r="T298" i="6"/>
  <c r="Q298" i="6"/>
  <c r="T297" i="6"/>
  <c r="Q297" i="6"/>
  <c r="T296" i="6"/>
  <c r="Q296" i="6"/>
  <c r="T295" i="6"/>
  <c r="Q295" i="6"/>
  <c r="T294" i="6"/>
  <c r="Q294" i="6"/>
  <c r="T293" i="6"/>
  <c r="Q293" i="6"/>
  <c r="T292" i="6"/>
  <c r="Q292" i="6"/>
  <c r="T291" i="6"/>
  <c r="Q291" i="6"/>
  <c r="T290" i="6"/>
  <c r="Q290" i="6"/>
  <c r="T289" i="6"/>
  <c r="Q289" i="6"/>
  <c r="T288" i="6"/>
  <c r="Q288" i="6"/>
  <c r="T287" i="6"/>
  <c r="Q287" i="6"/>
  <c r="T286" i="6"/>
  <c r="Q286" i="6"/>
  <c r="T285" i="6"/>
  <c r="Q285" i="6"/>
  <c r="T284" i="6"/>
  <c r="Q284" i="6"/>
  <c r="T283" i="6"/>
  <c r="Q283" i="6"/>
  <c r="T282" i="6"/>
  <c r="Q282" i="6"/>
  <c r="T281" i="6"/>
  <c r="Q281" i="6"/>
  <c r="T280" i="6"/>
  <c r="Q280" i="6"/>
  <c r="T279" i="6"/>
  <c r="Q279" i="6"/>
  <c r="T278" i="6"/>
  <c r="Q278" i="6"/>
  <c r="T277" i="6"/>
  <c r="Q277" i="6"/>
  <c r="T276" i="6"/>
  <c r="Q276" i="6"/>
  <c r="T275" i="6"/>
  <c r="Q275" i="6"/>
  <c r="T274" i="6"/>
  <c r="Q274" i="6"/>
  <c r="T273" i="6"/>
  <c r="Q273" i="6"/>
  <c r="T272" i="6"/>
  <c r="Q272" i="6"/>
  <c r="T271" i="6"/>
  <c r="Q271" i="6"/>
  <c r="T270" i="6"/>
  <c r="Q270" i="6"/>
  <c r="T269" i="6"/>
  <c r="Q269" i="6"/>
  <c r="T268" i="6"/>
  <c r="Q268" i="6"/>
  <c r="T267" i="6"/>
  <c r="Q267" i="6"/>
  <c r="T266" i="6"/>
  <c r="Q266" i="6"/>
  <c r="T265" i="6"/>
  <c r="Q265" i="6"/>
  <c r="T264" i="6"/>
  <c r="Q264" i="6"/>
  <c r="T263" i="6"/>
  <c r="Q263" i="6"/>
  <c r="T262" i="6"/>
  <c r="Q262" i="6"/>
  <c r="T203" i="6"/>
  <c r="Q203" i="6"/>
  <c r="T260" i="6"/>
  <c r="Q260" i="6"/>
  <c r="T259" i="6"/>
  <c r="Q259" i="6"/>
  <c r="T258" i="6"/>
  <c r="Q258" i="6"/>
  <c r="T257" i="6"/>
  <c r="Q257" i="6"/>
  <c r="T256" i="6"/>
  <c r="Q256" i="6"/>
  <c r="T255" i="6"/>
  <c r="Q255" i="6"/>
  <c r="T254" i="6"/>
  <c r="Q254" i="6"/>
  <c r="T253" i="6"/>
  <c r="Q253" i="6"/>
  <c r="T252" i="6"/>
  <c r="Q252" i="6"/>
  <c r="T251" i="6"/>
  <c r="Q251" i="6"/>
  <c r="T250" i="6"/>
  <c r="Q250" i="6"/>
  <c r="T249" i="6"/>
  <c r="Q249" i="6"/>
  <c r="T248" i="6"/>
  <c r="Q248" i="6"/>
  <c r="T247" i="6"/>
  <c r="Q247" i="6"/>
  <c r="T246" i="6"/>
  <c r="Q246" i="6"/>
  <c r="T245" i="6"/>
  <c r="Q245" i="6"/>
  <c r="T244" i="6"/>
  <c r="Q244" i="6"/>
  <c r="T243" i="6"/>
  <c r="Q243" i="6"/>
  <c r="T242" i="6"/>
  <c r="Q242" i="6"/>
  <c r="T241" i="6"/>
  <c r="Q241" i="6"/>
  <c r="T240" i="6"/>
  <c r="Q240" i="6"/>
  <c r="T239" i="6"/>
  <c r="Q239" i="6"/>
  <c r="T238" i="6"/>
  <c r="Q238" i="6"/>
  <c r="T237" i="6"/>
  <c r="Q237" i="6"/>
  <c r="T236" i="6"/>
  <c r="Q236" i="6"/>
  <c r="T235" i="6"/>
  <c r="Q235" i="6"/>
  <c r="T234" i="6"/>
  <c r="Q234" i="6"/>
  <c r="T233" i="6"/>
  <c r="Q233" i="6"/>
  <c r="T232" i="6"/>
  <c r="Q232" i="6"/>
  <c r="T231" i="6"/>
  <c r="Q231" i="6"/>
  <c r="T230" i="6"/>
  <c r="Q230" i="6"/>
  <c r="T229" i="6"/>
  <c r="Q229" i="6"/>
  <c r="T228" i="6"/>
  <c r="Q228" i="6"/>
  <c r="T227" i="6"/>
  <c r="Q227" i="6"/>
  <c r="T226" i="6"/>
  <c r="Q226" i="6"/>
  <c r="T225" i="6"/>
  <c r="Q225" i="6"/>
  <c r="T224" i="6"/>
  <c r="Q224" i="6"/>
  <c r="T223" i="6"/>
  <c r="Q223" i="6"/>
  <c r="T222" i="6"/>
  <c r="Q222" i="6"/>
  <c r="T221" i="6"/>
  <c r="Q221" i="6"/>
  <c r="T220" i="6"/>
  <c r="Q220" i="6"/>
  <c r="T219" i="6"/>
  <c r="Q219" i="6"/>
  <c r="T218" i="6"/>
  <c r="Q218" i="6"/>
  <c r="T217" i="6"/>
  <c r="Q217" i="6"/>
  <c r="T216" i="6"/>
  <c r="Q216" i="6"/>
  <c r="T261" i="6"/>
  <c r="Q261" i="6"/>
  <c r="T215" i="6"/>
  <c r="Q215" i="6"/>
  <c r="T214" i="6"/>
  <c r="Q214" i="6"/>
  <c r="T213" i="6"/>
  <c r="Q213" i="6"/>
  <c r="T212" i="6"/>
  <c r="Q212" i="6"/>
  <c r="T211" i="6"/>
  <c r="Q211" i="6"/>
  <c r="T210" i="6"/>
  <c r="Q210" i="6"/>
  <c r="T209" i="6"/>
  <c r="Q209" i="6"/>
  <c r="T208" i="6"/>
  <c r="Q208" i="6"/>
  <c r="T319" i="6"/>
  <c r="Q319" i="6"/>
  <c r="T207" i="6"/>
  <c r="Q207" i="6"/>
  <c r="T206" i="6"/>
  <c r="Q206" i="6"/>
  <c r="T205" i="6"/>
  <c r="Q205" i="6"/>
  <c r="T204" i="6"/>
  <c r="Q204" i="6"/>
  <c r="T202" i="6"/>
  <c r="Q202" i="6"/>
  <c r="T201" i="6"/>
  <c r="Q201" i="6"/>
  <c r="T321" i="6"/>
  <c r="Q321" i="6"/>
  <c r="T492" i="6"/>
  <c r="Q492" i="6"/>
  <c r="T491" i="6"/>
  <c r="Q491" i="6"/>
  <c r="T490" i="6"/>
  <c r="Q490" i="6"/>
  <c r="T489" i="6"/>
  <c r="Q489" i="6"/>
  <c r="T488" i="6"/>
  <c r="Q488" i="6"/>
  <c r="T487" i="6"/>
  <c r="Q487" i="6"/>
  <c r="T486" i="6"/>
  <c r="Q486" i="6"/>
  <c r="T485" i="6"/>
  <c r="Q485" i="6"/>
  <c r="T484" i="6"/>
  <c r="Q484" i="6"/>
  <c r="T483" i="6"/>
  <c r="Q483" i="6"/>
  <c r="T482" i="6"/>
  <c r="Q482" i="6"/>
  <c r="T481" i="6"/>
  <c r="Q481" i="6"/>
  <c r="T480" i="6"/>
  <c r="Q480" i="6"/>
  <c r="T479" i="6"/>
  <c r="Q479" i="6"/>
  <c r="T478" i="6"/>
  <c r="Q478" i="6"/>
  <c r="T477" i="6"/>
  <c r="Q477" i="6"/>
  <c r="T475" i="6"/>
  <c r="Q475" i="6"/>
  <c r="T474" i="6"/>
  <c r="Q474" i="6"/>
  <c r="T473" i="6"/>
  <c r="Q473" i="6"/>
  <c r="T472" i="6"/>
  <c r="Q472" i="6"/>
  <c r="T471" i="6"/>
  <c r="Q471" i="6"/>
  <c r="T470" i="6"/>
  <c r="Q470" i="6"/>
  <c r="T469" i="6"/>
  <c r="Q469" i="6"/>
  <c r="T468" i="6"/>
  <c r="Q468" i="6"/>
  <c r="T467" i="6"/>
  <c r="Q467" i="6"/>
  <c r="T466" i="6"/>
  <c r="Q466" i="6"/>
  <c r="T465" i="6"/>
  <c r="Q465" i="6"/>
  <c r="T464" i="6"/>
  <c r="Q464" i="6"/>
  <c r="T463" i="6"/>
  <c r="Q463" i="6"/>
  <c r="T462" i="6"/>
  <c r="Q462" i="6"/>
  <c r="T461" i="6"/>
  <c r="Q461" i="6"/>
  <c r="T460" i="6"/>
  <c r="Q460" i="6"/>
  <c r="T459" i="6"/>
  <c r="Q459" i="6"/>
  <c r="T458" i="6"/>
  <c r="Q458" i="6"/>
  <c r="T457" i="6"/>
  <c r="Q457" i="6"/>
  <c r="T456" i="6"/>
  <c r="Q456" i="6"/>
  <c r="T455" i="6"/>
  <c r="Q455" i="6"/>
  <c r="T454" i="6"/>
  <c r="Q454" i="6"/>
  <c r="T453" i="6"/>
  <c r="Q453" i="6"/>
  <c r="T452" i="6"/>
  <c r="Q452" i="6"/>
  <c r="T451" i="6"/>
  <c r="Q451" i="6"/>
  <c r="T450" i="6"/>
  <c r="Q450" i="6"/>
  <c r="T449" i="6"/>
  <c r="Q449" i="6"/>
  <c r="T448" i="6"/>
  <c r="Q448" i="6"/>
  <c r="T447" i="6"/>
  <c r="Q447" i="6"/>
  <c r="T446" i="6"/>
  <c r="Q446" i="6"/>
  <c r="T445" i="6"/>
  <c r="Q445" i="6"/>
  <c r="T444" i="6"/>
  <c r="Q444" i="6"/>
  <c r="T443" i="6"/>
  <c r="Q443" i="6"/>
  <c r="T442" i="6"/>
  <c r="Q442" i="6"/>
  <c r="T441" i="6"/>
  <c r="Q441" i="6"/>
  <c r="T440" i="6"/>
  <c r="Q440" i="6"/>
  <c r="T439" i="6"/>
  <c r="Q439" i="6"/>
  <c r="T438" i="6"/>
  <c r="Q438" i="6"/>
  <c r="T437" i="6"/>
  <c r="Q437" i="6"/>
  <c r="T436" i="6"/>
  <c r="Q436" i="6"/>
  <c r="T435" i="6"/>
  <c r="Q435" i="6"/>
  <c r="T434" i="6"/>
  <c r="Q434" i="6"/>
  <c r="T433" i="6"/>
  <c r="Q433" i="6"/>
  <c r="T432" i="6"/>
  <c r="Q432" i="6"/>
  <c r="T431" i="6"/>
  <c r="Q431" i="6"/>
  <c r="T430" i="6"/>
  <c r="Q430" i="6"/>
  <c r="T429" i="6"/>
  <c r="Q429" i="6"/>
  <c r="T428" i="6"/>
  <c r="Q428" i="6"/>
  <c r="T427" i="6"/>
  <c r="Q427" i="6"/>
  <c r="T426" i="6"/>
  <c r="Q426" i="6"/>
  <c r="T425" i="6"/>
  <c r="Q425" i="6"/>
  <c r="T424" i="6"/>
  <c r="Q424" i="6"/>
  <c r="T423" i="6"/>
  <c r="Q423" i="6"/>
  <c r="T422" i="6"/>
  <c r="Q422" i="6"/>
  <c r="T421" i="6"/>
  <c r="Q421" i="6"/>
  <c r="T476" i="6"/>
  <c r="Q476" i="6"/>
  <c r="T420" i="6"/>
  <c r="Q420" i="6"/>
  <c r="T419" i="6"/>
  <c r="Q419" i="6"/>
  <c r="T418" i="6"/>
  <c r="Q418" i="6"/>
  <c r="T416" i="6"/>
  <c r="Q416" i="6"/>
  <c r="T415" i="6"/>
  <c r="Q415" i="6"/>
  <c r="T414" i="6"/>
  <c r="Q414" i="6"/>
  <c r="T413" i="6"/>
  <c r="Q413" i="6"/>
  <c r="T412" i="6"/>
  <c r="Q412" i="6"/>
  <c r="T411" i="6"/>
  <c r="Q411" i="6"/>
  <c r="T410" i="6"/>
  <c r="Q410" i="6"/>
  <c r="T409" i="6"/>
  <c r="Q409" i="6"/>
  <c r="T408" i="6"/>
  <c r="Q408" i="6"/>
  <c r="T407" i="6"/>
  <c r="Q407" i="6"/>
  <c r="T406" i="6"/>
  <c r="Q406" i="6"/>
  <c r="T405" i="6"/>
  <c r="Q405" i="6"/>
  <c r="T404" i="6"/>
  <c r="Q404" i="6"/>
  <c r="T403" i="6"/>
  <c r="Q403" i="6"/>
  <c r="T402" i="6"/>
  <c r="Q402" i="6"/>
  <c r="T401" i="6"/>
  <c r="Q401" i="6"/>
  <c r="T400" i="6"/>
  <c r="Q400" i="6"/>
  <c r="T399" i="6"/>
  <c r="Q399" i="6"/>
  <c r="T398" i="6"/>
  <c r="Q398" i="6"/>
  <c r="T397" i="6"/>
  <c r="Q397" i="6"/>
  <c r="T396" i="6"/>
  <c r="Q396" i="6"/>
  <c r="T395" i="6"/>
  <c r="Q395" i="6"/>
  <c r="T394" i="6"/>
  <c r="Q394" i="6"/>
  <c r="T393" i="6"/>
  <c r="Q393" i="6"/>
  <c r="T392" i="6"/>
  <c r="Q392" i="6"/>
  <c r="T391" i="6"/>
  <c r="Q391" i="6"/>
  <c r="T390" i="6"/>
  <c r="Q390" i="6"/>
  <c r="T389" i="6"/>
  <c r="Q389" i="6"/>
  <c r="T388" i="6"/>
  <c r="Q388" i="6"/>
  <c r="T387" i="6"/>
  <c r="Q387" i="6"/>
  <c r="T386" i="6"/>
  <c r="Q386" i="6"/>
  <c r="T385" i="6"/>
  <c r="Q385" i="6"/>
  <c r="T384" i="6"/>
  <c r="Q384" i="6"/>
  <c r="T383" i="6"/>
  <c r="Q383" i="6"/>
  <c r="T382" i="6"/>
  <c r="Q382" i="6"/>
  <c r="T381" i="6"/>
  <c r="Q381" i="6"/>
  <c r="T380" i="6"/>
  <c r="Q380" i="6"/>
  <c r="T379" i="6"/>
  <c r="Q379" i="6"/>
  <c r="T378" i="6"/>
  <c r="Q378" i="6"/>
  <c r="T377" i="6"/>
  <c r="Q377" i="6"/>
  <c r="T376" i="6"/>
  <c r="Q376" i="6"/>
  <c r="T375" i="6"/>
  <c r="Q375" i="6"/>
  <c r="T374" i="6"/>
  <c r="Q374" i="6"/>
  <c r="T373" i="6"/>
  <c r="Q373" i="6"/>
  <c r="T372" i="6"/>
  <c r="Q372" i="6"/>
  <c r="T371" i="6"/>
  <c r="Q371" i="6"/>
  <c r="T370" i="6"/>
  <c r="Q370" i="6"/>
  <c r="T369" i="6"/>
  <c r="Q369" i="6"/>
  <c r="T368" i="6"/>
  <c r="Q368" i="6"/>
  <c r="T367" i="6"/>
  <c r="Q367" i="6"/>
  <c r="T366" i="6"/>
  <c r="Q366" i="6"/>
  <c r="T365" i="6"/>
  <c r="Q365" i="6"/>
  <c r="T364" i="6"/>
  <c r="Q364" i="6"/>
  <c r="T363" i="6"/>
  <c r="Q363" i="6"/>
  <c r="T362" i="6"/>
  <c r="Q362" i="6"/>
  <c r="T361" i="6"/>
  <c r="Q361" i="6"/>
  <c r="T360" i="6"/>
  <c r="Q360" i="6"/>
  <c r="T359" i="6"/>
  <c r="Q359" i="6"/>
  <c r="T358" i="6"/>
  <c r="Q358" i="6"/>
  <c r="T357" i="6"/>
  <c r="Q357" i="6"/>
  <c r="T356" i="6"/>
  <c r="Q356" i="6"/>
  <c r="T354" i="6"/>
  <c r="Q354" i="6"/>
  <c r="T353" i="6"/>
  <c r="Q353" i="6"/>
  <c r="T352" i="6"/>
  <c r="Q352" i="6"/>
  <c r="T351" i="6"/>
  <c r="Q351" i="6"/>
  <c r="T350" i="6"/>
  <c r="Q350" i="6"/>
  <c r="T349" i="6"/>
  <c r="Q349" i="6"/>
  <c r="T348" i="6"/>
  <c r="Q348" i="6"/>
  <c r="T347" i="6"/>
  <c r="Q347" i="6"/>
  <c r="T346" i="6"/>
  <c r="Q346" i="6"/>
  <c r="T345" i="6"/>
  <c r="Q345" i="6"/>
  <c r="T344" i="6"/>
  <c r="Q344" i="6"/>
  <c r="T343" i="6"/>
  <c r="Q343" i="6"/>
  <c r="T342" i="6"/>
  <c r="Q342" i="6"/>
  <c r="T417" i="6"/>
  <c r="Q417" i="6"/>
  <c r="T341" i="6"/>
  <c r="Q341" i="6"/>
  <c r="T340" i="6"/>
  <c r="Q340" i="6"/>
  <c r="T339" i="6"/>
  <c r="Q339" i="6"/>
  <c r="T338" i="6"/>
  <c r="Q338" i="6"/>
  <c r="T337" i="6"/>
  <c r="Q337" i="6"/>
  <c r="T336" i="6"/>
  <c r="Q336" i="6"/>
  <c r="T335" i="6"/>
  <c r="Q335" i="6"/>
  <c r="T334" i="6"/>
  <c r="Q334" i="6"/>
  <c r="T333" i="6"/>
  <c r="Q333" i="6"/>
  <c r="T332" i="6"/>
  <c r="Q332" i="6"/>
  <c r="T331" i="6"/>
  <c r="Q331" i="6"/>
  <c r="T330" i="6"/>
  <c r="Q330" i="6"/>
  <c r="D355" i="6"/>
  <c r="T355" i="6"/>
  <c r="Q355" i="6"/>
  <c r="T329" i="6"/>
  <c r="Q329" i="6"/>
  <c r="T328" i="6"/>
  <c r="Q328" i="6"/>
  <c r="T327" i="6"/>
  <c r="Q327" i="6"/>
  <c r="T326" i="6"/>
  <c r="Q326" i="6"/>
  <c r="T325" i="6"/>
  <c r="Q325" i="6"/>
  <c r="T324" i="6"/>
  <c r="Q324" i="6"/>
  <c r="T323" i="6"/>
  <c r="Q323" i="6"/>
  <c r="T322" i="6"/>
  <c r="Q322" i="6"/>
  <c r="T493" i="6"/>
  <c r="Q493" i="6"/>
  <c r="T678" i="6"/>
  <c r="Q678" i="6"/>
  <c r="T597" i="6"/>
  <c r="Q597" i="6"/>
  <c r="T676" i="6"/>
  <c r="Q676" i="6"/>
  <c r="T675" i="6"/>
  <c r="Q675" i="6"/>
  <c r="T674" i="6"/>
  <c r="Q674" i="6"/>
  <c r="T673" i="6"/>
  <c r="Q673" i="6"/>
  <c r="T672" i="6"/>
  <c r="Q672" i="6"/>
  <c r="T671" i="6"/>
  <c r="Q671" i="6"/>
  <c r="T670" i="6"/>
  <c r="Q670" i="6"/>
  <c r="T669" i="6"/>
  <c r="Q669" i="6"/>
  <c r="T668" i="6"/>
  <c r="Q668" i="6"/>
  <c r="T667" i="6"/>
  <c r="Q667" i="6"/>
  <c r="T666" i="6"/>
  <c r="Q666" i="6"/>
  <c r="T665" i="6"/>
  <c r="Q665" i="6"/>
  <c r="T664" i="6"/>
  <c r="Q664" i="6"/>
  <c r="T663" i="6"/>
  <c r="Q663" i="6"/>
  <c r="T662" i="6"/>
  <c r="Q662" i="6"/>
  <c r="T661" i="6"/>
  <c r="Q661" i="6"/>
  <c r="T660" i="6"/>
  <c r="Q660" i="6"/>
  <c r="T659" i="6"/>
  <c r="Q659" i="6"/>
  <c r="T658" i="6"/>
  <c r="Q658" i="6"/>
  <c r="T657" i="6"/>
  <c r="Q657" i="6"/>
  <c r="T656" i="6"/>
  <c r="Q656" i="6"/>
  <c r="T655" i="6"/>
  <c r="Q655" i="6"/>
  <c r="T654" i="6"/>
  <c r="Q654" i="6"/>
  <c r="T653" i="6"/>
  <c r="Q653" i="6"/>
  <c r="T652" i="6"/>
  <c r="Q652" i="6"/>
  <c r="T651" i="6"/>
  <c r="Q651" i="6"/>
  <c r="T650" i="6"/>
  <c r="Q650" i="6"/>
  <c r="T649" i="6"/>
  <c r="Q649" i="6"/>
  <c r="T648" i="6"/>
  <c r="Q648" i="6"/>
  <c r="T647" i="6"/>
  <c r="Q647" i="6"/>
  <c r="T646" i="6"/>
  <c r="Q646" i="6"/>
  <c r="T645" i="6"/>
  <c r="Q645" i="6"/>
  <c r="T644" i="6"/>
  <c r="Q644" i="6"/>
  <c r="T643" i="6"/>
  <c r="Q643" i="6"/>
  <c r="T642" i="6"/>
  <c r="Q642" i="6"/>
  <c r="T641" i="6"/>
  <c r="Q641" i="6"/>
  <c r="T640" i="6"/>
  <c r="Q640" i="6"/>
  <c r="T639" i="6"/>
  <c r="Q639" i="6"/>
  <c r="T638" i="6"/>
  <c r="Q638" i="6"/>
  <c r="T637" i="6"/>
  <c r="Q637" i="6"/>
  <c r="T636" i="6"/>
  <c r="Q636" i="6"/>
  <c r="T635" i="6"/>
  <c r="Q635" i="6"/>
  <c r="T634" i="6"/>
  <c r="Q634" i="6"/>
  <c r="T633" i="6"/>
  <c r="Q633" i="6"/>
  <c r="T632" i="6"/>
  <c r="Q632" i="6"/>
  <c r="T631" i="6"/>
  <c r="Q631" i="6"/>
  <c r="T630" i="6"/>
  <c r="Q630" i="6"/>
  <c r="T629" i="6"/>
  <c r="Q629" i="6"/>
  <c r="T628" i="6"/>
  <c r="Q628" i="6"/>
  <c r="T627" i="6"/>
  <c r="Q627" i="6"/>
  <c r="T626" i="6"/>
  <c r="Q626" i="6"/>
  <c r="T625" i="6"/>
  <c r="Q625" i="6"/>
  <c r="T624" i="6"/>
  <c r="Q624" i="6"/>
  <c r="T623" i="6"/>
  <c r="Q623" i="6"/>
  <c r="T622" i="6"/>
  <c r="Q622" i="6"/>
  <c r="T621" i="6"/>
  <c r="Q621" i="6"/>
  <c r="T620" i="6"/>
  <c r="Q620" i="6"/>
  <c r="T619" i="6"/>
  <c r="Q619" i="6"/>
  <c r="T618" i="6"/>
  <c r="Q618" i="6"/>
  <c r="T617" i="6"/>
  <c r="Q617" i="6"/>
  <c r="T677" i="6"/>
  <c r="Q677" i="6"/>
  <c r="T616" i="6"/>
  <c r="Q616" i="6"/>
  <c r="T615" i="6"/>
  <c r="Q615" i="6"/>
  <c r="T614" i="6"/>
  <c r="Q614" i="6"/>
  <c r="T613" i="6"/>
  <c r="Q613" i="6"/>
  <c r="T612" i="6"/>
  <c r="Q612" i="6"/>
  <c r="T611" i="6"/>
  <c r="Q611" i="6"/>
  <c r="T610" i="6"/>
  <c r="Q610" i="6"/>
  <c r="T609" i="6"/>
  <c r="Q609" i="6"/>
  <c r="T608" i="6"/>
  <c r="Q608" i="6"/>
  <c r="T607" i="6"/>
  <c r="Q607" i="6"/>
  <c r="T606" i="6"/>
  <c r="Q606" i="6"/>
  <c r="T605" i="6"/>
  <c r="Q605" i="6"/>
  <c r="T604" i="6"/>
  <c r="Q604" i="6"/>
  <c r="T603" i="6"/>
  <c r="Q603" i="6"/>
  <c r="T602" i="6"/>
  <c r="Q602" i="6"/>
  <c r="T601" i="6"/>
  <c r="Q601" i="6"/>
  <c r="T600" i="6"/>
  <c r="Q600" i="6"/>
  <c r="T599" i="6"/>
  <c r="Q599" i="6"/>
  <c r="T598" i="6"/>
  <c r="Q598" i="6"/>
  <c r="T596" i="6"/>
  <c r="Q596" i="6"/>
  <c r="T595" i="6"/>
  <c r="Q595" i="6"/>
  <c r="T594" i="6"/>
  <c r="Q594" i="6"/>
  <c r="T581" i="6"/>
  <c r="Q581" i="6"/>
  <c r="T593" i="6"/>
  <c r="Q593" i="6"/>
  <c r="T592" i="6"/>
  <c r="Q592" i="6"/>
  <c r="T591" i="6"/>
  <c r="Q591" i="6"/>
  <c r="T590" i="6"/>
  <c r="Q590" i="6"/>
  <c r="T589" i="6"/>
  <c r="Q589" i="6"/>
  <c r="T588" i="6"/>
  <c r="Q588" i="6"/>
  <c r="T587" i="6"/>
  <c r="Q587" i="6"/>
  <c r="T586" i="6"/>
  <c r="Q586" i="6"/>
  <c r="T585" i="6"/>
  <c r="Q585" i="6"/>
  <c r="T584" i="6"/>
  <c r="Q584" i="6"/>
  <c r="T583" i="6"/>
  <c r="Q583" i="6"/>
  <c r="T582" i="6"/>
  <c r="Q582" i="6"/>
  <c r="T580" i="6"/>
  <c r="Q580" i="6"/>
  <c r="T579" i="6"/>
  <c r="Q579" i="6"/>
  <c r="T578" i="6"/>
  <c r="Q578" i="6"/>
  <c r="T577" i="6"/>
  <c r="Q577" i="6"/>
  <c r="T576" i="6"/>
  <c r="Q576" i="6"/>
  <c r="T575" i="6"/>
  <c r="Q575" i="6"/>
  <c r="T574" i="6"/>
  <c r="Q574" i="6"/>
  <c r="T573" i="6"/>
  <c r="Q573" i="6"/>
  <c r="T572" i="6"/>
  <c r="Q572" i="6"/>
  <c r="T571" i="6"/>
  <c r="Q571" i="6"/>
  <c r="T570" i="6"/>
  <c r="Q570" i="6"/>
  <c r="T569" i="6"/>
  <c r="Q569" i="6"/>
  <c r="T568" i="6"/>
  <c r="Q568" i="6"/>
  <c r="T567" i="6"/>
  <c r="Q567" i="6"/>
  <c r="T566" i="6"/>
  <c r="Q566" i="6"/>
  <c r="T564" i="6"/>
  <c r="Q564" i="6"/>
  <c r="T563" i="6"/>
  <c r="Q563" i="6"/>
  <c r="T562" i="6"/>
  <c r="Q562" i="6"/>
  <c r="T561" i="6"/>
  <c r="Q561" i="6"/>
  <c r="T560" i="6"/>
  <c r="Q560" i="6"/>
  <c r="T559" i="6"/>
  <c r="Q559" i="6"/>
  <c r="T558" i="6"/>
  <c r="Q558" i="6"/>
  <c r="T557" i="6"/>
  <c r="Q557" i="6"/>
  <c r="T556" i="6"/>
  <c r="Q556" i="6"/>
  <c r="T555" i="6"/>
  <c r="Q555" i="6"/>
  <c r="T554" i="6"/>
  <c r="Q554" i="6"/>
  <c r="T553" i="6"/>
  <c r="Q553" i="6"/>
  <c r="T552" i="6"/>
  <c r="Q552" i="6"/>
  <c r="T551" i="6"/>
  <c r="Q551" i="6"/>
  <c r="T550" i="6"/>
  <c r="Q550" i="6"/>
  <c r="T549" i="6"/>
  <c r="Q549" i="6"/>
  <c r="T548" i="6"/>
  <c r="Q548" i="6"/>
  <c r="T547" i="6"/>
  <c r="Q547" i="6"/>
  <c r="T546" i="6"/>
  <c r="Q546" i="6"/>
  <c r="T545" i="6"/>
  <c r="Q545" i="6"/>
  <c r="T544" i="6"/>
  <c r="Q544" i="6"/>
  <c r="T543" i="6"/>
  <c r="Q543" i="6"/>
  <c r="T542" i="6"/>
  <c r="Q542" i="6"/>
  <c r="T541" i="6"/>
  <c r="Q541" i="6"/>
  <c r="T540" i="6"/>
  <c r="Q540" i="6"/>
  <c r="T539" i="6"/>
  <c r="Q539" i="6"/>
  <c r="T565" i="6"/>
  <c r="Q565" i="6"/>
  <c r="T538" i="6"/>
  <c r="Q538" i="6"/>
  <c r="T537" i="6"/>
  <c r="Q537" i="6"/>
  <c r="T536" i="6"/>
  <c r="Q536" i="6"/>
  <c r="T535" i="6"/>
  <c r="Q535" i="6"/>
  <c r="T534" i="6"/>
  <c r="Q534" i="6"/>
  <c r="T533" i="6"/>
  <c r="Q533" i="6"/>
  <c r="T532" i="6"/>
  <c r="Q532" i="6"/>
  <c r="T531" i="6"/>
  <c r="Q531" i="6"/>
  <c r="T530" i="6"/>
  <c r="Q530" i="6"/>
  <c r="T529" i="6"/>
  <c r="Q529" i="6"/>
  <c r="T528" i="6"/>
  <c r="Q528" i="6"/>
  <c r="T527" i="6"/>
  <c r="Q527" i="6"/>
  <c r="T526" i="6"/>
  <c r="Q526" i="6"/>
  <c r="T525" i="6"/>
  <c r="Q525" i="6"/>
  <c r="T524" i="6"/>
  <c r="Q524" i="6"/>
  <c r="T523" i="6"/>
  <c r="Q523" i="6"/>
  <c r="T522" i="6"/>
  <c r="Q522" i="6"/>
  <c r="T521" i="6"/>
  <c r="Q521" i="6"/>
  <c r="T520" i="6"/>
  <c r="Q520" i="6"/>
  <c r="T519" i="6"/>
  <c r="Q519" i="6"/>
  <c r="T518" i="6"/>
  <c r="Q518" i="6"/>
  <c r="T517" i="6"/>
  <c r="Q517" i="6"/>
  <c r="T516" i="6"/>
  <c r="Q516" i="6"/>
  <c r="T515" i="6"/>
  <c r="Q515" i="6"/>
  <c r="T514" i="6"/>
  <c r="Q514" i="6"/>
  <c r="T513" i="6"/>
  <c r="Q513" i="6"/>
  <c r="T512" i="6"/>
  <c r="Q512" i="6"/>
  <c r="T511" i="6"/>
  <c r="Q511" i="6"/>
  <c r="T510" i="6"/>
  <c r="Q510" i="6"/>
  <c r="T509" i="6"/>
  <c r="Q509" i="6"/>
  <c r="T508" i="6"/>
  <c r="Q508" i="6"/>
  <c r="T507" i="6"/>
  <c r="Q507" i="6"/>
  <c r="T506" i="6"/>
  <c r="Q506" i="6"/>
  <c r="T505" i="6"/>
  <c r="Q505" i="6"/>
  <c r="T504" i="6"/>
  <c r="Q504" i="6"/>
  <c r="T503" i="6"/>
  <c r="Q503" i="6"/>
  <c r="T502" i="6"/>
  <c r="Q502" i="6"/>
  <c r="T501" i="6"/>
  <c r="Q501" i="6"/>
  <c r="T500" i="6"/>
  <c r="Q500" i="6"/>
  <c r="T499" i="6"/>
  <c r="Q499" i="6"/>
  <c r="T498" i="6"/>
  <c r="Q498" i="6"/>
  <c r="T497" i="6"/>
  <c r="Q497" i="6"/>
  <c r="T496" i="6"/>
  <c r="Q496" i="6"/>
  <c r="T495" i="6"/>
  <c r="Q495" i="6"/>
  <c r="T494" i="6"/>
  <c r="Q494" i="6"/>
  <c r="T679" i="6"/>
  <c r="Q679" i="6"/>
  <c r="T837" i="6"/>
  <c r="Q837" i="6"/>
  <c r="T836" i="6"/>
  <c r="Q836" i="6"/>
  <c r="T835" i="6"/>
  <c r="Q835" i="6"/>
  <c r="T834" i="6"/>
  <c r="Q834" i="6"/>
  <c r="T833" i="6"/>
  <c r="Q833" i="6"/>
  <c r="T832" i="6"/>
  <c r="Q832" i="6"/>
  <c r="T831" i="6"/>
  <c r="Q831" i="6"/>
  <c r="T830" i="6"/>
  <c r="Q830" i="6"/>
  <c r="T829" i="6"/>
  <c r="Q829" i="6"/>
  <c r="T828" i="6"/>
  <c r="Q828" i="6"/>
  <c r="T827" i="6"/>
  <c r="Q827" i="6"/>
  <c r="T826" i="6"/>
  <c r="Q826" i="6"/>
  <c r="T806" i="6"/>
  <c r="Q806" i="6"/>
  <c r="T825" i="6"/>
  <c r="Q825" i="6"/>
  <c r="T824" i="6"/>
  <c r="Q824" i="6"/>
  <c r="T823" i="6"/>
  <c r="Q823" i="6"/>
  <c r="T822" i="6"/>
  <c r="Q822" i="6"/>
  <c r="T821" i="6"/>
  <c r="Q821" i="6"/>
  <c r="T820" i="6"/>
  <c r="Q820" i="6"/>
  <c r="T819" i="6"/>
  <c r="Q819" i="6"/>
  <c r="T817" i="6"/>
  <c r="Q817" i="6"/>
  <c r="T816" i="6"/>
  <c r="Q816" i="6"/>
  <c r="T815" i="6"/>
  <c r="Q815" i="6"/>
  <c r="T814" i="6"/>
  <c r="Q814" i="6"/>
  <c r="T813" i="6"/>
  <c r="Q813" i="6"/>
  <c r="T812" i="6"/>
  <c r="Q812" i="6"/>
  <c r="T811" i="6"/>
  <c r="Q811" i="6"/>
  <c r="T810" i="6"/>
  <c r="Q810" i="6"/>
  <c r="T809" i="6"/>
  <c r="Q809" i="6"/>
  <c r="T808" i="6"/>
  <c r="Q808" i="6"/>
  <c r="T807" i="6"/>
  <c r="Q807" i="6"/>
  <c r="T805" i="6"/>
  <c r="Q805" i="6"/>
  <c r="T804" i="6"/>
  <c r="Q804" i="6"/>
  <c r="T803" i="6"/>
  <c r="Q803" i="6"/>
  <c r="T802" i="6"/>
  <c r="Q802" i="6"/>
  <c r="T801" i="6"/>
  <c r="Q801" i="6"/>
  <c r="T800" i="6"/>
  <c r="Q800" i="6"/>
  <c r="T799" i="6"/>
  <c r="Q799" i="6"/>
  <c r="T798" i="6"/>
  <c r="Q798" i="6"/>
  <c r="T797" i="6"/>
  <c r="Q797" i="6"/>
  <c r="T796" i="6"/>
  <c r="Q796" i="6"/>
  <c r="T795" i="6"/>
  <c r="Q795" i="6"/>
  <c r="T794" i="6"/>
  <c r="Q794" i="6"/>
  <c r="T793" i="6"/>
  <c r="Q793" i="6"/>
  <c r="T792" i="6"/>
  <c r="Q792" i="6"/>
  <c r="T791" i="6"/>
  <c r="Q791" i="6"/>
  <c r="T790" i="6"/>
  <c r="Q790" i="6"/>
  <c r="T789" i="6"/>
  <c r="Q789" i="6"/>
  <c r="T788" i="6"/>
  <c r="Q788" i="6"/>
  <c r="T787" i="6"/>
  <c r="Q787" i="6"/>
  <c r="T786" i="6"/>
  <c r="Q786" i="6"/>
  <c r="T785" i="6"/>
  <c r="Q785" i="6"/>
  <c r="T784" i="6"/>
  <c r="Q784" i="6"/>
  <c r="T783" i="6"/>
  <c r="Q783" i="6"/>
  <c r="T782" i="6"/>
  <c r="Q782" i="6"/>
  <c r="T781" i="6"/>
  <c r="Q781" i="6"/>
  <c r="T780" i="6"/>
  <c r="Q780" i="6"/>
  <c r="T779" i="6"/>
  <c r="Q779" i="6"/>
  <c r="T778" i="6"/>
  <c r="Q778" i="6"/>
  <c r="T777" i="6"/>
  <c r="Q777" i="6"/>
  <c r="T776" i="6"/>
  <c r="Q776" i="6"/>
  <c r="T775" i="6"/>
  <c r="Q775" i="6"/>
  <c r="T774" i="6"/>
  <c r="Q774" i="6"/>
  <c r="T773" i="6"/>
  <c r="Q773" i="6"/>
  <c r="T772" i="6"/>
  <c r="Q772" i="6"/>
  <c r="T771" i="6"/>
  <c r="Q771" i="6"/>
  <c r="T770" i="6"/>
  <c r="Q770" i="6"/>
  <c r="T769" i="6"/>
  <c r="Q769" i="6"/>
  <c r="T768" i="6"/>
  <c r="Q768" i="6"/>
  <c r="T767" i="6"/>
  <c r="Q767" i="6"/>
  <c r="T766" i="6"/>
  <c r="Q766" i="6"/>
  <c r="T765" i="6"/>
  <c r="Q765" i="6"/>
  <c r="T764" i="6"/>
  <c r="Q764" i="6"/>
  <c r="T763" i="6"/>
  <c r="Q763" i="6"/>
  <c r="T762" i="6"/>
  <c r="Q762" i="6"/>
  <c r="T761" i="6"/>
  <c r="Q761" i="6"/>
  <c r="T760" i="6"/>
  <c r="Q760" i="6"/>
  <c r="T759" i="6"/>
  <c r="Q759" i="6"/>
  <c r="T758" i="6"/>
  <c r="Q758" i="6"/>
  <c r="T757" i="6"/>
  <c r="Q757" i="6"/>
  <c r="T756" i="6"/>
  <c r="Q756" i="6"/>
  <c r="T755" i="6"/>
  <c r="Q755" i="6"/>
  <c r="T754" i="6"/>
  <c r="Q754" i="6"/>
  <c r="T753" i="6"/>
  <c r="Q753" i="6"/>
  <c r="T752" i="6"/>
  <c r="Q752" i="6"/>
  <c r="T751" i="6"/>
  <c r="Q751" i="6"/>
  <c r="T750" i="6"/>
  <c r="Q750" i="6"/>
  <c r="T749" i="6"/>
  <c r="Q749" i="6"/>
  <c r="T748" i="6"/>
  <c r="Q748" i="6"/>
  <c r="T747" i="6"/>
  <c r="Q747" i="6"/>
  <c r="T746" i="6"/>
  <c r="Q746" i="6"/>
  <c r="T745" i="6"/>
  <c r="Q745" i="6"/>
  <c r="T744" i="6"/>
  <c r="Q744" i="6"/>
  <c r="T743" i="6"/>
  <c r="Q743" i="6"/>
  <c r="T818" i="6"/>
  <c r="Q818" i="6"/>
  <c r="T742" i="6"/>
  <c r="Q742" i="6"/>
  <c r="T741" i="6"/>
  <c r="Q741" i="6"/>
  <c r="T740" i="6"/>
  <c r="Q740" i="6"/>
  <c r="T739" i="6"/>
  <c r="Q739" i="6"/>
  <c r="T738" i="6"/>
  <c r="Q738" i="6"/>
  <c r="T737" i="6"/>
  <c r="Q737" i="6"/>
  <c r="T736" i="6"/>
  <c r="Q736" i="6"/>
  <c r="T735" i="6"/>
  <c r="Q735" i="6"/>
  <c r="T734" i="6"/>
  <c r="Q734" i="6"/>
  <c r="T733" i="6"/>
  <c r="Q733" i="6"/>
  <c r="T732" i="6"/>
  <c r="Q732" i="6"/>
  <c r="T731" i="6"/>
  <c r="Q731" i="6"/>
  <c r="T730" i="6"/>
  <c r="Q730" i="6"/>
  <c r="T729" i="6"/>
  <c r="Q729" i="6"/>
  <c r="T728" i="6"/>
  <c r="Q728" i="6"/>
  <c r="T727" i="6"/>
  <c r="Q727" i="6"/>
  <c r="T726" i="6"/>
  <c r="Q726" i="6"/>
  <c r="T725" i="6"/>
  <c r="Q725" i="6"/>
  <c r="T724" i="6"/>
  <c r="Q724" i="6"/>
  <c r="T723" i="6"/>
  <c r="Q723" i="6"/>
  <c r="T722" i="6"/>
  <c r="Q722" i="6"/>
  <c r="T721" i="6"/>
  <c r="Q721" i="6"/>
  <c r="T720" i="6"/>
  <c r="Q720" i="6"/>
  <c r="T719" i="6"/>
  <c r="Q719" i="6"/>
  <c r="T718" i="6"/>
  <c r="Q718" i="6"/>
  <c r="T717" i="6"/>
  <c r="Q717" i="6"/>
  <c r="T716" i="6"/>
  <c r="Q716" i="6"/>
  <c r="T715" i="6"/>
  <c r="Q715" i="6"/>
  <c r="T714" i="6"/>
  <c r="Q714" i="6"/>
  <c r="T713" i="6"/>
  <c r="Q713" i="6"/>
  <c r="T712" i="6"/>
  <c r="Q712" i="6"/>
  <c r="T711" i="6"/>
  <c r="Q711" i="6"/>
  <c r="T710" i="6"/>
  <c r="Q710" i="6"/>
  <c r="T709" i="6"/>
  <c r="Q709" i="6"/>
  <c r="T708" i="6"/>
  <c r="Q708" i="6"/>
  <c r="T707" i="6"/>
  <c r="Q707" i="6"/>
  <c r="T706" i="6"/>
  <c r="Q706" i="6"/>
  <c r="T705" i="6"/>
  <c r="Q705" i="6"/>
  <c r="T704" i="6"/>
  <c r="Q704" i="6"/>
  <c r="T703" i="6"/>
  <c r="Q703" i="6"/>
  <c r="T702" i="6"/>
  <c r="Q702" i="6"/>
  <c r="T701" i="6"/>
  <c r="Q701" i="6"/>
  <c r="T700" i="6"/>
  <c r="Q700" i="6"/>
  <c r="T699" i="6"/>
  <c r="Q699" i="6"/>
  <c r="T698" i="6"/>
  <c r="Q698" i="6"/>
  <c r="T697" i="6"/>
  <c r="Q697" i="6"/>
  <c r="T696" i="6"/>
  <c r="Q696" i="6"/>
  <c r="T695" i="6"/>
  <c r="Q695" i="6"/>
  <c r="T694" i="6"/>
  <c r="Q694" i="6"/>
  <c r="T693" i="6"/>
  <c r="Q693" i="6"/>
  <c r="T692" i="6"/>
  <c r="Q692" i="6"/>
  <c r="T691" i="6"/>
  <c r="Q691" i="6"/>
  <c r="T690" i="6"/>
  <c r="Q690" i="6"/>
  <c r="T689" i="6"/>
  <c r="Q689" i="6"/>
  <c r="T688" i="6"/>
  <c r="Q688" i="6"/>
  <c r="T687" i="6"/>
  <c r="Q687" i="6"/>
  <c r="T686" i="6"/>
  <c r="Q686" i="6"/>
  <c r="T685" i="6"/>
  <c r="Q685" i="6"/>
  <c r="T684" i="6"/>
  <c r="Q684" i="6"/>
  <c r="T683" i="6"/>
  <c r="Q683" i="6"/>
  <c r="T682" i="6"/>
  <c r="Q682" i="6"/>
  <c r="T681" i="6"/>
  <c r="Q681" i="6"/>
  <c r="T680" i="6"/>
  <c r="Q680" i="6"/>
  <c r="T1000" i="6"/>
  <c r="Q1000" i="6"/>
  <c r="T999" i="6"/>
  <c r="Q999" i="6"/>
  <c r="T998" i="6"/>
  <c r="Q998" i="6"/>
  <c r="T997" i="6"/>
  <c r="Q997" i="6"/>
  <c r="T996" i="6"/>
  <c r="Q996" i="6"/>
  <c r="T995" i="6"/>
  <c r="Q995" i="6"/>
  <c r="T994" i="6"/>
  <c r="Q994" i="6"/>
  <c r="T924" i="6"/>
  <c r="Q924" i="6"/>
  <c r="T993" i="6"/>
  <c r="Q993" i="6"/>
  <c r="T992" i="6"/>
  <c r="Q992" i="6"/>
  <c r="T991" i="6"/>
  <c r="Q991" i="6"/>
  <c r="T990" i="6"/>
  <c r="Q990" i="6"/>
  <c r="T989" i="6"/>
  <c r="Q989" i="6"/>
  <c r="T988" i="6"/>
  <c r="Q988" i="6"/>
  <c r="T987" i="6"/>
  <c r="Q987" i="6"/>
  <c r="T986" i="6"/>
  <c r="Q986" i="6"/>
  <c r="T985" i="6"/>
  <c r="Q985" i="6"/>
  <c r="T984" i="6"/>
  <c r="Q984" i="6"/>
  <c r="T983" i="6"/>
  <c r="Q983" i="6"/>
  <c r="T982" i="6"/>
  <c r="Q982" i="6"/>
  <c r="T981" i="6"/>
  <c r="Q981" i="6"/>
  <c r="T980" i="6"/>
  <c r="Q980" i="6"/>
  <c r="T979" i="6"/>
  <c r="Q979" i="6"/>
  <c r="T978" i="6"/>
  <c r="Q978" i="6"/>
  <c r="T977" i="6"/>
  <c r="Q977" i="6"/>
  <c r="T976" i="6"/>
  <c r="Q976" i="6"/>
  <c r="T975" i="6"/>
  <c r="Q975" i="6"/>
  <c r="T974" i="6"/>
  <c r="Q974" i="6"/>
  <c r="T973" i="6"/>
  <c r="Q973" i="6"/>
  <c r="T972" i="6"/>
  <c r="Q972" i="6"/>
  <c r="T971" i="6"/>
  <c r="Q971" i="6"/>
  <c r="T970" i="6"/>
  <c r="Q970" i="6"/>
  <c r="T848" i="6"/>
  <c r="Q848" i="6"/>
  <c r="T969" i="6"/>
  <c r="Q969" i="6"/>
  <c r="T968" i="6"/>
  <c r="Q968" i="6"/>
  <c r="T967" i="6"/>
  <c r="Q967" i="6"/>
  <c r="T966" i="6"/>
  <c r="Q966" i="6"/>
  <c r="T965" i="6"/>
  <c r="Q965" i="6"/>
  <c r="T964" i="6"/>
  <c r="Q964" i="6"/>
  <c r="T963" i="6"/>
  <c r="Q963" i="6"/>
  <c r="T962" i="6"/>
  <c r="Q962" i="6"/>
  <c r="T961" i="6"/>
  <c r="Q961" i="6"/>
  <c r="T960" i="6"/>
  <c r="Q960" i="6"/>
  <c r="T959" i="6"/>
  <c r="Q959" i="6"/>
  <c r="T958" i="6"/>
  <c r="Q958" i="6"/>
  <c r="T957" i="6"/>
  <c r="Q957" i="6"/>
  <c r="T956" i="6"/>
  <c r="Q956" i="6"/>
  <c r="T955" i="6"/>
  <c r="Q955" i="6"/>
  <c r="T954" i="6"/>
  <c r="Q954" i="6"/>
  <c r="T953" i="6"/>
  <c r="Q953" i="6"/>
  <c r="T952" i="6"/>
  <c r="Q952" i="6"/>
  <c r="T951" i="6"/>
  <c r="Q951" i="6"/>
  <c r="T950" i="6"/>
  <c r="Q950" i="6"/>
  <c r="T949" i="6"/>
  <c r="Q949" i="6"/>
  <c r="T948" i="6"/>
  <c r="Q948" i="6"/>
  <c r="T947" i="6"/>
  <c r="Q947" i="6"/>
  <c r="T946" i="6"/>
  <c r="Q946" i="6"/>
  <c r="T945" i="6"/>
  <c r="Q945" i="6"/>
  <c r="T944" i="6"/>
  <c r="Q944" i="6"/>
  <c r="T943" i="6"/>
  <c r="Q943" i="6"/>
  <c r="T942" i="6"/>
  <c r="Q942" i="6"/>
  <c r="T941" i="6"/>
  <c r="Q941" i="6"/>
  <c r="T940" i="6"/>
  <c r="Q940" i="6"/>
  <c r="T939" i="6"/>
  <c r="Q939" i="6"/>
  <c r="T938" i="6"/>
  <c r="Q938" i="6"/>
  <c r="T937" i="6"/>
  <c r="Q937" i="6"/>
  <c r="T936" i="6"/>
  <c r="Q936" i="6"/>
  <c r="T935" i="6"/>
  <c r="Q935" i="6"/>
  <c r="T934" i="6"/>
  <c r="Q934" i="6"/>
  <c r="T933" i="6"/>
  <c r="Q933" i="6"/>
  <c r="T932" i="6"/>
  <c r="Q932" i="6"/>
  <c r="T931" i="6"/>
  <c r="Q931" i="6"/>
  <c r="T930" i="6"/>
  <c r="Q930" i="6"/>
  <c r="T929" i="6"/>
  <c r="Q929" i="6"/>
  <c r="T928" i="6"/>
  <c r="Q928" i="6"/>
  <c r="T927" i="6"/>
  <c r="Q927" i="6"/>
  <c r="T926" i="6"/>
  <c r="Q926" i="6"/>
  <c r="T925" i="6"/>
  <c r="Q925" i="6"/>
  <c r="T923" i="6"/>
  <c r="Q923" i="6"/>
  <c r="T922" i="6"/>
  <c r="Q922" i="6"/>
  <c r="T921" i="6"/>
  <c r="Q921" i="6"/>
  <c r="T920" i="6"/>
  <c r="Q920" i="6"/>
  <c r="T919" i="6"/>
  <c r="Q919" i="6"/>
  <c r="T918" i="6"/>
  <c r="Q918" i="6"/>
  <c r="T917" i="6"/>
  <c r="Q917" i="6"/>
  <c r="T916" i="6"/>
  <c r="Q916" i="6"/>
  <c r="T915" i="6"/>
  <c r="Q915" i="6"/>
  <c r="T914" i="6"/>
  <c r="Q914" i="6"/>
  <c r="T913" i="6"/>
  <c r="Q913" i="6"/>
  <c r="T912" i="6"/>
  <c r="Q912" i="6"/>
  <c r="T911" i="6"/>
  <c r="Q911" i="6"/>
  <c r="T910" i="6"/>
  <c r="Q910" i="6"/>
  <c r="T909" i="6"/>
  <c r="Q909" i="6"/>
  <c r="T908" i="6"/>
  <c r="Q908" i="6"/>
  <c r="T907" i="6"/>
  <c r="Q907" i="6"/>
  <c r="T906" i="6"/>
  <c r="Q906" i="6"/>
  <c r="T905" i="6"/>
  <c r="Q905" i="6"/>
  <c r="T904" i="6"/>
  <c r="Q904" i="6"/>
  <c r="T903" i="6"/>
  <c r="Q903" i="6"/>
  <c r="T902" i="6"/>
  <c r="Q902" i="6"/>
  <c r="T901" i="6"/>
  <c r="Q901" i="6"/>
  <c r="T900" i="6"/>
  <c r="Q900" i="6"/>
  <c r="T899" i="6"/>
  <c r="Q899" i="6"/>
  <c r="T898" i="6"/>
  <c r="Q898" i="6"/>
  <c r="T897" i="6"/>
  <c r="Q897" i="6"/>
  <c r="T896" i="6"/>
  <c r="Q896" i="6"/>
  <c r="T895" i="6"/>
  <c r="Q895" i="6"/>
  <c r="T894" i="6"/>
  <c r="Q894" i="6"/>
  <c r="T893" i="6"/>
  <c r="Q893" i="6"/>
  <c r="T892" i="6"/>
  <c r="Q892" i="6"/>
  <c r="T891" i="6"/>
  <c r="Q891" i="6"/>
  <c r="T890" i="6"/>
  <c r="Q890" i="6"/>
  <c r="T889" i="6"/>
  <c r="Q889" i="6"/>
  <c r="T888" i="6"/>
  <c r="Q888" i="6"/>
  <c r="T887" i="6"/>
  <c r="Q887" i="6"/>
  <c r="T886" i="6"/>
  <c r="Q886" i="6"/>
  <c r="T885" i="6"/>
  <c r="Q885" i="6"/>
  <c r="T884" i="6"/>
  <c r="Q884" i="6"/>
  <c r="T883" i="6"/>
  <c r="Q883" i="6"/>
  <c r="T882" i="6"/>
  <c r="Q882" i="6"/>
  <c r="T881" i="6"/>
  <c r="Q881" i="6"/>
  <c r="T880" i="6"/>
  <c r="Q880" i="6"/>
  <c r="T879" i="6"/>
  <c r="Q879" i="6"/>
  <c r="T878" i="6"/>
  <c r="Q878" i="6"/>
  <c r="T877" i="6"/>
  <c r="Q877" i="6"/>
  <c r="T876" i="6"/>
  <c r="Q876" i="6"/>
  <c r="T875" i="6"/>
  <c r="Q875" i="6"/>
  <c r="T874" i="6"/>
  <c r="Q874" i="6"/>
  <c r="T873" i="6"/>
  <c r="Q873" i="6"/>
  <c r="T872" i="6"/>
  <c r="Q872" i="6"/>
  <c r="T871" i="6"/>
  <c r="Q871" i="6"/>
  <c r="T870" i="6"/>
  <c r="Q870" i="6"/>
  <c r="T869" i="6"/>
  <c r="Q869" i="6"/>
  <c r="T868" i="6"/>
  <c r="Q868" i="6"/>
  <c r="T867" i="6"/>
  <c r="Q867" i="6"/>
  <c r="T866" i="6"/>
  <c r="Q866" i="6"/>
  <c r="T865" i="6"/>
  <c r="Q865" i="6"/>
  <c r="T864" i="6"/>
  <c r="Q864" i="6"/>
  <c r="T863" i="6"/>
  <c r="Q863" i="6"/>
  <c r="T862" i="6"/>
  <c r="Q862" i="6"/>
  <c r="T861" i="6"/>
  <c r="Q861" i="6"/>
  <c r="T860" i="6"/>
  <c r="Q860" i="6"/>
  <c r="T859" i="6"/>
  <c r="Q859" i="6"/>
  <c r="T858" i="6"/>
  <c r="Q858" i="6"/>
  <c r="T857" i="6"/>
  <c r="Q857" i="6"/>
  <c r="T856" i="6"/>
  <c r="Q856" i="6"/>
  <c r="T855" i="6"/>
  <c r="Q855" i="6"/>
  <c r="T854" i="6"/>
  <c r="Q854" i="6"/>
  <c r="T853" i="6"/>
  <c r="Q853" i="6"/>
  <c r="T852" i="6"/>
  <c r="Q852" i="6"/>
  <c r="T851" i="6"/>
  <c r="Q851" i="6"/>
  <c r="T850" i="6"/>
  <c r="Q850" i="6"/>
  <c r="T849" i="6"/>
  <c r="Q849" i="6"/>
  <c r="T847" i="6"/>
  <c r="Q847" i="6"/>
  <c r="T846" i="6"/>
  <c r="Q846" i="6"/>
  <c r="T845" i="6"/>
  <c r="Q845" i="6"/>
  <c r="T844" i="6"/>
  <c r="Q844" i="6"/>
  <c r="T843" i="6"/>
  <c r="Q843" i="6"/>
  <c r="T842" i="6"/>
  <c r="Q842" i="6"/>
  <c r="T841" i="6"/>
  <c r="Q841" i="6"/>
  <c r="T840" i="6"/>
  <c r="Q840" i="6"/>
  <c r="T839" i="6"/>
  <c r="Q839" i="6"/>
  <c r="T838" i="6"/>
  <c r="Q838" i="6"/>
  <c r="P160" i="6"/>
  <c r="D160" i="6"/>
  <c r="P159" i="6"/>
  <c r="D159" i="6"/>
  <c r="P158" i="6"/>
  <c r="D158" i="6"/>
  <c r="P157" i="6"/>
  <c r="D157" i="6"/>
  <c r="P156" i="6"/>
  <c r="D156" i="6"/>
  <c r="P155" i="6"/>
  <c r="D155" i="6"/>
  <c r="P154" i="6"/>
  <c r="D154" i="6"/>
  <c r="P153" i="6"/>
  <c r="D153" i="6"/>
  <c r="P152" i="6"/>
  <c r="D152" i="6"/>
  <c r="P151" i="6"/>
  <c r="D151" i="6"/>
  <c r="P150" i="6"/>
  <c r="D150" i="6"/>
  <c r="P149" i="6"/>
  <c r="D149" i="6"/>
  <c r="P148" i="6"/>
  <c r="D148" i="6"/>
  <c r="P147" i="6"/>
  <c r="D147" i="6"/>
  <c r="P146" i="6"/>
  <c r="D146" i="6"/>
  <c r="P145" i="6"/>
  <c r="D145" i="6"/>
  <c r="P144" i="6"/>
  <c r="D144" i="6"/>
  <c r="P143" i="6"/>
  <c r="D143" i="6"/>
  <c r="P142" i="6"/>
  <c r="D142" i="6"/>
  <c r="P141" i="6"/>
  <c r="D141" i="6"/>
  <c r="P140" i="6"/>
  <c r="D140" i="6"/>
  <c r="P139" i="6"/>
  <c r="D139" i="6"/>
  <c r="P138" i="6"/>
  <c r="D138" i="6"/>
  <c r="P137" i="6"/>
  <c r="D137" i="6"/>
  <c r="P136" i="6"/>
  <c r="D136" i="6"/>
  <c r="P135" i="6"/>
  <c r="D135" i="6"/>
  <c r="P134" i="6"/>
  <c r="D134" i="6"/>
  <c r="P133" i="6"/>
  <c r="D133" i="6"/>
  <c r="P132" i="6"/>
  <c r="D132" i="6"/>
  <c r="P131" i="6"/>
  <c r="D131" i="6"/>
  <c r="P130" i="6"/>
  <c r="D130" i="6"/>
  <c r="P129" i="6"/>
  <c r="D129" i="6"/>
  <c r="P128" i="6"/>
  <c r="D128" i="6"/>
  <c r="P127" i="6"/>
  <c r="D127" i="6"/>
  <c r="P126" i="6"/>
  <c r="D126" i="6"/>
  <c r="P125" i="6"/>
  <c r="D125" i="6"/>
  <c r="P124" i="6"/>
  <c r="D124" i="6"/>
  <c r="P123" i="6"/>
  <c r="D123" i="6"/>
  <c r="P122" i="6"/>
  <c r="D122" i="6"/>
  <c r="P121" i="6"/>
  <c r="D121" i="6"/>
  <c r="P120" i="6"/>
  <c r="D120" i="6"/>
  <c r="P119" i="6"/>
  <c r="D119" i="6"/>
  <c r="P118" i="6"/>
  <c r="D118" i="6"/>
  <c r="P117" i="6"/>
  <c r="D117" i="6"/>
  <c r="P116" i="6"/>
  <c r="D116" i="6"/>
  <c r="P115" i="6"/>
  <c r="D115" i="6"/>
  <c r="P114" i="6"/>
  <c r="D114" i="6"/>
  <c r="P113" i="6"/>
  <c r="D113" i="6"/>
  <c r="P112" i="6"/>
  <c r="D112" i="6"/>
  <c r="P111" i="6"/>
  <c r="D111" i="6"/>
  <c r="P110" i="6"/>
  <c r="D110" i="6"/>
  <c r="P109" i="6"/>
  <c r="D109" i="6"/>
  <c r="P108" i="6"/>
  <c r="D108" i="6"/>
  <c r="P107" i="6"/>
  <c r="D107" i="6"/>
  <c r="P106" i="6"/>
  <c r="D106" i="6"/>
  <c r="P105" i="6"/>
  <c r="D105" i="6"/>
  <c r="P104" i="6"/>
  <c r="D104" i="6"/>
  <c r="P103" i="6"/>
  <c r="D103" i="6"/>
  <c r="P102" i="6"/>
  <c r="D102" i="6"/>
  <c r="P101" i="6"/>
  <c r="D101" i="6"/>
  <c r="P100" i="6"/>
  <c r="D100" i="6"/>
  <c r="P99" i="6"/>
  <c r="D99" i="6"/>
  <c r="P98" i="6"/>
  <c r="D98" i="6"/>
  <c r="P97" i="6"/>
  <c r="D97" i="6"/>
  <c r="P96" i="6"/>
  <c r="D96" i="6"/>
  <c r="P95" i="6"/>
  <c r="D95" i="6"/>
  <c r="P94" i="6"/>
  <c r="D94" i="6"/>
  <c r="P93" i="6"/>
  <c r="D93" i="6"/>
  <c r="P92" i="6"/>
  <c r="D92" i="6"/>
  <c r="P91" i="6"/>
  <c r="D91" i="6"/>
  <c r="P90" i="6"/>
  <c r="D90" i="6"/>
  <c r="P89" i="6"/>
  <c r="D89" i="6"/>
  <c r="P88" i="6"/>
  <c r="D88" i="6"/>
  <c r="P87" i="6"/>
  <c r="D87" i="6"/>
  <c r="P86" i="6"/>
  <c r="D86" i="6"/>
  <c r="P85" i="6"/>
  <c r="D85" i="6"/>
  <c r="P84" i="6"/>
  <c r="D84" i="6"/>
  <c r="P83" i="6"/>
  <c r="D83" i="6"/>
  <c r="P82" i="6"/>
  <c r="D82" i="6"/>
  <c r="P81" i="6"/>
  <c r="D81" i="6"/>
  <c r="P80" i="6"/>
  <c r="D80" i="6"/>
  <c r="P79" i="6"/>
  <c r="D79" i="6"/>
  <c r="P78" i="6"/>
  <c r="D78" i="6"/>
  <c r="P77" i="6"/>
  <c r="D77" i="6"/>
  <c r="P76" i="6"/>
  <c r="D76" i="6"/>
  <c r="P75" i="6"/>
  <c r="D75" i="6"/>
  <c r="P74" i="6"/>
  <c r="D74" i="6"/>
  <c r="P73" i="6"/>
  <c r="D73" i="6"/>
  <c r="P72" i="6"/>
  <c r="D72" i="6"/>
  <c r="P71" i="6"/>
  <c r="D71" i="6"/>
  <c r="P70" i="6"/>
  <c r="D70" i="6"/>
  <c r="P69" i="6"/>
  <c r="D69" i="6"/>
  <c r="P68" i="6"/>
  <c r="D68" i="6"/>
  <c r="P67" i="6"/>
  <c r="D67" i="6"/>
  <c r="P66" i="6"/>
  <c r="D66" i="6"/>
  <c r="P65" i="6"/>
  <c r="D65" i="6"/>
  <c r="P64" i="6"/>
  <c r="D64" i="6"/>
  <c r="P63" i="6"/>
  <c r="D63" i="6"/>
  <c r="P62" i="6"/>
  <c r="D62" i="6"/>
  <c r="P61" i="6"/>
  <c r="D61" i="6"/>
  <c r="P60" i="6"/>
  <c r="D60" i="6"/>
  <c r="P59" i="6"/>
  <c r="D59" i="6"/>
  <c r="P58" i="6"/>
  <c r="D58" i="6"/>
  <c r="P57" i="6"/>
  <c r="D57" i="6"/>
  <c r="P56" i="6"/>
  <c r="D56" i="6"/>
  <c r="P55" i="6"/>
  <c r="D55" i="6"/>
  <c r="P54" i="6"/>
  <c r="D54" i="6"/>
  <c r="P53" i="6"/>
  <c r="D53" i="6"/>
  <c r="P52" i="6"/>
  <c r="D52" i="6"/>
  <c r="P51" i="6"/>
  <c r="D51" i="6"/>
  <c r="P50" i="6"/>
  <c r="D50" i="6"/>
  <c r="P49" i="6"/>
  <c r="D49" i="6"/>
  <c r="P48" i="6"/>
  <c r="D48" i="6"/>
  <c r="P47" i="6"/>
  <c r="D47" i="6"/>
  <c r="P46" i="6"/>
  <c r="D46" i="6"/>
  <c r="P45" i="6"/>
  <c r="D45" i="6"/>
  <c r="P44" i="6"/>
  <c r="D44" i="6"/>
  <c r="P43" i="6"/>
  <c r="D43" i="6"/>
  <c r="P42" i="6"/>
  <c r="D42" i="6"/>
  <c r="P41" i="6"/>
  <c r="D41" i="6"/>
  <c r="P40" i="6"/>
  <c r="D40" i="6"/>
  <c r="P39" i="6"/>
  <c r="D39" i="6"/>
  <c r="P38" i="6"/>
  <c r="D38" i="6"/>
  <c r="P37" i="6"/>
  <c r="D37" i="6"/>
  <c r="P36" i="6"/>
  <c r="D36" i="6"/>
  <c r="P35" i="6"/>
  <c r="D35" i="6"/>
  <c r="P34" i="6"/>
  <c r="D34" i="6"/>
  <c r="P33" i="6"/>
  <c r="D33" i="6"/>
  <c r="P32" i="6"/>
  <c r="D32" i="6"/>
  <c r="P31" i="6"/>
  <c r="D31" i="6"/>
  <c r="P30" i="6"/>
  <c r="D30" i="6"/>
  <c r="P29" i="6"/>
  <c r="D29" i="6"/>
  <c r="P28" i="6"/>
  <c r="D28" i="6"/>
  <c r="P27" i="6"/>
  <c r="D27" i="6"/>
  <c r="P26" i="6"/>
  <c r="D26" i="6"/>
  <c r="P25" i="6"/>
  <c r="D25" i="6"/>
  <c r="P24" i="6"/>
  <c r="D24" i="6"/>
  <c r="P23" i="6"/>
  <c r="D23" i="6"/>
  <c r="P22" i="6"/>
  <c r="D22" i="6"/>
  <c r="P21" i="6"/>
  <c r="D21" i="6"/>
  <c r="P20" i="6"/>
  <c r="D20" i="6"/>
  <c r="P19" i="6"/>
  <c r="D19" i="6"/>
  <c r="P18" i="6"/>
  <c r="D18" i="6"/>
  <c r="P17" i="6"/>
  <c r="D17" i="6"/>
  <c r="P16" i="6"/>
  <c r="D16" i="6"/>
  <c r="P15" i="6"/>
  <c r="D15" i="6"/>
  <c r="P14" i="6"/>
  <c r="D14" i="6"/>
  <c r="P13" i="6"/>
  <c r="D13" i="6"/>
  <c r="P12" i="6"/>
  <c r="D12" i="6"/>
  <c r="P11" i="6"/>
  <c r="D11" i="6"/>
  <c r="P10" i="6"/>
  <c r="D10" i="6"/>
  <c r="P9" i="6"/>
  <c r="D9" i="6"/>
  <c r="P8" i="6"/>
  <c r="D8" i="6"/>
  <c r="P7" i="6"/>
  <c r="D7" i="6"/>
  <c r="P6" i="6"/>
  <c r="D6" i="6"/>
  <c r="P5" i="6"/>
  <c r="D5" i="6"/>
  <c r="P4" i="6"/>
  <c r="D4" i="6"/>
  <c r="P3" i="6"/>
  <c r="D3" i="6"/>
  <c r="P161" i="6"/>
  <c r="D161" i="6"/>
  <c r="P200" i="6"/>
  <c r="D200" i="6"/>
  <c r="P199" i="6"/>
  <c r="D199" i="6"/>
  <c r="P198" i="6"/>
  <c r="D198" i="6"/>
  <c r="P197" i="6"/>
  <c r="D197" i="6"/>
  <c r="P196" i="6"/>
  <c r="D196" i="6"/>
  <c r="P195" i="6"/>
  <c r="D195" i="6"/>
  <c r="P194" i="6"/>
  <c r="D194" i="6"/>
  <c r="P193" i="6"/>
  <c r="D193" i="6"/>
  <c r="P192" i="6"/>
  <c r="D192" i="6"/>
  <c r="P191" i="6"/>
  <c r="D191" i="6"/>
  <c r="P190" i="6"/>
  <c r="D190" i="6"/>
  <c r="P189" i="6"/>
  <c r="D189" i="6"/>
  <c r="P188" i="6"/>
  <c r="D188" i="6"/>
  <c r="P187" i="6"/>
  <c r="D187" i="6"/>
  <c r="P186" i="6"/>
  <c r="D186" i="6"/>
  <c r="P185" i="6"/>
  <c r="D185" i="6"/>
  <c r="P184" i="6"/>
  <c r="D184" i="6"/>
  <c r="P183" i="6"/>
  <c r="D183" i="6"/>
  <c r="P182" i="6"/>
  <c r="D182" i="6"/>
  <c r="P181" i="6"/>
  <c r="D181" i="6"/>
  <c r="P180" i="6"/>
  <c r="D180" i="6"/>
  <c r="P179" i="6"/>
  <c r="D179" i="6"/>
  <c r="P178" i="6"/>
  <c r="D178" i="6"/>
  <c r="P177" i="6"/>
  <c r="D177" i="6"/>
  <c r="P176" i="6"/>
  <c r="D176" i="6"/>
  <c r="P175" i="6"/>
  <c r="D175" i="6"/>
  <c r="P174" i="6"/>
  <c r="D174" i="6"/>
  <c r="P173" i="6"/>
  <c r="D173" i="6"/>
  <c r="P172" i="6"/>
  <c r="D172" i="6"/>
  <c r="P171" i="6"/>
  <c r="D171" i="6"/>
  <c r="P170" i="6"/>
  <c r="D170" i="6"/>
  <c r="P169" i="6"/>
  <c r="D169" i="6"/>
  <c r="P168" i="6"/>
  <c r="D168" i="6"/>
  <c r="P167" i="6"/>
  <c r="D167" i="6"/>
  <c r="P166" i="6"/>
  <c r="D166" i="6"/>
  <c r="P165" i="6"/>
  <c r="D165" i="6"/>
  <c r="P164" i="6"/>
  <c r="D164" i="6"/>
  <c r="P163" i="6"/>
  <c r="D163" i="6"/>
  <c r="P162" i="6"/>
  <c r="D162" i="6"/>
  <c r="P320" i="6"/>
  <c r="D320" i="6"/>
  <c r="P318" i="6"/>
  <c r="D318" i="6"/>
  <c r="P317" i="6"/>
  <c r="D317" i="6"/>
  <c r="P316" i="6"/>
  <c r="D316" i="6"/>
  <c r="P315" i="6"/>
  <c r="D315" i="6"/>
  <c r="P314" i="6"/>
  <c r="D314" i="6"/>
  <c r="P313" i="6"/>
  <c r="D313" i="6"/>
  <c r="P312" i="6"/>
  <c r="D312" i="6"/>
  <c r="P311" i="6"/>
  <c r="D311" i="6"/>
  <c r="P310" i="6"/>
  <c r="D310" i="6"/>
  <c r="P309" i="6"/>
  <c r="D309" i="6"/>
  <c r="P308" i="6"/>
  <c r="D308" i="6"/>
  <c r="P307" i="6"/>
  <c r="D307" i="6"/>
  <c r="P306" i="6"/>
  <c r="D306" i="6"/>
  <c r="P305" i="6"/>
  <c r="D305" i="6"/>
  <c r="P304" i="6"/>
  <c r="D304" i="6"/>
  <c r="P303" i="6"/>
  <c r="D303" i="6"/>
  <c r="P302" i="6"/>
  <c r="D302" i="6"/>
  <c r="P301" i="6"/>
  <c r="D301" i="6"/>
  <c r="P300" i="6"/>
  <c r="D300" i="6"/>
  <c r="P299" i="6"/>
  <c r="D299" i="6"/>
  <c r="P298" i="6"/>
  <c r="D298" i="6"/>
  <c r="P297" i="6"/>
  <c r="D297" i="6"/>
  <c r="P296" i="6"/>
  <c r="D296" i="6"/>
  <c r="P295" i="6"/>
  <c r="D295" i="6"/>
  <c r="P294" i="6"/>
  <c r="D294" i="6"/>
  <c r="P293" i="6"/>
  <c r="D293" i="6"/>
  <c r="P292" i="6"/>
  <c r="D292" i="6"/>
  <c r="P291" i="6"/>
  <c r="D291" i="6"/>
  <c r="P290" i="6"/>
  <c r="D290" i="6"/>
  <c r="P289" i="6"/>
  <c r="D289" i="6"/>
  <c r="P288" i="6"/>
  <c r="D288" i="6"/>
  <c r="P287" i="6"/>
  <c r="D287" i="6"/>
  <c r="P286" i="6"/>
  <c r="D286" i="6"/>
  <c r="P285" i="6"/>
  <c r="D285" i="6"/>
  <c r="P284" i="6"/>
  <c r="D284" i="6"/>
  <c r="P283" i="6"/>
  <c r="D283" i="6"/>
  <c r="P282" i="6"/>
  <c r="D282" i="6"/>
  <c r="P281" i="6"/>
  <c r="D281" i="6"/>
  <c r="P280" i="6"/>
  <c r="D280" i="6"/>
  <c r="P279" i="6"/>
  <c r="D279" i="6"/>
  <c r="P278" i="6"/>
  <c r="D278" i="6"/>
  <c r="P277" i="6"/>
  <c r="D277" i="6"/>
  <c r="P276" i="6"/>
  <c r="D276" i="6"/>
  <c r="P275" i="6"/>
  <c r="D275" i="6"/>
  <c r="P274" i="6"/>
  <c r="D274" i="6"/>
  <c r="P273" i="6"/>
  <c r="D273" i="6"/>
  <c r="P272" i="6"/>
  <c r="D272" i="6"/>
  <c r="P271" i="6"/>
  <c r="D271" i="6"/>
  <c r="P270" i="6"/>
  <c r="D270" i="6"/>
  <c r="P269" i="6"/>
  <c r="D269" i="6"/>
  <c r="P268" i="6"/>
  <c r="D268" i="6"/>
  <c r="P267" i="6"/>
  <c r="D267" i="6"/>
  <c r="P266" i="6"/>
  <c r="D266" i="6"/>
  <c r="P265" i="6"/>
  <c r="D265" i="6"/>
  <c r="P264" i="6"/>
  <c r="D264" i="6"/>
  <c r="P263" i="6"/>
  <c r="D263" i="6"/>
  <c r="P262" i="6"/>
  <c r="D262" i="6"/>
  <c r="P203" i="6"/>
  <c r="D203" i="6"/>
  <c r="P260" i="6"/>
  <c r="D260" i="6"/>
  <c r="P259" i="6"/>
  <c r="D259" i="6"/>
  <c r="P258" i="6"/>
  <c r="D258" i="6"/>
  <c r="P257" i="6"/>
  <c r="D257" i="6"/>
  <c r="P256" i="6"/>
  <c r="D256" i="6"/>
  <c r="P255" i="6"/>
  <c r="D255" i="6"/>
  <c r="P254" i="6"/>
  <c r="D254" i="6"/>
  <c r="P253" i="6"/>
  <c r="D253" i="6"/>
  <c r="P252" i="6"/>
  <c r="D252" i="6"/>
  <c r="P251" i="6"/>
  <c r="D251" i="6"/>
  <c r="P250" i="6"/>
  <c r="D250" i="6"/>
  <c r="P249" i="6"/>
  <c r="D249" i="6"/>
  <c r="P248" i="6"/>
  <c r="D248" i="6"/>
  <c r="P247" i="6"/>
  <c r="D247" i="6"/>
  <c r="P246" i="6"/>
  <c r="D246" i="6"/>
  <c r="P245" i="6"/>
  <c r="D245" i="6"/>
  <c r="P244" i="6"/>
  <c r="D244" i="6"/>
  <c r="P243" i="6"/>
  <c r="D243" i="6"/>
  <c r="P242" i="6"/>
  <c r="D242" i="6"/>
  <c r="P241" i="6"/>
  <c r="D241" i="6"/>
  <c r="P240" i="6"/>
  <c r="D240" i="6"/>
  <c r="P239" i="6"/>
  <c r="D239" i="6"/>
  <c r="P238" i="6"/>
  <c r="D238" i="6"/>
  <c r="P237" i="6"/>
  <c r="D237" i="6"/>
  <c r="P236" i="6"/>
  <c r="D236" i="6"/>
  <c r="P235" i="6"/>
  <c r="D235" i="6"/>
  <c r="P234" i="6"/>
  <c r="D234" i="6"/>
  <c r="P233" i="6"/>
  <c r="D233" i="6"/>
  <c r="P232" i="6"/>
  <c r="D232" i="6"/>
  <c r="P231" i="6"/>
  <c r="D231" i="6"/>
  <c r="P230" i="6"/>
  <c r="D230" i="6"/>
  <c r="P229" i="6"/>
  <c r="D229" i="6"/>
  <c r="P228" i="6"/>
  <c r="D228" i="6"/>
  <c r="P227" i="6"/>
  <c r="D227" i="6"/>
  <c r="P226" i="6"/>
  <c r="D226" i="6"/>
  <c r="P225" i="6"/>
  <c r="D225" i="6"/>
  <c r="P224" i="6"/>
  <c r="D224" i="6"/>
  <c r="P223" i="6"/>
  <c r="D223" i="6"/>
  <c r="P222" i="6"/>
  <c r="D222" i="6"/>
  <c r="P221" i="6"/>
  <c r="D221" i="6"/>
  <c r="P220" i="6"/>
  <c r="D220" i="6"/>
  <c r="P219" i="6"/>
  <c r="D219" i="6"/>
  <c r="P218" i="6"/>
  <c r="D218" i="6"/>
  <c r="P217" i="6"/>
  <c r="D217" i="6"/>
  <c r="P216" i="6"/>
  <c r="D216" i="6"/>
  <c r="P261" i="6"/>
  <c r="D261" i="6"/>
  <c r="P215" i="6"/>
  <c r="D215" i="6"/>
  <c r="P214" i="6"/>
  <c r="D214" i="6"/>
  <c r="P213" i="6"/>
  <c r="D213" i="6"/>
  <c r="P212" i="6"/>
  <c r="D212" i="6"/>
  <c r="P211" i="6"/>
  <c r="D211" i="6"/>
  <c r="P210" i="6"/>
  <c r="D210" i="6"/>
  <c r="P209" i="6"/>
  <c r="D209" i="6"/>
  <c r="P208" i="6"/>
  <c r="D208" i="6"/>
  <c r="P319" i="6"/>
  <c r="D319" i="6"/>
  <c r="P207" i="6"/>
  <c r="D207" i="6"/>
  <c r="P206" i="6"/>
  <c r="D206" i="6"/>
  <c r="P205" i="6"/>
  <c r="D205" i="6"/>
  <c r="P204" i="6"/>
  <c r="D204" i="6"/>
  <c r="P202" i="6"/>
  <c r="D202" i="6"/>
  <c r="P201" i="6"/>
  <c r="D201" i="6"/>
  <c r="P321" i="6"/>
  <c r="D321" i="6"/>
  <c r="P492" i="6"/>
  <c r="D492" i="6"/>
  <c r="P491" i="6"/>
  <c r="D491" i="6"/>
  <c r="P490" i="6"/>
  <c r="D490" i="6"/>
  <c r="P489" i="6"/>
  <c r="D489" i="6"/>
  <c r="P488" i="6"/>
  <c r="D488" i="6"/>
  <c r="P487" i="6"/>
  <c r="D487" i="6"/>
  <c r="P486" i="6"/>
  <c r="D486" i="6"/>
  <c r="P485" i="6"/>
  <c r="D485" i="6"/>
  <c r="P484" i="6"/>
  <c r="D484" i="6"/>
  <c r="P483" i="6"/>
  <c r="D483" i="6"/>
  <c r="P482" i="6"/>
  <c r="D482" i="6"/>
  <c r="P481" i="6"/>
  <c r="D481" i="6"/>
  <c r="P480" i="6"/>
  <c r="D480" i="6"/>
  <c r="P479" i="6"/>
  <c r="D479" i="6"/>
  <c r="P478" i="6"/>
  <c r="D478" i="6"/>
  <c r="P477" i="6"/>
  <c r="D477" i="6"/>
  <c r="P475" i="6"/>
  <c r="D475" i="6"/>
  <c r="P474" i="6"/>
  <c r="D474" i="6"/>
  <c r="P473" i="6"/>
  <c r="D473" i="6"/>
  <c r="P472" i="6"/>
  <c r="D472" i="6"/>
  <c r="P471" i="6"/>
  <c r="D471" i="6"/>
  <c r="P470" i="6"/>
  <c r="D470" i="6"/>
  <c r="P469" i="6"/>
  <c r="D469" i="6"/>
  <c r="P468" i="6"/>
  <c r="D468" i="6"/>
  <c r="P467" i="6"/>
  <c r="D467" i="6"/>
  <c r="P466" i="6"/>
  <c r="D466" i="6"/>
  <c r="P465" i="6"/>
  <c r="D465" i="6"/>
  <c r="P464" i="6"/>
  <c r="D464" i="6"/>
  <c r="P463" i="6"/>
  <c r="D463" i="6"/>
  <c r="P462" i="6"/>
  <c r="D462" i="6"/>
  <c r="P461" i="6"/>
  <c r="D461" i="6"/>
  <c r="P460" i="6"/>
  <c r="D460" i="6"/>
  <c r="P459" i="6"/>
  <c r="D459" i="6"/>
  <c r="P458" i="6"/>
  <c r="D458" i="6"/>
  <c r="P457" i="6"/>
  <c r="D457" i="6"/>
  <c r="P456" i="6"/>
  <c r="D456" i="6"/>
  <c r="P455" i="6"/>
  <c r="D455" i="6"/>
  <c r="P454" i="6"/>
  <c r="D454" i="6"/>
  <c r="P453" i="6"/>
  <c r="D453" i="6"/>
  <c r="P452" i="6"/>
  <c r="D452" i="6"/>
  <c r="P451" i="6"/>
  <c r="D451" i="6"/>
  <c r="P450" i="6"/>
  <c r="D450" i="6"/>
  <c r="P449" i="6"/>
  <c r="D449" i="6"/>
  <c r="P448" i="6"/>
  <c r="D448" i="6"/>
  <c r="P447" i="6"/>
  <c r="D447" i="6"/>
  <c r="P446" i="6"/>
  <c r="D446" i="6"/>
  <c r="P445" i="6"/>
  <c r="D445" i="6"/>
  <c r="P444" i="6"/>
  <c r="D444" i="6"/>
  <c r="P443" i="6"/>
  <c r="D443" i="6"/>
  <c r="P442" i="6"/>
  <c r="D442" i="6"/>
  <c r="P441" i="6"/>
  <c r="D441" i="6"/>
  <c r="P440" i="6"/>
  <c r="D440" i="6"/>
  <c r="P439" i="6"/>
  <c r="D439" i="6"/>
  <c r="P438" i="6"/>
  <c r="D438" i="6"/>
  <c r="P437" i="6"/>
  <c r="D437" i="6"/>
  <c r="P436" i="6"/>
  <c r="D436" i="6"/>
  <c r="P435" i="6"/>
  <c r="D435" i="6"/>
  <c r="P434" i="6"/>
  <c r="D434" i="6"/>
  <c r="P433" i="6"/>
  <c r="D433" i="6"/>
  <c r="P432" i="6"/>
  <c r="D432" i="6"/>
  <c r="P431" i="6"/>
  <c r="D431" i="6"/>
  <c r="P430" i="6"/>
  <c r="D430" i="6"/>
  <c r="P429" i="6"/>
  <c r="D429" i="6"/>
  <c r="P428" i="6"/>
  <c r="D428" i="6"/>
  <c r="P427" i="6"/>
  <c r="D427" i="6"/>
  <c r="P426" i="6"/>
  <c r="D426" i="6"/>
  <c r="P425" i="6"/>
  <c r="D425" i="6"/>
  <c r="P424" i="6"/>
  <c r="D424" i="6"/>
  <c r="P423" i="6"/>
  <c r="D423" i="6"/>
  <c r="P422" i="6"/>
  <c r="D422" i="6"/>
  <c r="P421" i="6"/>
  <c r="D421" i="6"/>
  <c r="P476" i="6"/>
  <c r="D476" i="6"/>
  <c r="P420" i="6"/>
  <c r="D420" i="6"/>
  <c r="P419" i="6"/>
  <c r="D419" i="6"/>
  <c r="P418" i="6"/>
  <c r="D418" i="6"/>
  <c r="P416" i="6"/>
  <c r="D416" i="6"/>
  <c r="P415" i="6"/>
  <c r="D415" i="6"/>
  <c r="P414" i="6"/>
  <c r="D414" i="6"/>
  <c r="P413" i="6"/>
  <c r="D413" i="6"/>
  <c r="P412" i="6"/>
  <c r="D412" i="6"/>
  <c r="P411" i="6"/>
  <c r="D411" i="6"/>
  <c r="P410" i="6"/>
  <c r="D410" i="6"/>
  <c r="P409" i="6"/>
  <c r="D409" i="6"/>
  <c r="P408" i="6"/>
  <c r="D408" i="6"/>
  <c r="P407" i="6"/>
  <c r="D407" i="6"/>
  <c r="P406" i="6"/>
  <c r="D406" i="6"/>
  <c r="P405" i="6"/>
  <c r="D405" i="6"/>
  <c r="P404" i="6"/>
  <c r="D404" i="6"/>
  <c r="P403" i="6"/>
  <c r="D403" i="6"/>
  <c r="P402" i="6"/>
  <c r="D402" i="6"/>
  <c r="P401" i="6"/>
  <c r="D401" i="6"/>
  <c r="P400" i="6"/>
  <c r="D400" i="6"/>
  <c r="P399" i="6"/>
  <c r="D399" i="6"/>
  <c r="P398" i="6"/>
  <c r="D398" i="6"/>
  <c r="P397" i="6"/>
  <c r="D397" i="6"/>
  <c r="P396" i="6"/>
  <c r="D396" i="6"/>
  <c r="P395" i="6"/>
  <c r="D395" i="6"/>
  <c r="P394" i="6"/>
  <c r="D394" i="6"/>
  <c r="P393" i="6"/>
  <c r="D393" i="6"/>
  <c r="P392" i="6"/>
  <c r="D392" i="6"/>
  <c r="P391" i="6"/>
  <c r="D391" i="6"/>
  <c r="P390" i="6"/>
  <c r="D390" i="6"/>
  <c r="P389" i="6"/>
  <c r="D389" i="6"/>
  <c r="P388" i="6"/>
  <c r="D388" i="6"/>
  <c r="P387" i="6"/>
  <c r="D387" i="6"/>
  <c r="P386" i="6"/>
  <c r="D386" i="6"/>
  <c r="P385" i="6"/>
  <c r="D385" i="6"/>
  <c r="P384" i="6"/>
  <c r="D384" i="6"/>
  <c r="P383" i="6"/>
  <c r="D383" i="6"/>
  <c r="P382" i="6"/>
  <c r="D382" i="6"/>
  <c r="P381" i="6"/>
  <c r="D381" i="6"/>
  <c r="P380" i="6"/>
  <c r="D380" i="6"/>
  <c r="P379" i="6"/>
  <c r="D379" i="6"/>
  <c r="P378" i="6"/>
  <c r="D378" i="6"/>
  <c r="P377" i="6"/>
  <c r="D377" i="6"/>
  <c r="P376" i="6"/>
  <c r="D376" i="6"/>
  <c r="P375" i="6"/>
  <c r="D375" i="6"/>
  <c r="P374" i="6"/>
  <c r="D374" i="6"/>
  <c r="P373" i="6"/>
  <c r="D373" i="6"/>
  <c r="P372" i="6"/>
  <c r="D372" i="6"/>
  <c r="P371" i="6"/>
  <c r="D371" i="6"/>
  <c r="P370" i="6"/>
  <c r="D370" i="6"/>
  <c r="P369" i="6"/>
  <c r="D369" i="6"/>
  <c r="P368" i="6"/>
  <c r="D368" i="6"/>
  <c r="P367" i="6"/>
  <c r="D367" i="6"/>
  <c r="P366" i="6"/>
  <c r="D366" i="6"/>
  <c r="P365" i="6"/>
  <c r="D365" i="6"/>
  <c r="P364" i="6"/>
  <c r="D364" i="6"/>
  <c r="P363" i="6"/>
  <c r="D363" i="6"/>
  <c r="P362" i="6"/>
  <c r="D362" i="6"/>
  <c r="P361" i="6"/>
  <c r="D361" i="6"/>
  <c r="P360" i="6"/>
  <c r="D360" i="6"/>
  <c r="P359" i="6"/>
  <c r="D359" i="6"/>
  <c r="P358" i="6"/>
  <c r="D358" i="6"/>
  <c r="P357" i="6"/>
  <c r="D357" i="6"/>
  <c r="P356" i="6"/>
  <c r="D356" i="6"/>
  <c r="P354" i="6"/>
  <c r="D354" i="6"/>
  <c r="P353" i="6"/>
  <c r="D353" i="6"/>
  <c r="P352" i="6"/>
  <c r="D352" i="6"/>
  <c r="P351" i="6"/>
  <c r="D351" i="6"/>
  <c r="P350" i="6"/>
  <c r="D350" i="6"/>
  <c r="P349" i="6"/>
  <c r="D349" i="6"/>
  <c r="P348" i="6"/>
  <c r="D348" i="6"/>
  <c r="P347" i="6"/>
  <c r="D347" i="6"/>
  <c r="P346" i="6"/>
  <c r="D346" i="6"/>
  <c r="P345" i="6"/>
  <c r="D345" i="6"/>
  <c r="P344" i="6"/>
  <c r="D344" i="6"/>
  <c r="P343" i="6"/>
  <c r="D343" i="6"/>
  <c r="P342" i="6"/>
  <c r="D342" i="6"/>
  <c r="P417" i="6"/>
  <c r="D417" i="6"/>
  <c r="P341" i="6"/>
  <c r="D341" i="6"/>
  <c r="P340" i="6"/>
  <c r="D340" i="6"/>
  <c r="P339" i="6"/>
  <c r="D339" i="6"/>
  <c r="P338" i="6"/>
  <c r="D338" i="6"/>
  <c r="P337" i="6"/>
  <c r="D337" i="6"/>
  <c r="P336" i="6"/>
  <c r="D336" i="6"/>
  <c r="P335" i="6"/>
  <c r="D335" i="6"/>
  <c r="P334" i="6"/>
  <c r="D334" i="6"/>
  <c r="P333" i="6"/>
  <c r="D333" i="6"/>
  <c r="P332" i="6"/>
  <c r="D332" i="6"/>
  <c r="P331" i="6"/>
  <c r="D331" i="6"/>
  <c r="P330" i="6"/>
  <c r="D330" i="6"/>
  <c r="P329" i="6"/>
  <c r="D329" i="6"/>
  <c r="P328" i="6"/>
  <c r="D328" i="6"/>
  <c r="P327" i="6"/>
  <c r="D327" i="6"/>
  <c r="P326" i="6"/>
  <c r="D326" i="6"/>
  <c r="P325" i="6"/>
  <c r="D325" i="6"/>
  <c r="P324" i="6"/>
  <c r="D324" i="6"/>
  <c r="P323" i="6"/>
  <c r="D323" i="6"/>
  <c r="P322" i="6"/>
  <c r="D322" i="6"/>
  <c r="P493" i="6"/>
  <c r="D493" i="6"/>
  <c r="P678" i="6"/>
  <c r="D678" i="6"/>
  <c r="P597" i="6"/>
  <c r="D597" i="6"/>
  <c r="P676" i="6"/>
  <c r="D676" i="6"/>
  <c r="P675" i="6"/>
  <c r="D675" i="6"/>
  <c r="P674" i="6"/>
  <c r="D674" i="6"/>
  <c r="P673" i="6"/>
  <c r="D673" i="6"/>
  <c r="P672" i="6"/>
  <c r="D672" i="6"/>
  <c r="P671" i="6"/>
  <c r="D671" i="6"/>
  <c r="P670" i="6"/>
  <c r="D670" i="6"/>
  <c r="P669" i="6"/>
  <c r="D669" i="6"/>
  <c r="P668" i="6"/>
  <c r="D668" i="6"/>
  <c r="P667" i="6"/>
  <c r="D667" i="6"/>
  <c r="P666" i="6"/>
  <c r="D666" i="6"/>
  <c r="P665" i="6"/>
  <c r="D665" i="6"/>
  <c r="P664" i="6"/>
  <c r="D664" i="6"/>
  <c r="P663" i="6"/>
  <c r="D663" i="6"/>
  <c r="P662" i="6"/>
  <c r="D662" i="6"/>
  <c r="P661" i="6"/>
  <c r="D661" i="6"/>
  <c r="P660" i="6"/>
  <c r="D660" i="6"/>
  <c r="P659" i="6"/>
  <c r="D659" i="6"/>
  <c r="P658" i="6"/>
  <c r="D658" i="6"/>
  <c r="P657" i="6"/>
  <c r="D657" i="6"/>
  <c r="P656" i="6"/>
  <c r="D656" i="6"/>
  <c r="P655" i="6"/>
  <c r="D655" i="6"/>
  <c r="P654" i="6"/>
  <c r="D654" i="6"/>
  <c r="P653" i="6"/>
  <c r="D653" i="6"/>
  <c r="P652" i="6"/>
  <c r="D652" i="6"/>
  <c r="P651" i="6"/>
  <c r="D651" i="6"/>
  <c r="P650" i="6"/>
  <c r="D650" i="6"/>
  <c r="P649" i="6"/>
  <c r="D649" i="6"/>
  <c r="P648" i="6"/>
  <c r="D648" i="6"/>
  <c r="P647" i="6"/>
  <c r="D647" i="6"/>
  <c r="P646" i="6"/>
  <c r="D646" i="6"/>
  <c r="P645" i="6"/>
  <c r="D645" i="6"/>
  <c r="P644" i="6"/>
  <c r="D644" i="6"/>
  <c r="P643" i="6"/>
  <c r="D643" i="6"/>
  <c r="P642" i="6"/>
  <c r="D642" i="6"/>
  <c r="P641" i="6"/>
  <c r="D641" i="6"/>
  <c r="P640" i="6"/>
  <c r="D640" i="6"/>
  <c r="P639" i="6"/>
  <c r="D639" i="6"/>
  <c r="P638" i="6"/>
  <c r="D638" i="6"/>
  <c r="P637" i="6"/>
  <c r="D637" i="6"/>
  <c r="P636" i="6"/>
  <c r="D636" i="6"/>
  <c r="P635" i="6"/>
  <c r="D635" i="6"/>
  <c r="P634" i="6"/>
  <c r="D634" i="6"/>
  <c r="P633" i="6"/>
  <c r="D633" i="6"/>
  <c r="P632" i="6"/>
  <c r="D632" i="6"/>
  <c r="P631" i="6"/>
  <c r="D631" i="6"/>
  <c r="P630" i="6"/>
  <c r="D630" i="6"/>
  <c r="P629" i="6"/>
  <c r="D629" i="6"/>
  <c r="P628" i="6"/>
  <c r="D628" i="6"/>
  <c r="P627" i="6"/>
  <c r="D627" i="6"/>
  <c r="P626" i="6"/>
  <c r="D626" i="6"/>
  <c r="P625" i="6"/>
  <c r="D625" i="6"/>
  <c r="P624" i="6"/>
  <c r="D624" i="6"/>
  <c r="P623" i="6"/>
  <c r="D623" i="6"/>
  <c r="P622" i="6"/>
  <c r="D622" i="6"/>
  <c r="P621" i="6"/>
  <c r="D621" i="6"/>
  <c r="P620" i="6"/>
  <c r="D620" i="6"/>
  <c r="P619" i="6"/>
  <c r="D619" i="6"/>
  <c r="P618" i="6"/>
  <c r="D618" i="6"/>
  <c r="P617" i="6"/>
  <c r="D617" i="6"/>
  <c r="P677" i="6"/>
  <c r="D677" i="6"/>
  <c r="P616" i="6"/>
  <c r="D616" i="6"/>
  <c r="P615" i="6"/>
  <c r="D615" i="6"/>
  <c r="P614" i="6"/>
  <c r="D614" i="6"/>
  <c r="P613" i="6"/>
  <c r="D613" i="6"/>
  <c r="P612" i="6"/>
  <c r="D612" i="6"/>
  <c r="P611" i="6"/>
  <c r="D611" i="6"/>
  <c r="P610" i="6"/>
  <c r="D610" i="6"/>
  <c r="P609" i="6"/>
  <c r="D609" i="6"/>
  <c r="P608" i="6"/>
  <c r="D608" i="6"/>
  <c r="P607" i="6"/>
  <c r="D607" i="6"/>
  <c r="P606" i="6"/>
  <c r="D606" i="6"/>
  <c r="P605" i="6"/>
  <c r="D605" i="6"/>
  <c r="P604" i="6"/>
  <c r="D604" i="6"/>
  <c r="P603" i="6"/>
  <c r="D603" i="6"/>
  <c r="P602" i="6"/>
  <c r="D602" i="6"/>
  <c r="P601" i="6"/>
  <c r="D601" i="6"/>
  <c r="P600" i="6"/>
  <c r="D600" i="6"/>
  <c r="P599" i="6"/>
  <c r="D599" i="6"/>
  <c r="P598" i="6"/>
  <c r="D598" i="6"/>
  <c r="P596" i="6"/>
  <c r="D596" i="6"/>
  <c r="P595" i="6"/>
  <c r="D595" i="6"/>
  <c r="P594" i="6"/>
  <c r="D594" i="6"/>
  <c r="P581" i="6"/>
  <c r="D581" i="6"/>
  <c r="P593" i="6"/>
  <c r="D593" i="6"/>
  <c r="P592" i="6"/>
  <c r="D592" i="6"/>
  <c r="P591" i="6"/>
  <c r="D591" i="6"/>
  <c r="P590" i="6"/>
  <c r="D590" i="6"/>
  <c r="P589" i="6"/>
  <c r="D589" i="6"/>
  <c r="P588" i="6"/>
  <c r="D588" i="6"/>
  <c r="P587" i="6"/>
  <c r="D587" i="6"/>
  <c r="P586" i="6"/>
  <c r="D586" i="6"/>
  <c r="P585" i="6"/>
  <c r="D585" i="6"/>
  <c r="P584" i="6"/>
  <c r="D584" i="6"/>
  <c r="P583" i="6"/>
  <c r="D583" i="6"/>
  <c r="P582" i="6"/>
  <c r="D582" i="6"/>
  <c r="P580" i="6"/>
  <c r="D580" i="6"/>
  <c r="P579" i="6"/>
  <c r="D579" i="6"/>
  <c r="P578" i="6"/>
  <c r="D578" i="6"/>
  <c r="P577" i="6"/>
  <c r="D577" i="6"/>
  <c r="P576" i="6"/>
  <c r="D576" i="6"/>
  <c r="P575" i="6"/>
  <c r="D575" i="6"/>
  <c r="P574" i="6"/>
  <c r="D574" i="6"/>
  <c r="P573" i="6"/>
  <c r="D573" i="6"/>
  <c r="P572" i="6"/>
  <c r="D572" i="6"/>
  <c r="P571" i="6"/>
  <c r="D571" i="6"/>
  <c r="P570" i="6"/>
  <c r="D570" i="6"/>
  <c r="P569" i="6"/>
  <c r="D569" i="6"/>
  <c r="P568" i="6"/>
  <c r="D568" i="6"/>
  <c r="P567" i="6"/>
  <c r="D567" i="6"/>
  <c r="P566" i="6"/>
  <c r="D566" i="6"/>
  <c r="P564" i="6"/>
  <c r="D564" i="6"/>
  <c r="P563" i="6"/>
  <c r="D563" i="6"/>
  <c r="P562" i="6"/>
  <c r="D562" i="6"/>
  <c r="P561" i="6"/>
  <c r="D561" i="6"/>
  <c r="P560" i="6"/>
  <c r="D560" i="6"/>
  <c r="P559" i="6"/>
  <c r="D559" i="6"/>
  <c r="P558" i="6"/>
  <c r="D558" i="6"/>
  <c r="P557" i="6"/>
  <c r="D557" i="6"/>
  <c r="P556" i="6"/>
  <c r="D556" i="6"/>
  <c r="P555" i="6"/>
  <c r="D555" i="6"/>
  <c r="P554" i="6"/>
  <c r="D554" i="6"/>
  <c r="P553" i="6"/>
  <c r="D553" i="6"/>
  <c r="P552" i="6"/>
  <c r="D552" i="6"/>
  <c r="P551" i="6"/>
  <c r="D551" i="6"/>
  <c r="P550" i="6"/>
  <c r="D550" i="6"/>
  <c r="P549" i="6"/>
  <c r="D549" i="6"/>
  <c r="P548" i="6"/>
  <c r="D548" i="6"/>
  <c r="P547" i="6"/>
  <c r="D547" i="6"/>
  <c r="P546" i="6"/>
  <c r="D546" i="6"/>
  <c r="P545" i="6"/>
  <c r="D545" i="6"/>
  <c r="P544" i="6"/>
  <c r="D544" i="6"/>
  <c r="P543" i="6"/>
  <c r="D543" i="6"/>
  <c r="P542" i="6"/>
  <c r="D542" i="6"/>
  <c r="P541" i="6"/>
  <c r="D541" i="6"/>
  <c r="P540" i="6"/>
  <c r="D540" i="6"/>
  <c r="P539" i="6"/>
  <c r="D539" i="6"/>
  <c r="P565" i="6"/>
  <c r="D565" i="6"/>
  <c r="P538" i="6"/>
  <c r="D538" i="6"/>
  <c r="P537" i="6"/>
  <c r="D537" i="6"/>
  <c r="P536" i="6"/>
  <c r="D536" i="6"/>
  <c r="P535" i="6"/>
  <c r="D535" i="6"/>
  <c r="P534" i="6"/>
  <c r="D534" i="6"/>
  <c r="P533" i="6"/>
  <c r="D533" i="6"/>
  <c r="P532" i="6"/>
  <c r="D532" i="6"/>
  <c r="P531" i="6"/>
  <c r="D531" i="6"/>
  <c r="P530" i="6"/>
  <c r="D530" i="6"/>
  <c r="P529" i="6"/>
  <c r="D529" i="6"/>
  <c r="P528" i="6"/>
  <c r="D528" i="6"/>
  <c r="P527" i="6"/>
  <c r="D527" i="6"/>
  <c r="P526" i="6"/>
  <c r="D526" i="6"/>
  <c r="P525" i="6"/>
  <c r="D525" i="6"/>
  <c r="P524" i="6"/>
  <c r="D524" i="6"/>
  <c r="P523" i="6"/>
  <c r="D523" i="6"/>
  <c r="P522" i="6"/>
  <c r="D522" i="6"/>
  <c r="P521" i="6"/>
  <c r="D521" i="6"/>
  <c r="P520" i="6"/>
  <c r="D520" i="6"/>
  <c r="P519" i="6"/>
  <c r="D519" i="6"/>
  <c r="P518" i="6"/>
  <c r="D518" i="6"/>
  <c r="P517" i="6"/>
  <c r="D517" i="6"/>
  <c r="P516" i="6"/>
  <c r="D516" i="6"/>
  <c r="P515" i="6"/>
  <c r="D515" i="6"/>
  <c r="P514" i="6"/>
  <c r="D514" i="6"/>
  <c r="P513" i="6"/>
  <c r="D513" i="6"/>
  <c r="P512" i="6"/>
  <c r="D512" i="6"/>
  <c r="P511" i="6"/>
  <c r="D511" i="6"/>
  <c r="P510" i="6"/>
  <c r="D510" i="6"/>
  <c r="P509" i="6"/>
  <c r="D509" i="6"/>
  <c r="P508" i="6"/>
  <c r="D508" i="6"/>
  <c r="P507" i="6"/>
  <c r="D507" i="6"/>
  <c r="P506" i="6"/>
  <c r="D506" i="6"/>
  <c r="P505" i="6"/>
  <c r="D505" i="6"/>
  <c r="P504" i="6"/>
  <c r="D504" i="6"/>
  <c r="P503" i="6"/>
  <c r="D503" i="6"/>
  <c r="P502" i="6"/>
  <c r="D502" i="6"/>
  <c r="P501" i="6"/>
  <c r="D501" i="6"/>
  <c r="P500" i="6"/>
  <c r="D500" i="6"/>
  <c r="P499" i="6"/>
  <c r="D499" i="6"/>
  <c r="P498" i="6"/>
  <c r="D498" i="6"/>
  <c r="P497" i="6"/>
  <c r="D497" i="6"/>
  <c r="P496" i="6"/>
  <c r="D496" i="6"/>
  <c r="P495" i="6"/>
  <c r="D495" i="6"/>
  <c r="P494" i="6"/>
  <c r="D494" i="6"/>
  <c r="P679" i="6"/>
  <c r="D679" i="6"/>
  <c r="P837" i="6"/>
  <c r="D837" i="6"/>
  <c r="P836" i="6"/>
  <c r="D836" i="6"/>
  <c r="P835" i="6"/>
  <c r="D835" i="6"/>
  <c r="P834" i="6"/>
  <c r="D834" i="6"/>
  <c r="P833" i="6"/>
  <c r="D833" i="6"/>
  <c r="P832" i="6"/>
  <c r="D832" i="6"/>
  <c r="P831" i="6"/>
  <c r="D831" i="6"/>
  <c r="P830" i="6"/>
  <c r="D830" i="6"/>
  <c r="P829" i="6"/>
  <c r="D829" i="6"/>
  <c r="P828" i="6"/>
  <c r="D828" i="6"/>
  <c r="P827" i="6"/>
  <c r="D827" i="6"/>
  <c r="P826" i="6"/>
  <c r="D826" i="6"/>
  <c r="P806" i="6"/>
  <c r="D806" i="6"/>
  <c r="P825" i="6"/>
  <c r="D825" i="6"/>
  <c r="P824" i="6"/>
  <c r="D824" i="6"/>
  <c r="P823" i="6"/>
  <c r="D823" i="6"/>
  <c r="P822" i="6"/>
  <c r="D822" i="6"/>
  <c r="P821" i="6"/>
  <c r="D821" i="6"/>
  <c r="P820" i="6"/>
  <c r="D820" i="6"/>
  <c r="P819" i="6"/>
  <c r="D819" i="6"/>
  <c r="P817" i="6"/>
  <c r="D817" i="6"/>
  <c r="P816" i="6"/>
  <c r="D816" i="6"/>
  <c r="P815" i="6"/>
  <c r="D815" i="6"/>
  <c r="P814" i="6"/>
  <c r="D814" i="6"/>
  <c r="P813" i="6"/>
  <c r="D813" i="6"/>
  <c r="P812" i="6"/>
  <c r="D812" i="6"/>
  <c r="P811" i="6"/>
  <c r="D811" i="6"/>
  <c r="P810" i="6"/>
  <c r="D810" i="6"/>
  <c r="P809" i="6"/>
  <c r="D809" i="6"/>
  <c r="P808" i="6"/>
  <c r="D808" i="6"/>
  <c r="P807" i="6"/>
  <c r="D807" i="6"/>
  <c r="P805" i="6"/>
  <c r="D805" i="6"/>
  <c r="P804" i="6"/>
  <c r="D804" i="6"/>
  <c r="P803" i="6"/>
  <c r="D803" i="6"/>
  <c r="P802" i="6"/>
  <c r="D802" i="6"/>
  <c r="P801" i="6"/>
  <c r="D801" i="6"/>
  <c r="P800" i="6"/>
  <c r="D800" i="6"/>
  <c r="P799" i="6"/>
  <c r="D799" i="6"/>
  <c r="P798" i="6"/>
  <c r="D798" i="6"/>
  <c r="P797" i="6"/>
  <c r="D797" i="6"/>
  <c r="P796" i="6"/>
  <c r="D796" i="6"/>
  <c r="P795" i="6"/>
  <c r="D795" i="6"/>
  <c r="P794" i="6"/>
  <c r="D794" i="6"/>
  <c r="P793" i="6"/>
  <c r="D793" i="6"/>
  <c r="P792" i="6"/>
  <c r="D792" i="6"/>
  <c r="P791" i="6"/>
  <c r="D791" i="6"/>
  <c r="P790" i="6"/>
  <c r="D790" i="6"/>
  <c r="P789" i="6"/>
  <c r="D789" i="6"/>
  <c r="P788" i="6"/>
  <c r="D788" i="6"/>
  <c r="P787" i="6"/>
  <c r="D787" i="6"/>
  <c r="P786" i="6"/>
  <c r="D786" i="6"/>
  <c r="P785" i="6"/>
  <c r="D785" i="6"/>
  <c r="P784" i="6"/>
  <c r="D784" i="6"/>
  <c r="P783" i="6"/>
  <c r="D783" i="6"/>
  <c r="P782" i="6"/>
  <c r="D782" i="6"/>
  <c r="P781" i="6"/>
  <c r="D781" i="6"/>
  <c r="P780" i="6"/>
  <c r="D780" i="6"/>
  <c r="P779" i="6"/>
  <c r="D779" i="6"/>
  <c r="P778" i="6"/>
  <c r="D778" i="6"/>
  <c r="P777" i="6"/>
  <c r="D777" i="6"/>
  <c r="P776" i="6"/>
  <c r="D776" i="6"/>
  <c r="P775" i="6"/>
  <c r="D775" i="6"/>
  <c r="P774" i="6"/>
  <c r="D774" i="6"/>
  <c r="P773" i="6"/>
  <c r="D773" i="6"/>
  <c r="P772" i="6"/>
  <c r="D772" i="6"/>
  <c r="P771" i="6"/>
  <c r="D771" i="6"/>
  <c r="P770" i="6"/>
  <c r="D770" i="6"/>
  <c r="P769" i="6"/>
  <c r="D769" i="6"/>
  <c r="P768" i="6"/>
  <c r="D768" i="6"/>
  <c r="P767" i="6"/>
  <c r="D767" i="6"/>
  <c r="P766" i="6"/>
  <c r="D766" i="6"/>
  <c r="P765" i="6"/>
  <c r="D765" i="6"/>
  <c r="P764" i="6"/>
  <c r="D764" i="6"/>
  <c r="P763" i="6"/>
  <c r="D763" i="6"/>
  <c r="P762" i="6"/>
  <c r="D762" i="6"/>
  <c r="P761" i="6"/>
  <c r="D761" i="6"/>
  <c r="P760" i="6"/>
  <c r="D760" i="6"/>
  <c r="P759" i="6"/>
  <c r="D759" i="6"/>
  <c r="P758" i="6"/>
  <c r="D758" i="6"/>
  <c r="P757" i="6"/>
  <c r="D757" i="6"/>
  <c r="P756" i="6"/>
  <c r="D756" i="6"/>
  <c r="P755" i="6"/>
  <c r="D755" i="6"/>
  <c r="P754" i="6"/>
  <c r="D754" i="6"/>
  <c r="P753" i="6"/>
  <c r="D753" i="6"/>
  <c r="P752" i="6"/>
  <c r="D752" i="6"/>
  <c r="P751" i="6"/>
  <c r="D751" i="6"/>
  <c r="P750" i="6"/>
  <c r="D750" i="6"/>
  <c r="P749" i="6"/>
  <c r="D749" i="6"/>
  <c r="P748" i="6"/>
  <c r="D748" i="6"/>
  <c r="P747" i="6"/>
  <c r="D747" i="6"/>
  <c r="P746" i="6"/>
  <c r="D746" i="6"/>
  <c r="P745" i="6"/>
  <c r="D745" i="6"/>
  <c r="P744" i="6"/>
  <c r="D744" i="6"/>
  <c r="P743" i="6"/>
  <c r="D743" i="6"/>
  <c r="P818" i="6"/>
  <c r="D818" i="6"/>
  <c r="P742" i="6"/>
  <c r="D742" i="6"/>
  <c r="P741" i="6"/>
  <c r="D741" i="6"/>
  <c r="P740" i="6"/>
  <c r="D740" i="6"/>
  <c r="P739" i="6"/>
  <c r="D739" i="6"/>
  <c r="P738" i="6"/>
  <c r="D738" i="6"/>
  <c r="P737" i="6"/>
  <c r="D737" i="6"/>
  <c r="P736" i="6"/>
  <c r="D736" i="6"/>
  <c r="P735" i="6"/>
  <c r="D735" i="6"/>
  <c r="P734" i="6"/>
  <c r="D734" i="6"/>
  <c r="P733" i="6"/>
  <c r="D733" i="6"/>
  <c r="P732" i="6"/>
  <c r="D732" i="6"/>
  <c r="P731" i="6"/>
  <c r="D731" i="6"/>
  <c r="P730" i="6"/>
  <c r="D730" i="6"/>
  <c r="P729" i="6"/>
  <c r="D729" i="6"/>
  <c r="P728" i="6"/>
  <c r="D728" i="6"/>
  <c r="P727" i="6"/>
  <c r="D727" i="6"/>
  <c r="P726" i="6"/>
  <c r="D726" i="6"/>
  <c r="P725" i="6"/>
  <c r="D725" i="6"/>
  <c r="P724" i="6"/>
  <c r="D724" i="6"/>
  <c r="P723" i="6"/>
  <c r="D723" i="6"/>
  <c r="P722" i="6"/>
  <c r="D722" i="6"/>
  <c r="P721" i="6"/>
  <c r="D721" i="6"/>
  <c r="P720" i="6"/>
  <c r="D720" i="6"/>
  <c r="P719" i="6"/>
  <c r="D719" i="6"/>
  <c r="P718" i="6"/>
  <c r="D718" i="6"/>
  <c r="P717" i="6"/>
  <c r="D717" i="6"/>
  <c r="P716" i="6"/>
  <c r="D716" i="6"/>
  <c r="P715" i="6"/>
  <c r="D715" i="6"/>
  <c r="P714" i="6"/>
  <c r="D714" i="6"/>
  <c r="P713" i="6"/>
  <c r="D713" i="6"/>
  <c r="P712" i="6"/>
  <c r="D712" i="6"/>
  <c r="P711" i="6"/>
  <c r="D711" i="6"/>
  <c r="P710" i="6"/>
  <c r="D710" i="6"/>
  <c r="P709" i="6"/>
  <c r="D709" i="6"/>
  <c r="P708" i="6"/>
  <c r="D708" i="6"/>
  <c r="P707" i="6"/>
  <c r="D707" i="6"/>
  <c r="P706" i="6"/>
  <c r="D706" i="6"/>
  <c r="P705" i="6"/>
  <c r="D705" i="6"/>
  <c r="P704" i="6"/>
  <c r="D704" i="6"/>
  <c r="P703" i="6"/>
  <c r="D703" i="6"/>
  <c r="P702" i="6"/>
  <c r="D702" i="6"/>
  <c r="P701" i="6"/>
  <c r="D701" i="6"/>
  <c r="P700" i="6"/>
  <c r="D700" i="6"/>
  <c r="P699" i="6"/>
  <c r="D699" i="6"/>
  <c r="P698" i="6"/>
  <c r="D698" i="6"/>
  <c r="P697" i="6"/>
  <c r="D697" i="6"/>
  <c r="P696" i="6"/>
  <c r="D696" i="6"/>
  <c r="P695" i="6"/>
  <c r="D695" i="6"/>
  <c r="P694" i="6"/>
  <c r="D694" i="6"/>
  <c r="P693" i="6"/>
  <c r="D693" i="6"/>
  <c r="P692" i="6"/>
  <c r="D692" i="6"/>
  <c r="P691" i="6"/>
  <c r="D691" i="6"/>
  <c r="P690" i="6"/>
  <c r="D690" i="6"/>
  <c r="P689" i="6"/>
  <c r="D689" i="6"/>
  <c r="P688" i="6"/>
  <c r="D688" i="6"/>
  <c r="P687" i="6"/>
  <c r="D687" i="6"/>
  <c r="P686" i="6"/>
  <c r="D686" i="6"/>
  <c r="P685" i="6"/>
  <c r="D685" i="6"/>
  <c r="P684" i="6"/>
  <c r="D684" i="6"/>
  <c r="P683" i="6"/>
  <c r="D683" i="6"/>
  <c r="P682" i="6"/>
  <c r="D682" i="6"/>
  <c r="P681" i="6"/>
  <c r="D681" i="6"/>
  <c r="P680" i="6"/>
  <c r="D680" i="6"/>
  <c r="P1001" i="6"/>
  <c r="P1000" i="6"/>
  <c r="D1000" i="6"/>
  <c r="P999" i="6"/>
  <c r="D999" i="6"/>
  <c r="P998" i="6"/>
  <c r="D998" i="6"/>
  <c r="P997" i="6"/>
  <c r="D997" i="6"/>
  <c r="P996" i="6"/>
  <c r="D996" i="6"/>
  <c r="P995" i="6"/>
  <c r="D995" i="6"/>
  <c r="P994" i="6"/>
  <c r="D994" i="6"/>
  <c r="P924" i="6"/>
  <c r="D924" i="6"/>
  <c r="P993" i="6"/>
  <c r="D993" i="6"/>
  <c r="P992" i="6"/>
  <c r="D992" i="6"/>
  <c r="P991" i="6"/>
  <c r="D991" i="6"/>
  <c r="P990" i="6"/>
  <c r="D990" i="6"/>
  <c r="P989" i="6"/>
  <c r="D989" i="6"/>
  <c r="P988" i="6"/>
  <c r="D988" i="6"/>
  <c r="P987" i="6"/>
  <c r="D987" i="6"/>
  <c r="P986" i="6"/>
  <c r="D986" i="6"/>
  <c r="P985" i="6"/>
  <c r="D985" i="6"/>
  <c r="P984" i="6"/>
  <c r="D984" i="6"/>
  <c r="P983" i="6"/>
  <c r="D983" i="6"/>
  <c r="P982" i="6"/>
  <c r="D982" i="6"/>
  <c r="P981" i="6"/>
  <c r="D981" i="6"/>
  <c r="P980" i="6"/>
  <c r="D980" i="6"/>
  <c r="P979" i="6"/>
  <c r="D979" i="6"/>
  <c r="P978" i="6"/>
  <c r="D978" i="6"/>
  <c r="P977" i="6"/>
  <c r="D977" i="6"/>
  <c r="P976" i="6"/>
  <c r="D976" i="6"/>
  <c r="P975" i="6"/>
  <c r="D975" i="6"/>
  <c r="P974" i="6"/>
  <c r="D974" i="6"/>
  <c r="P973" i="6"/>
  <c r="D973" i="6"/>
  <c r="P972" i="6"/>
  <c r="D972" i="6"/>
  <c r="P971" i="6"/>
  <c r="D971" i="6"/>
  <c r="P970" i="6"/>
  <c r="D970" i="6"/>
  <c r="P848" i="6"/>
  <c r="D848" i="6"/>
  <c r="P969" i="6"/>
  <c r="D969" i="6"/>
  <c r="P968" i="6"/>
  <c r="D968" i="6"/>
  <c r="P967" i="6"/>
  <c r="D967" i="6"/>
  <c r="P966" i="6"/>
  <c r="D966" i="6"/>
  <c r="P965" i="6"/>
  <c r="D965" i="6"/>
  <c r="P964" i="6"/>
  <c r="D964" i="6"/>
  <c r="P963" i="6"/>
  <c r="D963" i="6"/>
  <c r="P962" i="6"/>
  <c r="D962" i="6"/>
  <c r="P961" i="6"/>
  <c r="D961" i="6"/>
  <c r="P960" i="6"/>
  <c r="D960" i="6"/>
  <c r="P959" i="6"/>
  <c r="D959" i="6"/>
  <c r="P958" i="6"/>
  <c r="D958" i="6"/>
  <c r="P957" i="6"/>
  <c r="D957" i="6"/>
  <c r="P956" i="6"/>
  <c r="D956" i="6"/>
  <c r="P955" i="6"/>
  <c r="D955" i="6"/>
  <c r="P954" i="6"/>
  <c r="D954" i="6"/>
  <c r="P953" i="6"/>
  <c r="D953" i="6"/>
  <c r="P952" i="6"/>
  <c r="D952" i="6"/>
  <c r="P951" i="6"/>
  <c r="D951" i="6"/>
  <c r="P950" i="6"/>
  <c r="D950" i="6"/>
  <c r="P949" i="6"/>
  <c r="D949" i="6"/>
  <c r="P948" i="6"/>
  <c r="D948" i="6"/>
  <c r="P947" i="6"/>
  <c r="D947" i="6"/>
  <c r="P946" i="6"/>
  <c r="D946" i="6"/>
  <c r="P945" i="6"/>
  <c r="D945" i="6"/>
  <c r="P944" i="6"/>
  <c r="D944" i="6"/>
  <c r="P943" i="6"/>
  <c r="D943" i="6"/>
  <c r="P942" i="6"/>
  <c r="D942" i="6"/>
  <c r="P941" i="6"/>
  <c r="D941" i="6"/>
  <c r="P940" i="6"/>
  <c r="D940" i="6"/>
  <c r="P939" i="6"/>
  <c r="D939" i="6"/>
  <c r="P938" i="6"/>
  <c r="D938" i="6"/>
  <c r="P937" i="6"/>
  <c r="D937" i="6"/>
  <c r="P936" i="6"/>
  <c r="D936" i="6"/>
  <c r="P935" i="6"/>
  <c r="D935" i="6"/>
  <c r="P934" i="6"/>
  <c r="D934" i="6"/>
  <c r="P933" i="6"/>
  <c r="D933" i="6"/>
  <c r="P932" i="6"/>
  <c r="D932" i="6"/>
  <c r="P931" i="6"/>
  <c r="D931" i="6"/>
  <c r="P930" i="6"/>
  <c r="D930" i="6"/>
  <c r="P929" i="6"/>
  <c r="D929" i="6"/>
  <c r="P928" i="6"/>
  <c r="D928" i="6"/>
  <c r="P927" i="6"/>
  <c r="D927" i="6"/>
  <c r="P926" i="6"/>
  <c r="D926" i="6"/>
  <c r="P925" i="6"/>
  <c r="D925" i="6"/>
  <c r="P923" i="6"/>
  <c r="D923" i="6"/>
  <c r="P922" i="6"/>
  <c r="D922" i="6"/>
  <c r="P921" i="6"/>
  <c r="D921" i="6"/>
  <c r="P920" i="6"/>
  <c r="D920" i="6"/>
  <c r="P919" i="6"/>
  <c r="D919" i="6"/>
  <c r="P918" i="6"/>
  <c r="D918" i="6"/>
  <c r="P917" i="6"/>
  <c r="D917" i="6"/>
  <c r="P916" i="6"/>
  <c r="D916" i="6"/>
  <c r="P915" i="6"/>
  <c r="D915" i="6"/>
  <c r="P914" i="6"/>
  <c r="D914" i="6"/>
  <c r="P913" i="6"/>
  <c r="D913" i="6"/>
  <c r="P912" i="6"/>
  <c r="D912" i="6"/>
  <c r="P911" i="6"/>
  <c r="D911" i="6"/>
  <c r="P910" i="6"/>
  <c r="D910" i="6"/>
  <c r="P909" i="6"/>
  <c r="D909" i="6"/>
  <c r="P908" i="6"/>
  <c r="D908" i="6"/>
  <c r="P907" i="6"/>
  <c r="D907" i="6"/>
  <c r="P906" i="6"/>
  <c r="D906" i="6"/>
  <c r="P905" i="6"/>
  <c r="D905" i="6"/>
  <c r="P904" i="6"/>
  <c r="D904" i="6"/>
  <c r="P903" i="6"/>
  <c r="D903" i="6"/>
  <c r="P902" i="6"/>
  <c r="D902" i="6"/>
  <c r="P901" i="6"/>
  <c r="D901" i="6"/>
  <c r="P900" i="6"/>
  <c r="D900" i="6"/>
  <c r="P899" i="6"/>
  <c r="D899" i="6"/>
  <c r="P898" i="6"/>
  <c r="D898" i="6"/>
  <c r="P897" i="6"/>
  <c r="D897" i="6"/>
  <c r="P896" i="6"/>
  <c r="D896" i="6"/>
  <c r="P895" i="6"/>
  <c r="D895" i="6"/>
  <c r="P894" i="6"/>
  <c r="D894" i="6"/>
  <c r="P893" i="6"/>
  <c r="D893" i="6"/>
  <c r="P892" i="6"/>
  <c r="D892" i="6"/>
  <c r="P891" i="6"/>
  <c r="D891" i="6"/>
  <c r="P890" i="6"/>
  <c r="D890" i="6"/>
  <c r="P889" i="6"/>
  <c r="D889" i="6"/>
  <c r="P888" i="6"/>
  <c r="D888" i="6"/>
  <c r="P887" i="6"/>
  <c r="D887" i="6"/>
  <c r="P886" i="6"/>
  <c r="D886" i="6"/>
  <c r="P885" i="6"/>
  <c r="D885" i="6"/>
  <c r="P884" i="6"/>
  <c r="D884" i="6"/>
  <c r="P883" i="6"/>
  <c r="D883" i="6"/>
  <c r="P882" i="6"/>
  <c r="D882" i="6"/>
  <c r="P881" i="6"/>
  <c r="D881" i="6"/>
  <c r="P880" i="6"/>
  <c r="D880" i="6"/>
  <c r="P879" i="6"/>
  <c r="D879" i="6"/>
  <c r="P878" i="6"/>
  <c r="D878" i="6"/>
  <c r="P877" i="6"/>
  <c r="D877" i="6"/>
  <c r="P876" i="6"/>
  <c r="D876" i="6"/>
  <c r="P875" i="6"/>
  <c r="D875" i="6"/>
  <c r="P874" i="6"/>
  <c r="D874" i="6"/>
  <c r="P873" i="6"/>
  <c r="D873" i="6"/>
  <c r="P872" i="6"/>
  <c r="D872" i="6"/>
  <c r="P871" i="6"/>
  <c r="D871" i="6"/>
  <c r="P870" i="6"/>
  <c r="D870" i="6"/>
  <c r="P869" i="6"/>
  <c r="D869" i="6"/>
  <c r="P868" i="6"/>
  <c r="D868" i="6"/>
  <c r="P867" i="6"/>
  <c r="D867" i="6"/>
  <c r="P866" i="6"/>
  <c r="D866" i="6"/>
  <c r="P865" i="6"/>
  <c r="D865" i="6"/>
  <c r="P864" i="6"/>
  <c r="D864" i="6"/>
  <c r="P863" i="6"/>
  <c r="D863" i="6"/>
  <c r="P862" i="6"/>
  <c r="D862" i="6"/>
  <c r="P861" i="6"/>
  <c r="D861" i="6"/>
  <c r="P860" i="6"/>
  <c r="D860" i="6"/>
  <c r="P859" i="6"/>
  <c r="D859" i="6"/>
  <c r="P858" i="6"/>
  <c r="D858" i="6"/>
  <c r="P857" i="6"/>
  <c r="D857" i="6"/>
  <c r="P856" i="6"/>
  <c r="D856" i="6"/>
  <c r="P855" i="6"/>
  <c r="D855" i="6"/>
  <c r="P854" i="6"/>
  <c r="D854" i="6"/>
  <c r="P853" i="6"/>
  <c r="D853" i="6"/>
  <c r="P852" i="6"/>
  <c r="D852" i="6"/>
  <c r="P851" i="6"/>
  <c r="D851" i="6"/>
  <c r="P850" i="6"/>
  <c r="D850" i="6"/>
  <c r="P849" i="6"/>
  <c r="D849" i="6"/>
  <c r="P847" i="6"/>
  <c r="D847" i="6"/>
  <c r="P846" i="6"/>
  <c r="D846" i="6"/>
  <c r="P845" i="6"/>
  <c r="D845" i="6"/>
  <c r="P844" i="6"/>
  <c r="D844" i="6"/>
  <c r="P843" i="6"/>
  <c r="D843" i="6"/>
  <c r="P842" i="6"/>
  <c r="D842" i="6"/>
  <c r="P841" i="6"/>
  <c r="D841" i="6"/>
  <c r="P840" i="6"/>
  <c r="D840" i="6"/>
  <c r="P839" i="6"/>
  <c r="D839" i="6"/>
  <c r="P838" i="6"/>
  <c r="D838" i="6"/>
  <c r="P2" i="6"/>
  <c r="D2" i="6"/>
  <c r="P355" i="6"/>
  <c r="B20" i="14"/>
  <c r="L2" i="6"/>
  <c r="M2" i="6" s="1"/>
  <c r="L160" i="6"/>
  <c r="M160" i="6" s="1"/>
  <c r="N160" i="6" s="1"/>
  <c r="O160" i="6" s="1"/>
  <c r="L159" i="6"/>
  <c r="M159" i="6" s="1"/>
  <c r="N159" i="6" s="1"/>
  <c r="O159" i="6" s="1"/>
  <c r="L158" i="6"/>
  <c r="M158" i="6" s="1"/>
  <c r="N158" i="6" s="1"/>
  <c r="O158" i="6" s="1"/>
  <c r="L157" i="6"/>
  <c r="M157" i="6" s="1"/>
  <c r="N157" i="6" s="1"/>
  <c r="O157" i="6" s="1"/>
  <c r="L156" i="6"/>
  <c r="M156" i="6" s="1"/>
  <c r="N156" i="6" s="1"/>
  <c r="O156" i="6" s="1"/>
  <c r="L155" i="6"/>
  <c r="M155" i="6" s="1"/>
  <c r="N155" i="6" s="1"/>
  <c r="O155" i="6" s="1"/>
  <c r="L154" i="6"/>
  <c r="M154" i="6" s="1"/>
  <c r="N154" i="6" s="1"/>
  <c r="O154" i="6" s="1"/>
  <c r="L153" i="6"/>
  <c r="M153" i="6" s="1"/>
  <c r="N153" i="6" s="1"/>
  <c r="O153" i="6" s="1"/>
  <c r="L152" i="6"/>
  <c r="M152" i="6" s="1"/>
  <c r="N152" i="6" s="1"/>
  <c r="O152" i="6" s="1"/>
  <c r="L151" i="6"/>
  <c r="M151" i="6" s="1"/>
  <c r="N151" i="6" s="1"/>
  <c r="O151" i="6" s="1"/>
  <c r="L150" i="6"/>
  <c r="M150" i="6" s="1"/>
  <c r="N150" i="6" s="1"/>
  <c r="O150" i="6" s="1"/>
  <c r="L149" i="6"/>
  <c r="M149" i="6" s="1"/>
  <c r="N149" i="6" s="1"/>
  <c r="O149" i="6" s="1"/>
  <c r="L148" i="6"/>
  <c r="M148" i="6" s="1"/>
  <c r="N148" i="6" s="1"/>
  <c r="O148" i="6" s="1"/>
  <c r="L147" i="6"/>
  <c r="M147" i="6" s="1"/>
  <c r="N147" i="6" s="1"/>
  <c r="O147" i="6" s="1"/>
  <c r="L146" i="6"/>
  <c r="M146" i="6" s="1"/>
  <c r="N146" i="6" s="1"/>
  <c r="O146" i="6" s="1"/>
  <c r="L145" i="6"/>
  <c r="M145" i="6" s="1"/>
  <c r="N145" i="6" s="1"/>
  <c r="O145" i="6" s="1"/>
  <c r="L144" i="6"/>
  <c r="M144" i="6" s="1"/>
  <c r="N144" i="6" s="1"/>
  <c r="O144" i="6" s="1"/>
  <c r="L143" i="6"/>
  <c r="M143" i="6" s="1"/>
  <c r="N143" i="6" s="1"/>
  <c r="O143" i="6" s="1"/>
  <c r="L142" i="6"/>
  <c r="M142" i="6" s="1"/>
  <c r="N142" i="6" s="1"/>
  <c r="O142" i="6" s="1"/>
  <c r="L141" i="6"/>
  <c r="M141" i="6" s="1"/>
  <c r="N141" i="6" s="1"/>
  <c r="O141" i="6" s="1"/>
  <c r="L140" i="6"/>
  <c r="M140" i="6" s="1"/>
  <c r="N140" i="6" s="1"/>
  <c r="O140" i="6" s="1"/>
  <c r="L139" i="6"/>
  <c r="M139" i="6" s="1"/>
  <c r="N139" i="6" s="1"/>
  <c r="O139" i="6" s="1"/>
  <c r="L138" i="6"/>
  <c r="M138" i="6" s="1"/>
  <c r="N138" i="6" s="1"/>
  <c r="O138" i="6" s="1"/>
  <c r="L137" i="6"/>
  <c r="M137" i="6" s="1"/>
  <c r="N137" i="6" s="1"/>
  <c r="O137" i="6" s="1"/>
  <c r="L136" i="6"/>
  <c r="M136" i="6" s="1"/>
  <c r="N136" i="6" s="1"/>
  <c r="O136" i="6" s="1"/>
  <c r="L135" i="6"/>
  <c r="M135" i="6" s="1"/>
  <c r="N135" i="6" s="1"/>
  <c r="O135" i="6" s="1"/>
  <c r="L134" i="6"/>
  <c r="M134" i="6" s="1"/>
  <c r="N134" i="6" s="1"/>
  <c r="O134" i="6" s="1"/>
  <c r="L133" i="6"/>
  <c r="M133" i="6" s="1"/>
  <c r="N133" i="6" s="1"/>
  <c r="O133" i="6" s="1"/>
  <c r="L132" i="6"/>
  <c r="M132" i="6" s="1"/>
  <c r="N132" i="6" s="1"/>
  <c r="O132" i="6" s="1"/>
  <c r="L131" i="6"/>
  <c r="M131" i="6" s="1"/>
  <c r="N131" i="6" s="1"/>
  <c r="O131" i="6" s="1"/>
  <c r="L130" i="6"/>
  <c r="M130" i="6" s="1"/>
  <c r="N130" i="6" s="1"/>
  <c r="O130" i="6" s="1"/>
  <c r="L129" i="6"/>
  <c r="M129" i="6" s="1"/>
  <c r="N129" i="6" s="1"/>
  <c r="O129" i="6" s="1"/>
  <c r="L128" i="6"/>
  <c r="M128" i="6" s="1"/>
  <c r="N128" i="6" s="1"/>
  <c r="O128" i="6" s="1"/>
  <c r="L127" i="6"/>
  <c r="M127" i="6" s="1"/>
  <c r="N127" i="6" s="1"/>
  <c r="O127" i="6" s="1"/>
  <c r="L126" i="6"/>
  <c r="M126" i="6" s="1"/>
  <c r="N126" i="6" s="1"/>
  <c r="O126" i="6" s="1"/>
  <c r="L125" i="6"/>
  <c r="M125" i="6" s="1"/>
  <c r="N125" i="6" s="1"/>
  <c r="O125" i="6" s="1"/>
  <c r="L124" i="6"/>
  <c r="M124" i="6" s="1"/>
  <c r="N124" i="6" s="1"/>
  <c r="O124" i="6" s="1"/>
  <c r="L123" i="6"/>
  <c r="M123" i="6" s="1"/>
  <c r="N123" i="6" s="1"/>
  <c r="O123" i="6" s="1"/>
  <c r="L122" i="6"/>
  <c r="M122" i="6" s="1"/>
  <c r="N122" i="6" s="1"/>
  <c r="O122" i="6" s="1"/>
  <c r="L121" i="6"/>
  <c r="M121" i="6" s="1"/>
  <c r="N121" i="6" s="1"/>
  <c r="O121" i="6" s="1"/>
  <c r="L120" i="6"/>
  <c r="M120" i="6" s="1"/>
  <c r="N120" i="6" s="1"/>
  <c r="O120" i="6" s="1"/>
  <c r="L119" i="6"/>
  <c r="M119" i="6" s="1"/>
  <c r="N119" i="6" s="1"/>
  <c r="O119" i="6" s="1"/>
  <c r="L118" i="6"/>
  <c r="M118" i="6" s="1"/>
  <c r="N118" i="6" s="1"/>
  <c r="O118" i="6" s="1"/>
  <c r="L117" i="6"/>
  <c r="M117" i="6" s="1"/>
  <c r="N117" i="6" s="1"/>
  <c r="O117" i="6" s="1"/>
  <c r="L116" i="6"/>
  <c r="M116" i="6" s="1"/>
  <c r="N116" i="6" s="1"/>
  <c r="O116" i="6" s="1"/>
  <c r="L115" i="6"/>
  <c r="M115" i="6" s="1"/>
  <c r="N115" i="6" s="1"/>
  <c r="O115" i="6" s="1"/>
  <c r="L114" i="6"/>
  <c r="M114" i="6" s="1"/>
  <c r="N114" i="6" s="1"/>
  <c r="O114" i="6" s="1"/>
  <c r="L113" i="6"/>
  <c r="M113" i="6" s="1"/>
  <c r="N113" i="6" s="1"/>
  <c r="O113" i="6" s="1"/>
  <c r="L112" i="6"/>
  <c r="M112" i="6" s="1"/>
  <c r="N112" i="6" s="1"/>
  <c r="O112" i="6" s="1"/>
  <c r="L111" i="6"/>
  <c r="M111" i="6" s="1"/>
  <c r="N111" i="6" s="1"/>
  <c r="O111" i="6" s="1"/>
  <c r="L110" i="6"/>
  <c r="M110" i="6" s="1"/>
  <c r="N110" i="6" s="1"/>
  <c r="O110" i="6" s="1"/>
  <c r="L109" i="6"/>
  <c r="M109" i="6" s="1"/>
  <c r="N109" i="6" s="1"/>
  <c r="O109" i="6" s="1"/>
  <c r="L108" i="6"/>
  <c r="M108" i="6" s="1"/>
  <c r="N108" i="6" s="1"/>
  <c r="O108" i="6" s="1"/>
  <c r="L107" i="6"/>
  <c r="M107" i="6" s="1"/>
  <c r="N107" i="6" s="1"/>
  <c r="O107" i="6" s="1"/>
  <c r="L106" i="6"/>
  <c r="M106" i="6" s="1"/>
  <c r="N106" i="6" s="1"/>
  <c r="O106" i="6" s="1"/>
  <c r="L105" i="6"/>
  <c r="M105" i="6" s="1"/>
  <c r="N105" i="6" s="1"/>
  <c r="O105" i="6" s="1"/>
  <c r="L104" i="6"/>
  <c r="M104" i="6" s="1"/>
  <c r="N104" i="6" s="1"/>
  <c r="O104" i="6" s="1"/>
  <c r="L103" i="6"/>
  <c r="M103" i="6" s="1"/>
  <c r="N103" i="6" s="1"/>
  <c r="O103" i="6" s="1"/>
  <c r="L102" i="6"/>
  <c r="M102" i="6" s="1"/>
  <c r="N102" i="6" s="1"/>
  <c r="O102" i="6" s="1"/>
  <c r="L101" i="6"/>
  <c r="M101" i="6" s="1"/>
  <c r="N101" i="6" s="1"/>
  <c r="O101" i="6" s="1"/>
  <c r="L100" i="6"/>
  <c r="M100" i="6" s="1"/>
  <c r="N100" i="6" s="1"/>
  <c r="O100" i="6" s="1"/>
  <c r="L99" i="6"/>
  <c r="M99" i="6" s="1"/>
  <c r="N99" i="6" s="1"/>
  <c r="O99" i="6" s="1"/>
  <c r="L98" i="6"/>
  <c r="M98" i="6" s="1"/>
  <c r="N98" i="6" s="1"/>
  <c r="O98" i="6" s="1"/>
  <c r="L97" i="6"/>
  <c r="M97" i="6" s="1"/>
  <c r="N97" i="6" s="1"/>
  <c r="O97" i="6" s="1"/>
  <c r="L96" i="6"/>
  <c r="M96" i="6" s="1"/>
  <c r="N96" i="6" s="1"/>
  <c r="O96" i="6" s="1"/>
  <c r="L95" i="6"/>
  <c r="M95" i="6" s="1"/>
  <c r="N95" i="6" s="1"/>
  <c r="O95" i="6" s="1"/>
  <c r="L94" i="6"/>
  <c r="M94" i="6" s="1"/>
  <c r="N94" i="6" s="1"/>
  <c r="O94" i="6" s="1"/>
  <c r="L93" i="6"/>
  <c r="M93" i="6" s="1"/>
  <c r="N93" i="6" s="1"/>
  <c r="O93" i="6" s="1"/>
  <c r="L92" i="6"/>
  <c r="M92" i="6" s="1"/>
  <c r="N92" i="6" s="1"/>
  <c r="O92" i="6" s="1"/>
  <c r="L91" i="6"/>
  <c r="M91" i="6" s="1"/>
  <c r="N91" i="6" s="1"/>
  <c r="O91" i="6" s="1"/>
  <c r="L90" i="6"/>
  <c r="M90" i="6" s="1"/>
  <c r="N90" i="6" s="1"/>
  <c r="O90" i="6" s="1"/>
  <c r="L89" i="6"/>
  <c r="M89" i="6" s="1"/>
  <c r="N89" i="6" s="1"/>
  <c r="O89" i="6" s="1"/>
  <c r="L88" i="6"/>
  <c r="M88" i="6" s="1"/>
  <c r="N88" i="6" s="1"/>
  <c r="O88" i="6" s="1"/>
  <c r="L87" i="6"/>
  <c r="M87" i="6" s="1"/>
  <c r="N87" i="6" s="1"/>
  <c r="O87" i="6" s="1"/>
  <c r="L86" i="6"/>
  <c r="M86" i="6" s="1"/>
  <c r="N86" i="6" s="1"/>
  <c r="O86" i="6" s="1"/>
  <c r="L85" i="6"/>
  <c r="M85" i="6" s="1"/>
  <c r="N85" i="6" s="1"/>
  <c r="O85" i="6" s="1"/>
  <c r="L84" i="6"/>
  <c r="M84" i="6" s="1"/>
  <c r="N84" i="6" s="1"/>
  <c r="O84" i="6" s="1"/>
  <c r="L83" i="6"/>
  <c r="M83" i="6" s="1"/>
  <c r="N83" i="6" s="1"/>
  <c r="O83" i="6" s="1"/>
  <c r="L82" i="6"/>
  <c r="M82" i="6" s="1"/>
  <c r="N82" i="6" s="1"/>
  <c r="O82" i="6" s="1"/>
  <c r="L81" i="6"/>
  <c r="M81" i="6" s="1"/>
  <c r="N81" i="6" s="1"/>
  <c r="O81" i="6" s="1"/>
  <c r="L80" i="6"/>
  <c r="M80" i="6" s="1"/>
  <c r="N80" i="6" s="1"/>
  <c r="O80" i="6" s="1"/>
  <c r="L79" i="6"/>
  <c r="M79" i="6" s="1"/>
  <c r="N79" i="6" s="1"/>
  <c r="O79" i="6" s="1"/>
  <c r="L78" i="6"/>
  <c r="M78" i="6" s="1"/>
  <c r="N78" i="6" s="1"/>
  <c r="O78" i="6" s="1"/>
  <c r="L77" i="6"/>
  <c r="M77" i="6" s="1"/>
  <c r="N77" i="6" s="1"/>
  <c r="O77" i="6" s="1"/>
  <c r="L76" i="6"/>
  <c r="M76" i="6" s="1"/>
  <c r="N76" i="6" s="1"/>
  <c r="O76" i="6" s="1"/>
  <c r="L75" i="6"/>
  <c r="M75" i="6" s="1"/>
  <c r="N75" i="6" s="1"/>
  <c r="O75" i="6" s="1"/>
  <c r="L74" i="6"/>
  <c r="M74" i="6" s="1"/>
  <c r="N74" i="6" s="1"/>
  <c r="O74" i="6" s="1"/>
  <c r="L73" i="6"/>
  <c r="M73" i="6" s="1"/>
  <c r="N73" i="6" s="1"/>
  <c r="O73" i="6" s="1"/>
  <c r="L72" i="6"/>
  <c r="M72" i="6" s="1"/>
  <c r="N72" i="6" s="1"/>
  <c r="O72" i="6" s="1"/>
  <c r="L71" i="6"/>
  <c r="M71" i="6" s="1"/>
  <c r="N71" i="6" s="1"/>
  <c r="O71" i="6" s="1"/>
  <c r="L70" i="6"/>
  <c r="M70" i="6" s="1"/>
  <c r="N70" i="6" s="1"/>
  <c r="O70" i="6" s="1"/>
  <c r="L69" i="6"/>
  <c r="M69" i="6" s="1"/>
  <c r="N69" i="6" s="1"/>
  <c r="O69" i="6" s="1"/>
  <c r="L68" i="6"/>
  <c r="M68" i="6" s="1"/>
  <c r="N68" i="6" s="1"/>
  <c r="O68" i="6" s="1"/>
  <c r="L67" i="6"/>
  <c r="M67" i="6" s="1"/>
  <c r="N67" i="6" s="1"/>
  <c r="O67" i="6" s="1"/>
  <c r="L66" i="6"/>
  <c r="M66" i="6" s="1"/>
  <c r="N66" i="6" s="1"/>
  <c r="O66" i="6" s="1"/>
  <c r="L65" i="6"/>
  <c r="M65" i="6" s="1"/>
  <c r="N65" i="6" s="1"/>
  <c r="O65" i="6" s="1"/>
  <c r="L64" i="6"/>
  <c r="M64" i="6" s="1"/>
  <c r="N64" i="6" s="1"/>
  <c r="O64" i="6" s="1"/>
  <c r="L63" i="6"/>
  <c r="M63" i="6" s="1"/>
  <c r="N63" i="6" s="1"/>
  <c r="O63" i="6" s="1"/>
  <c r="L62" i="6"/>
  <c r="M62" i="6" s="1"/>
  <c r="N62" i="6" s="1"/>
  <c r="O62" i="6" s="1"/>
  <c r="L61" i="6"/>
  <c r="M61" i="6" s="1"/>
  <c r="N61" i="6" s="1"/>
  <c r="O61" i="6" s="1"/>
  <c r="L60" i="6"/>
  <c r="M60" i="6" s="1"/>
  <c r="N60" i="6" s="1"/>
  <c r="O60" i="6" s="1"/>
  <c r="L59" i="6"/>
  <c r="M59" i="6" s="1"/>
  <c r="N59" i="6" s="1"/>
  <c r="O59" i="6" s="1"/>
  <c r="L58" i="6"/>
  <c r="M58" i="6" s="1"/>
  <c r="N58" i="6" s="1"/>
  <c r="O58" i="6" s="1"/>
  <c r="L57" i="6"/>
  <c r="M57" i="6" s="1"/>
  <c r="N57" i="6" s="1"/>
  <c r="O57" i="6" s="1"/>
  <c r="L56" i="6"/>
  <c r="M56" i="6" s="1"/>
  <c r="N56" i="6" s="1"/>
  <c r="O56" i="6" s="1"/>
  <c r="L55" i="6"/>
  <c r="M55" i="6" s="1"/>
  <c r="N55" i="6" s="1"/>
  <c r="O55" i="6" s="1"/>
  <c r="L54" i="6"/>
  <c r="M54" i="6" s="1"/>
  <c r="N54" i="6" s="1"/>
  <c r="O54" i="6" s="1"/>
  <c r="L53" i="6"/>
  <c r="M53" i="6" s="1"/>
  <c r="N53" i="6" s="1"/>
  <c r="O53" i="6" s="1"/>
  <c r="L52" i="6"/>
  <c r="M52" i="6" s="1"/>
  <c r="N52" i="6" s="1"/>
  <c r="O52" i="6" s="1"/>
  <c r="L51" i="6"/>
  <c r="M51" i="6" s="1"/>
  <c r="N51" i="6" s="1"/>
  <c r="O51" i="6" s="1"/>
  <c r="L50" i="6"/>
  <c r="M50" i="6" s="1"/>
  <c r="N50" i="6" s="1"/>
  <c r="O50" i="6" s="1"/>
  <c r="L49" i="6"/>
  <c r="M49" i="6" s="1"/>
  <c r="N49" i="6" s="1"/>
  <c r="O49" i="6" s="1"/>
  <c r="L48" i="6"/>
  <c r="M48" i="6" s="1"/>
  <c r="N48" i="6" s="1"/>
  <c r="O48" i="6" s="1"/>
  <c r="L47" i="6"/>
  <c r="M47" i="6" s="1"/>
  <c r="N47" i="6" s="1"/>
  <c r="O47" i="6" s="1"/>
  <c r="L46" i="6"/>
  <c r="M46" i="6" s="1"/>
  <c r="N46" i="6" s="1"/>
  <c r="O46" i="6" s="1"/>
  <c r="L45" i="6"/>
  <c r="M45" i="6" s="1"/>
  <c r="N45" i="6" s="1"/>
  <c r="O45" i="6" s="1"/>
  <c r="L44" i="6"/>
  <c r="M44" i="6" s="1"/>
  <c r="N44" i="6" s="1"/>
  <c r="O44" i="6" s="1"/>
  <c r="L43" i="6"/>
  <c r="M43" i="6" s="1"/>
  <c r="N43" i="6" s="1"/>
  <c r="O43" i="6" s="1"/>
  <c r="L42" i="6"/>
  <c r="M42" i="6" s="1"/>
  <c r="N42" i="6" s="1"/>
  <c r="O42" i="6" s="1"/>
  <c r="L41" i="6"/>
  <c r="M41" i="6" s="1"/>
  <c r="N41" i="6" s="1"/>
  <c r="O41" i="6" s="1"/>
  <c r="L40" i="6"/>
  <c r="M40" i="6" s="1"/>
  <c r="N40" i="6" s="1"/>
  <c r="O40" i="6" s="1"/>
  <c r="L39" i="6"/>
  <c r="M39" i="6" s="1"/>
  <c r="N39" i="6" s="1"/>
  <c r="O39" i="6" s="1"/>
  <c r="L38" i="6"/>
  <c r="M38" i="6" s="1"/>
  <c r="N38" i="6" s="1"/>
  <c r="O38" i="6" s="1"/>
  <c r="L37" i="6"/>
  <c r="M37" i="6" s="1"/>
  <c r="N37" i="6" s="1"/>
  <c r="O37" i="6" s="1"/>
  <c r="L36" i="6"/>
  <c r="M36" i="6" s="1"/>
  <c r="N36" i="6" s="1"/>
  <c r="O36" i="6" s="1"/>
  <c r="L35" i="6"/>
  <c r="M35" i="6" s="1"/>
  <c r="N35" i="6" s="1"/>
  <c r="O35" i="6" s="1"/>
  <c r="L34" i="6"/>
  <c r="M34" i="6" s="1"/>
  <c r="N34" i="6" s="1"/>
  <c r="O34" i="6" s="1"/>
  <c r="L33" i="6"/>
  <c r="M33" i="6" s="1"/>
  <c r="N33" i="6" s="1"/>
  <c r="O33" i="6" s="1"/>
  <c r="L32" i="6"/>
  <c r="M32" i="6" s="1"/>
  <c r="N32" i="6" s="1"/>
  <c r="O32" i="6" s="1"/>
  <c r="L31" i="6"/>
  <c r="M31" i="6" s="1"/>
  <c r="N31" i="6" s="1"/>
  <c r="O31" i="6" s="1"/>
  <c r="L30" i="6"/>
  <c r="M30" i="6" s="1"/>
  <c r="N30" i="6" s="1"/>
  <c r="O30" i="6" s="1"/>
  <c r="L29" i="6"/>
  <c r="M29" i="6" s="1"/>
  <c r="N29" i="6" s="1"/>
  <c r="O29" i="6" s="1"/>
  <c r="L28" i="6"/>
  <c r="M28" i="6" s="1"/>
  <c r="N28" i="6" s="1"/>
  <c r="O28" i="6" s="1"/>
  <c r="L27" i="6"/>
  <c r="M27" i="6" s="1"/>
  <c r="N27" i="6" s="1"/>
  <c r="O27" i="6" s="1"/>
  <c r="L26" i="6"/>
  <c r="M26" i="6" s="1"/>
  <c r="N26" i="6" s="1"/>
  <c r="O26" i="6" s="1"/>
  <c r="L25" i="6"/>
  <c r="M25" i="6" s="1"/>
  <c r="N25" i="6" s="1"/>
  <c r="O25" i="6" s="1"/>
  <c r="L24" i="6"/>
  <c r="M24" i="6" s="1"/>
  <c r="N24" i="6" s="1"/>
  <c r="O24" i="6" s="1"/>
  <c r="L23" i="6"/>
  <c r="M23" i="6" s="1"/>
  <c r="N23" i="6" s="1"/>
  <c r="O23" i="6" s="1"/>
  <c r="L22" i="6"/>
  <c r="M22" i="6" s="1"/>
  <c r="N22" i="6" s="1"/>
  <c r="O22" i="6" s="1"/>
  <c r="L21" i="6"/>
  <c r="M21" i="6" s="1"/>
  <c r="N21" i="6" s="1"/>
  <c r="O21" i="6" s="1"/>
  <c r="L20" i="6"/>
  <c r="M20" i="6" s="1"/>
  <c r="N20" i="6" s="1"/>
  <c r="O20" i="6" s="1"/>
  <c r="L19" i="6"/>
  <c r="M19" i="6" s="1"/>
  <c r="N19" i="6" s="1"/>
  <c r="O19" i="6" s="1"/>
  <c r="L18" i="6"/>
  <c r="M18" i="6" s="1"/>
  <c r="N18" i="6" s="1"/>
  <c r="O18" i="6" s="1"/>
  <c r="L17" i="6"/>
  <c r="M17" i="6" s="1"/>
  <c r="N17" i="6" s="1"/>
  <c r="O17" i="6" s="1"/>
  <c r="L16" i="6"/>
  <c r="M16" i="6" s="1"/>
  <c r="N16" i="6" s="1"/>
  <c r="O16" i="6" s="1"/>
  <c r="L15" i="6"/>
  <c r="M15" i="6" s="1"/>
  <c r="N15" i="6" s="1"/>
  <c r="O15" i="6" s="1"/>
  <c r="L14" i="6"/>
  <c r="M14" i="6" s="1"/>
  <c r="N14" i="6" s="1"/>
  <c r="O14" i="6" s="1"/>
  <c r="L13" i="6"/>
  <c r="M13" i="6" s="1"/>
  <c r="N13" i="6" s="1"/>
  <c r="O13" i="6" s="1"/>
  <c r="L12" i="6"/>
  <c r="M12" i="6" s="1"/>
  <c r="N12" i="6" s="1"/>
  <c r="O12" i="6" s="1"/>
  <c r="L11" i="6"/>
  <c r="M11" i="6" s="1"/>
  <c r="N11" i="6" s="1"/>
  <c r="O11" i="6" s="1"/>
  <c r="L10" i="6"/>
  <c r="M10" i="6" s="1"/>
  <c r="N10" i="6" s="1"/>
  <c r="O10" i="6" s="1"/>
  <c r="L9" i="6"/>
  <c r="M9" i="6" s="1"/>
  <c r="N9" i="6" s="1"/>
  <c r="O9" i="6" s="1"/>
  <c r="L8" i="6"/>
  <c r="M8" i="6" s="1"/>
  <c r="N8" i="6" s="1"/>
  <c r="O8" i="6" s="1"/>
  <c r="L7" i="6"/>
  <c r="M7" i="6" s="1"/>
  <c r="N7" i="6" s="1"/>
  <c r="O7" i="6" s="1"/>
  <c r="L6" i="6"/>
  <c r="M6" i="6" s="1"/>
  <c r="N6" i="6" s="1"/>
  <c r="O6" i="6" s="1"/>
  <c r="L5" i="6"/>
  <c r="M5" i="6" s="1"/>
  <c r="N5" i="6" s="1"/>
  <c r="O5" i="6" s="1"/>
  <c r="L4" i="6"/>
  <c r="M4" i="6" s="1"/>
  <c r="N4" i="6" s="1"/>
  <c r="O4" i="6" s="1"/>
  <c r="L3" i="6"/>
  <c r="M3" i="6" s="1"/>
  <c r="N3" i="6" s="1"/>
  <c r="O3" i="6" s="1"/>
  <c r="L161" i="6"/>
  <c r="M161" i="6" s="1"/>
  <c r="N161" i="6" s="1"/>
  <c r="O161" i="6" s="1"/>
  <c r="L200" i="6"/>
  <c r="M200" i="6" s="1"/>
  <c r="N200" i="6" s="1"/>
  <c r="O200" i="6" s="1"/>
  <c r="L199" i="6"/>
  <c r="M199" i="6" s="1"/>
  <c r="N199" i="6" s="1"/>
  <c r="O199" i="6" s="1"/>
  <c r="L198" i="6"/>
  <c r="M198" i="6" s="1"/>
  <c r="N198" i="6" s="1"/>
  <c r="O198" i="6" s="1"/>
  <c r="L197" i="6"/>
  <c r="M197" i="6" s="1"/>
  <c r="N197" i="6" s="1"/>
  <c r="O197" i="6" s="1"/>
  <c r="L196" i="6"/>
  <c r="M196" i="6" s="1"/>
  <c r="N196" i="6" s="1"/>
  <c r="O196" i="6" s="1"/>
  <c r="L195" i="6"/>
  <c r="M195" i="6" s="1"/>
  <c r="N195" i="6" s="1"/>
  <c r="O195" i="6" s="1"/>
  <c r="L194" i="6"/>
  <c r="M194" i="6" s="1"/>
  <c r="N194" i="6" s="1"/>
  <c r="O194" i="6" s="1"/>
  <c r="L193" i="6"/>
  <c r="M193" i="6" s="1"/>
  <c r="N193" i="6" s="1"/>
  <c r="O193" i="6" s="1"/>
  <c r="L192" i="6"/>
  <c r="M192" i="6" s="1"/>
  <c r="N192" i="6" s="1"/>
  <c r="O192" i="6" s="1"/>
  <c r="L191" i="6"/>
  <c r="M191" i="6" s="1"/>
  <c r="N191" i="6" s="1"/>
  <c r="O191" i="6" s="1"/>
  <c r="L190" i="6"/>
  <c r="M190" i="6" s="1"/>
  <c r="N190" i="6" s="1"/>
  <c r="O190" i="6" s="1"/>
  <c r="L189" i="6"/>
  <c r="M189" i="6" s="1"/>
  <c r="N189" i="6" s="1"/>
  <c r="O189" i="6" s="1"/>
  <c r="L188" i="6"/>
  <c r="M188" i="6" s="1"/>
  <c r="N188" i="6" s="1"/>
  <c r="O188" i="6" s="1"/>
  <c r="L187" i="6"/>
  <c r="M187" i="6" s="1"/>
  <c r="N187" i="6" s="1"/>
  <c r="O187" i="6" s="1"/>
  <c r="L186" i="6"/>
  <c r="M186" i="6" s="1"/>
  <c r="N186" i="6" s="1"/>
  <c r="O186" i="6" s="1"/>
  <c r="L185" i="6"/>
  <c r="M185" i="6" s="1"/>
  <c r="N185" i="6" s="1"/>
  <c r="O185" i="6" s="1"/>
  <c r="L184" i="6"/>
  <c r="M184" i="6" s="1"/>
  <c r="N184" i="6" s="1"/>
  <c r="O184" i="6" s="1"/>
  <c r="L183" i="6"/>
  <c r="M183" i="6" s="1"/>
  <c r="N183" i="6" s="1"/>
  <c r="O183" i="6" s="1"/>
  <c r="L182" i="6"/>
  <c r="M182" i="6" s="1"/>
  <c r="N182" i="6" s="1"/>
  <c r="O182" i="6" s="1"/>
  <c r="L181" i="6"/>
  <c r="M181" i="6" s="1"/>
  <c r="N181" i="6" s="1"/>
  <c r="O181" i="6" s="1"/>
  <c r="L180" i="6"/>
  <c r="M180" i="6" s="1"/>
  <c r="N180" i="6" s="1"/>
  <c r="O180" i="6" s="1"/>
  <c r="L179" i="6"/>
  <c r="M179" i="6" s="1"/>
  <c r="N179" i="6" s="1"/>
  <c r="O179" i="6" s="1"/>
  <c r="L178" i="6"/>
  <c r="M178" i="6" s="1"/>
  <c r="N178" i="6" s="1"/>
  <c r="O178" i="6" s="1"/>
  <c r="L177" i="6"/>
  <c r="M177" i="6" s="1"/>
  <c r="N177" i="6" s="1"/>
  <c r="O177" i="6" s="1"/>
  <c r="L176" i="6"/>
  <c r="M176" i="6" s="1"/>
  <c r="N176" i="6" s="1"/>
  <c r="O176" i="6" s="1"/>
  <c r="L175" i="6"/>
  <c r="M175" i="6" s="1"/>
  <c r="N175" i="6" s="1"/>
  <c r="O175" i="6" s="1"/>
  <c r="L174" i="6"/>
  <c r="M174" i="6" s="1"/>
  <c r="N174" i="6" s="1"/>
  <c r="O174" i="6" s="1"/>
  <c r="L173" i="6"/>
  <c r="M173" i="6" s="1"/>
  <c r="N173" i="6" s="1"/>
  <c r="O173" i="6" s="1"/>
  <c r="L172" i="6"/>
  <c r="M172" i="6" s="1"/>
  <c r="N172" i="6" s="1"/>
  <c r="O172" i="6" s="1"/>
  <c r="L171" i="6"/>
  <c r="M171" i="6" s="1"/>
  <c r="N171" i="6" s="1"/>
  <c r="O171" i="6" s="1"/>
  <c r="L170" i="6"/>
  <c r="M170" i="6" s="1"/>
  <c r="N170" i="6" s="1"/>
  <c r="O170" i="6" s="1"/>
  <c r="L169" i="6"/>
  <c r="M169" i="6" s="1"/>
  <c r="N169" i="6" s="1"/>
  <c r="O169" i="6" s="1"/>
  <c r="L168" i="6"/>
  <c r="M168" i="6" s="1"/>
  <c r="N168" i="6" s="1"/>
  <c r="O168" i="6" s="1"/>
  <c r="L167" i="6"/>
  <c r="M167" i="6" s="1"/>
  <c r="N167" i="6" s="1"/>
  <c r="O167" i="6" s="1"/>
  <c r="L166" i="6"/>
  <c r="M166" i="6" s="1"/>
  <c r="N166" i="6" s="1"/>
  <c r="O166" i="6" s="1"/>
  <c r="L165" i="6"/>
  <c r="M165" i="6" s="1"/>
  <c r="N165" i="6" s="1"/>
  <c r="O165" i="6" s="1"/>
  <c r="L164" i="6"/>
  <c r="M164" i="6" s="1"/>
  <c r="N164" i="6" s="1"/>
  <c r="O164" i="6" s="1"/>
  <c r="L163" i="6"/>
  <c r="M163" i="6" s="1"/>
  <c r="N163" i="6" s="1"/>
  <c r="O163" i="6" s="1"/>
  <c r="L162" i="6"/>
  <c r="M162" i="6" s="1"/>
  <c r="N162" i="6" s="1"/>
  <c r="O162" i="6" s="1"/>
  <c r="L320" i="6"/>
  <c r="M320" i="6" s="1"/>
  <c r="N320" i="6" s="1"/>
  <c r="O320" i="6" s="1"/>
  <c r="L318" i="6"/>
  <c r="M318" i="6" s="1"/>
  <c r="N318" i="6" s="1"/>
  <c r="O318" i="6" s="1"/>
  <c r="L317" i="6"/>
  <c r="M317" i="6" s="1"/>
  <c r="N317" i="6" s="1"/>
  <c r="O317" i="6" s="1"/>
  <c r="L316" i="6"/>
  <c r="M316" i="6" s="1"/>
  <c r="N316" i="6" s="1"/>
  <c r="O316" i="6" s="1"/>
  <c r="L315" i="6"/>
  <c r="M315" i="6" s="1"/>
  <c r="N315" i="6" s="1"/>
  <c r="O315" i="6" s="1"/>
  <c r="L314" i="6"/>
  <c r="M314" i="6" s="1"/>
  <c r="N314" i="6" s="1"/>
  <c r="O314" i="6" s="1"/>
  <c r="L313" i="6"/>
  <c r="M313" i="6" s="1"/>
  <c r="N313" i="6" s="1"/>
  <c r="O313" i="6" s="1"/>
  <c r="L312" i="6"/>
  <c r="M312" i="6" s="1"/>
  <c r="N312" i="6" s="1"/>
  <c r="O312" i="6" s="1"/>
  <c r="L311" i="6"/>
  <c r="M311" i="6" s="1"/>
  <c r="N311" i="6" s="1"/>
  <c r="O311" i="6" s="1"/>
  <c r="L310" i="6"/>
  <c r="M310" i="6" s="1"/>
  <c r="N310" i="6" s="1"/>
  <c r="O310" i="6" s="1"/>
  <c r="L309" i="6"/>
  <c r="M309" i="6" s="1"/>
  <c r="N309" i="6" s="1"/>
  <c r="O309" i="6" s="1"/>
  <c r="L308" i="6"/>
  <c r="M308" i="6" s="1"/>
  <c r="N308" i="6" s="1"/>
  <c r="O308" i="6" s="1"/>
  <c r="L307" i="6"/>
  <c r="M307" i="6" s="1"/>
  <c r="N307" i="6" s="1"/>
  <c r="O307" i="6" s="1"/>
  <c r="L306" i="6"/>
  <c r="M306" i="6" s="1"/>
  <c r="N306" i="6" s="1"/>
  <c r="O306" i="6" s="1"/>
  <c r="L305" i="6"/>
  <c r="M305" i="6" s="1"/>
  <c r="N305" i="6" s="1"/>
  <c r="O305" i="6" s="1"/>
  <c r="L304" i="6"/>
  <c r="M304" i="6" s="1"/>
  <c r="N304" i="6" s="1"/>
  <c r="O304" i="6" s="1"/>
  <c r="L303" i="6"/>
  <c r="M303" i="6" s="1"/>
  <c r="N303" i="6" s="1"/>
  <c r="O303" i="6" s="1"/>
  <c r="L302" i="6"/>
  <c r="M302" i="6" s="1"/>
  <c r="N302" i="6" s="1"/>
  <c r="O302" i="6" s="1"/>
  <c r="L301" i="6"/>
  <c r="M301" i="6" s="1"/>
  <c r="N301" i="6" s="1"/>
  <c r="O301" i="6" s="1"/>
  <c r="L300" i="6"/>
  <c r="M300" i="6" s="1"/>
  <c r="N300" i="6" s="1"/>
  <c r="O300" i="6" s="1"/>
  <c r="L299" i="6"/>
  <c r="M299" i="6" s="1"/>
  <c r="N299" i="6" s="1"/>
  <c r="O299" i="6" s="1"/>
  <c r="L298" i="6"/>
  <c r="M298" i="6" s="1"/>
  <c r="N298" i="6" s="1"/>
  <c r="O298" i="6" s="1"/>
  <c r="L297" i="6"/>
  <c r="M297" i="6" s="1"/>
  <c r="N297" i="6" s="1"/>
  <c r="O297" i="6" s="1"/>
  <c r="L296" i="6"/>
  <c r="M296" i="6" s="1"/>
  <c r="N296" i="6" s="1"/>
  <c r="O296" i="6" s="1"/>
  <c r="L295" i="6"/>
  <c r="M295" i="6" s="1"/>
  <c r="N295" i="6" s="1"/>
  <c r="O295" i="6" s="1"/>
  <c r="L294" i="6"/>
  <c r="M294" i="6" s="1"/>
  <c r="N294" i="6" s="1"/>
  <c r="O294" i="6" s="1"/>
  <c r="L293" i="6"/>
  <c r="M293" i="6" s="1"/>
  <c r="N293" i="6" s="1"/>
  <c r="O293" i="6" s="1"/>
  <c r="L292" i="6"/>
  <c r="M292" i="6" s="1"/>
  <c r="N292" i="6" s="1"/>
  <c r="O292" i="6" s="1"/>
  <c r="L291" i="6"/>
  <c r="M291" i="6" s="1"/>
  <c r="N291" i="6" s="1"/>
  <c r="O291" i="6" s="1"/>
  <c r="L290" i="6"/>
  <c r="M290" i="6" s="1"/>
  <c r="N290" i="6" s="1"/>
  <c r="O290" i="6" s="1"/>
  <c r="L289" i="6"/>
  <c r="M289" i="6" s="1"/>
  <c r="N289" i="6" s="1"/>
  <c r="O289" i="6" s="1"/>
  <c r="L288" i="6"/>
  <c r="M288" i="6" s="1"/>
  <c r="N288" i="6" s="1"/>
  <c r="O288" i="6" s="1"/>
  <c r="L287" i="6"/>
  <c r="M287" i="6" s="1"/>
  <c r="N287" i="6" s="1"/>
  <c r="O287" i="6" s="1"/>
  <c r="L286" i="6"/>
  <c r="M286" i="6" s="1"/>
  <c r="N286" i="6" s="1"/>
  <c r="O286" i="6" s="1"/>
  <c r="L285" i="6"/>
  <c r="M285" i="6" s="1"/>
  <c r="N285" i="6" s="1"/>
  <c r="O285" i="6" s="1"/>
  <c r="L284" i="6"/>
  <c r="M284" i="6" s="1"/>
  <c r="N284" i="6" s="1"/>
  <c r="O284" i="6" s="1"/>
  <c r="L283" i="6"/>
  <c r="M283" i="6" s="1"/>
  <c r="N283" i="6" s="1"/>
  <c r="O283" i="6" s="1"/>
  <c r="L282" i="6"/>
  <c r="M282" i="6" s="1"/>
  <c r="N282" i="6" s="1"/>
  <c r="O282" i="6" s="1"/>
  <c r="L281" i="6"/>
  <c r="M281" i="6" s="1"/>
  <c r="N281" i="6" s="1"/>
  <c r="O281" i="6" s="1"/>
  <c r="L280" i="6"/>
  <c r="M280" i="6" s="1"/>
  <c r="N280" i="6" s="1"/>
  <c r="O280" i="6" s="1"/>
  <c r="L279" i="6"/>
  <c r="M279" i="6" s="1"/>
  <c r="N279" i="6" s="1"/>
  <c r="O279" i="6" s="1"/>
  <c r="L278" i="6"/>
  <c r="M278" i="6" s="1"/>
  <c r="N278" i="6" s="1"/>
  <c r="O278" i="6" s="1"/>
  <c r="L277" i="6"/>
  <c r="M277" i="6" s="1"/>
  <c r="N277" i="6" s="1"/>
  <c r="O277" i="6" s="1"/>
  <c r="L276" i="6"/>
  <c r="M276" i="6" s="1"/>
  <c r="N276" i="6" s="1"/>
  <c r="O276" i="6" s="1"/>
  <c r="L275" i="6"/>
  <c r="M275" i="6" s="1"/>
  <c r="N275" i="6" s="1"/>
  <c r="O275" i="6" s="1"/>
  <c r="L274" i="6"/>
  <c r="M274" i="6" s="1"/>
  <c r="N274" i="6" s="1"/>
  <c r="O274" i="6" s="1"/>
  <c r="L273" i="6"/>
  <c r="M273" i="6" s="1"/>
  <c r="N273" i="6" s="1"/>
  <c r="O273" i="6" s="1"/>
  <c r="L272" i="6"/>
  <c r="M272" i="6" s="1"/>
  <c r="N272" i="6" s="1"/>
  <c r="O272" i="6" s="1"/>
  <c r="L271" i="6"/>
  <c r="M271" i="6" s="1"/>
  <c r="N271" i="6" s="1"/>
  <c r="O271" i="6" s="1"/>
  <c r="L270" i="6"/>
  <c r="M270" i="6" s="1"/>
  <c r="N270" i="6" s="1"/>
  <c r="O270" i="6" s="1"/>
  <c r="L269" i="6"/>
  <c r="M269" i="6" s="1"/>
  <c r="N269" i="6" s="1"/>
  <c r="O269" i="6" s="1"/>
  <c r="L268" i="6"/>
  <c r="M268" i="6" s="1"/>
  <c r="N268" i="6" s="1"/>
  <c r="O268" i="6" s="1"/>
  <c r="L267" i="6"/>
  <c r="M267" i="6" s="1"/>
  <c r="N267" i="6" s="1"/>
  <c r="O267" i="6" s="1"/>
  <c r="L266" i="6"/>
  <c r="M266" i="6" s="1"/>
  <c r="N266" i="6" s="1"/>
  <c r="O266" i="6" s="1"/>
  <c r="L265" i="6"/>
  <c r="M265" i="6" s="1"/>
  <c r="N265" i="6" s="1"/>
  <c r="O265" i="6" s="1"/>
  <c r="L264" i="6"/>
  <c r="M264" i="6" s="1"/>
  <c r="N264" i="6" s="1"/>
  <c r="O264" i="6" s="1"/>
  <c r="L263" i="6"/>
  <c r="M263" i="6" s="1"/>
  <c r="N263" i="6" s="1"/>
  <c r="O263" i="6" s="1"/>
  <c r="L262" i="6"/>
  <c r="M262" i="6" s="1"/>
  <c r="N262" i="6" s="1"/>
  <c r="O262" i="6" s="1"/>
  <c r="L203" i="6"/>
  <c r="M203" i="6" s="1"/>
  <c r="N203" i="6" s="1"/>
  <c r="O203" i="6" s="1"/>
  <c r="L260" i="6"/>
  <c r="M260" i="6" s="1"/>
  <c r="N260" i="6" s="1"/>
  <c r="O260" i="6" s="1"/>
  <c r="L259" i="6"/>
  <c r="M259" i="6" s="1"/>
  <c r="N259" i="6" s="1"/>
  <c r="O259" i="6" s="1"/>
  <c r="L258" i="6"/>
  <c r="M258" i="6" s="1"/>
  <c r="N258" i="6" s="1"/>
  <c r="O258" i="6" s="1"/>
  <c r="L257" i="6"/>
  <c r="M257" i="6" s="1"/>
  <c r="N257" i="6" s="1"/>
  <c r="O257" i="6" s="1"/>
  <c r="L256" i="6"/>
  <c r="M256" i="6" s="1"/>
  <c r="N256" i="6" s="1"/>
  <c r="O256" i="6" s="1"/>
  <c r="L255" i="6"/>
  <c r="M255" i="6" s="1"/>
  <c r="N255" i="6" s="1"/>
  <c r="O255" i="6" s="1"/>
  <c r="L254" i="6"/>
  <c r="M254" i="6" s="1"/>
  <c r="N254" i="6" s="1"/>
  <c r="O254" i="6" s="1"/>
  <c r="L253" i="6"/>
  <c r="M253" i="6" s="1"/>
  <c r="N253" i="6" s="1"/>
  <c r="O253" i="6" s="1"/>
  <c r="L252" i="6"/>
  <c r="M252" i="6" s="1"/>
  <c r="N252" i="6" s="1"/>
  <c r="O252" i="6" s="1"/>
  <c r="L251" i="6"/>
  <c r="M251" i="6" s="1"/>
  <c r="N251" i="6" s="1"/>
  <c r="O251" i="6" s="1"/>
  <c r="L250" i="6"/>
  <c r="M250" i="6" s="1"/>
  <c r="N250" i="6" s="1"/>
  <c r="O250" i="6" s="1"/>
  <c r="L249" i="6"/>
  <c r="M249" i="6" s="1"/>
  <c r="N249" i="6" s="1"/>
  <c r="O249" i="6" s="1"/>
  <c r="L248" i="6"/>
  <c r="M248" i="6" s="1"/>
  <c r="N248" i="6" s="1"/>
  <c r="O248" i="6" s="1"/>
  <c r="L247" i="6"/>
  <c r="M247" i="6" s="1"/>
  <c r="N247" i="6" s="1"/>
  <c r="O247" i="6" s="1"/>
  <c r="L246" i="6"/>
  <c r="M246" i="6" s="1"/>
  <c r="N246" i="6" s="1"/>
  <c r="O246" i="6" s="1"/>
  <c r="L245" i="6"/>
  <c r="M245" i="6" s="1"/>
  <c r="N245" i="6" s="1"/>
  <c r="O245" i="6" s="1"/>
  <c r="L244" i="6"/>
  <c r="M244" i="6" s="1"/>
  <c r="N244" i="6" s="1"/>
  <c r="O244" i="6" s="1"/>
  <c r="L243" i="6"/>
  <c r="M243" i="6" s="1"/>
  <c r="N243" i="6" s="1"/>
  <c r="O243" i="6" s="1"/>
  <c r="L242" i="6"/>
  <c r="M242" i="6" s="1"/>
  <c r="N242" i="6" s="1"/>
  <c r="O242" i="6" s="1"/>
  <c r="L241" i="6"/>
  <c r="M241" i="6" s="1"/>
  <c r="N241" i="6" s="1"/>
  <c r="O241" i="6" s="1"/>
  <c r="L240" i="6"/>
  <c r="M240" i="6" s="1"/>
  <c r="N240" i="6" s="1"/>
  <c r="O240" i="6" s="1"/>
  <c r="L239" i="6"/>
  <c r="M239" i="6" s="1"/>
  <c r="N239" i="6" s="1"/>
  <c r="O239" i="6" s="1"/>
  <c r="L238" i="6"/>
  <c r="M238" i="6" s="1"/>
  <c r="N238" i="6" s="1"/>
  <c r="O238" i="6" s="1"/>
  <c r="L237" i="6"/>
  <c r="M237" i="6" s="1"/>
  <c r="N237" i="6" s="1"/>
  <c r="O237" i="6" s="1"/>
  <c r="L236" i="6"/>
  <c r="M236" i="6" s="1"/>
  <c r="N236" i="6" s="1"/>
  <c r="O236" i="6" s="1"/>
  <c r="L235" i="6"/>
  <c r="M235" i="6" s="1"/>
  <c r="N235" i="6" s="1"/>
  <c r="O235" i="6" s="1"/>
  <c r="L234" i="6"/>
  <c r="M234" i="6" s="1"/>
  <c r="N234" i="6" s="1"/>
  <c r="O234" i="6" s="1"/>
  <c r="L233" i="6"/>
  <c r="M233" i="6" s="1"/>
  <c r="N233" i="6" s="1"/>
  <c r="O233" i="6" s="1"/>
  <c r="L232" i="6"/>
  <c r="M232" i="6" s="1"/>
  <c r="N232" i="6" s="1"/>
  <c r="O232" i="6" s="1"/>
  <c r="L231" i="6"/>
  <c r="M231" i="6" s="1"/>
  <c r="N231" i="6" s="1"/>
  <c r="O231" i="6" s="1"/>
  <c r="L230" i="6"/>
  <c r="M230" i="6" s="1"/>
  <c r="N230" i="6" s="1"/>
  <c r="O230" i="6" s="1"/>
  <c r="L229" i="6"/>
  <c r="M229" i="6" s="1"/>
  <c r="N229" i="6" s="1"/>
  <c r="O229" i="6" s="1"/>
  <c r="L228" i="6"/>
  <c r="M228" i="6" s="1"/>
  <c r="N228" i="6" s="1"/>
  <c r="O228" i="6" s="1"/>
  <c r="L227" i="6"/>
  <c r="M227" i="6" s="1"/>
  <c r="N227" i="6" s="1"/>
  <c r="O227" i="6" s="1"/>
  <c r="L226" i="6"/>
  <c r="M226" i="6" s="1"/>
  <c r="N226" i="6" s="1"/>
  <c r="O226" i="6" s="1"/>
  <c r="L225" i="6"/>
  <c r="M225" i="6" s="1"/>
  <c r="N225" i="6" s="1"/>
  <c r="O225" i="6" s="1"/>
  <c r="L224" i="6"/>
  <c r="M224" i="6" s="1"/>
  <c r="N224" i="6" s="1"/>
  <c r="O224" i="6" s="1"/>
  <c r="L223" i="6"/>
  <c r="M223" i="6" s="1"/>
  <c r="N223" i="6" s="1"/>
  <c r="O223" i="6" s="1"/>
  <c r="L222" i="6"/>
  <c r="M222" i="6" s="1"/>
  <c r="N222" i="6" s="1"/>
  <c r="O222" i="6" s="1"/>
  <c r="L221" i="6"/>
  <c r="M221" i="6" s="1"/>
  <c r="N221" i="6" s="1"/>
  <c r="O221" i="6" s="1"/>
  <c r="L220" i="6"/>
  <c r="M220" i="6" s="1"/>
  <c r="N220" i="6" s="1"/>
  <c r="O220" i="6" s="1"/>
  <c r="L219" i="6"/>
  <c r="M219" i="6" s="1"/>
  <c r="N219" i="6" s="1"/>
  <c r="O219" i="6" s="1"/>
  <c r="L218" i="6"/>
  <c r="M218" i="6" s="1"/>
  <c r="N218" i="6" s="1"/>
  <c r="O218" i="6" s="1"/>
  <c r="L217" i="6"/>
  <c r="M217" i="6" s="1"/>
  <c r="N217" i="6" s="1"/>
  <c r="O217" i="6" s="1"/>
  <c r="L216" i="6"/>
  <c r="M216" i="6" s="1"/>
  <c r="N216" i="6" s="1"/>
  <c r="O216" i="6" s="1"/>
  <c r="L261" i="6"/>
  <c r="M261" i="6" s="1"/>
  <c r="N261" i="6" s="1"/>
  <c r="O261" i="6" s="1"/>
  <c r="L215" i="6"/>
  <c r="M215" i="6" s="1"/>
  <c r="N215" i="6" s="1"/>
  <c r="O215" i="6" s="1"/>
  <c r="L214" i="6"/>
  <c r="M214" i="6" s="1"/>
  <c r="N214" i="6" s="1"/>
  <c r="O214" i="6" s="1"/>
  <c r="L213" i="6"/>
  <c r="M213" i="6" s="1"/>
  <c r="N213" i="6" s="1"/>
  <c r="O213" i="6" s="1"/>
  <c r="L212" i="6"/>
  <c r="M212" i="6" s="1"/>
  <c r="N212" i="6" s="1"/>
  <c r="O212" i="6" s="1"/>
  <c r="L211" i="6"/>
  <c r="M211" i="6" s="1"/>
  <c r="N211" i="6" s="1"/>
  <c r="O211" i="6" s="1"/>
  <c r="L210" i="6"/>
  <c r="M210" i="6" s="1"/>
  <c r="N210" i="6" s="1"/>
  <c r="O210" i="6" s="1"/>
  <c r="L209" i="6"/>
  <c r="M209" i="6" s="1"/>
  <c r="N209" i="6" s="1"/>
  <c r="O209" i="6" s="1"/>
  <c r="L208" i="6"/>
  <c r="M208" i="6" s="1"/>
  <c r="N208" i="6" s="1"/>
  <c r="O208" i="6" s="1"/>
  <c r="L319" i="6"/>
  <c r="M319" i="6" s="1"/>
  <c r="N319" i="6" s="1"/>
  <c r="O319" i="6" s="1"/>
  <c r="L207" i="6"/>
  <c r="M207" i="6" s="1"/>
  <c r="N207" i="6" s="1"/>
  <c r="O207" i="6" s="1"/>
  <c r="L206" i="6"/>
  <c r="M206" i="6" s="1"/>
  <c r="N206" i="6" s="1"/>
  <c r="O206" i="6" s="1"/>
  <c r="L205" i="6"/>
  <c r="M205" i="6" s="1"/>
  <c r="N205" i="6" s="1"/>
  <c r="O205" i="6" s="1"/>
  <c r="L204" i="6"/>
  <c r="M204" i="6" s="1"/>
  <c r="N204" i="6" s="1"/>
  <c r="O204" i="6" s="1"/>
  <c r="L202" i="6"/>
  <c r="M202" i="6" s="1"/>
  <c r="N202" i="6" s="1"/>
  <c r="O202" i="6" s="1"/>
  <c r="L201" i="6"/>
  <c r="M201" i="6" s="1"/>
  <c r="N201" i="6" s="1"/>
  <c r="O201" i="6" s="1"/>
  <c r="L321" i="6"/>
  <c r="M321" i="6" s="1"/>
  <c r="N321" i="6" s="1"/>
  <c r="O321" i="6" s="1"/>
  <c r="L492" i="6"/>
  <c r="M492" i="6" s="1"/>
  <c r="N492" i="6" s="1"/>
  <c r="O492" i="6" s="1"/>
  <c r="L491" i="6"/>
  <c r="M491" i="6" s="1"/>
  <c r="N491" i="6" s="1"/>
  <c r="O491" i="6" s="1"/>
  <c r="L490" i="6"/>
  <c r="M490" i="6" s="1"/>
  <c r="N490" i="6" s="1"/>
  <c r="O490" i="6" s="1"/>
  <c r="L489" i="6"/>
  <c r="M489" i="6" s="1"/>
  <c r="N489" i="6" s="1"/>
  <c r="O489" i="6" s="1"/>
  <c r="L488" i="6"/>
  <c r="M488" i="6" s="1"/>
  <c r="N488" i="6" s="1"/>
  <c r="O488" i="6" s="1"/>
  <c r="L487" i="6"/>
  <c r="M487" i="6" s="1"/>
  <c r="N487" i="6" s="1"/>
  <c r="O487" i="6" s="1"/>
  <c r="L486" i="6"/>
  <c r="M486" i="6" s="1"/>
  <c r="N486" i="6" s="1"/>
  <c r="O486" i="6" s="1"/>
  <c r="L485" i="6"/>
  <c r="M485" i="6" s="1"/>
  <c r="N485" i="6" s="1"/>
  <c r="O485" i="6" s="1"/>
  <c r="L484" i="6"/>
  <c r="M484" i="6" s="1"/>
  <c r="N484" i="6" s="1"/>
  <c r="O484" i="6" s="1"/>
  <c r="L483" i="6"/>
  <c r="M483" i="6" s="1"/>
  <c r="N483" i="6" s="1"/>
  <c r="O483" i="6" s="1"/>
  <c r="L482" i="6"/>
  <c r="M482" i="6" s="1"/>
  <c r="N482" i="6" s="1"/>
  <c r="O482" i="6" s="1"/>
  <c r="L481" i="6"/>
  <c r="M481" i="6" s="1"/>
  <c r="N481" i="6" s="1"/>
  <c r="O481" i="6" s="1"/>
  <c r="L480" i="6"/>
  <c r="M480" i="6" s="1"/>
  <c r="N480" i="6" s="1"/>
  <c r="O480" i="6" s="1"/>
  <c r="L479" i="6"/>
  <c r="M479" i="6" s="1"/>
  <c r="N479" i="6" s="1"/>
  <c r="O479" i="6" s="1"/>
  <c r="L478" i="6"/>
  <c r="M478" i="6" s="1"/>
  <c r="N478" i="6" s="1"/>
  <c r="O478" i="6" s="1"/>
  <c r="L477" i="6"/>
  <c r="M477" i="6" s="1"/>
  <c r="N477" i="6" s="1"/>
  <c r="O477" i="6" s="1"/>
  <c r="L475" i="6"/>
  <c r="M475" i="6" s="1"/>
  <c r="N475" i="6" s="1"/>
  <c r="O475" i="6" s="1"/>
  <c r="L474" i="6"/>
  <c r="M474" i="6" s="1"/>
  <c r="N474" i="6" s="1"/>
  <c r="O474" i="6" s="1"/>
  <c r="L473" i="6"/>
  <c r="M473" i="6" s="1"/>
  <c r="N473" i="6" s="1"/>
  <c r="O473" i="6" s="1"/>
  <c r="L472" i="6"/>
  <c r="M472" i="6" s="1"/>
  <c r="N472" i="6" s="1"/>
  <c r="O472" i="6" s="1"/>
  <c r="L471" i="6"/>
  <c r="M471" i="6" s="1"/>
  <c r="N471" i="6" s="1"/>
  <c r="O471" i="6" s="1"/>
  <c r="L470" i="6"/>
  <c r="M470" i="6" s="1"/>
  <c r="N470" i="6" s="1"/>
  <c r="O470" i="6" s="1"/>
  <c r="L469" i="6"/>
  <c r="M469" i="6" s="1"/>
  <c r="N469" i="6" s="1"/>
  <c r="O469" i="6" s="1"/>
  <c r="L468" i="6"/>
  <c r="M468" i="6" s="1"/>
  <c r="N468" i="6" s="1"/>
  <c r="O468" i="6" s="1"/>
  <c r="L467" i="6"/>
  <c r="M467" i="6" s="1"/>
  <c r="N467" i="6" s="1"/>
  <c r="O467" i="6" s="1"/>
  <c r="L466" i="6"/>
  <c r="M466" i="6" s="1"/>
  <c r="N466" i="6" s="1"/>
  <c r="O466" i="6" s="1"/>
  <c r="L465" i="6"/>
  <c r="M465" i="6" s="1"/>
  <c r="N465" i="6" s="1"/>
  <c r="O465" i="6" s="1"/>
  <c r="L464" i="6"/>
  <c r="M464" i="6" s="1"/>
  <c r="N464" i="6" s="1"/>
  <c r="O464" i="6" s="1"/>
  <c r="L463" i="6"/>
  <c r="M463" i="6" s="1"/>
  <c r="N463" i="6" s="1"/>
  <c r="O463" i="6" s="1"/>
  <c r="L462" i="6"/>
  <c r="M462" i="6" s="1"/>
  <c r="N462" i="6" s="1"/>
  <c r="O462" i="6" s="1"/>
  <c r="L461" i="6"/>
  <c r="M461" i="6" s="1"/>
  <c r="N461" i="6" s="1"/>
  <c r="O461" i="6" s="1"/>
  <c r="L460" i="6"/>
  <c r="M460" i="6" s="1"/>
  <c r="N460" i="6" s="1"/>
  <c r="O460" i="6" s="1"/>
  <c r="L459" i="6"/>
  <c r="M459" i="6" s="1"/>
  <c r="N459" i="6" s="1"/>
  <c r="O459" i="6" s="1"/>
  <c r="L458" i="6"/>
  <c r="M458" i="6" s="1"/>
  <c r="N458" i="6" s="1"/>
  <c r="O458" i="6" s="1"/>
  <c r="L457" i="6"/>
  <c r="M457" i="6" s="1"/>
  <c r="N457" i="6" s="1"/>
  <c r="O457" i="6" s="1"/>
  <c r="L456" i="6"/>
  <c r="M456" i="6" s="1"/>
  <c r="N456" i="6" s="1"/>
  <c r="O456" i="6" s="1"/>
  <c r="L455" i="6"/>
  <c r="M455" i="6" s="1"/>
  <c r="N455" i="6" s="1"/>
  <c r="O455" i="6" s="1"/>
  <c r="L454" i="6"/>
  <c r="M454" i="6" s="1"/>
  <c r="N454" i="6" s="1"/>
  <c r="O454" i="6" s="1"/>
  <c r="L453" i="6"/>
  <c r="M453" i="6" s="1"/>
  <c r="N453" i="6" s="1"/>
  <c r="O453" i="6" s="1"/>
  <c r="L452" i="6"/>
  <c r="M452" i="6" s="1"/>
  <c r="N452" i="6" s="1"/>
  <c r="O452" i="6" s="1"/>
  <c r="L451" i="6"/>
  <c r="M451" i="6" s="1"/>
  <c r="N451" i="6" s="1"/>
  <c r="O451" i="6" s="1"/>
  <c r="L450" i="6"/>
  <c r="M450" i="6" s="1"/>
  <c r="N450" i="6" s="1"/>
  <c r="O450" i="6" s="1"/>
  <c r="L449" i="6"/>
  <c r="M449" i="6" s="1"/>
  <c r="N449" i="6" s="1"/>
  <c r="O449" i="6" s="1"/>
  <c r="L448" i="6"/>
  <c r="M448" i="6" s="1"/>
  <c r="N448" i="6" s="1"/>
  <c r="O448" i="6" s="1"/>
  <c r="L447" i="6"/>
  <c r="M447" i="6" s="1"/>
  <c r="N447" i="6" s="1"/>
  <c r="O447" i="6" s="1"/>
  <c r="L446" i="6"/>
  <c r="M446" i="6" s="1"/>
  <c r="N446" i="6" s="1"/>
  <c r="O446" i="6" s="1"/>
  <c r="L445" i="6"/>
  <c r="M445" i="6" s="1"/>
  <c r="N445" i="6" s="1"/>
  <c r="O445" i="6" s="1"/>
  <c r="L444" i="6"/>
  <c r="M444" i="6" s="1"/>
  <c r="N444" i="6" s="1"/>
  <c r="O444" i="6" s="1"/>
  <c r="L443" i="6"/>
  <c r="M443" i="6" s="1"/>
  <c r="N443" i="6" s="1"/>
  <c r="O443" i="6" s="1"/>
  <c r="L442" i="6"/>
  <c r="M442" i="6" s="1"/>
  <c r="N442" i="6" s="1"/>
  <c r="O442" i="6" s="1"/>
  <c r="L441" i="6"/>
  <c r="M441" i="6" s="1"/>
  <c r="N441" i="6" s="1"/>
  <c r="O441" i="6" s="1"/>
  <c r="L440" i="6"/>
  <c r="M440" i="6" s="1"/>
  <c r="N440" i="6" s="1"/>
  <c r="O440" i="6" s="1"/>
  <c r="L439" i="6"/>
  <c r="M439" i="6" s="1"/>
  <c r="N439" i="6" s="1"/>
  <c r="O439" i="6" s="1"/>
  <c r="L438" i="6"/>
  <c r="M438" i="6" s="1"/>
  <c r="N438" i="6" s="1"/>
  <c r="O438" i="6" s="1"/>
  <c r="L437" i="6"/>
  <c r="M437" i="6" s="1"/>
  <c r="N437" i="6" s="1"/>
  <c r="O437" i="6" s="1"/>
  <c r="L436" i="6"/>
  <c r="M436" i="6" s="1"/>
  <c r="N436" i="6" s="1"/>
  <c r="O436" i="6" s="1"/>
  <c r="L435" i="6"/>
  <c r="M435" i="6" s="1"/>
  <c r="N435" i="6" s="1"/>
  <c r="O435" i="6" s="1"/>
  <c r="L434" i="6"/>
  <c r="M434" i="6" s="1"/>
  <c r="N434" i="6" s="1"/>
  <c r="O434" i="6" s="1"/>
  <c r="L433" i="6"/>
  <c r="M433" i="6" s="1"/>
  <c r="N433" i="6" s="1"/>
  <c r="O433" i="6" s="1"/>
  <c r="L432" i="6"/>
  <c r="M432" i="6" s="1"/>
  <c r="N432" i="6" s="1"/>
  <c r="O432" i="6" s="1"/>
  <c r="L431" i="6"/>
  <c r="M431" i="6" s="1"/>
  <c r="N431" i="6" s="1"/>
  <c r="O431" i="6" s="1"/>
  <c r="L430" i="6"/>
  <c r="M430" i="6" s="1"/>
  <c r="N430" i="6" s="1"/>
  <c r="O430" i="6" s="1"/>
  <c r="L429" i="6"/>
  <c r="M429" i="6" s="1"/>
  <c r="N429" i="6" s="1"/>
  <c r="O429" i="6" s="1"/>
  <c r="L428" i="6"/>
  <c r="M428" i="6" s="1"/>
  <c r="N428" i="6" s="1"/>
  <c r="O428" i="6" s="1"/>
  <c r="L427" i="6"/>
  <c r="M427" i="6" s="1"/>
  <c r="N427" i="6" s="1"/>
  <c r="O427" i="6" s="1"/>
  <c r="L426" i="6"/>
  <c r="M426" i="6" s="1"/>
  <c r="N426" i="6" s="1"/>
  <c r="O426" i="6" s="1"/>
  <c r="L425" i="6"/>
  <c r="M425" i="6" s="1"/>
  <c r="N425" i="6" s="1"/>
  <c r="O425" i="6" s="1"/>
  <c r="L424" i="6"/>
  <c r="M424" i="6" s="1"/>
  <c r="N424" i="6" s="1"/>
  <c r="O424" i="6" s="1"/>
  <c r="L423" i="6"/>
  <c r="M423" i="6" s="1"/>
  <c r="N423" i="6" s="1"/>
  <c r="O423" i="6" s="1"/>
  <c r="L422" i="6"/>
  <c r="M422" i="6" s="1"/>
  <c r="N422" i="6" s="1"/>
  <c r="O422" i="6" s="1"/>
  <c r="L421" i="6"/>
  <c r="M421" i="6" s="1"/>
  <c r="N421" i="6" s="1"/>
  <c r="O421" i="6" s="1"/>
  <c r="L476" i="6"/>
  <c r="M476" i="6" s="1"/>
  <c r="N476" i="6" s="1"/>
  <c r="O476" i="6" s="1"/>
  <c r="L420" i="6"/>
  <c r="M420" i="6" s="1"/>
  <c r="N420" i="6" s="1"/>
  <c r="O420" i="6" s="1"/>
  <c r="L419" i="6"/>
  <c r="M419" i="6" s="1"/>
  <c r="N419" i="6" s="1"/>
  <c r="O419" i="6" s="1"/>
  <c r="L418" i="6"/>
  <c r="M418" i="6" s="1"/>
  <c r="N418" i="6" s="1"/>
  <c r="O418" i="6" s="1"/>
  <c r="L416" i="6"/>
  <c r="M416" i="6" s="1"/>
  <c r="N416" i="6" s="1"/>
  <c r="O416" i="6" s="1"/>
  <c r="L415" i="6"/>
  <c r="M415" i="6" s="1"/>
  <c r="N415" i="6" s="1"/>
  <c r="O415" i="6" s="1"/>
  <c r="L414" i="6"/>
  <c r="M414" i="6" s="1"/>
  <c r="N414" i="6" s="1"/>
  <c r="O414" i="6" s="1"/>
  <c r="L413" i="6"/>
  <c r="M413" i="6" s="1"/>
  <c r="N413" i="6" s="1"/>
  <c r="O413" i="6" s="1"/>
  <c r="L412" i="6"/>
  <c r="M412" i="6" s="1"/>
  <c r="N412" i="6" s="1"/>
  <c r="O412" i="6" s="1"/>
  <c r="L411" i="6"/>
  <c r="M411" i="6" s="1"/>
  <c r="N411" i="6" s="1"/>
  <c r="O411" i="6" s="1"/>
  <c r="L410" i="6"/>
  <c r="M410" i="6" s="1"/>
  <c r="N410" i="6" s="1"/>
  <c r="O410" i="6" s="1"/>
  <c r="L409" i="6"/>
  <c r="M409" i="6" s="1"/>
  <c r="N409" i="6" s="1"/>
  <c r="O409" i="6" s="1"/>
  <c r="L408" i="6"/>
  <c r="M408" i="6" s="1"/>
  <c r="N408" i="6" s="1"/>
  <c r="O408" i="6" s="1"/>
  <c r="L407" i="6"/>
  <c r="M407" i="6" s="1"/>
  <c r="N407" i="6" s="1"/>
  <c r="O407" i="6" s="1"/>
  <c r="L406" i="6"/>
  <c r="M406" i="6" s="1"/>
  <c r="N406" i="6" s="1"/>
  <c r="O406" i="6" s="1"/>
  <c r="L405" i="6"/>
  <c r="M405" i="6" s="1"/>
  <c r="N405" i="6" s="1"/>
  <c r="O405" i="6" s="1"/>
  <c r="L404" i="6"/>
  <c r="M404" i="6" s="1"/>
  <c r="N404" i="6" s="1"/>
  <c r="O404" i="6" s="1"/>
  <c r="L403" i="6"/>
  <c r="M403" i="6" s="1"/>
  <c r="N403" i="6" s="1"/>
  <c r="O403" i="6" s="1"/>
  <c r="L402" i="6"/>
  <c r="M402" i="6" s="1"/>
  <c r="N402" i="6" s="1"/>
  <c r="O402" i="6" s="1"/>
  <c r="L401" i="6"/>
  <c r="M401" i="6" s="1"/>
  <c r="N401" i="6" s="1"/>
  <c r="O401" i="6" s="1"/>
  <c r="L400" i="6"/>
  <c r="M400" i="6" s="1"/>
  <c r="N400" i="6" s="1"/>
  <c r="O400" i="6" s="1"/>
  <c r="L399" i="6"/>
  <c r="M399" i="6" s="1"/>
  <c r="N399" i="6" s="1"/>
  <c r="O399" i="6" s="1"/>
  <c r="L398" i="6"/>
  <c r="M398" i="6" s="1"/>
  <c r="N398" i="6" s="1"/>
  <c r="O398" i="6" s="1"/>
  <c r="L397" i="6"/>
  <c r="M397" i="6" s="1"/>
  <c r="N397" i="6" s="1"/>
  <c r="O397" i="6" s="1"/>
  <c r="L396" i="6"/>
  <c r="M396" i="6" s="1"/>
  <c r="N396" i="6" s="1"/>
  <c r="O396" i="6" s="1"/>
  <c r="L395" i="6"/>
  <c r="M395" i="6" s="1"/>
  <c r="N395" i="6" s="1"/>
  <c r="O395" i="6" s="1"/>
  <c r="L394" i="6"/>
  <c r="M394" i="6" s="1"/>
  <c r="N394" i="6" s="1"/>
  <c r="O394" i="6" s="1"/>
  <c r="L393" i="6"/>
  <c r="M393" i="6" s="1"/>
  <c r="N393" i="6" s="1"/>
  <c r="O393" i="6" s="1"/>
  <c r="L392" i="6"/>
  <c r="M392" i="6" s="1"/>
  <c r="N392" i="6" s="1"/>
  <c r="O392" i="6" s="1"/>
  <c r="L391" i="6"/>
  <c r="M391" i="6" s="1"/>
  <c r="N391" i="6" s="1"/>
  <c r="O391" i="6" s="1"/>
  <c r="L390" i="6"/>
  <c r="M390" i="6" s="1"/>
  <c r="N390" i="6" s="1"/>
  <c r="O390" i="6" s="1"/>
  <c r="L389" i="6"/>
  <c r="M389" i="6" s="1"/>
  <c r="N389" i="6" s="1"/>
  <c r="O389" i="6" s="1"/>
  <c r="L388" i="6"/>
  <c r="M388" i="6" s="1"/>
  <c r="N388" i="6" s="1"/>
  <c r="O388" i="6" s="1"/>
  <c r="L387" i="6"/>
  <c r="M387" i="6" s="1"/>
  <c r="N387" i="6" s="1"/>
  <c r="O387" i="6" s="1"/>
  <c r="L386" i="6"/>
  <c r="M386" i="6" s="1"/>
  <c r="N386" i="6" s="1"/>
  <c r="O386" i="6" s="1"/>
  <c r="L385" i="6"/>
  <c r="M385" i="6" s="1"/>
  <c r="N385" i="6" s="1"/>
  <c r="O385" i="6" s="1"/>
  <c r="L384" i="6"/>
  <c r="M384" i="6" s="1"/>
  <c r="N384" i="6" s="1"/>
  <c r="O384" i="6" s="1"/>
  <c r="L383" i="6"/>
  <c r="M383" i="6" s="1"/>
  <c r="N383" i="6" s="1"/>
  <c r="O383" i="6" s="1"/>
  <c r="L382" i="6"/>
  <c r="M382" i="6" s="1"/>
  <c r="N382" i="6" s="1"/>
  <c r="O382" i="6" s="1"/>
  <c r="L381" i="6"/>
  <c r="M381" i="6" s="1"/>
  <c r="N381" i="6" s="1"/>
  <c r="O381" i="6" s="1"/>
  <c r="L380" i="6"/>
  <c r="M380" i="6" s="1"/>
  <c r="N380" i="6" s="1"/>
  <c r="O380" i="6" s="1"/>
  <c r="L379" i="6"/>
  <c r="M379" i="6" s="1"/>
  <c r="N379" i="6" s="1"/>
  <c r="O379" i="6" s="1"/>
  <c r="L378" i="6"/>
  <c r="M378" i="6" s="1"/>
  <c r="N378" i="6" s="1"/>
  <c r="O378" i="6" s="1"/>
  <c r="L377" i="6"/>
  <c r="M377" i="6" s="1"/>
  <c r="N377" i="6" s="1"/>
  <c r="O377" i="6" s="1"/>
  <c r="L376" i="6"/>
  <c r="M376" i="6" s="1"/>
  <c r="N376" i="6" s="1"/>
  <c r="O376" i="6" s="1"/>
  <c r="L375" i="6"/>
  <c r="M375" i="6" s="1"/>
  <c r="N375" i="6" s="1"/>
  <c r="O375" i="6" s="1"/>
  <c r="L374" i="6"/>
  <c r="M374" i="6" s="1"/>
  <c r="N374" i="6" s="1"/>
  <c r="O374" i="6" s="1"/>
  <c r="L373" i="6"/>
  <c r="M373" i="6" s="1"/>
  <c r="N373" i="6" s="1"/>
  <c r="O373" i="6" s="1"/>
  <c r="L372" i="6"/>
  <c r="M372" i="6" s="1"/>
  <c r="N372" i="6" s="1"/>
  <c r="O372" i="6" s="1"/>
  <c r="L371" i="6"/>
  <c r="M371" i="6" s="1"/>
  <c r="N371" i="6" s="1"/>
  <c r="O371" i="6" s="1"/>
  <c r="L370" i="6"/>
  <c r="M370" i="6" s="1"/>
  <c r="N370" i="6" s="1"/>
  <c r="O370" i="6" s="1"/>
  <c r="L369" i="6"/>
  <c r="M369" i="6" s="1"/>
  <c r="N369" i="6" s="1"/>
  <c r="O369" i="6" s="1"/>
  <c r="L368" i="6"/>
  <c r="M368" i="6" s="1"/>
  <c r="N368" i="6" s="1"/>
  <c r="O368" i="6" s="1"/>
  <c r="L367" i="6"/>
  <c r="M367" i="6" s="1"/>
  <c r="N367" i="6" s="1"/>
  <c r="O367" i="6" s="1"/>
  <c r="L366" i="6"/>
  <c r="M366" i="6" s="1"/>
  <c r="N366" i="6" s="1"/>
  <c r="O366" i="6" s="1"/>
  <c r="L365" i="6"/>
  <c r="M365" i="6" s="1"/>
  <c r="N365" i="6" s="1"/>
  <c r="O365" i="6" s="1"/>
  <c r="L364" i="6"/>
  <c r="M364" i="6" s="1"/>
  <c r="N364" i="6" s="1"/>
  <c r="O364" i="6" s="1"/>
  <c r="L363" i="6"/>
  <c r="M363" i="6" s="1"/>
  <c r="N363" i="6" s="1"/>
  <c r="O363" i="6" s="1"/>
  <c r="L362" i="6"/>
  <c r="M362" i="6" s="1"/>
  <c r="N362" i="6" s="1"/>
  <c r="O362" i="6" s="1"/>
  <c r="L361" i="6"/>
  <c r="M361" i="6" s="1"/>
  <c r="N361" i="6" s="1"/>
  <c r="O361" i="6" s="1"/>
  <c r="L360" i="6"/>
  <c r="M360" i="6" s="1"/>
  <c r="N360" i="6" s="1"/>
  <c r="O360" i="6" s="1"/>
  <c r="L359" i="6"/>
  <c r="M359" i="6" s="1"/>
  <c r="N359" i="6" s="1"/>
  <c r="O359" i="6" s="1"/>
  <c r="L358" i="6"/>
  <c r="M358" i="6" s="1"/>
  <c r="N358" i="6" s="1"/>
  <c r="O358" i="6" s="1"/>
  <c r="L357" i="6"/>
  <c r="M357" i="6" s="1"/>
  <c r="N357" i="6" s="1"/>
  <c r="O357" i="6" s="1"/>
  <c r="L356" i="6"/>
  <c r="M356" i="6" s="1"/>
  <c r="N356" i="6" s="1"/>
  <c r="O356" i="6" s="1"/>
  <c r="L354" i="6"/>
  <c r="M354" i="6" s="1"/>
  <c r="N354" i="6" s="1"/>
  <c r="O354" i="6" s="1"/>
  <c r="L353" i="6"/>
  <c r="M353" i="6" s="1"/>
  <c r="N353" i="6" s="1"/>
  <c r="O353" i="6" s="1"/>
  <c r="L352" i="6"/>
  <c r="M352" i="6" s="1"/>
  <c r="N352" i="6" s="1"/>
  <c r="O352" i="6" s="1"/>
  <c r="L351" i="6"/>
  <c r="M351" i="6" s="1"/>
  <c r="N351" i="6" s="1"/>
  <c r="O351" i="6" s="1"/>
  <c r="L350" i="6"/>
  <c r="M350" i="6" s="1"/>
  <c r="N350" i="6" s="1"/>
  <c r="O350" i="6" s="1"/>
  <c r="L349" i="6"/>
  <c r="M349" i="6" s="1"/>
  <c r="N349" i="6" s="1"/>
  <c r="O349" i="6" s="1"/>
  <c r="L348" i="6"/>
  <c r="M348" i="6" s="1"/>
  <c r="N348" i="6" s="1"/>
  <c r="O348" i="6" s="1"/>
  <c r="L347" i="6"/>
  <c r="M347" i="6" s="1"/>
  <c r="N347" i="6" s="1"/>
  <c r="O347" i="6" s="1"/>
  <c r="L346" i="6"/>
  <c r="M346" i="6" s="1"/>
  <c r="N346" i="6" s="1"/>
  <c r="O346" i="6" s="1"/>
  <c r="L345" i="6"/>
  <c r="M345" i="6" s="1"/>
  <c r="N345" i="6" s="1"/>
  <c r="O345" i="6" s="1"/>
  <c r="L344" i="6"/>
  <c r="M344" i="6" s="1"/>
  <c r="N344" i="6" s="1"/>
  <c r="O344" i="6" s="1"/>
  <c r="L343" i="6"/>
  <c r="M343" i="6" s="1"/>
  <c r="N343" i="6" s="1"/>
  <c r="O343" i="6" s="1"/>
  <c r="L342" i="6"/>
  <c r="M342" i="6" s="1"/>
  <c r="N342" i="6" s="1"/>
  <c r="O342" i="6" s="1"/>
  <c r="L417" i="6"/>
  <c r="M417" i="6" s="1"/>
  <c r="N417" i="6" s="1"/>
  <c r="O417" i="6" s="1"/>
  <c r="L341" i="6"/>
  <c r="M341" i="6" s="1"/>
  <c r="N341" i="6" s="1"/>
  <c r="O341" i="6" s="1"/>
  <c r="L340" i="6"/>
  <c r="M340" i="6" s="1"/>
  <c r="N340" i="6" s="1"/>
  <c r="O340" i="6" s="1"/>
  <c r="L339" i="6"/>
  <c r="M339" i="6" s="1"/>
  <c r="N339" i="6" s="1"/>
  <c r="O339" i="6" s="1"/>
  <c r="L338" i="6"/>
  <c r="M338" i="6" s="1"/>
  <c r="N338" i="6" s="1"/>
  <c r="O338" i="6" s="1"/>
  <c r="L337" i="6"/>
  <c r="M337" i="6" s="1"/>
  <c r="N337" i="6" s="1"/>
  <c r="O337" i="6" s="1"/>
  <c r="L336" i="6"/>
  <c r="M336" i="6" s="1"/>
  <c r="N336" i="6" s="1"/>
  <c r="O336" i="6" s="1"/>
  <c r="L335" i="6"/>
  <c r="M335" i="6" s="1"/>
  <c r="N335" i="6" s="1"/>
  <c r="O335" i="6" s="1"/>
  <c r="L334" i="6"/>
  <c r="M334" i="6" s="1"/>
  <c r="N334" i="6" s="1"/>
  <c r="O334" i="6" s="1"/>
  <c r="L333" i="6"/>
  <c r="M333" i="6" s="1"/>
  <c r="N333" i="6" s="1"/>
  <c r="O333" i="6" s="1"/>
  <c r="L332" i="6"/>
  <c r="M332" i="6" s="1"/>
  <c r="N332" i="6" s="1"/>
  <c r="O332" i="6" s="1"/>
  <c r="L331" i="6"/>
  <c r="M331" i="6" s="1"/>
  <c r="N331" i="6" s="1"/>
  <c r="O331" i="6" s="1"/>
  <c r="L330" i="6"/>
  <c r="M330" i="6" s="1"/>
  <c r="N330" i="6" s="1"/>
  <c r="O330" i="6" s="1"/>
  <c r="L355" i="6"/>
  <c r="M355" i="6" s="1"/>
  <c r="N355" i="6" s="1"/>
  <c r="O355" i="6" s="1"/>
  <c r="L329" i="6"/>
  <c r="M329" i="6" s="1"/>
  <c r="N329" i="6" s="1"/>
  <c r="O329" i="6" s="1"/>
  <c r="L328" i="6"/>
  <c r="M328" i="6" s="1"/>
  <c r="N328" i="6" s="1"/>
  <c r="O328" i="6" s="1"/>
  <c r="L327" i="6"/>
  <c r="M327" i="6" s="1"/>
  <c r="N327" i="6" s="1"/>
  <c r="O327" i="6" s="1"/>
  <c r="L326" i="6"/>
  <c r="M326" i="6" s="1"/>
  <c r="N326" i="6" s="1"/>
  <c r="O326" i="6" s="1"/>
  <c r="L325" i="6"/>
  <c r="M325" i="6" s="1"/>
  <c r="N325" i="6" s="1"/>
  <c r="O325" i="6" s="1"/>
  <c r="L324" i="6"/>
  <c r="M324" i="6" s="1"/>
  <c r="N324" i="6" s="1"/>
  <c r="O324" i="6" s="1"/>
  <c r="L323" i="6"/>
  <c r="M323" i="6" s="1"/>
  <c r="N323" i="6" s="1"/>
  <c r="O323" i="6" s="1"/>
  <c r="L322" i="6"/>
  <c r="M322" i="6" s="1"/>
  <c r="N322" i="6" s="1"/>
  <c r="O322" i="6" s="1"/>
  <c r="L493" i="6"/>
  <c r="M493" i="6" s="1"/>
  <c r="N493" i="6" s="1"/>
  <c r="O493" i="6" s="1"/>
  <c r="L678" i="6"/>
  <c r="M678" i="6" s="1"/>
  <c r="N678" i="6" s="1"/>
  <c r="O678" i="6" s="1"/>
  <c r="L597" i="6"/>
  <c r="M597" i="6" s="1"/>
  <c r="N597" i="6" s="1"/>
  <c r="O597" i="6" s="1"/>
  <c r="L676" i="6"/>
  <c r="M676" i="6" s="1"/>
  <c r="N676" i="6" s="1"/>
  <c r="O676" i="6" s="1"/>
  <c r="L675" i="6"/>
  <c r="M675" i="6" s="1"/>
  <c r="N675" i="6" s="1"/>
  <c r="O675" i="6" s="1"/>
  <c r="L674" i="6"/>
  <c r="M674" i="6" s="1"/>
  <c r="N674" i="6" s="1"/>
  <c r="O674" i="6" s="1"/>
  <c r="L673" i="6"/>
  <c r="M673" i="6" s="1"/>
  <c r="N673" i="6" s="1"/>
  <c r="O673" i="6" s="1"/>
  <c r="L672" i="6"/>
  <c r="M672" i="6" s="1"/>
  <c r="N672" i="6" s="1"/>
  <c r="O672" i="6" s="1"/>
  <c r="L671" i="6"/>
  <c r="M671" i="6" s="1"/>
  <c r="N671" i="6" s="1"/>
  <c r="O671" i="6" s="1"/>
  <c r="L670" i="6"/>
  <c r="M670" i="6" s="1"/>
  <c r="N670" i="6" s="1"/>
  <c r="O670" i="6" s="1"/>
  <c r="L669" i="6"/>
  <c r="M669" i="6" s="1"/>
  <c r="N669" i="6" s="1"/>
  <c r="O669" i="6" s="1"/>
  <c r="L668" i="6"/>
  <c r="M668" i="6" s="1"/>
  <c r="N668" i="6" s="1"/>
  <c r="O668" i="6" s="1"/>
  <c r="L667" i="6"/>
  <c r="M667" i="6" s="1"/>
  <c r="N667" i="6" s="1"/>
  <c r="O667" i="6" s="1"/>
  <c r="L666" i="6"/>
  <c r="M666" i="6" s="1"/>
  <c r="N666" i="6" s="1"/>
  <c r="O666" i="6" s="1"/>
  <c r="L665" i="6"/>
  <c r="M665" i="6" s="1"/>
  <c r="N665" i="6" s="1"/>
  <c r="O665" i="6" s="1"/>
  <c r="L664" i="6"/>
  <c r="M664" i="6" s="1"/>
  <c r="N664" i="6" s="1"/>
  <c r="O664" i="6" s="1"/>
  <c r="L663" i="6"/>
  <c r="M663" i="6" s="1"/>
  <c r="N663" i="6" s="1"/>
  <c r="O663" i="6" s="1"/>
  <c r="L662" i="6"/>
  <c r="M662" i="6" s="1"/>
  <c r="N662" i="6" s="1"/>
  <c r="O662" i="6" s="1"/>
  <c r="L661" i="6"/>
  <c r="M661" i="6" s="1"/>
  <c r="N661" i="6" s="1"/>
  <c r="O661" i="6" s="1"/>
  <c r="L660" i="6"/>
  <c r="M660" i="6" s="1"/>
  <c r="N660" i="6" s="1"/>
  <c r="O660" i="6" s="1"/>
  <c r="L659" i="6"/>
  <c r="M659" i="6" s="1"/>
  <c r="N659" i="6" s="1"/>
  <c r="O659" i="6" s="1"/>
  <c r="L658" i="6"/>
  <c r="M658" i="6" s="1"/>
  <c r="N658" i="6" s="1"/>
  <c r="O658" i="6" s="1"/>
  <c r="L657" i="6"/>
  <c r="M657" i="6" s="1"/>
  <c r="N657" i="6" s="1"/>
  <c r="O657" i="6" s="1"/>
  <c r="L656" i="6"/>
  <c r="M656" i="6" s="1"/>
  <c r="N656" i="6" s="1"/>
  <c r="O656" i="6" s="1"/>
  <c r="L655" i="6"/>
  <c r="M655" i="6" s="1"/>
  <c r="N655" i="6" s="1"/>
  <c r="O655" i="6" s="1"/>
  <c r="L654" i="6"/>
  <c r="M654" i="6" s="1"/>
  <c r="N654" i="6" s="1"/>
  <c r="O654" i="6" s="1"/>
  <c r="L653" i="6"/>
  <c r="M653" i="6" s="1"/>
  <c r="N653" i="6" s="1"/>
  <c r="O653" i="6" s="1"/>
  <c r="L652" i="6"/>
  <c r="M652" i="6" s="1"/>
  <c r="N652" i="6" s="1"/>
  <c r="O652" i="6" s="1"/>
  <c r="L651" i="6"/>
  <c r="M651" i="6" s="1"/>
  <c r="N651" i="6" s="1"/>
  <c r="O651" i="6" s="1"/>
  <c r="L650" i="6"/>
  <c r="M650" i="6" s="1"/>
  <c r="N650" i="6" s="1"/>
  <c r="O650" i="6" s="1"/>
  <c r="L649" i="6"/>
  <c r="M649" i="6" s="1"/>
  <c r="N649" i="6" s="1"/>
  <c r="O649" i="6" s="1"/>
  <c r="L648" i="6"/>
  <c r="M648" i="6" s="1"/>
  <c r="N648" i="6" s="1"/>
  <c r="O648" i="6" s="1"/>
  <c r="L647" i="6"/>
  <c r="M647" i="6" s="1"/>
  <c r="N647" i="6" s="1"/>
  <c r="O647" i="6" s="1"/>
  <c r="L646" i="6"/>
  <c r="M646" i="6" s="1"/>
  <c r="N646" i="6" s="1"/>
  <c r="O646" i="6" s="1"/>
  <c r="L645" i="6"/>
  <c r="M645" i="6" s="1"/>
  <c r="N645" i="6" s="1"/>
  <c r="O645" i="6" s="1"/>
  <c r="L644" i="6"/>
  <c r="M644" i="6" s="1"/>
  <c r="N644" i="6" s="1"/>
  <c r="O644" i="6" s="1"/>
  <c r="L643" i="6"/>
  <c r="M643" i="6" s="1"/>
  <c r="N643" i="6" s="1"/>
  <c r="O643" i="6" s="1"/>
  <c r="L642" i="6"/>
  <c r="M642" i="6" s="1"/>
  <c r="N642" i="6" s="1"/>
  <c r="O642" i="6" s="1"/>
  <c r="L641" i="6"/>
  <c r="M641" i="6" s="1"/>
  <c r="N641" i="6" s="1"/>
  <c r="O641" i="6" s="1"/>
  <c r="L640" i="6"/>
  <c r="M640" i="6" s="1"/>
  <c r="N640" i="6" s="1"/>
  <c r="O640" i="6" s="1"/>
  <c r="L639" i="6"/>
  <c r="M639" i="6" s="1"/>
  <c r="N639" i="6" s="1"/>
  <c r="O639" i="6" s="1"/>
  <c r="L638" i="6"/>
  <c r="M638" i="6" s="1"/>
  <c r="N638" i="6" s="1"/>
  <c r="O638" i="6" s="1"/>
  <c r="L637" i="6"/>
  <c r="M637" i="6" s="1"/>
  <c r="N637" i="6" s="1"/>
  <c r="O637" i="6" s="1"/>
  <c r="L636" i="6"/>
  <c r="M636" i="6" s="1"/>
  <c r="N636" i="6" s="1"/>
  <c r="O636" i="6" s="1"/>
  <c r="L635" i="6"/>
  <c r="M635" i="6" s="1"/>
  <c r="N635" i="6" s="1"/>
  <c r="O635" i="6" s="1"/>
  <c r="L634" i="6"/>
  <c r="M634" i="6" s="1"/>
  <c r="N634" i="6" s="1"/>
  <c r="O634" i="6" s="1"/>
  <c r="L633" i="6"/>
  <c r="M633" i="6" s="1"/>
  <c r="N633" i="6" s="1"/>
  <c r="O633" i="6" s="1"/>
  <c r="L632" i="6"/>
  <c r="M632" i="6" s="1"/>
  <c r="N632" i="6" s="1"/>
  <c r="O632" i="6" s="1"/>
  <c r="L631" i="6"/>
  <c r="M631" i="6" s="1"/>
  <c r="N631" i="6" s="1"/>
  <c r="O631" i="6" s="1"/>
  <c r="L630" i="6"/>
  <c r="M630" i="6" s="1"/>
  <c r="N630" i="6" s="1"/>
  <c r="O630" i="6" s="1"/>
  <c r="L629" i="6"/>
  <c r="M629" i="6" s="1"/>
  <c r="N629" i="6" s="1"/>
  <c r="O629" i="6" s="1"/>
  <c r="L628" i="6"/>
  <c r="M628" i="6" s="1"/>
  <c r="N628" i="6" s="1"/>
  <c r="O628" i="6" s="1"/>
  <c r="L627" i="6"/>
  <c r="M627" i="6" s="1"/>
  <c r="N627" i="6" s="1"/>
  <c r="O627" i="6" s="1"/>
  <c r="L626" i="6"/>
  <c r="M626" i="6" s="1"/>
  <c r="N626" i="6" s="1"/>
  <c r="O626" i="6" s="1"/>
  <c r="L625" i="6"/>
  <c r="M625" i="6" s="1"/>
  <c r="N625" i="6" s="1"/>
  <c r="O625" i="6" s="1"/>
  <c r="L624" i="6"/>
  <c r="M624" i="6" s="1"/>
  <c r="N624" i="6" s="1"/>
  <c r="O624" i="6" s="1"/>
  <c r="L623" i="6"/>
  <c r="M623" i="6" s="1"/>
  <c r="N623" i="6" s="1"/>
  <c r="O623" i="6" s="1"/>
  <c r="L622" i="6"/>
  <c r="M622" i="6" s="1"/>
  <c r="N622" i="6" s="1"/>
  <c r="O622" i="6" s="1"/>
  <c r="L621" i="6"/>
  <c r="M621" i="6" s="1"/>
  <c r="N621" i="6" s="1"/>
  <c r="O621" i="6" s="1"/>
  <c r="L620" i="6"/>
  <c r="M620" i="6" s="1"/>
  <c r="N620" i="6" s="1"/>
  <c r="O620" i="6" s="1"/>
  <c r="L619" i="6"/>
  <c r="M619" i="6" s="1"/>
  <c r="N619" i="6" s="1"/>
  <c r="O619" i="6" s="1"/>
  <c r="L618" i="6"/>
  <c r="M618" i="6" s="1"/>
  <c r="N618" i="6" s="1"/>
  <c r="O618" i="6" s="1"/>
  <c r="L617" i="6"/>
  <c r="M617" i="6" s="1"/>
  <c r="N617" i="6" s="1"/>
  <c r="O617" i="6" s="1"/>
  <c r="L677" i="6"/>
  <c r="M677" i="6" s="1"/>
  <c r="N677" i="6" s="1"/>
  <c r="O677" i="6" s="1"/>
  <c r="L616" i="6"/>
  <c r="M616" i="6" s="1"/>
  <c r="N616" i="6" s="1"/>
  <c r="O616" i="6" s="1"/>
  <c r="L615" i="6"/>
  <c r="M615" i="6" s="1"/>
  <c r="N615" i="6" s="1"/>
  <c r="O615" i="6" s="1"/>
  <c r="L614" i="6"/>
  <c r="M614" i="6" s="1"/>
  <c r="N614" i="6" s="1"/>
  <c r="O614" i="6" s="1"/>
  <c r="L613" i="6"/>
  <c r="M613" i="6" s="1"/>
  <c r="N613" i="6" s="1"/>
  <c r="O613" i="6" s="1"/>
  <c r="L612" i="6"/>
  <c r="M612" i="6" s="1"/>
  <c r="N612" i="6" s="1"/>
  <c r="O612" i="6" s="1"/>
  <c r="L611" i="6"/>
  <c r="M611" i="6" s="1"/>
  <c r="N611" i="6" s="1"/>
  <c r="O611" i="6" s="1"/>
  <c r="L610" i="6"/>
  <c r="M610" i="6" s="1"/>
  <c r="N610" i="6" s="1"/>
  <c r="O610" i="6" s="1"/>
  <c r="L609" i="6"/>
  <c r="M609" i="6" s="1"/>
  <c r="N609" i="6" s="1"/>
  <c r="O609" i="6" s="1"/>
  <c r="L608" i="6"/>
  <c r="M608" i="6" s="1"/>
  <c r="N608" i="6" s="1"/>
  <c r="O608" i="6" s="1"/>
  <c r="L607" i="6"/>
  <c r="M607" i="6" s="1"/>
  <c r="N607" i="6" s="1"/>
  <c r="O607" i="6" s="1"/>
  <c r="L606" i="6"/>
  <c r="M606" i="6" s="1"/>
  <c r="N606" i="6" s="1"/>
  <c r="O606" i="6" s="1"/>
  <c r="L605" i="6"/>
  <c r="M605" i="6" s="1"/>
  <c r="N605" i="6" s="1"/>
  <c r="O605" i="6" s="1"/>
  <c r="L604" i="6"/>
  <c r="M604" i="6" s="1"/>
  <c r="N604" i="6" s="1"/>
  <c r="O604" i="6" s="1"/>
  <c r="L603" i="6"/>
  <c r="M603" i="6" s="1"/>
  <c r="N603" i="6" s="1"/>
  <c r="O603" i="6" s="1"/>
  <c r="L602" i="6"/>
  <c r="M602" i="6" s="1"/>
  <c r="N602" i="6" s="1"/>
  <c r="O602" i="6" s="1"/>
  <c r="L601" i="6"/>
  <c r="M601" i="6" s="1"/>
  <c r="N601" i="6" s="1"/>
  <c r="O601" i="6" s="1"/>
  <c r="L600" i="6"/>
  <c r="M600" i="6" s="1"/>
  <c r="N600" i="6" s="1"/>
  <c r="O600" i="6" s="1"/>
  <c r="L599" i="6"/>
  <c r="M599" i="6" s="1"/>
  <c r="N599" i="6" s="1"/>
  <c r="O599" i="6" s="1"/>
  <c r="L598" i="6"/>
  <c r="M598" i="6" s="1"/>
  <c r="N598" i="6" s="1"/>
  <c r="O598" i="6" s="1"/>
  <c r="L596" i="6"/>
  <c r="M596" i="6" s="1"/>
  <c r="N596" i="6" s="1"/>
  <c r="O596" i="6" s="1"/>
  <c r="L595" i="6"/>
  <c r="M595" i="6" s="1"/>
  <c r="N595" i="6" s="1"/>
  <c r="O595" i="6" s="1"/>
  <c r="L594" i="6"/>
  <c r="M594" i="6" s="1"/>
  <c r="N594" i="6" s="1"/>
  <c r="O594" i="6" s="1"/>
  <c r="L581" i="6"/>
  <c r="M581" i="6" s="1"/>
  <c r="N581" i="6" s="1"/>
  <c r="O581" i="6" s="1"/>
  <c r="L593" i="6"/>
  <c r="M593" i="6" s="1"/>
  <c r="N593" i="6" s="1"/>
  <c r="O593" i="6" s="1"/>
  <c r="L592" i="6"/>
  <c r="M592" i="6" s="1"/>
  <c r="N592" i="6" s="1"/>
  <c r="O592" i="6" s="1"/>
  <c r="L591" i="6"/>
  <c r="M591" i="6" s="1"/>
  <c r="N591" i="6" s="1"/>
  <c r="O591" i="6" s="1"/>
  <c r="L590" i="6"/>
  <c r="M590" i="6" s="1"/>
  <c r="N590" i="6" s="1"/>
  <c r="O590" i="6" s="1"/>
  <c r="L589" i="6"/>
  <c r="M589" i="6" s="1"/>
  <c r="N589" i="6" s="1"/>
  <c r="O589" i="6" s="1"/>
  <c r="L588" i="6"/>
  <c r="M588" i="6" s="1"/>
  <c r="N588" i="6" s="1"/>
  <c r="O588" i="6" s="1"/>
  <c r="L587" i="6"/>
  <c r="M587" i="6" s="1"/>
  <c r="N587" i="6" s="1"/>
  <c r="O587" i="6" s="1"/>
  <c r="L586" i="6"/>
  <c r="M586" i="6" s="1"/>
  <c r="N586" i="6" s="1"/>
  <c r="O586" i="6" s="1"/>
  <c r="L585" i="6"/>
  <c r="M585" i="6" s="1"/>
  <c r="N585" i="6" s="1"/>
  <c r="O585" i="6" s="1"/>
  <c r="L584" i="6"/>
  <c r="M584" i="6" s="1"/>
  <c r="N584" i="6" s="1"/>
  <c r="O584" i="6" s="1"/>
  <c r="L583" i="6"/>
  <c r="M583" i="6" s="1"/>
  <c r="N583" i="6" s="1"/>
  <c r="O583" i="6" s="1"/>
  <c r="L582" i="6"/>
  <c r="M582" i="6" s="1"/>
  <c r="N582" i="6" s="1"/>
  <c r="O582" i="6" s="1"/>
  <c r="L580" i="6"/>
  <c r="M580" i="6" s="1"/>
  <c r="N580" i="6" s="1"/>
  <c r="O580" i="6" s="1"/>
  <c r="L579" i="6"/>
  <c r="M579" i="6" s="1"/>
  <c r="N579" i="6" s="1"/>
  <c r="O579" i="6" s="1"/>
  <c r="L578" i="6"/>
  <c r="M578" i="6" s="1"/>
  <c r="N578" i="6" s="1"/>
  <c r="O578" i="6" s="1"/>
  <c r="L577" i="6"/>
  <c r="M577" i="6" s="1"/>
  <c r="N577" i="6" s="1"/>
  <c r="O577" i="6" s="1"/>
  <c r="L576" i="6"/>
  <c r="M576" i="6" s="1"/>
  <c r="N576" i="6" s="1"/>
  <c r="O576" i="6" s="1"/>
  <c r="L575" i="6"/>
  <c r="M575" i="6" s="1"/>
  <c r="N575" i="6" s="1"/>
  <c r="O575" i="6" s="1"/>
  <c r="L574" i="6"/>
  <c r="M574" i="6" s="1"/>
  <c r="N574" i="6" s="1"/>
  <c r="O574" i="6" s="1"/>
  <c r="L573" i="6"/>
  <c r="M573" i="6" s="1"/>
  <c r="N573" i="6" s="1"/>
  <c r="O573" i="6" s="1"/>
  <c r="L572" i="6"/>
  <c r="M572" i="6" s="1"/>
  <c r="N572" i="6" s="1"/>
  <c r="O572" i="6" s="1"/>
  <c r="L571" i="6"/>
  <c r="M571" i="6" s="1"/>
  <c r="N571" i="6" s="1"/>
  <c r="O571" i="6" s="1"/>
  <c r="L570" i="6"/>
  <c r="M570" i="6" s="1"/>
  <c r="N570" i="6" s="1"/>
  <c r="O570" i="6" s="1"/>
  <c r="L569" i="6"/>
  <c r="M569" i="6" s="1"/>
  <c r="N569" i="6" s="1"/>
  <c r="O569" i="6" s="1"/>
  <c r="L568" i="6"/>
  <c r="M568" i="6" s="1"/>
  <c r="N568" i="6" s="1"/>
  <c r="O568" i="6" s="1"/>
  <c r="L567" i="6"/>
  <c r="M567" i="6" s="1"/>
  <c r="N567" i="6" s="1"/>
  <c r="O567" i="6" s="1"/>
  <c r="L566" i="6"/>
  <c r="M566" i="6" s="1"/>
  <c r="N566" i="6" s="1"/>
  <c r="O566" i="6" s="1"/>
  <c r="L564" i="6"/>
  <c r="M564" i="6" s="1"/>
  <c r="N564" i="6" s="1"/>
  <c r="O564" i="6" s="1"/>
  <c r="L563" i="6"/>
  <c r="M563" i="6" s="1"/>
  <c r="N563" i="6" s="1"/>
  <c r="O563" i="6" s="1"/>
  <c r="L562" i="6"/>
  <c r="M562" i="6" s="1"/>
  <c r="N562" i="6" s="1"/>
  <c r="O562" i="6" s="1"/>
  <c r="L561" i="6"/>
  <c r="M561" i="6" s="1"/>
  <c r="N561" i="6" s="1"/>
  <c r="O561" i="6" s="1"/>
  <c r="L560" i="6"/>
  <c r="M560" i="6" s="1"/>
  <c r="N560" i="6" s="1"/>
  <c r="O560" i="6" s="1"/>
  <c r="L559" i="6"/>
  <c r="M559" i="6" s="1"/>
  <c r="N559" i="6" s="1"/>
  <c r="O559" i="6" s="1"/>
  <c r="L558" i="6"/>
  <c r="M558" i="6" s="1"/>
  <c r="N558" i="6" s="1"/>
  <c r="O558" i="6" s="1"/>
  <c r="L557" i="6"/>
  <c r="M557" i="6" s="1"/>
  <c r="N557" i="6" s="1"/>
  <c r="O557" i="6" s="1"/>
  <c r="L556" i="6"/>
  <c r="M556" i="6" s="1"/>
  <c r="N556" i="6" s="1"/>
  <c r="O556" i="6" s="1"/>
  <c r="L555" i="6"/>
  <c r="M555" i="6" s="1"/>
  <c r="N555" i="6" s="1"/>
  <c r="O555" i="6" s="1"/>
  <c r="L554" i="6"/>
  <c r="M554" i="6" s="1"/>
  <c r="N554" i="6" s="1"/>
  <c r="O554" i="6" s="1"/>
  <c r="L553" i="6"/>
  <c r="M553" i="6" s="1"/>
  <c r="N553" i="6" s="1"/>
  <c r="O553" i="6" s="1"/>
  <c r="L552" i="6"/>
  <c r="M552" i="6" s="1"/>
  <c r="N552" i="6" s="1"/>
  <c r="O552" i="6" s="1"/>
  <c r="L551" i="6"/>
  <c r="M551" i="6" s="1"/>
  <c r="N551" i="6" s="1"/>
  <c r="O551" i="6" s="1"/>
  <c r="L550" i="6"/>
  <c r="M550" i="6" s="1"/>
  <c r="N550" i="6" s="1"/>
  <c r="O550" i="6" s="1"/>
  <c r="L549" i="6"/>
  <c r="M549" i="6" s="1"/>
  <c r="N549" i="6" s="1"/>
  <c r="O549" i="6" s="1"/>
  <c r="L548" i="6"/>
  <c r="M548" i="6" s="1"/>
  <c r="N548" i="6" s="1"/>
  <c r="O548" i="6" s="1"/>
  <c r="L547" i="6"/>
  <c r="M547" i="6" s="1"/>
  <c r="N547" i="6" s="1"/>
  <c r="O547" i="6" s="1"/>
  <c r="L546" i="6"/>
  <c r="M546" i="6" s="1"/>
  <c r="N546" i="6" s="1"/>
  <c r="O546" i="6" s="1"/>
  <c r="L545" i="6"/>
  <c r="M545" i="6" s="1"/>
  <c r="N545" i="6" s="1"/>
  <c r="O545" i="6" s="1"/>
  <c r="L544" i="6"/>
  <c r="M544" i="6" s="1"/>
  <c r="N544" i="6" s="1"/>
  <c r="O544" i="6" s="1"/>
  <c r="L543" i="6"/>
  <c r="M543" i="6" s="1"/>
  <c r="N543" i="6" s="1"/>
  <c r="O543" i="6" s="1"/>
  <c r="L542" i="6"/>
  <c r="M542" i="6" s="1"/>
  <c r="N542" i="6" s="1"/>
  <c r="O542" i="6" s="1"/>
  <c r="L541" i="6"/>
  <c r="M541" i="6" s="1"/>
  <c r="N541" i="6" s="1"/>
  <c r="O541" i="6" s="1"/>
  <c r="L540" i="6"/>
  <c r="M540" i="6" s="1"/>
  <c r="N540" i="6" s="1"/>
  <c r="O540" i="6" s="1"/>
  <c r="L539" i="6"/>
  <c r="M539" i="6" s="1"/>
  <c r="N539" i="6" s="1"/>
  <c r="O539" i="6" s="1"/>
  <c r="L565" i="6"/>
  <c r="M565" i="6" s="1"/>
  <c r="N565" i="6" s="1"/>
  <c r="O565" i="6" s="1"/>
  <c r="L538" i="6"/>
  <c r="M538" i="6" s="1"/>
  <c r="N538" i="6" s="1"/>
  <c r="O538" i="6" s="1"/>
  <c r="L537" i="6"/>
  <c r="M537" i="6" s="1"/>
  <c r="N537" i="6" s="1"/>
  <c r="O537" i="6" s="1"/>
  <c r="L536" i="6"/>
  <c r="M536" i="6" s="1"/>
  <c r="N536" i="6" s="1"/>
  <c r="O536" i="6" s="1"/>
  <c r="L535" i="6"/>
  <c r="M535" i="6" s="1"/>
  <c r="N535" i="6" s="1"/>
  <c r="O535" i="6" s="1"/>
  <c r="L534" i="6"/>
  <c r="M534" i="6" s="1"/>
  <c r="N534" i="6" s="1"/>
  <c r="O534" i="6" s="1"/>
  <c r="L533" i="6"/>
  <c r="M533" i="6" s="1"/>
  <c r="N533" i="6" s="1"/>
  <c r="O533" i="6" s="1"/>
  <c r="L532" i="6"/>
  <c r="M532" i="6" s="1"/>
  <c r="N532" i="6" s="1"/>
  <c r="O532" i="6" s="1"/>
  <c r="L531" i="6"/>
  <c r="M531" i="6" s="1"/>
  <c r="N531" i="6" s="1"/>
  <c r="O531" i="6" s="1"/>
  <c r="L530" i="6"/>
  <c r="M530" i="6" s="1"/>
  <c r="N530" i="6" s="1"/>
  <c r="O530" i="6" s="1"/>
  <c r="L529" i="6"/>
  <c r="M529" i="6" s="1"/>
  <c r="N529" i="6" s="1"/>
  <c r="O529" i="6" s="1"/>
  <c r="L528" i="6"/>
  <c r="M528" i="6" s="1"/>
  <c r="N528" i="6" s="1"/>
  <c r="O528" i="6" s="1"/>
  <c r="L527" i="6"/>
  <c r="M527" i="6" s="1"/>
  <c r="N527" i="6" s="1"/>
  <c r="O527" i="6" s="1"/>
  <c r="L526" i="6"/>
  <c r="M526" i="6" s="1"/>
  <c r="N526" i="6" s="1"/>
  <c r="O526" i="6" s="1"/>
  <c r="L525" i="6"/>
  <c r="M525" i="6" s="1"/>
  <c r="N525" i="6" s="1"/>
  <c r="O525" i="6" s="1"/>
  <c r="L524" i="6"/>
  <c r="M524" i="6" s="1"/>
  <c r="N524" i="6" s="1"/>
  <c r="O524" i="6" s="1"/>
  <c r="L523" i="6"/>
  <c r="M523" i="6" s="1"/>
  <c r="N523" i="6" s="1"/>
  <c r="O523" i="6" s="1"/>
  <c r="L522" i="6"/>
  <c r="M522" i="6" s="1"/>
  <c r="N522" i="6" s="1"/>
  <c r="O522" i="6" s="1"/>
  <c r="L521" i="6"/>
  <c r="M521" i="6" s="1"/>
  <c r="N521" i="6" s="1"/>
  <c r="O521" i="6" s="1"/>
  <c r="L520" i="6"/>
  <c r="M520" i="6" s="1"/>
  <c r="N520" i="6" s="1"/>
  <c r="O520" i="6" s="1"/>
  <c r="L519" i="6"/>
  <c r="M519" i="6" s="1"/>
  <c r="N519" i="6" s="1"/>
  <c r="O519" i="6" s="1"/>
  <c r="L518" i="6"/>
  <c r="M518" i="6" s="1"/>
  <c r="N518" i="6" s="1"/>
  <c r="O518" i="6" s="1"/>
  <c r="L517" i="6"/>
  <c r="M517" i="6" s="1"/>
  <c r="N517" i="6" s="1"/>
  <c r="O517" i="6" s="1"/>
  <c r="L516" i="6"/>
  <c r="M516" i="6" s="1"/>
  <c r="N516" i="6" s="1"/>
  <c r="O516" i="6" s="1"/>
  <c r="L515" i="6"/>
  <c r="M515" i="6" s="1"/>
  <c r="N515" i="6" s="1"/>
  <c r="O515" i="6" s="1"/>
  <c r="L514" i="6"/>
  <c r="M514" i="6" s="1"/>
  <c r="N514" i="6" s="1"/>
  <c r="O514" i="6" s="1"/>
  <c r="L513" i="6"/>
  <c r="M513" i="6" s="1"/>
  <c r="N513" i="6" s="1"/>
  <c r="O513" i="6" s="1"/>
  <c r="L512" i="6"/>
  <c r="M512" i="6" s="1"/>
  <c r="N512" i="6" s="1"/>
  <c r="O512" i="6" s="1"/>
  <c r="L511" i="6"/>
  <c r="M511" i="6" s="1"/>
  <c r="N511" i="6" s="1"/>
  <c r="O511" i="6" s="1"/>
  <c r="L510" i="6"/>
  <c r="M510" i="6" s="1"/>
  <c r="N510" i="6" s="1"/>
  <c r="O510" i="6" s="1"/>
  <c r="L509" i="6"/>
  <c r="M509" i="6" s="1"/>
  <c r="N509" i="6" s="1"/>
  <c r="O509" i="6" s="1"/>
  <c r="L508" i="6"/>
  <c r="M508" i="6" s="1"/>
  <c r="N508" i="6" s="1"/>
  <c r="O508" i="6" s="1"/>
  <c r="L507" i="6"/>
  <c r="M507" i="6" s="1"/>
  <c r="N507" i="6" s="1"/>
  <c r="O507" i="6" s="1"/>
  <c r="L506" i="6"/>
  <c r="M506" i="6" s="1"/>
  <c r="N506" i="6" s="1"/>
  <c r="O506" i="6" s="1"/>
  <c r="L505" i="6"/>
  <c r="M505" i="6" s="1"/>
  <c r="N505" i="6" s="1"/>
  <c r="O505" i="6" s="1"/>
  <c r="L504" i="6"/>
  <c r="M504" i="6" s="1"/>
  <c r="N504" i="6" s="1"/>
  <c r="O504" i="6" s="1"/>
  <c r="L503" i="6"/>
  <c r="M503" i="6" s="1"/>
  <c r="N503" i="6" s="1"/>
  <c r="O503" i="6" s="1"/>
  <c r="L502" i="6"/>
  <c r="M502" i="6" s="1"/>
  <c r="N502" i="6" s="1"/>
  <c r="O502" i="6" s="1"/>
  <c r="L501" i="6"/>
  <c r="M501" i="6" s="1"/>
  <c r="N501" i="6" s="1"/>
  <c r="O501" i="6" s="1"/>
  <c r="L500" i="6"/>
  <c r="M500" i="6" s="1"/>
  <c r="N500" i="6" s="1"/>
  <c r="O500" i="6" s="1"/>
  <c r="L499" i="6"/>
  <c r="M499" i="6" s="1"/>
  <c r="N499" i="6" s="1"/>
  <c r="O499" i="6" s="1"/>
  <c r="L498" i="6"/>
  <c r="M498" i="6" s="1"/>
  <c r="N498" i="6" s="1"/>
  <c r="O498" i="6" s="1"/>
  <c r="L497" i="6"/>
  <c r="M497" i="6" s="1"/>
  <c r="N497" i="6" s="1"/>
  <c r="O497" i="6" s="1"/>
  <c r="L496" i="6"/>
  <c r="M496" i="6" s="1"/>
  <c r="N496" i="6" s="1"/>
  <c r="O496" i="6" s="1"/>
  <c r="L495" i="6"/>
  <c r="M495" i="6" s="1"/>
  <c r="N495" i="6" s="1"/>
  <c r="O495" i="6" s="1"/>
  <c r="L494" i="6"/>
  <c r="M494" i="6" s="1"/>
  <c r="N494" i="6" s="1"/>
  <c r="O494" i="6" s="1"/>
  <c r="L679" i="6"/>
  <c r="M679" i="6" s="1"/>
  <c r="N679" i="6" s="1"/>
  <c r="O679" i="6" s="1"/>
  <c r="L837" i="6"/>
  <c r="M837" i="6" s="1"/>
  <c r="N837" i="6" s="1"/>
  <c r="O837" i="6" s="1"/>
  <c r="L836" i="6"/>
  <c r="M836" i="6" s="1"/>
  <c r="N836" i="6" s="1"/>
  <c r="O836" i="6" s="1"/>
  <c r="L835" i="6"/>
  <c r="M835" i="6" s="1"/>
  <c r="N835" i="6" s="1"/>
  <c r="O835" i="6" s="1"/>
  <c r="L834" i="6"/>
  <c r="M834" i="6" s="1"/>
  <c r="N834" i="6" s="1"/>
  <c r="O834" i="6" s="1"/>
  <c r="L833" i="6"/>
  <c r="M833" i="6" s="1"/>
  <c r="N833" i="6" s="1"/>
  <c r="O833" i="6" s="1"/>
  <c r="L832" i="6"/>
  <c r="M832" i="6" s="1"/>
  <c r="N832" i="6" s="1"/>
  <c r="O832" i="6" s="1"/>
  <c r="L831" i="6"/>
  <c r="M831" i="6" s="1"/>
  <c r="N831" i="6" s="1"/>
  <c r="O831" i="6" s="1"/>
  <c r="L830" i="6"/>
  <c r="M830" i="6" s="1"/>
  <c r="N830" i="6" s="1"/>
  <c r="O830" i="6" s="1"/>
  <c r="L829" i="6"/>
  <c r="M829" i="6" s="1"/>
  <c r="N829" i="6" s="1"/>
  <c r="O829" i="6" s="1"/>
  <c r="L828" i="6"/>
  <c r="M828" i="6" s="1"/>
  <c r="N828" i="6" s="1"/>
  <c r="O828" i="6" s="1"/>
  <c r="L827" i="6"/>
  <c r="M827" i="6" s="1"/>
  <c r="N827" i="6" s="1"/>
  <c r="O827" i="6" s="1"/>
  <c r="L826" i="6"/>
  <c r="M826" i="6" s="1"/>
  <c r="N826" i="6" s="1"/>
  <c r="O826" i="6" s="1"/>
  <c r="L806" i="6"/>
  <c r="M806" i="6" s="1"/>
  <c r="N806" i="6" s="1"/>
  <c r="O806" i="6" s="1"/>
  <c r="L825" i="6"/>
  <c r="M825" i="6" s="1"/>
  <c r="N825" i="6" s="1"/>
  <c r="O825" i="6" s="1"/>
  <c r="L824" i="6"/>
  <c r="M824" i="6" s="1"/>
  <c r="N824" i="6" s="1"/>
  <c r="O824" i="6" s="1"/>
  <c r="L823" i="6"/>
  <c r="M823" i="6" s="1"/>
  <c r="N823" i="6" s="1"/>
  <c r="O823" i="6" s="1"/>
  <c r="L822" i="6"/>
  <c r="M822" i="6" s="1"/>
  <c r="N822" i="6" s="1"/>
  <c r="O822" i="6" s="1"/>
  <c r="L821" i="6"/>
  <c r="M821" i="6" s="1"/>
  <c r="N821" i="6" s="1"/>
  <c r="O821" i="6" s="1"/>
  <c r="L820" i="6"/>
  <c r="M820" i="6" s="1"/>
  <c r="N820" i="6" s="1"/>
  <c r="O820" i="6" s="1"/>
  <c r="L819" i="6"/>
  <c r="M819" i="6" s="1"/>
  <c r="N819" i="6" s="1"/>
  <c r="O819" i="6" s="1"/>
  <c r="L817" i="6"/>
  <c r="M817" i="6" s="1"/>
  <c r="N817" i="6" s="1"/>
  <c r="O817" i="6" s="1"/>
  <c r="L816" i="6"/>
  <c r="M816" i="6" s="1"/>
  <c r="N816" i="6" s="1"/>
  <c r="O816" i="6" s="1"/>
  <c r="L815" i="6"/>
  <c r="M815" i="6" s="1"/>
  <c r="N815" i="6" s="1"/>
  <c r="O815" i="6" s="1"/>
  <c r="L814" i="6"/>
  <c r="M814" i="6" s="1"/>
  <c r="N814" i="6" s="1"/>
  <c r="O814" i="6" s="1"/>
  <c r="L813" i="6"/>
  <c r="M813" i="6" s="1"/>
  <c r="N813" i="6" s="1"/>
  <c r="O813" i="6" s="1"/>
  <c r="L812" i="6"/>
  <c r="M812" i="6" s="1"/>
  <c r="N812" i="6" s="1"/>
  <c r="O812" i="6" s="1"/>
  <c r="L811" i="6"/>
  <c r="M811" i="6" s="1"/>
  <c r="N811" i="6" s="1"/>
  <c r="O811" i="6" s="1"/>
  <c r="L810" i="6"/>
  <c r="M810" i="6" s="1"/>
  <c r="N810" i="6" s="1"/>
  <c r="O810" i="6" s="1"/>
  <c r="L809" i="6"/>
  <c r="M809" i="6" s="1"/>
  <c r="N809" i="6" s="1"/>
  <c r="O809" i="6" s="1"/>
  <c r="L808" i="6"/>
  <c r="M808" i="6" s="1"/>
  <c r="N808" i="6" s="1"/>
  <c r="O808" i="6" s="1"/>
  <c r="L807" i="6"/>
  <c r="M807" i="6" s="1"/>
  <c r="N807" i="6" s="1"/>
  <c r="O807" i="6" s="1"/>
  <c r="L805" i="6"/>
  <c r="M805" i="6" s="1"/>
  <c r="N805" i="6" s="1"/>
  <c r="O805" i="6" s="1"/>
  <c r="L804" i="6"/>
  <c r="M804" i="6" s="1"/>
  <c r="N804" i="6" s="1"/>
  <c r="O804" i="6" s="1"/>
  <c r="L803" i="6"/>
  <c r="M803" i="6" s="1"/>
  <c r="N803" i="6" s="1"/>
  <c r="O803" i="6" s="1"/>
  <c r="L802" i="6"/>
  <c r="M802" i="6" s="1"/>
  <c r="N802" i="6" s="1"/>
  <c r="O802" i="6" s="1"/>
  <c r="L801" i="6"/>
  <c r="M801" i="6" s="1"/>
  <c r="N801" i="6" s="1"/>
  <c r="O801" i="6" s="1"/>
  <c r="L800" i="6"/>
  <c r="M800" i="6" s="1"/>
  <c r="N800" i="6" s="1"/>
  <c r="O800" i="6" s="1"/>
  <c r="L799" i="6"/>
  <c r="M799" i="6" s="1"/>
  <c r="N799" i="6" s="1"/>
  <c r="O799" i="6" s="1"/>
  <c r="L798" i="6"/>
  <c r="M798" i="6" s="1"/>
  <c r="N798" i="6" s="1"/>
  <c r="O798" i="6" s="1"/>
  <c r="L797" i="6"/>
  <c r="M797" i="6" s="1"/>
  <c r="N797" i="6" s="1"/>
  <c r="O797" i="6" s="1"/>
  <c r="L796" i="6"/>
  <c r="M796" i="6" s="1"/>
  <c r="N796" i="6" s="1"/>
  <c r="O796" i="6" s="1"/>
  <c r="L795" i="6"/>
  <c r="M795" i="6" s="1"/>
  <c r="N795" i="6" s="1"/>
  <c r="O795" i="6" s="1"/>
  <c r="L794" i="6"/>
  <c r="M794" i="6" s="1"/>
  <c r="N794" i="6" s="1"/>
  <c r="O794" i="6" s="1"/>
  <c r="L793" i="6"/>
  <c r="M793" i="6" s="1"/>
  <c r="N793" i="6" s="1"/>
  <c r="O793" i="6" s="1"/>
  <c r="L792" i="6"/>
  <c r="M792" i="6" s="1"/>
  <c r="N792" i="6" s="1"/>
  <c r="O792" i="6" s="1"/>
  <c r="L791" i="6"/>
  <c r="M791" i="6" s="1"/>
  <c r="N791" i="6" s="1"/>
  <c r="O791" i="6" s="1"/>
  <c r="L790" i="6"/>
  <c r="M790" i="6" s="1"/>
  <c r="N790" i="6" s="1"/>
  <c r="O790" i="6" s="1"/>
  <c r="L789" i="6"/>
  <c r="M789" i="6" s="1"/>
  <c r="N789" i="6" s="1"/>
  <c r="O789" i="6" s="1"/>
  <c r="L788" i="6"/>
  <c r="M788" i="6" s="1"/>
  <c r="N788" i="6" s="1"/>
  <c r="O788" i="6" s="1"/>
  <c r="L787" i="6"/>
  <c r="M787" i="6" s="1"/>
  <c r="N787" i="6" s="1"/>
  <c r="O787" i="6" s="1"/>
  <c r="L786" i="6"/>
  <c r="M786" i="6" s="1"/>
  <c r="N786" i="6" s="1"/>
  <c r="O786" i="6" s="1"/>
  <c r="L785" i="6"/>
  <c r="M785" i="6" s="1"/>
  <c r="N785" i="6" s="1"/>
  <c r="O785" i="6" s="1"/>
  <c r="L784" i="6"/>
  <c r="M784" i="6" s="1"/>
  <c r="N784" i="6" s="1"/>
  <c r="O784" i="6" s="1"/>
  <c r="L783" i="6"/>
  <c r="M783" i="6" s="1"/>
  <c r="N783" i="6" s="1"/>
  <c r="O783" i="6" s="1"/>
  <c r="L782" i="6"/>
  <c r="M782" i="6" s="1"/>
  <c r="N782" i="6" s="1"/>
  <c r="O782" i="6" s="1"/>
  <c r="L781" i="6"/>
  <c r="M781" i="6" s="1"/>
  <c r="N781" i="6" s="1"/>
  <c r="O781" i="6" s="1"/>
  <c r="L780" i="6"/>
  <c r="M780" i="6" s="1"/>
  <c r="N780" i="6" s="1"/>
  <c r="O780" i="6" s="1"/>
  <c r="L779" i="6"/>
  <c r="M779" i="6" s="1"/>
  <c r="N779" i="6" s="1"/>
  <c r="O779" i="6" s="1"/>
  <c r="L778" i="6"/>
  <c r="M778" i="6" s="1"/>
  <c r="N778" i="6" s="1"/>
  <c r="O778" i="6" s="1"/>
  <c r="L777" i="6"/>
  <c r="M777" i="6" s="1"/>
  <c r="N777" i="6" s="1"/>
  <c r="O777" i="6" s="1"/>
  <c r="L776" i="6"/>
  <c r="M776" i="6" s="1"/>
  <c r="N776" i="6" s="1"/>
  <c r="O776" i="6" s="1"/>
  <c r="L775" i="6"/>
  <c r="M775" i="6" s="1"/>
  <c r="N775" i="6" s="1"/>
  <c r="O775" i="6" s="1"/>
  <c r="L774" i="6"/>
  <c r="M774" i="6" s="1"/>
  <c r="N774" i="6" s="1"/>
  <c r="O774" i="6" s="1"/>
  <c r="L773" i="6"/>
  <c r="M773" i="6" s="1"/>
  <c r="N773" i="6" s="1"/>
  <c r="O773" i="6" s="1"/>
  <c r="L772" i="6"/>
  <c r="M772" i="6" s="1"/>
  <c r="N772" i="6" s="1"/>
  <c r="O772" i="6" s="1"/>
  <c r="L771" i="6"/>
  <c r="M771" i="6" s="1"/>
  <c r="N771" i="6" s="1"/>
  <c r="O771" i="6" s="1"/>
  <c r="L770" i="6"/>
  <c r="M770" i="6" s="1"/>
  <c r="N770" i="6" s="1"/>
  <c r="O770" i="6" s="1"/>
  <c r="L769" i="6"/>
  <c r="M769" i="6" s="1"/>
  <c r="N769" i="6" s="1"/>
  <c r="O769" i="6" s="1"/>
  <c r="L768" i="6"/>
  <c r="M768" i="6" s="1"/>
  <c r="N768" i="6" s="1"/>
  <c r="O768" i="6" s="1"/>
  <c r="L767" i="6"/>
  <c r="M767" i="6" s="1"/>
  <c r="N767" i="6" s="1"/>
  <c r="O767" i="6" s="1"/>
  <c r="L766" i="6"/>
  <c r="M766" i="6" s="1"/>
  <c r="N766" i="6" s="1"/>
  <c r="O766" i="6" s="1"/>
  <c r="L765" i="6"/>
  <c r="M765" i="6" s="1"/>
  <c r="N765" i="6" s="1"/>
  <c r="O765" i="6" s="1"/>
  <c r="L764" i="6"/>
  <c r="M764" i="6" s="1"/>
  <c r="N764" i="6" s="1"/>
  <c r="O764" i="6" s="1"/>
  <c r="L763" i="6"/>
  <c r="M763" i="6" s="1"/>
  <c r="N763" i="6" s="1"/>
  <c r="O763" i="6" s="1"/>
  <c r="L762" i="6"/>
  <c r="M762" i="6" s="1"/>
  <c r="N762" i="6" s="1"/>
  <c r="O762" i="6" s="1"/>
  <c r="L761" i="6"/>
  <c r="M761" i="6" s="1"/>
  <c r="N761" i="6" s="1"/>
  <c r="O761" i="6" s="1"/>
  <c r="L760" i="6"/>
  <c r="M760" i="6" s="1"/>
  <c r="N760" i="6" s="1"/>
  <c r="O760" i="6" s="1"/>
  <c r="L759" i="6"/>
  <c r="M759" i="6" s="1"/>
  <c r="N759" i="6" s="1"/>
  <c r="O759" i="6" s="1"/>
  <c r="L758" i="6"/>
  <c r="M758" i="6" s="1"/>
  <c r="N758" i="6" s="1"/>
  <c r="O758" i="6" s="1"/>
  <c r="L757" i="6"/>
  <c r="M757" i="6" s="1"/>
  <c r="N757" i="6" s="1"/>
  <c r="O757" i="6" s="1"/>
  <c r="L756" i="6"/>
  <c r="M756" i="6" s="1"/>
  <c r="N756" i="6" s="1"/>
  <c r="O756" i="6" s="1"/>
  <c r="L755" i="6"/>
  <c r="M755" i="6" s="1"/>
  <c r="N755" i="6" s="1"/>
  <c r="O755" i="6" s="1"/>
  <c r="L754" i="6"/>
  <c r="M754" i="6" s="1"/>
  <c r="N754" i="6" s="1"/>
  <c r="O754" i="6" s="1"/>
  <c r="L753" i="6"/>
  <c r="M753" i="6" s="1"/>
  <c r="N753" i="6" s="1"/>
  <c r="O753" i="6" s="1"/>
  <c r="L752" i="6"/>
  <c r="M752" i="6" s="1"/>
  <c r="N752" i="6" s="1"/>
  <c r="O752" i="6" s="1"/>
  <c r="L751" i="6"/>
  <c r="M751" i="6" s="1"/>
  <c r="N751" i="6" s="1"/>
  <c r="O751" i="6" s="1"/>
  <c r="L750" i="6"/>
  <c r="M750" i="6" s="1"/>
  <c r="N750" i="6" s="1"/>
  <c r="O750" i="6" s="1"/>
  <c r="L749" i="6"/>
  <c r="M749" i="6" s="1"/>
  <c r="N749" i="6" s="1"/>
  <c r="O749" i="6" s="1"/>
  <c r="L748" i="6"/>
  <c r="M748" i="6" s="1"/>
  <c r="N748" i="6" s="1"/>
  <c r="O748" i="6" s="1"/>
  <c r="L747" i="6"/>
  <c r="M747" i="6" s="1"/>
  <c r="N747" i="6" s="1"/>
  <c r="O747" i="6" s="1"/>
  <c r="L746" i="6"/>
  <c r="M746" i="6" s="1"/>
  <c r="N746" i="6" s="1"/>
  <c r="O746" i="6" s="1"/>
  <c r="L745" i="6"/>
  <c r="M745" i="6" s="1"/>
  <c r="N745" i="6" s="1"/>
  <c r="O745" i="6" s="1"/>
  <c r="L744" i="6"/>
  <c r="M744" i="6" s="1"/>
  <c r="N744" i="6" s="1"/>
  <c r="O744" i="6" s="1"/>
  <c r="L743" i="6"/>
  <c r="M743" i="6" s="1"/>
  <c r="N743" i="6" s="1"/>
  <c r="O743" i="6" s="1"/>
  <c r="L818" i="6"/>
  <c r="M818" i="6" s="1"/>
  <c r="N818" i="6" s="1"/>
  <c r="O818" i="6" s="1"/>
  <c r="L742" i="6"/>
  <c r="M742" i="6" s="1"/>
  <c r="N742" i="6" s="1"/>
  <c r="O742" i="6" s="1"/>
  <c r="L741" i="6"/>
  <c r="M741" i="6" s="1"/>
  <c r="N741" i="6" s="1"/>
  <c r="O741" i="6" s="1"/>
  <c r="L740" i="6"/>
  <c r="M740" i="6" s="1"/>
  <c r="N740" i="6" s="1"/>
  <c r="O740" i="6" s="1"/>
  <c r="L739" i="6"/>
  <c r="M739" i="6" s="1"/>
  <c r="N739" i="6" s="1"/>
  <c r="O739" i="6" s="1"/>
  <c r="L738" i="6"/>
  <c r="M738" i="6" s="1"/>
  <c r="N738" i="6" s="1"/>
  <c r="O738" i="6" s="1"/>
  <c r="L737" i="6"/>
  <c r="M737" i="6" s="1"/>
  <c r="N737" i="6" s="1"/>
  <c r="O737" i="6" s="1"/>
  <c r="L736" i="6"/>
  <c r="M736" i="6" s="1"/>
  <c r="N736" i="6" s="1"/>
  <c r="O736" i="6" s="1"/>
  <c r="L735" i="6"/>
  <c r="M735" i="6" s="1"/>
  <c r="N735" i="6" s="1"/>
  <c r="O735" i="6" s="1"/>
  <c r="L734" i="6"/>
  <c r="M734" i="6" s="1"/>
  <c r="N734" i="6" s="1"/>
  <c r="O734" i="6" s="1"/>
  <c r="L733" i="6"/>
  <c r="M733" i="6" s="1"/>
  <c r="N733" i="6" s="1"/>
  <c r="O733" i="6" s="1"/>
  <c r="L732" i="6"/>
  <c r="M732" i="6" s="1"/>
  <c r="N732" i="6" s="1"/>
  <c r="O732" i="6" s="1"/>
  <c r="L731" i="6"/>
  <c r="M731" i="6" s="1"/>
  <c r="N731" i="6" s="1"/>
  <c r="O731" i="6" s="1"/>
  <c r="L730" i="6"/>
  <c r="M730" i="6" s="1"/>
  <c r="N730" i="6" s="1"/>
  <c r="O730" i="6" s="1"/>
  <c r="L729" i="6"/>
  <c r="M729" i="6" s="1"/>
  <c r="N729" i="6" s="1"/>
  <c r="O729" i="6" s="1"/>
  <c r="L728" i="6"/>
  <c r="M728" i="6" s="1"/>
  <c r="N728" i="6" s="1"/>
  <c r="O728" i="6" s="1"/>
  <c r="L727" i="6"/>
  <c r="M727" i="6" s="1"/>
  <c r="N727" i="6" s="1"/>
  <c r="O727" i="6" s="1"/>
  <c r="L726" i="6"/>
  <c r="M726" i="6" s="1"/>
  <c r="N726" i="6" s="1"/>
  <c r="O726" i="6" s="1"/>
  <c r="L725" i="6"/>
  <c r="M725" i="6" s="1"/>
  <c r="N725" i="6" s="1"/>
  <c r="O725" i="6" s="1"/>
  <c r="L724" i="6"/>
  <c r="M724" i="6" s="1"/>
  <c r="N724" i="6" s="1"/>
  <c r="O724" i="6" s="1"/>
  <c r="L723" i="6"/>
  <c r="M723" i="6" s="1"/>
  <c r="N723" i="6" s="1"/>
  <c r="O723" i="6" s="1"/>
  <c r="L722" i="6"/>
  <c r="M722" i="6" s="1"/>
  <c r="N722" i="6" s="1"/>
  <c r="O722" i="6" s="1"/>
  <c r="L721" i="6"/>
  <c r="M721" i="6" s="1"/>
  <c r="N721" i="6" s="1"/>
  <c r="O721" i="6" s="1"/>
  <c r="L720" i="6"/>
  <c r="M720" i="6" s="1"/>
  <c r="N720" i="6" s="1"/>
  <c r="O720" i="6" s="1"/>
  <c r="L719" i="6"/>
  <c r="M719" i="6" s="1"/>
  <c r="N719" i="6" s="1"/>
  <c r="O719" i="6" s="1"/>
  <c r="L718" i="6"/>
  <c r="M718" i="6" s="1"/>
  <c r="N718" i="6" s="1"/>
  <c r="O718" i="6" s="1"/>
  <c r="L717" i="6"/>
  <c r="M717" i="6" s="1"/>
  <c r="N717" i="6" s="1"/>
  <c r="O717" i="6" s="1"/>
  <c r="L716" i="6"/>
  <c r="M716" i="6" s="1"/>
  <c r="N716" i="6" s="1"/>
  <c r="O716" i="6" s="1"/>
  <c r="L715" i="6"/>
  <c r="M715" i="6" s="1"/>
  <c r="N715" i="6" s="1"/>
  <c r="O715" i="6" s="1"/>
  <c r="L714" i="6"/>
  <c r="M714" i="6" s="1"/>
  <c r="N714" i="6" s="1"/>
  <c r="O714" i="6" s="1"/>
  <c r="L713" i="6"/>
  <c r="M713" i="6" s="1"/>
  <c r="N713" i="6" s="1"/>
  <c r="O713" i="6" s="1"/>
  <c r="L712" i="6"/>
  <c r="M712" i="6" s="1"/>
  <c r="N712" i="6" s="1"/>
  <c r="O712" i="6" s="1"/>
  <c r="L711" i="6"/>
  <c r="M711" i="6" s="1"/>
  <c r="N711" i="6" s="1"/>
  <c r="O711" i="6" s="1"/>
  <c r="L710" i="6"/>
  <c r="M710" i="6" s="1"/>
  <c r="N710" i="6" s="1"/>
  <c r="O710" i="6" s="1"/>
  <c r="L709" i="6"/>
  <c r="M709" i="6" s="1"/>
  <c r="N709" i="6" s="1"/>
  <c r="O709" i="6" s="1"/>
  <c r="L708" i="6"/>
  <c r="M708" i="6" s="1"/>
  <c r="N708" i="6" s="1"/>
  <c r="O708" i="6" s="1"/>
  <c r="L707" i="6"/>
  <c r="M707" i="6" s="1"/>
  <c r="N707" i="6" s="1"/>
  <c r="O707" i="6" s="1"/>
  <c r="L706" i="6"/>
  <c r="M706" i="6" s="1"/>
  <c r="N706" i="6" s="1"/>
  <c r="O706" i="6" s="1"/>
  <c r="L705" i="6"/>
  <c r="M705" i="6" s="1"/>
  <c r="N705" i="6" s="1"/>
  <c r="O705" i="6" s="1"/>
  <c r="L704" i="6"/>
  <c r="M704" i="6" s="1"/>
  <c r="N704" i="6" s="1"/>
  <c r="O704" i="6" s="1"/>
  <c r="L703" i="6"/>
  <c r="M703" i="6" s="1"/>
  <c r="N703" i="6" s="1"/>
  <c r="O703" i="6" s="1"/>
  <c r="L702" i="6"/>
  <c r="M702" i="6" s="1"/>
  <c r="N702" i="6" s="1"/>
  <c r="O702" i="6" s="1"/>
  <c r="L701" i="6"/>
  <c r="M701" i="6" s="1"/>
  <c r="N701" i="6" s="1"/>
  <c r="O701" i="6" s="1"/>
  <c r="L700" i="6"/>
  <c r="M700" i="6" s="1"/>
  <c r="N700" i="6" s="1"/>
  <c r="O700" i="6" s="1"/>
  <c r="L699" i="6"/>
  <c r="M699" i="6" s="1"/>
  <c r="N699" i="6" s="1"/>
  <c r="O699" i="6" s="1"/>
  <c r="L698" i="6"/>
  <c r="M698" i="6" s="1"/>
  <c r="N698" i="6" s="1"/>
  <c r="O698" i="6" s="1"/>
  <c r="L697" i="6"/>
  <c r="M697" i="6" s="1"/>
  <c r="N697" i="6" s="1"/>
  <c r="O697" i="6" s="1"/>
  <c r="L696" i="6"/>
  <c r="M696" i="6" s="1"/>
  <c r="N696" i="6" s="1"/>
  <c r="O696" i="6" s="1"/>
  <c r="L695" i="6"/>
  <c r="M695" i="6" s="1"/>
  <c r="N695" i="6" s="1"/>
  <c r="O695" i="6" s="1"/>
  <c r="L694" i="6"/>
  <c r="M694" i="6" s="1"/>
  <c r="N694" i="6" s="1"/>
  <c r="O694" i="6" s="1"/>
  <c r="L693" i="6"/>
  <c r="M693" i="6" s="1"/>
  <c r="N693" i="6" s="1"/>
  <c r="O693" i="6" s="1"/>
  <c r="L692" i="6"/>
  <c r="M692" i="6" s="1"/>
  <c r="N692" i="6" s="1"/>
  <c r="O692" i="6" s="1"/>
  <c r="L691" i="6"/>
  <c r="M691" i="6" s="1"/>
  <c r="N691" i="6" s="1"/>
  <c r="O691" i="6" s="1"/>
  <c r="L690" i="6"/>
  <c r="M690" i="6" s="1"/>
  <c r="N690" i="6" s="1"/>
  <c r="O690" i="6" s="1"/>
  <c r="L689" i="6"/>
  <c r="M689" i="6" s="1"/>
  <c r="N689" i="6" s="1"/>
  <c r="O689" i="6" s="1"/>
  <c r="L688" i="6"/>
  <c r="M688" i="6" s="1"/>
  <c r="N688" i="6" s="1"/>
  <c r="O688" i="6" s="1"/>
  <c r="L687" i="6"/>
  <c r="M687" i="6" s="1"/>
  <c r="N687" i="6" s="1"/>
  <c r="O687" i="6" s="1"/>
  <c r="L686" i="6"/>
  <c r="M686" i="6" s="1"/>
  <c r="N686" i="6" s="1"/>
  <c r="O686" i="6" s="1"/>
  <c r="L685" i="6"/>
  <c r="M685" i="6" s="1"/>
  <c r="N685" i="6" s="1"/>
  <c r="O685" i="6" s="1"/>
  <c r="L684" i="6"/>
  <c r="M684" i="6" s="1"/>
  <c r="N684" i="6" s="1"/>
  <c r="O684" i="6" s="1"/>
  <c r="L683" i="6"/>
  <c r="M683" i="6" s="1"/>
  <c r="N683" i="6" s="1"/>
  <c r="O683" i="6" s="1"/>
  <c r="L682" i="6"/>
  <c r="M682" i="6" s="1"/>
  <c r="N682" i="6" s="1"/>
  <c r="O682" i="6" s="1"/>
  <c r="L681" i="6"/>
  <c r="M681" i="6" s="1"/>
  <c r="N681" i="6" s="1"/>
  <c r="O681" i="6" s="1"/>
  <c r="L680" i="6"/>
  <c r="M680" i="6" s="1"/>
  <c r="N680" i="6" s="1"/>
  <c r="O680" i="6" s="1"/>
  <c r="L1001" i="6"/>
  <c r="M1001" i="6" s="1"/>
  <c r="N1001" i="6" s="1"/>
  <c r="O1001" i="6" s="1"/>
  <c r="L1000" i="6"/>
  <c r="M1000" i="6" s="1"/>
  <c r="N1000" i="6" s="1"/>
  <c r="O1000" i="6" s="1"/>
  <c r="L999" i="6"/>
  <c r="M999" i="6" s="1"/>
  <c r="N999" i="6" s="1"/>
  <c r="O999" i="6" s="1"/>
  <c r="L998" i="6"/>
  <c r="M998" i="6" s="1"/>
  <c r="N998" i="6" s="1"/>
  <c r="O998" i="6" s="1"/>
  <c r="L997" i="6"/>
  <c r="M997" i="6" s="1"/>
  <c r="N997" i="6" s="1"/>
  <c r="O997" i="6" s="1"/>
  <c r="L996" i="6"/>
  <c r="M996" i="6" s="1"/>
  <c r="N996" i="6" s="1"/>
  <c r="O996" i="6" s="1"/>
  <c r="L995" i="6"/>
  <c r="M995" i="6" s="1"/>
  <c r="N995" i="6" s="1"/>
  <c r="O995" i="6" s="1"/>
  <c r="L994" i="6"/>
  <c r="M994" i="6" s="1"/>
  <c r="N994" i="6" s="1"/>
  <c r="O994" i="6" s="1"/>
  <c r="L924" i="6"/>
  <c r="M924" i="6" s="1"/>
  <c r="N924" i="6" s="1"/>
  <c r="O924" i="6" s="1"/>
  <c r="L993" i="6"/>
  <c r="M993" i="6" s="1"/>
  <c r="N993" i="6" s="1"/>
  <c r="O993" i="6" s="1"/>
  <c r="L992" i="6"/>
  <c r="M992" i="6" s="1"/>
  <c r="N992" i="6" s="1"/>
  <c r="O992" i="6" s="1"/>
  <c r="L991" i="6"/>
  <c r="M991" i="6" s="1"/>
  <c r="N991" i="6" s="1"/>
  <c r="O991" i="6" s="1"/>
  <c r="L990" i="6"/>
  <c r="M990" i="6" s="1"/>
  <c r="N990" i="6" s="1"/>
  <c r="O990" i="6" s="1"/>
  <c r="L989" i="6"/>
  <c r="M989" i="6" s="1"/>
  <c r="N989" i="6" s="1"/>
  <c r="O989" i="6" s="1"/>
  <c r="L988" i="6"/>
  <c r="M988" i="6" s="1"/>
  <c r="N988" i="6" s="1"/>
  <c r="O988" i="6" s="1"/>
  <c r="L987" i="6"/>
  <c r="M987" i="6" s="1"/>
  <c r="N987" i="6" s="1"/>
  <c r="O987" i="6" s="1"/>
  <c r="L986" i="6"/>
  <c r="M986" i="6" s="1"/>
  <c r="N986" i="6" s="1"/>
  <c r="O986" i="6" s="1"/>
  <c r="L985" i="6"/>
  <c r="M985" i="6" s="1"/>
  <c r="N985" i="6" s="1"/>
  <c r="O985" i="6" s="1"/>
  <c r="L984" i="6"/>
  <c r="M984" i="6" s="1"/>
  <c r="N984" i="6" s="1"/>
  <c r="O984" i="6" s="1"/>
  <c r="L983" i="6"/>
  <c r="M983" i="6" s="1"/>
  <c r="N983" i="6" s="1"/>
  <c r="O983" i="6" s="1"/>
  <c r="L982" i="6"/>
  <c r="M982" i="6" s="1"/>
  <c r="N982" i="6" s="1"/>
  <c r="O982" i="6" s="1"/>
  <c r="L981" i="6"/>
  <c r="M981" i="6" s="1"/>
  <c r="N981" i="6" s="1"/>
  <c r="O981" i="6" s="1"/>
  <c r="L980" i="6"/>
  <c r="M980" i="6" s="1"/>
  <c r="N980" i="6" s="1"/>
  <c r="O980" i="6" s="1"/>
  <c r="L979" i="6"/>
  <c r="M979" i="6" s="1"/>
  <c r="N979" i="6" s="1"/>
  <c r="O979" i="6" s="1"/>
  <c r="L978" i="6"/>
  <c r="M978" i="6" s="1"/>
  <c r="N978" i="6" s="1"/>
  <c r="O978" i="6" s="1"/>
  <c r="L977" i="6"/>
  <c r="M977" i="6" s="1"/>
  <c r="N977" i="6" s="1"/>
  <c r="O977" i="6" s="1"/>
  <c r="L976" i="6"/>
  <c r="M976" i="6" s="1"/>
  <c r="N976" i="6" s="1"/>
  <c r="O976" i="6" s="1"/>
  <c r="L975" i="6"/>
  <c r="M975" i="6" s="1"/>
  <c r="N975" i="6" s="1"/>
  <c r="O975" i="6" s="1"/>
  <c r="L974" i="6"/>
  <c r="M974" i="6" s="1"/>
  <c r="N974" i="6" s="1"/>
  <c r="O974" i="6" s="1"/>
  <c r="L973" i="6"/>
  <c r="M973" i="6" s="1"/>
  <c r="N973" i="6" s="1"/>
  <c r="O973" i="6" s="1"/>
  <c r="L972" i="6"/>
  <c r="M972" i="6" s="1"/>
  <c r="N972" i="6" s="1"/>
  <c r="O972" i="6" s="1"/>
  <c r="L971" i="6"/>
  <c r="M971" i="6" s="1"/>
  <c r="N971" i="6" s="1"/>
  <c r="O971" i="6" s="1"/>
  <c r="L970" i="6"/>
  <c r="M970" i="6" s="1"/>
  <c r="N970" i="6" s="1"/>
  <c r="O970" i="6" s="1"/>
  <c r="L848" i="6"/>
  <c r="M848" i="6" s="1"/>
  <c r="N848" i="6" s="1"/>
  <c r="O848" i="6" s="1"/>
  <c r="L969" i="6"/>
  <c r="M969" i="6" s="1"/>
  <c r="N969" i="6" s="1"/>
  <c r="O969" i="6" s="1"/>
  <c r="L968" i="6"/>
  <c r="M968" i="6" s="1"/>
  <c r="N968" i="6" s="1"/>
  <c r="O968" i="6" s="1"/>
  <c r="L967" i="6"/>
  <c r="M967" i="6" s="1"/>
  <c r="N967" i="6" s="1"/>
  <c r="O967" i="6" s="1"/>
  <c r="L966" i="6"/>
  <c r="M966" i="6" s="1"/>
  <c r="N966" i="6" s="1"/>
  <c r="O966" i="6" s="1"/>
  <c r="L965" i="6"/>
  <c r="M965" i="6" s="1"/>
  <c r="N965" i="6" s="1"/>
  <c r="O965" i="6" s="1"/>
  <c r="L964" i="6"/>
  <c r="M964" i="6" s="1"/>
  <c r="N964" i="6" s="1"/>
  <c r="O964" i="6" s="1"/>
  <c r="L963" i="6"/>
  <c r="M963" i="6" s="1"/>
  <c r="N963" i="6" s="1"/>
  <c r="O963" i="6" s="1"/>
  <c r="L962" i="6"/>
  <c r="M962" i="6" s="1"/>
  <c r="N962" i="6" s="1"/>
  <c r="O962" i="6" s="1"/>
  <c r="L961" i="6"/>
  <c r="M961" i="6" s="1"/>
  <c r="N961" i="6" s="1"/>
  <c r="O961" i="6" s="1"/>
  <c r="L960" i="6"/>
  <c r="M960" i="6" s="1"/>
  <c r="N960" i="6" s="1"/>
  <c r="O960" i="6" s="1"/>
  <c r="L959" i="6"/>
  <c r="M959" i="6" s="1"/>
  <c r="N959" i="6" s="1"/>
  <c r="O959" i="6" s="1"/>
  <c r="L958" i="6"/>
  <c r="M958" i="6" s="1"/>
  <c r="N958" i="6" s="1"/>
  <c r="O958" i="6" s="1"/>
  <c r="L957" i="6"/>
  <c r="M957" i="6" s="1"/>
  <c r="N957" i="6" s="1"/>
  <c r="O957" i="6" s="1"/>
  <c r="L956" i="6"/>
  <c r="M956" i="6" s="1"/>
  <c r="N956" i="6" s="1"/>
  <c r="O956" i="6" s="1"/>
  <c r="L955" i="6"/>
  <c r="M955" i="6" s="1"/>
  <c r="N955" i="6" s="1"/>
  <c r="O955" i="6" s="1"/>
  <c r="L954" i="6"/>
  <c r="M954" i="6" s="1"/>
  <c r="N954" i="6" s="1"/>
  <c r="O954" i="6" s="1"/>
  <c r="L953" i="6"/>
  <c r="M953" i="6" s="1"/>
  <c r="N953" i="6" s="1"/>
  <c r="O953" i="6" s="1"/>
  <c r="L952" i="6"/>
  <c r="M952" i="6" s="1"/>
  <c r="N952" i="6" s="1"/>
  <c r="O952" i="6" s="1"/>
  <c r="L951" i="6"/>
  <c r="M951" i="6" s="1"/>
  <c r="N951" i="6" s="1"/>
  <c r="O951" i="6" s="1"/>
  <c r="L950" i="6"/>
  <c r="M950" i="6" s="1"/>
  <c r="N950" i="6" s="1"/>
  <c r="O950" i="6" s="1"/>
  <c r="L949" i="6"/>
  <c r="M949" i="6" s="1"/>
  <c r="N949" i="6" s="1"/>
  <c r="O949" i="6" s="1"/>
  <c r="L948" i="6"/>
  <c r="M948" i="6" s="1"/>
  <c r="N948" i="6" s="1"/>
  <c r="O948" i="6" s="1"/>
  <c r="L947" i="6"/>
  <c r="M947" i="6" s="1"/>
  <c r="N947" i="6" s="1"/>
  <c r="O947" i="6" s="1"/>
  <c r="L946" i="6"/>
  <c r="M946" i="6" s="1"/>
  <c r="N946" i="6" s="1"/>
  <c r="O946" i="6" s="1"/>
  <c r="L945" i="6"/>
  <c r="M945" i="6" s="1"/>
  <c r="N945" i="6" s="1"/>
  <c r="O945" i="6" s="1"/>
  <c r="L944" i="6"/>
  <c r="M944" i="6" s="1"/>
  <c r="N944" i="6" s="1"/>
  <c r="O944" i="6" s="1"/>
  <c r="L943" i="6"/>
  <c r="M943" i="6" s="1"/>
  <c r="N943" i="6" s="1"/>
  <c r="O943" i="6" s="1"/>
  <c r="L942" i="6"/>
  <c r="M942" i="6" s="1"/>
  <c r="N942" i="6" s="1"/>
  <c r="O942" i="6" s="1"/>
  <c r="L941" i="6"/>
  <c r="M941" i="6" s="1"/>
  <c r="N941" i="6" s="1"/>
  <c r="O941" i="6" s="1"/>
  <c r="L940" i="6"/>
  <c r="M940" i="6" s="1"/>
  <c r="N940" i="6" s="1"/>
  <c r="O940" i="6" s="1"/>
  <c r="L939" i="6"/>
  <c r="M939" i="6" s="1"/>
  <c r="N939" i="6" s="1"/>
  <c r="O939" i="6" s="1"/>
  <c r="L938" i="6"/>
  <c r="M938" i="6" s="1"/>
  <c r="N938" i="6" s="1"/>
  <c r="O938" i="6" s="1"/>
  <c r="L937" i="6"/>
  <c r="M937" i="6" s="1"/>
  <c r="N937" i="6" s="1"/>
  <c r="O937" i="6" s="1"/>
  <c r="L936" i="6"/>
  <c r="M936" i="6" s="1"/>
  <c r="N936" i="6" s="1"/>
  <c r="O936" i="6" s="1"/>
  <c r="L935" i="6"/>
  <c r="M935" i="6" s="1"/>
  <c r="N935" i="6" s="1"/>
  <c r="O935" i="6" s="1"/>
  <c r="L934" i="6"/>
  <c r="M934" i="6" s="1"/>
  <c r="N934" i="6" s="1"/>
  <c r="O934" i="6" s="1"/>
  <c r="L933" i="6"/>
  <c r="M933" i="6" s="1"/>
  <c r="N933" i="6" s="1"/>
  <c r="O933" i="6" s="1"/>
  <c r="L932" i="6"/>
  <c r="M932" i="6" s="1"/>
  <c r="N932" i="6" s="1"/>
  <c r="O932" i="6" s="1"/>
  <c r="L931" i="6"/>
  <c r="M931" i="6" s="1"/>
  <c r="N931" i="6" s="1"/>
  <c r="O931" i="6" s="1"/>
  <c r="L930" i="6"/>
  <c r="M930" i="6" s="1"/>
  <c r="N930" i="6" s="1"/>
  <c r="O930" i="6" s="1"/>
  <c r="L929" i="6"/>
  <c r="M929" i="6" s="1"/>
  <c r="N929" i="6" s="1"/>
  <c r="O929" i="6" s="1"/>
  <c r="L928" i="6"/>
  <c r="M928" i="6" s="1"/>
  <c r="N928" i="6" s="1"/>
  <c r="O928" i="6" s="1"/>
  <c r="L927" i="6"/>
  <c r="M927" i="6" s="1"/>
  <c r="N927" i="6" s="1"/>
  <c r="O927" i="6" s="1"/>
  <c r="L926" i="6"/>
  <c r="M926" i="6" s="1"/>
  <c r="N926" i="6" s="1"/>
  <c r="O926" i="6" s="1"/>
  <c r="L925" i="6"/>
  <c r="M925" i="6" s="1"/>
  <c r="N925" i="6" s="1"/>
  <c r="O925" i="6" s="1"/>
  <c r="L923" i="6"/>
  <c r="M923" i="6" s="1"/>
  <c r="N923" i="6" s="1"/>
  <c r="O923" i="6" s="1"/>
  <c r="L922" i="6"/>
  <c r="M922" i="6" s="1"/>
  <c r="N922" i="6" s="1"/>
  <c r="O922" i="6" s="1"/>
  <c r="L921" i="6"/>
  <c r="M921" i="6" s="1"/>
  <c r="N921" i="6" s="1"/>
  <c r="O921" i="6" s="1"/>
  <c r="L920" i="6"/>
  <c r="M920" i="6" s="1"/>
  <c r="N920" i="6" s="1"/>
  <c r="O920" i="6" s="1"/>
  <c r="L919" i="6"/>
  <c r="M919" i="6" s="1"/>
  <c r="N919" i="6" s="1"/>
  <c r="O919" i="6" s="1"/>
  <c r="L918" i="6"/>
  <c r="M918" i="6" s="1"/>
  <c r="N918" i="6" s="1"/>
  <c r="O918" i="6" s="1"/>
  <c r="L917" i="6"/>
  <c r="M917" i="6" s="1"/>
  <c r="N917" i="6" s="1"/>
  <c r="O917" i="6" s="1"/>
  <c r="L916" i="6"/>
  <c r="M916" i="6" s="1"/>
  <c r="N916" i="6" s="1"/>
  <c r="O916" i="6" s="1"/>
  <c r="L915" i="6"/>
  <c r="M915" i="6" s="1"/>
  <c r="N915" i="6" s="1"/>
  <c r="O915" i="6" s="1"/>
  <c r="L914" i="6"/>
  <c r="M914" i="6" s="1"/>
  <c r="N914" i="6" s="1"/>
  <c r="O914" i="6" s="1"/>
  <c r="L913" i="6"/>
  <c r="M913" i="6" s="1"/>
  <c r="N913" i="6" s="1"/>
  <c r="O913" i="6" s="1"/>
  <c r="L912" i="6"/>
  <c r="M912" i="6" s="1"/>
  <c r="N912" i="6" s="1"/>
  <c r="O912" i="6" s="1"/>
  <c r="L911" i="6"/>
  <c r="M911" i="6" s="1"/>
  <c r="N911" i="6" s="1"/>
  <c r="O911" i="6" s="1"/>
  <c r="L910" i="6"/>
  <c r="M910" i="6" s="1"/>
  <c r="N910" i="6" s="1"/>
  <c r="O910" i="6" s="1"/>
  <c r="L909" i="6"/>
  <c r="M909" i="6" s="1"/>
  <c r="N909" i="6" s="1"/>
  <c r="O909" i="6" s="1"/>
  <c r="L908" i="6"/>
  <c r="M908" i="6" s="1"/>
  <c r="N908" i="6" s="1"/>
  <c r="O908" i="6" s="1"/>
  <c r="L907" i="6"/>
  <c r="M907" i="6" s="1"/>
  <c r="N907" i="6" s="1"/>
  <c r="O907" i="6" s="1"/>
  <c r="L906" i="6"/>
  <c r="M906" i="6" s="1"/>
  <c r="N906" i="6" s="1"/>
  <c r="O906" i="6" s="1"/>
  <c r="L905" i="6"/>
  <c r="M905" i="6" s="1"/>
  <c r="N905" i="6" s="1"/>
  <c r="O905" i="6" s="1"/>
  <c r="L904" i="6"/>
  <c r="M904" i="6" s="1"/>
  <c r="N904" i="6" s="1"/>
  <c r="O904" i="6" s="1"/>
  <c r="L903" i="6"/>
  <c r="M903" i="6" s="1"/>
  <c r="N903" i="6" s="1"/>
  <c r="O903" i="6" s="1"/>
  <c r="L902" i="6"/>
  <c r="M902" i="6" s="1"/>
  <c r="N902" i="6" s="1"/>
  <c r="O902" i="6" s="1"/>
  <c r="L901" i="6"/>
  <c r="M901" i="6" s="1"/>
  <c r="N901" i="6" s="1"/>
  <c r="O901" i="6" s="1"/>
  <c r="L900" i="6"/>
  <c r="M900" i="6" s="1"/>
  <c r="N900" i="6" s="1"/>
  <c r="O900" i="6" s="1"/>
  <c r="L899" i="6"/>
  <c r="M899" i="6" s="1"/>
  <c r="N899" i="6" s="1"/>
  <c r="O899" i="6" s="1"/>
  <c r="L898" i="6"/>
  <c r="M898" i="6" s="1"/>
  <c r="N898" i="6" s="1"/>
  <c r="O898" i="6" s="1"/>
  <c r="L897" i="6"/>
  <c r="M897" i="6" s="1"/>
  <c r="N897" i="6" s="1"/>
  <c r="O897" i="6" s="1"/>
  <c r="L896" i="6"/>
  <c r="M896" i="6" s="1"/>
  <c r="N896" i="6" s="1"/>
  <c r="O896" i="6" s="1"/>
  <c r="L895" i="6"/>
  <c r="M895" i="6" s="1"/>
  <c r="N895" i="6" s="1"/>
  <c r="O895" i="6" s="1"/>
  <c r="L894" i="6"/>
  <c r="M894" i="6" s="1"/>
  <c r="N894" i="6" s="1"/>
  <c r="O894" i="6" s="1"/>
  <c r="L893" i="6"/>
  <c r="M893" i="6" s="1"/>
  <c r="N893" i="6" s="1"/>
  <c r="O893" i="6" s="1"/>
  <c r="L892" i="6"/>
  <c r="M892" i="6" s="1"/>
  <c r="N892" i="6" s="1"/>
  <c r="O892" i="6" s="1"/>
  <c r="L891" i="6"/>
  <c r="M891" i="6" s="1"/>
  <c r="N891" i="6" s="1"/>
  <c r="O891" i="6" s="1"/>
  <c r="L890" i="6"/>
  <c r="M890" i="6" s="1"/>
  <c r="N890" i="6" s="1"/>
  <c r="O890" i="6" s="1"/>
  <c r="L889" i="6"/>
  <c r="M889" i="6" s="1"/>
  <c r="N889" i="6" s="1"/>
  <c r="O889" i="6" s="1"/>
  <c r="L888" i="6"/>
  <c r="M888" i="6" s="1"/>
  <c r="N888" i="6" s="1"/>
  <c r="O888" i="6" s="1"/>
  <c r="L887" i="6"/>
  <c r="M887" i="6" s="1"/>
  <c r="N887" i="6" s="1"/>
  <c r="O887" i="6" s="1"/>
  <c r="L886" i="6"/>
  <c r="M886" i="6" s="1"/>
  <c r="N886" i="6" s="1"/>
  <c r="O886" i="6" s="1"/>
  <c r="L885" i="6"/>
  <c r="M885" i="6" s="1"/>
  <c r="N885" i="6" s="1"/>
  <c r="O885" i="6" s="1"/>
  <c r="L884" i="6"/>
  <c r="M884" i="6" s="1"/>
  <c r="N884" i="6" s="1"/>
  <c r="O884" i="6" s="1"/>
  <c r="L883" i="6"/>
  <c r="M883" i="6" s="1"/>
  <c r="N883" i="6" s="1"/>
  <c r="O883" i="6" s="1"/>
  <c r="L882" i="6"/>
  <c r="M882" i="6" s="1"/>
  <c r="N882" i="6" s="1"/>
  <c r="O882" i="6" s="1"/>
  <c r="L881" i="6"/>
  <c r="M881" i="6" s="1"/>
  <c r="N881" i="6" s="1"/>
  <c r="O881" i="6" s="1"/>
  <c r="L880" i="6"/>
  <c r="M880" i="6" s="1"/>
  <c r="N880" i="6" s="1"/>
  <c r="O880" i="6" s="1"/>
  <c r="L879" i="6"/>
  <c r="M879" i="6" s="1"/>
  <c r="N879" i="6" s="1"/>
  <c r="O879" i="6" s="1"/>
  <c r="L878" i="6"/>
  <c r="M878" i="6" s="1"/>
  <c r="N878" i="6" s="1"/>
  <c r="O878" i="6" s="1"/>
  <c r="L877" i="6"/>
  <c r="M877" i="6" s="1"/>
  <c r="N877" i="6" s="1"/>
  <c r="O877" i="6" s="1"/>
  <c r="L876" i="6"/>
  <c r="M876" i="6" s="1"/>
  <c r="N876" i="6" s="1"/>
  <c r="O876" i="6" s="1"/>
  <c r="L875" i="6"/>
  <c r="M875" i="6" s="1"/>
  <c r="N875" i="6" s="1"/>
  <c r="O875" i="6" s="1"/>
  <c r="L874" i="6"/>
  <c r="M874" i="6" s="1"/>
  <c r="N874" i="6" s="1"/>
  <c r="O874" i="6" s="1"/>
  <c r="L873" i="6"/>
  <c r="M873" i="6" s="1"/>
  <c r="N873" i="6" s="1"/>
  <c r="O873" i="6" s="1"/>
  <c r="L872" i="6"/>
  <c r="M872" i="6" s="1"/>
  <c r="N872" i="6" s="1"/>
  <c r="O872" i="6" s="1"/>
  <c r="L871" i="6"/>
  <c r="M871" i="6" s="1"/>
  <c r="N871" i="6" s="1"/>
  <c r="O871" i="6" s="1"/>
  <c r="L870" i="6"/>
  <c r="M870" i="6" s="1"/>
  <c r="N870" i="6" s="1"/>
  <c r="O870" i="6" s="1"/>
  <c r="L869" i="6"/>
  <c r="M869" i="6" s="1"/>
  <c r="N869" i="6" s="1"/>
  <c r="O869" i="6" s="1"/>
  <c r="L868" i="6"/>
  <c r="M868" i="6" s="1"/>
  <c r="N868" i="6" s="1"/>
  <c r="O868" i="6" s="1"/>
  <c r="L867" i="6"/>
  <c r="M867" i="6" s="1"/>
  <c r="N867" i="6" s="1"/>
  <c r="O867" i="6" s="1"/>
  <c r="L866" i="6"/>
  <c r="M866" i="6" s="1"/>
  <c r="N866" i="6" s="1"/>
  <c r="O866" i="6" s="1"/>
  <c r="L865" i="6"/>
  <c r="M865" i="6" s="1"/>
  <c r="N865" i="6" s="1"/>
  <c r="O865" i="6" s="1"/>
  <c r="L864" i="6"/>
  <c r="M864" i="6" s="1"/>
  <c r="N864" i="6" s="1"/>
  <c r="O864" i="6" s="1"/>
  <c r="L863" i="6"/>
  <c r="M863" i="6" s="1"/>
  <c r="N863" i="6" s="1"/>
  <c r="O863" i="6" s="1"/>
  <c r="L862" i="6"/>
  <c r="M862" i="6" s="1"/>
  <c r="N862" i="6" s="1"/>
  <c r="O862" i="6" s="1"/>
  <c r="L861" i="6"/>
  <c r="M861" i="6" s="1"/>
  <c r="N861" i="6" s="1"/>
  <c r="O861" i="6" s="1"/>
  <c r="L860" i="6"/>
  <c r="M860" i="6" s="1"/>
  <c r="N860" i="6" s="1"/>
  <c r="O860" i="6" s="1"/>
  <c r="L859" i="6"/>
  <c r="M859" i="6" s="1"/>
  <c r="N859" i="6" s="1"/>
  <c r="O859" i="6" s="1"/>
  <c r="L858" i="6"/>
  <c r="M858" i="6" s="1"/>
  <c r="N858" i="6" s="1"/>
  <c r="O858" i="6" s="1"/>
  <c r="L857" i="6"/>
  <c r="M857" i="6" s="1"/>
  <c r="N857" i="6" s="1"/>
  <c r="O857" i="6" s="1"/>
  <c r="L856" i="6"/>
  <c r="M856" i="6" s="1"/>
  <c r="N856" i="6" s="1"/>
  <c r="O856" i="6" s="1"/>
  <c r="L855" i="6"/>
  <c r="M855" i="6" s="1"/>
  <c r="N855" i="6" s="1"/>
  <c r="O855" i="6" s="1"/>
  <c r="L854" i="6"/>
  <c r="M854" i="6" s="1"/>
  <c r="N854" i="6" s="1"/>
  <c r="O854" i="6" s="1"/>
  <c r="L853" i="6"/>
  <c r="M853" i="6" s="1"/>
  <c r="N853" i="6" s="1"/>
  <c r="O853" i="6" s="1"/>
  <c r="L852" i="6"/>
  <c r="M852" i="6" s="1"/>
  <c r="N852" i="6" s="1"/>
  <c r="O852" i="6" s="1"/>
  <c r="L851" i="6"/>
  <c r="M851" i="6" s="1"/>
  <c r="N851" i="6" s="1"/>
  <c r="O851" i="6" s="1"/>
  <c r="L850" i="6"/>
  <c r="M850" i="6" s="1"/>
  <c r="N850" i="6" s="1"/>
  <c r="O850" i="6" s="1"/>
  <c r="L849" i="6"/>
  <c r="M849" i="6" s="1"/>
  <c r="N849" i="6" s="1"/>
  <c r="O849" i="6" s="1"/>
  <c r="L847" i="6"/>
  <c r="M847" i="6" s="1"/>
  <c r="N847" i="6" s="1"/>
  <c r="O847" i="6" s="1"/>
  <c r="L846" i="6"/>
  <c r="M846" i="6" s="1"/>
  <c r="N846" i="6" s="1"/>
  <c r="O846" i="6" s="1"/>
  <c r="L845" i="6"/>
  <c r="M845" i="6" s="1"/>
  <c r="N845" i="6" s="1"/>
  <c r="O845" i="6" s="1"/>
  <c r="L844" i="6"/>
  <c r="M844" i="6" s="1"/>
  <c r="N844" i="6" s="1"/>
  <c r="O844" i="6" s="1"/>
  <c r="L843" i="6"/>
  <c r="M843" i="6" s="1"/>
  <c r="N843" i="6" s="1"/>
  <c r="O843" i="6" s="1"/>
  <c r="L842" i="6"/>
  <c r="M842" i="6" s="1"/>
  <c r="N842" i="6" s="1"/>
  <c r="O842" i="6" s="1"/>
  <c r="L841" i="6"/>
  <c r="M841" i="6" s="1"/>
  <c r="N841" i="6" s="1"/>
  <c r="O841" i="6" s="1"/>
  <c r="L840" i="6"/>
  <c r="M840" i="6" s="1"/>
  <c r="N840" i="6" s="1"/>
  <c r="O840" i="6" s="1"/>
  <c r="L839" i="6"/>
  <c r="M839" i="6" s="1"/>
  <c r="N839" i="6" s="1"/>
  <c r="O839" i="6" s="1"/>
  <c r="L838" i="6"/>
  <c r="M838" i="6" s="1"/>
  <c r="N838" i="6" s="1"/>
  <c r="O838" i="6" s="1"/>
  <c r="C19" i="14"/>
  <c r="C18" i="14"/>
  <c r="C16" i="14"/>
  <c r="C17" i="14"/>
  <c r="D19" i="14"/>
  <c r="D18" i="14"/>
  <c r="D17" i="14"/>
  <c r="D16" i="14"/>
  <c r="D14" i="14"/>
  <c r="D16" i="7"/>
  <c r="D13" i="7"/>
  <c r="D11" i="7"/>
  <c r="D8" i="7"/>
  <c r="D7" i="7"/>
  <c r="A38" i="14" l="1"/>
  <c r="B28" i="14"/>
  <c r="B27" i="14"/>
  <c r="B26" i="14"/>
  <c r="B25" i="14"/>
  <c r="B24" i="14"/>
  <c r="N2" i="6"/>
  <c r="O2" i="6" s="1"/>
  <c r="C15" i="14"/>
  <c r="D3" i="7"/>
  <c r="D9" i="7"/>
  <c r="D4" i="7"/>
  <c r="D2" i="7"/>
  <c r="D15" i="14" l="1"/>
  <c r="C20" i="14"/>
  <c r="F31" i="14"/>
  <c r="E31" i="14"/>
  <c r="E32" i="14" s="1"/>
  <c r="C14" i="7"/>
  <c r="D14" i="7" s="1"/>
  <c r="D31" i="14"/>
  <c r="C12" i="7"/>
  <c r="D12" i="7" s="1"/>
  <c r="B23" i="14"/>
  <c r="C15" i="7"/>
  <c r="D15"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<sst xmlns="http://schemas.openxmlformats.org/spreadsheetml/2006/main" count="7740" uniqueCount="3212">
  <si>
    <t>O+</t>
  </si>
  <si>
    <t>A+</t>
  </si>
  <si>
    <t>AB+</t>
  </si>
  <si>
    <t>AB-</t>
  </si>
  <si>
    <t>B-</t>
  </si>
  <si>
    <t>A-</t>
  </si>
  <si>
    <t>O-</t>
  </si>
  <si>
    <t>B+</t>
  </si>
  <si>
    <t>Ratna Mulyani</t>
  </si>
  <si>
    <t>Ilsa Hakim</t>
  </si>
  <si>
    <t>Gandi Wibisono</t>
  </si>
  <si>
    <t>Salwa Wasita</t>
  </si>
  <si>
    <t>Humaira Marpaung</t>
  </si>
  <si>
    <t>Tina Rahimah</t>
  </si>
  <si>
    <t>Lanjar Napitupulu</t>
  </si>
  <si>
    <t>Salsabila Utama</t>
  </si>
  <si>
    <t>Salimah Wijaya</t>
  </si>
  <si>
    <t>Gandi Nugroho</t>
  </si>
  <si>
    <t>Abyasa Hastuti</t>
  </si>
  <si>
    <t>Ade Astuti</t>
  </si>
  <si>
    <t>Ade Mustofa</t>
  </si>
  <si>
    <t>Ade Rajasa</t>
  </si>
  <si>
    <t>Ade Simbolon</t>
  </si>
  <si>
    <t>Adhiarja Hartati</t>
  </si>
  <si>
    <t>Adhiarja Prasasta</t>
  </si>
  <si>
    <t>Adiarja Nasyiah</t>
  </si>
  <si>
    <t>Adiarja Sihotang</t>
  </si>
  <si>
    <t>Adiarja Zulaika</t>
  </si>
  <si>
    <t>Adika Prastuti</t>
  </si>
  <si>
    <t>Adikara Wahyudin</t>
  </si>
  <si>
    <t>Adinata Permata</t>
  </si>
  <si>
    <t>Adinata Saefullah</t>
  </si>
  <si>
    <t>Adinata Samosir</t>
  </si>
  <si>
    <t>Aditya Nugroho</t>
  </si>
  <si>
    <t>Aditya Pangestu</t>
  </si>
  <si>
    <t>Agnes Siregar</t>
  </si>
  <si>
    <t>Agus Halim</t>
  </si>
  <si>
    <t>Agus Jailani</t>
  </si>
  <si>
    <t>Aisyah Nashiruddin</t>
  </si>
  <si>
    <t>Ajeng Setiawan</t>
  </si>
  <si>
    <t>Ajiman Ardianto</t>
  </si>
  <si>
    <t>Ajiman Hakim</t>
  </si>
  <si>
    <t>Ajiman Mulyani</t>
  </si>
  <si>
    <t>Ajiman Puspasari</t>
  </si>
  <si>
    <t>Ajimat Dabukke</t>
  </si>
  <si>
    <t>Akarsana Firgantoro</t>
  </si>
  <si>
    <t>Akarsana Lestari</t>
  </si>
  <si>
    <t>Akarsana Nasyidah</t>
  </si>
  <si>
    <t>Akarsana Permata</t>
  </si>
  <si>
    <t>Alambana Purwanti</t>
  </si>
  <si>
    <t>Alambana Uyainah</t>
  </si>
  <si>
    <t>Almira Hassanah</t>
  </si>
  <si>
    <t>Almira Wahyuni</t>
  </si>
  <si>
    <t>Amalia Pratiwi</t>
  </si>
  <si>
    <t>Amalia Putra</t>
  </si>
  <si>
    <t>Amelia Lailasari</t>
  </si>
  <si>
    <t>Amelia Manullang</t>
  </si>
  <si>
    <t>Amelia Nasyiah</t>
  </si>
  <si>
    <t>Ami Prasetya</t>
  </si>
  <si>
    <t>Among Padmasari</t>
  </si>
  <si>
    <t>Ana Nugroho</t>
  </si>
  <si>
    <t>Anita Suryatmi</t>
  </si>
  <si>
    <t>Anita Tamba</t>
  </si>
  <si>
    <t>Anom Pratama</t>
  </si>
  <si>
    <t>Argono Padmasari</t>
  </si>
  <si>
    <t>Argono Wastuti</t>
  </si>
  <si>
    <t>Aris Anggraini</t>
  </si>
  <si>
    <t>Aris Purnawati</t>
  </si>
  <si>
    <t>Aris Sinaga</t>
  </si>
  <si>
    <t>Arsipatra Lailasari</t>
  </si>
  <si>
    <t>Arsipatra Prasetya</t>
  </si>
  <si>
    <t>Arta Ardianto</t>
  </si>
  <si>
    <t>Artanto Sitorus</t>
  </si>
  <si>
    <t>Artawan Lazuardi</t>
  </si>
  <si>
    <t>Artawan Sitorus</t>
  </si>
  <si>
    <t>Artawan Zulaika</t>
  </si>
  <si>
    <t>Asirwada Suartini</t>
  </si>
  <si>
    <t>Asirwanda Natsir</t>
  </si>
  <si>
    <t>Asmadi Prabowo</t>
  </si>
  <si>
    <t>Asmianto Farida</t>
  </si>
  <si>
    <t>Asmianto Winarsih</t>
  </si>
  <si>
    <t>Asmuni Anggriawan</t>
  </si>
  <si>
    <t>Asmuni Nainggolan</t>
  </si>
  <si>
    <t>Aswani Maryati</t>
  </si>
  <si>
    <t>Atmaja Nainggolan</t>
  </si>
  <si>
    <t>Aurora Siregar</t>
  </si>
  <si>
    <t>Azalea Mardhiyah</t>
  </si>
  <si>
    <t>Bagas Laksmiwati</t>
  </si>
  <si>
    <t>Bagiya Damanik</t>
  </si>
  <si>
    <t>Bagus Namaga</t>
  </si>
  <si>
    <t>Bahuraksa Nuraini</t>
  </si>
  <si>
    <t>Bahuwirya Halim</t>
  </si>
  <si>
    <t>Bahuwirya Novitasari</t>
  </si>
  <si>
    <t>Bahuwirya Rajasa</t>
  </si>
  <si>
    <t>Bajragin Aryani</t>
  </si>
  <si>
    <t>Bajragin Halimah</t>
  </si>
  <si>
    <t>Bajragin Najmudin</t>
  </si>
  <si>
    <t>Bajragin Pudjiastuti</t>
  </si>
  <si>
    <t>Bajragin Riyanti</t>
  </si>
  <si>
    <t>Bakda Handayani</t>
  </si>
  <si>
    <t>Bakda Kusmawati</t>
  </si>
  <si>
    <t>Bakda Sihotang</t>
  </si>
  <si>
    <t>Bakianto Marpaung</t>
  </si>
  <si>
    <t>Bakianto Tarihoran</t>
  </si>
  <si>
    <t>Bakidin Hasanah</t>
  </si>
  <si>
    <t>Bakidin Maryadi</t>
  </si>
  <si>
    <t>Bakiman Lailasari</t>
  </si>
  <si>
    <t>Bakiman Rahimah</t>
  </si>
  <si>
    <t>Bakiman Uwais</t>
  </si>
  <si>
    <t>Bakiono Mustofa</t>
  </si>
  <si>
    <t>Bakiono Suartini</t>
  </si>
  <si>
    <t>Bakti Sirait</t>
  </si>
  <si>
    <t>Bakti Winarno</t>
  </si>
  <si>
    <t>Baktiadi Purnawati</t>
  </si>
  <si>
    <t>Baktiono Firgantoro</t>
  </si>
  <si>
    <t>Baktiono Kurniawan</t>
  </si>
  <si>
    <t>Baktiono Mandasari</t>
  </si>
  <si>
    <t>Bala Sihotang</t>
  </si>
  <si>
    <t>Bala Sitorus</t>
  </si>
  <si>
    <t>Bala Wibowo</t>
  </si>
  <si>
    <t>Balamantri Kuswandari</t>
  </si>
  <si>
    <t>Balamantri Usamah</t>
  </si>
  <si>
    <t>Balangga Prasetyo</t>
  </si>
  <si>
    <t>Balapati Tamba</t>
  </si>
  <si>
    <t>Balijan Winarsih</t>
  </si>
  <si>
    <t>Bambang Gunarto</t>
  </si>
  <si>
    <t>Bambang Haryanto</t>
  </si>
  <si>
    <t>Bambang Nasyiah</t>
  </si>
  <si>
    <t>Bambang Yuniar</t>
  </si>
  <si>
    <t>Banara Ardianto</t>
  </si>
  <si>
    <t>Banara Suartini</t>
  </si>
  <si>
    <t>Banara Utama</t>
  </si>
  <si>
    <t>Banara Wijayanti</t>
  </si>
  <si>
    <t>Banawa Prasetyo</t>
  </si>
  <si>
    <t>Banawa Saputra</t>
  </si>
  <si>
    <t>Banawi Laksita</t>
  </si>
  <si>
    <t>Bancar Siregar</t>
  </si>
  <si>
    <t>Belinda Widiastuti</t>
  </si>
  <si>
    <t>Betania Fujiati</t>
  </si>
  <si>
    <t>Betania Namaga</t>
  </si>
  <si>
    <t>Budi Sihotang</t>
  </si>
  <si>
    <t>Cagak Hassanah</t>
  </si>
  <si>
    <t>Cahya Halimah</t>
  </si>
  <si>
    <t>Cahyadi Pradana</t>
  </si>
  <si>
    <t>Cahyo Mustofa</t>
  </si>
  <si>
    <t>Cahyono Hartati</t>
  </si>
  <si>
    <t>Cakrabirawa Sitompul</t>
  </si>
  <si>
    <t>Cakrabuana Pranowo</t>
  </si>
  <si>
    <t>Cakrawala Namaga</t>
  </si>
  <si>
    <t>Cakrawangsa Adriansyah</t>
  </si>
  <si>
    <t>Calista Hutasoit</t>
  </si>
  <si>
    <t>Candrakanta Wijayanti</t>
  </si>
  <si>
    <t>Capa Prakasa</t>
  </si>
  <si>
    <t>Capa Usada</t>
  </si>
  <si>
    <t>Carla Hasanah</t>
  </si>
  <si>
    <t>Carla Padmasari</t>
  </si>
  <si>
    <t>Carub Mansur</t>
  </si>
  <si>
    <t>Carub Rahmawati</t>
  </si>
  <si>
    <t>Carub Ramadan</t>
  </si>
  <si>
    <t>Cawisadi Laksita</t>
  </si>
  <si>
    <t>Cawisadi Suartini</t>
  </si>
  <si>
    <t>Cawuk Sihotang</t>
  </si>
  <si>
    <t>Cayadi Aryani</t>
  </si>
  <si>
    <t>Cayadi Halimah</t>
  </si>
  <si>
    <t>Cayadi Hidayanto</t>
  </si>
  <si>
    <t>Cayadi Maryati</t>
  </si>
  <si>
    <t>Cecep Mansur</t>
  </si>
  <si>
    <t>Cemplunk Maryadi</t>
  </si>
  <si>
    <t>Cemplunk Rajata</t>
  </si>
  <si>
    <t>Cengkal Anggraini</t>
  </si>
  <si>
    <t>Cengkal Rahayu</t>
  </si>
  <si>
    <t>Cengkal Wastuti</t>
  </si>
  <si>
    <t>Cengkir Dongoran</t>
  </si>
  <si>
    <t>Cengkir Hutapea</t>
  </si>
  <si>
    <t>Chandra Latupono</t>
  </si>
  <si>
    <t>Chandra Mangunsong</t>
  </si>
  <si>
    <t>Chelsea Adriansyah</t>
  </si>
  <si>
    <t>Chelsea Kusumo</t>
  </si>
  <si>
    <t>Chelsea Purnawati</t>
  </si>
  <si>
    <t>Ciaobella Wibisono</t>
  </si>
  <si>
    <t>Cindy Anggriawan</t>
  </si>
  <si>
    <t>Cindy Januar</t>
  </si>
  <si>
    <t>Cindy Simanjuntak</t>
  </si>
  <si>
    <t>Cindy Sitompul</t>
  </si>
  <si>
    <t>Cinthia Zulkarnain</t>
  </si>
  <si>
    <t>Citra Sitorus</t>
  </si>
  <si>
    <t>Citra Sudiati</t>
  </si>
  <si>
    <t>Citra Zulkarnain</t>
  </si>
  <si>
    <t>Clara Kusmawati</t>
  </si>
  <si>
    <t>Cornelia Andriani</t>
  </si>
  <si>
    <t>Dacin Sinaga</t>
  </si>
  <si>
    <t>Dacin Yulianti</t>
  </si>
  <si>
    <t>Dadap Farida</t>
  </si>
  <si>
    <t>Dadap Manullang</t>
  </si>
  <si>
    <t>Dadap Winarsih</t>
  </si>
  <si>
    <t>Dadi Manullang</t>
  </si>
  <si>
    <t>Dalima Widodo</t>
  </si>
  <si>
    <t>Daliman Sitorus</t>
  </si>
  <si>
    <t>Daliman Thamrin</t>
  </si>
  <si>
    <t>Dalimin Natsir</t>
  </si>
  <si>
    <t>Dalimin Padmasari</t>
  </si>
  <si>
    <t>Dalimin Pranowo</t>
  </si>
  <si>
    <t>Dalimin Situmorang</t>
  </si>
  <si>
    <t>Daliono Sudiati</t>
  </si>
  <si>
    <t>Daliono Wasita</t>
  </si>
  <si>
    <t>Damu Pradana</t>
  </si>
  <si>
    <t>Damu Suwarno</t>
  </si>
  <si>
    <t>Danang Pratiwi</t>
  </si>
  <si>
    <t>Daniswara Damanik</t>
  </si>
  <si>
    <t>Daniswara Manullang</t>
  </si>
  <si>
    <t>Danu Maulana</t>
  </si>
  <si>
    <t>Danu Mulyani</t>
  </si>
  <si>
    <t>Danu Nasyiah</t>
  </si>
  <si>
    <t>Danu Prastuti</t>
  </si>
  <si>
    <t>Danuja Utama</t>
  </si>
  <si>
    <t>Dariati Samosir</t>
  </si>
  <si>
    <t>Dariati Wastuti</t>
  </si>
  <si>
    <t>Darijan Permata</t>
  </si>
  <si>
    <t>Darijan Wacana</t>
  </si>
  <si>
    <t>Darijan Zulkarnain</t>
  </si>
  <si>
    <t>Darimin Adriansyah</t>
  </si>
  <si>
    <t>Darimin Suryatmi</t>
  </si>
  <si>
    <t>Darimin Yuliarti</t>
  </si>
  <si>
    <t>Darmaji Budiman</t>
  </si>
  <si>
    <t>Darmaji Manullang</t>
  </si>
  <si>
    <t>Darmaji Zulaika</t>
  </si>
  <si>
    <t>Darman Anggriawan</t>
  </si>
  <si>
    <t>Darman Permata</t>
  </si>
  <si>
    <t>Darmanto Damanik</t>
  </si>
  <si>
    <t>Darsirah Gunarto</t>
  </si>
  <si>
    <t>Darsirah Habibi</t>
  </si>
  <si>
    <t>Darsirah Wacana</t>
  </si>
  <si>
    <t>Darsirah Wahyuni</t>
  </si>
  <si>
    <t>Dartono Lestari</t>
  </si>
  <si>
    <t>Dartono Purnawati</t>
  </si>
  <si>
    <t>Dartono Thamrin</t>
  </si>
  <si>
    <t>Daryani Adriansyah</t>
  </si>
  <si>
    <t>Dasa Purwanti</t>
  </si>
  <si>
    <t>Devi Lailasari</t>
  </si>
  <si>
    <t>Devi Maryadi</t>
  </si>
  <si>
    <t>Devi Wibowo</t>
  </si>
  <si>
    <t>Dewi Budiman</t>
  </si>
  <si>
    <t>Diah Saptono</t>
  </si>
  <si>
    <t>Diah Simbolon</t>
  </si>
  <si>
    <t>Diah Wahyudin</t>
  </si>
  <si>
    <t>Dian Hidayanto</t>
  </si>
  <si>
    <t>Dian Wulandari</t>
  </si>
  <si>
    <t>Diana Handayani</t>
  </si>
  <si>
    <t>Diana Mangunsong</t>
  </si>
  <si>
    <t>Diana Rajasa</t>
  </si>
  <si>
    <t>Diana Zulaika</t>
  </si>
  <si>
    <t>Digdaya Mustofa</t>
  </si>
  <si>
    <t>Digdaya Saptono</t>
  </si>
  <si>
    <t>Dimas Megantara</t>
  </si>
  <si>
    <t>Dimas Rajasa</t>
  </si>
  <si>
    <t>Dimaz Prasetyo</t>
  </si>
  <si>
    <t>Dina Marbun</t>
  </si>
  <si>
    <t>Dina Wahyudin</t>
  </si>
  <si>
    <t>Dinda Pranowo</t>
  </si>
  <si>
    <t>Dipa Setiawan</t>
  </si>
  <si>
    <t>Dirja Nashiruddin</t>
  </si>
  <si>
    <t>Dodo Hassanah</t>
  </si>
  <si>
    <t>Dono Dabukke</t>
  </si>
  <si>
    <t>Dono Mansur</t>
  </si>
  <si>
    <t>Drajat Suwarno</t>
  </si>
  <si>
    <t>Dwi Latupono</t>
  </si>
  <si>
    <t>Dwi Permadi</t>
  </si>
  <si>
    <t>Dwi Sihotang</t>
  </si>
  <si>
    <t>Dwi Wibowo</t>
  </si>
  <si>
    <t>Edi Hariyah</t>
  </si>
  <si>
    <t>Edi Narpati</t>
  </si>
  <si>
    <t>Edi Nashiruddin</t>
  </si>
  <si>
    <t>Edi Prasetya</t>
  </si>
  <si>
    <t>Edison Maheswara</t>
  </si>
  <si>
    <t>Edward Natsir</t>
  </si>
  <si>
    <t>Edward Prasetya</t>
  </si>
  <si>
    <t>Edward Wasita</t>
  </si>
  <si>
    <t>Eja Yulianti</t>
  </si>
  <si>
    <t>Eka Gunawan</t>
  </si>
  <si>
    <t>Eka Permadi</t>
  </si>
  <si>
    <t>Elisa Habibi</t>
  </si>
  <si>
    <t>Elisa Irawan</t>
  </si>
  <si>
    <t>Elisa Mahendra</t>
  </si>
  <si>
    <t>Ellis Pratiwi</t>
  </si>
  <si>
    <t>Ellis Prayoga</t>
  </si>
  <si>
    <t>Ellis Rajata</t>
  </si>
  <si>
    <t>Elma Hartati</t>
  </si>
  <si>
    <t>Elma Maheswara</t>
  </si>
  <si>
    <t>Elma Mayasari</t>
  </si>
  <si>
    <t>Elma Prastuti</t>
  </si>
  <si>
    <t>Elon Irawan</t>
  </si>
  <si>
    <t>Eluh Siregar</t>
  </si>
  <si>
    <t>Elvin Saragih</t>
  </si>
  <si>
    <t>Elvin Tarihoran</t>
  </si>
  <si>
    <t>Elvin Wijayanti</t>
  </si>
  <si>
    <t>Elvina Kuswandari</t>
  </si>
  <si>
    <t>Elvina Saefullah</t>
  </si>
  <si>
    <t>Elvina Siregar</t>
  </si>
  <si>
    <t>Elvina Usamah</t>
  </si>
  <si>
    <t>Elvina Wulandari</t>
  </si>
  <si>
    <t>Emas Purwanti</t>
  </si>
  <si>
    <t>Emas Tampubolon</t>
  </si>
  <si>
    <t>Embuh Adriansyah</t>
  </si>
  <si>
    <t>Embuh Prayoga</t>
  </si>
  <si>
    <t>Emil Jailani</t>
  </si>
  <si>
    <t>Emong Siregar</t>
  </si>
  <si>
    <t>Empluk Waskita</t>
  </si>
  <si>
    <t>Endah Purwanti</t>
  </si>
  <si>
    <t>Endah Simbolon</t>
  </si>
  <si>
    <t>Endah Utama</t>
  </si>
  <si>
    <t>Endah Yuniar</t>
  </si>
  <si>
    <t>Endra Waskita</t>
  </si>
  <si>
    <t>Endra Yulianti</t>
  </si>
  <si>
    <t>Enteng Hariyah</t>
  </si>
  <si>
    <t>Enteng Wacana</t>
  </si>
  <si>
    <t>Eva Puspita</t>
  </si>
  <si>
    <t>Eva Waluyo</t>
  </si>
  <si>
    <t>Faizah Suwarno</t>
  </si>
  <si>
    <t>Faizah Uwais</t>
  </si>
  <si>
    <t>Farah Pertiwi</t>
  </si>
  <si>
    <t>Farah Rahmawati</t>
  </si>
  <si>
    <t>Farhunnisa Wahyuni</t>
  </si>
  <si>
    <t>Farhunnisa Wijaya</t>
  </si>
  <si>
    <t>Fitria Gunawan</t>
  </si>
  <si>
    <t>Fitriani Mulyani</t>
  </si>
  <si>
    <t>Fitriani Nuraini</t>
  </si>
  <si>
    <t>Gabriella Damanik</t>
  </si>
  <si>
    <t>Gabriella Pratiwi</t>
  </si>
  <si>
    <t>Gada Mardhiyah</t>
  </si>
  <si>
    <t>Gadang Thamrin</t>
  </si>
  <si>
    <t>Gading Hakim</t>
  </si>
  <si>
    <t>Gaduh Gunawan</t>
  </si>
  <si>
    <t>Gaiman Irawan</t>
  </si>
  <si>
    <t>Galak Halimah</t>
  </si>
  <si>
    <t>Galak Oktaviani</t>
  </si>
  <si>
    <t>Galak Saefullah</t>
  </si>
  <si>
    <t>Galak Salahudin</t>
  </si>
  <si>
    <t>Galang Firgantoro</t>
  </si>
  <si>
    <t>Galih Prastuti</t>
  </si>
  <si>
    <t>Galiono Waluyo</t>
  </si>
  <si>
    <t>Gaman Damanik</t>
  </si>
  <si>
    <t>Gaman Simbolon</t>
  </si>
  <si>
    <t>Gamani Susanti</t>
  </si>
  <si>
    <t>Gamani Wibisono</t>
  </si>
  <si>
    <t>Gamanto Suryatmi</t>
  </si>
  <si>
    <t>Gambira Melani</t>
  </si>
  <si>
    <t>Gamblang Mayasari</t>
  </si>
  <si>
    <t>Gamblang Permata</t>
  </si>
  <si>
    <t>Ganda Setiawan</t>
  </si>
  <si>
    <t>Gandewa Sihombing</t>
  </si>
  <si>
    <t>Gandi Purnawati</t>
  </si>
  <si>
    <t>Ganep Puspita</t>
  </si>
  <si>
    <t>Gangsa Iswahyudi</t>
  </si>
  <si>
    <t>Gangsa Mulyani</t>
  </si>
  <si>
    <t>Gangsa Riyanti</t>
  </si>
  <si>
    <t>Gangsa Tampubolon</t>
  </si>
  <si>
    <t>Gangsa Yuniar</t>
  </si>
  <si>
    <t>Gangsar Widiastuti</t>
  </si>
  <si>
    <t>Ganjaran Hartati</t>
  </si>
  <si>
    <t>Gantar Iswahyudi</t>
  </si>
  <si>
    <t>Gantar Prayoga</t>
  </si>
  <si>
    <t>Gantar Sihombing</t>
  </si>
  <si>
    <t>Gantar Winarsih</t>
  </si>
  <si>
    <t>Gara Puspita</t>
  </si>
  <si>
    <t>Garang Mulyani</t>
  </si>
  <si>
    <t>Gasti Mahendra</t>
  </si>
  <si>
    <t>Gawati Melani</t>
  </si>
  <si>
    <t>Gawati Purwanti</t>
  </si>
  <si>
    <t>Ghaliyati Kurniawan</t>
  </si>
  <si>
    <t>Ghaliyati Rajasa</t>
  </si>
  <si>
    <t>Ghaliyati Yulianti</t>
  </si>
  <si>
    <t>Ghani Hariyah</t>
  </si>
  <si>
    <t>Gilda Napitupulu</t>
  </si>
  <si>
    <t>Gina Irawan</t>
  </si>
  <si>
    <t>Hadi Pudjiastuti</t>
  </si>
  <si>
    <t>Hadi Yuliarti</t>
  </si>
  <si>
    <t>Hafshah Haryanti</t>
  </si>
  <si>
    <t>Hafshah Hastuti</t>
  </si>
  <si>
    <t>Hafshah Padmasari</t>
  </si>
  <si>
    <t>Hafshah Utama</t>
  </si>
  <si>
    <t>Halim Hakim</t>
  </si>
  <si>
    <t>Halim Halimah</t>
  </si>
  <si>
    <t>Halima Marbun</t>
  </si>
  <si>
    <t>Hana Hutagalung</t>
  </si>
  <si>
    <t>Hana Prasetya</t>
  </si>
  <si>
    <t>Hana Usamah</t>
  </si>
  <si>
    <t>Hana Winarsih</t>
  </si>
  <si>
    <t>Hardi Latupono</t>
  </si>
  <si>
    <t>Hardi Usada</t>
  </si>
  <si>
    <t>Hari Aryani</t>
  </si>
  <si>
    <t>Harimurti Iswahyudi</t>
  </si>
  <si>
    <t>Harimurti Permadi</t>
  </si>
  <si>
    <t>Harja Suryatmi</t>
  </si>
  <si>
    <t>Harjasa Wibowo</t>
  </si>
  <si>
    <t>Harjaya Firmansyah</t>
  </si>
  <si>
    <t>Harjo Permata</t>
  </si>
  <si>
    <t>Harjo Pertiwi</t>
  </si>
  <si>
    <t>Harjo Yulianti</t>
  </si>
  <si>
    <t>Harsana Mandasari</t>
  </si>
  <si>
    <t>Harsaya Tamba</t>
  </si>
  <si>
    <t>Hartaka Rahimah</t>
  </si>
  <si>
    <t>Hartaka Utami</t>
  </si>
  <si>
    <t>Hartana Astuti</t>
  </si>
  <si>
    <t>Hartana Dongoran</t>
  </si>
  <si>
    <t>Hartana Hassanah</t>
  </si>
  <si>
    <t>Harto Tarihoran</t>
  </si>
  <si>
    <t>Hasan Laksmiwati</t>
  </si>
  <si>
    <t>Hasim Nurdiyanti</t>
  </si>
  <si>
    <t>Hasim Purwanti</t>
  </si>
  <si>
    <t>Hasta Suwarno</t>
  </si>
  <si>
    <t>Hasta Usada</t>
  </si>
  <si>
    <t>Hasta Utami</t>
  </si>
  <si>
    <t>Hendra Halimah</t>
  </si>
  <si>
    <t>Hendra Pratama</t>
  </si>
  <si>
    <t>Hendri Marpaung</t>
  </si>
  <si>
    <t>Hesti Agustina</t>
  </si>
  <si>
    <t>Hesti Saptono</t>
  </si>
  <si>
    <t>Hesti Tamba</t>
  </si>
  <si>
    <t>Hilda Permadi</t>
  </si>
  <si>
    <t>Himawan Ardianto</t>
  </si>
  <si>
    <t>Ian Prasetya</t>
  </si>
  <si>
    <t>Ibrahim Wijaya</t>
  </si>
  <si>
    <t>Ibrani Hidayanto</t>
  </si>
  <si>
    <t>Ibrani Purnawati</t>
  </si>
  <si>
    <t>Ibrani Thamrin</t>
  </si>
  <si>
    <t>Ibun Hutapea</t>
  </si>
  <si>
    <t>Ibun Kusmawati</t>
  </si>
  <si>
    <t>Ibun Setiawan</t>
  </si>
  <si>
    <t>Icha Utami</t>
  </si>
  <si>
    <t>Ida Budiman</t>
  </si>
  <si>
    <t>Ifa Kusmawati</t>
  </si>
  <si>
    <t>Ifa Namaga</t>
  </si>
  <si>
    <t>Ifa Setiawan</t>
  </si>
  <si>
    <t>Ifa Yolanda</t>
  </si>
  <si>
    <t>Ihsan Sudiati</t>
  </si>
  <si>
    <t>Ika Haryanto</t>
  </si>
  <si>
    <t>Ika Maheswara</t>
  </si>
  <si>
    <t>Ikhsan Maheswara</t>
  </si>
  <si>
    <t>Ikin Purnawati</t>
  </si>
  <si>
    <t>Imam Palastri</t>
  </si>
  <si>
    <t>Indah Kurniawan</t>
  </si>
  <si>
    <t>Indah Salahudin</t>
  </si>
  <si>
    <t>Indra Nasyiah</t>
  </si>
  <si>
    <t>Intan Namaga</t>
  </si>
  <si>
    <t>Ira Firgantoro</t>
  </si>
  <si>
    <t>Irfan Handayani</t>
  </si>
  <si>
    <t>Irfan Melani</t>
  </si>
  <si>
    <t>Irfan Nababan</t>
  </si>
  <si>
    <t>Irfan Pranowo</t>
  </si>
  <si>
    <t>Irfan Usamah</t>
  </si>
  <si>
    <t>Iriana Maulana</t>
  </si>
  <si>
    <t>Irnanto Fujiati</t>
  </si>
  <si>
    <t>Irnanto Irawan</t>
  </si>
  <si>
    <t>Irsad Kusmawati</t>
  </si>
  <si>
    <t>Ismail Nugroho</t>
  </si>
  <si>
    <t>Ivan Manullang</t>
  </si>
  <si>
    <t>Ivan Wibisono</t>
  </si>
  <si>
    <t>Jabal Manullang</t>
  </si>
  <si>
    <t>Jaeman Halimah</t>
  </si>
  <si>
    <t>Jaeman Safitri</t>
  </si>
  <si>
    <t>Jaeman Sinaga</t>
  </si>
  <si>
    <t>Jaga Maulana</t>
  </si>
  <si>
    <t>Jagapati Situmorang</t>
  </si>
  <si>
    <t>Jagaraga Aryani</t>
  </si>
  <si>
    <t>Jagaraga Wahyuni</t>
  </si>
  <si>
    <t>Jail Budiman</t>
  </si>
  <si>
    <t>Jail Mulyani</t>
  </si>
  <si>
    <t>Jail Usada</t>
  </si>
  <si>
    <t>Jaiman Megantara</t>
  </si>
  <si>
    <t>Jais Iswahyudi</t>
  </si>
  <si>
    <t>Jamalia Waluyo</t>
  </si>
  <si>
    <t>Jamalia Wastuti</t>
  </si>
  <si>
    <t>Jamalia Zulaika</t>
  </si>
  <si>
    <t>Jamil Handayani</t>
  </si>
  <si>
    <t>Jamil Hardiansyah</t>
  </si>
  <si>
    <t>Janet Gunawan</t>
  </si>
  <si>
    <t>Janet Pradana</t>
  </si>
  <si>
    <t>Jarwa Maulana</t>
  </si>
  <si>
    <t>Jarwadi Lailasari</t>
  </si>
  <si>
    <t>Jarwadi Puspasari</t>
  </si>
  <si>
    <t>Jasmani Mustofa</t>
  </si>
  <si>
    <t>Jasmani Nurdiyanti</t>
  </si>
  <si>
    <t>Jasmani Wahyudin</t>
  </si>
  <si>
    <t>Jasmin Narpati</t>
  </si>
  <si>
    <t>Jasmin Padmasari</t>
  </si>
  <si>
    <t>Jasmin Prasetya</t>
  </si>
  <si>
    <t>Jasmin Wijayanti</t>
  </si>
  <si>
    <t>Jaswadi Dabukke</t>
  </si>
  <si>
    <t>Jaswadi Jailani</t>
  </si>
  <si>
    <t>Jaswadi Permata</t>
  </si>
  <si>
    <t>Jaswadi Rahayu</t>
  </si>
  <si>
    <t>Jaswadi Waskita</t>
  </si>
  <si>
    <t>Jati Suwarno</t>
  </si>
  <si>
    <t>Jati Yulianti</t>
  </si>
  <si>
    <t>Jatmiko Halimah</t>
  </si>
  <si>
    <t>Jatmiko Nasyidah</t>
  </si>
  <si>
    <t>Jatmiko Pangestu</t>
  </si>
  <si>
    <t>Jatmiko Uwais</t>
  </si>
  <si>
    <t>Jaya Mayasari</t>
  </si>
  <si>
    <t>Jayadi Tampubolon</t>
  </si>
  <si>
    <t>Jayeng Mandasari</t>
  </si>
  <si>
    <t>Jayeng Putra</t>
  </si>
  <si>
    <t>Jefri Hutapea</t>
  </si>
  <si>
    <t>Jefri Kusumo</t>
  </si>
  <si>
    <t>Jelita Suwarno</t>
  </si>
  <si>
    <t>Jessica Hakim</t>
  </si>
  <si>
    <t>Jessica Pradipta</t>
  </si>
  <si>
    <t>Jessica Zulaika</t>
  </si>
  <si>
    <t>Jinawi Hardiansyah</t>
  </si>
  <si>
    <t>Jindra Purwanti</t>
  </si>
  <si>
    <t>Jindra Wibowo</t>
  </si>
  <si>
    <t>Joko Prayoga</t>
  </si>
  <si>
    <t>Jono Lazuardi</t>
  </si>
  <si>
    <t>Julia Kusmawati</t>
  </si>
  <si>
    <t>Julia Kuswandari</t>
  </si>
  <si>
    <t>Julia Salahudin</t>
  </si>
  <si>
    <t>Jumadi Saragih</t>
  </si>
  <si>
    <t>Jumadi Wahyuni</t>
  </si>
  <si>
    <t>Jumari Hakim</t>
  </si>
  <si>
    <t>Jumari Namaga</t>
  </si>
  <si>
    <t>Kadir Anggriawan</t>
  </si>
  <si>
    <t>Kajen Budiman</t>
  </si>
  <si>
    <t>Kajen Narpati</t>
  </si>
  <si>
    <t>Kajen Prabowo</t>
  </si>
  <si>
    <t>Kajen Pudjiastuti</t>
  </si>
  <si>
    <t>Kala Hassanah</t>
  </si>
  <si>
    <t>Kala Uwais</t>
  </si>
  <si>
    <t>Kamal Saefullah</t>
  </si>
  <si>
    <t>Kamaria Wijayanti</t>
  </si>
  <si>
    <t>Kamidin Handayani</t>
  </si>
  <si>
    <t>Kamidin Tamba</t>
  </si>
  <si>
    <t>Kamidin Wacana</t>
  </si>
  <si>
    <t>Kamila Megantara</t>
  </si>
  <si>
    <t>Kamila Prayoga</t>
  </si>
  <si>
    <t>Kanda Nugroho</t>
  </si>
  <si>
    <t>Kanda Pratiwi</t>
  </si>
  <si>
    <t>Kania Irawan</t>
  </si>
  <si>
    <t>Kania Mandasari</t>
  </si>
  <si>
    <t>Kania Tarihoran</t>
  </si>
  <si>
    <t>Kardi Mardhiyah</t>
  </si>
  <si>
    <t>Karen Budiyanto</t>
  </si>
  <si>
    <t>Kariman Usamah</t>
  </si>
  <si>
    <t>Karja Winarsih</t>
  </si>
  <si>
    <t>Karma Marpaung</t>
  </si>
  <si>
    <t>Karma Oktaviani</t>
  </si>
  <si>
    <t>Karman Hidayat</t>
  </si>
  <si>
    <t>Karna Winarsih</t>
  </si>
  <si>
    <t>Karsa Padmasari</t>
  </si>
  <si>
    <t>Karsana Wijaya</t>
  </si>
  <si>
    <t>Karta Wahyudin</t>
  </si>
  <si>
    <t>Kartika Hutapea</t>
  </si>
  <si>
    <t>Kartika Napitupulu</t>
  </si>
  <si>
    <t>Kasim Nasyidah</t>
  </si>
  <si>
    <t>Kasim Natsir</t>
  </si>
  <si>
    <t>Kasiran Nugroho</t>
  </si>
  <si>
    <t>Kasiyah Mangunsong</t>
  </si>
  <si>
    <t>Kasusra Nurdiyanti</t>
  </si>
  <si>
    <t>Kasusra Rahimah</t>
  </si>
  <si>
    <t>Kasusra Riyanti</t>
  </si>
  <si>
    <t>Kasusra Sudiati</t>
  </si>
  <si>
    <t>Kawaca Hutagalung</t>
  </si>
  <si>
    <t>Kawaya Firgantoro</t>
  </si>
  <si>
    <t>Kawaya Pradana</t>
  </si>
  <si>
    <t>Kayla Hartati</t>
  </si>
  <si>
    <t>Kayla Nuraini</t>
  </si>
  <si>
    <t>Kayla Rajata</t>
  </si>
  <si>
    <t>Kayun Dongoran</t>
  </si>
  <si>
    <t>Keisha Firgantoro</t>
  </si>
  <si>
    <t>Keisha Suryatmi</t>
  </si>
  <si>
    <t>Kemal Laksita</t>
  </si>
  <si>
    <t>Kemal Napitupulu</t>
  </si>
  <si>
    <t>Kemal Prabowo</t>
  </si>
  <si>
    <t>Kemba Napitupulu</t>
  </si>
  <si>
    <t>Kenari Saefullah</t>
  </si>
  <si>
    <t>Kenari Waluyo</t>
  </si>
  <si>
    <t>Kenzie Pratama</t>
  </si>
  <si>
    <t>Kenzie Wibowo</t>
  </si>
  <si>
    <t>Kenzie Widodo</t>
  </si>
  <si>
    <t>Kiandra Agustina</t>
  </si>
  <si>
    <t>Kiandra Megantara</t>
  </si>
  <si>
    <t>Kiandra Prayoga</t>
  </si>
  <si>
    <t>Koko Suartini</t>
  </si>
  <si>
    <t>Kuncara Kurniawan</t>
  </si>
  <si>
    <t>Kuncara Mulyani</t>
  </si>
  <si>
    <t>Kuncara Uwais</t>
  </si>
  <si>
    <t>Kunthara Halimah</t>
  </si>
  <si>
    <t>Kusuma Andriani</t>
  </si>
  <si>
    <t>Kusuma Mayasari</t>
  </si>
  <si>
    <t>Kusuma Uwais</t>
  </si>
  <si>
    <t>Labuh Permadi</t>
  </si>
  <si>
    <t>Labuh Purnawati</t>
  </si>
  <si>
    <t>Labuh Puspasari</t>
  </si>
  <si>
    <t>Labuh Sudiati</t>
  </si>
  <si>
    <t>Laila Maryadi</t>
  </si>
  <si>
    <t>Laila Mustofa</t>
  </si>
  <si>
    <t>Laksana Ardianto</t>
  </si>
  <si>
    <t>Laksana Irawan</t>
  </si>
  <si>
    <t>Laksana Maheswara</t>
  </si>
  <si>
    <t>Laksana Purwanti</t>
  </si>
  <si>
    <t>Lala Gunarto</t>
  </si>
  <si>
    <t>Lala Yolanda</t>
  </si>
  <si>
    <t>Lalita Sihombing</t>
  </si>
  <si>
    <t>Lalita Wibisono</t>
  </si>
  <si>
    <t>Lanjar Hakim</t>
  </si>
  <si>
    <t>Lanjar Hidayanto</t>
  </si>
  <si>
    <t>Lanjar Utami</t>
  </si>
  <si>
    <t>Lantar Haryanti</t>
  </si>
  <si>
    <t>Lantar Melani</t>
  </si>
  <si>
    <t>Lantar Prakasa</t>
  </si>
  <si>
    <t>Lantar Puspita</t>
  </si>
  <si>
    <t>Lantar Susanti</t>
  </si>
  <si>
    <t>Laras Nainggolan</t>
  </si>
  <si>
    <t>Laswi Hastuti</t>
  </si>
  <si>
    <t>Lega Habibi</t>
  </si>
  <si>
    <t>Lega Nababan</t>
  </si>
  <si>
    <t>Legawa Riyanti</t>
  </si>
  <si>
    <t>Lembah Nababan</t>
  </si>
  <si>
    <t>Lembah Waskita</t>
  </si>
  <si>
    <t>Leo Halim</t>
  </si>
  <si>
    <t>Leo Tarihoran</t>
  </si>
  <si>
    <t>Lidya Hutagalung</t>
  </si>
  <si>
    <t>Lidya Prasetya</t>
  </si>
  <si>
    <t>Lili Hastuti</t>
  </si>
  <si>
    <t>Lili Nainggolan</t>
  </si>
  <si>
    <t>Lili Widiastuti</t>
  </si>
  <si>
    <t>Liman Hartati</t>
  </si>
  <si>
    <t>Liman Pradipta</t>
  </si>
  <si>
    <t>Limar Mangunsong</t>
  </si>
  <si>
    <t>Luis Sirait</t>
  </si>
  <si>
    <t>Lukita Anggriawan</t>
  </si>
  <si>
    <t>Luluh Putra</t>
  </si>
  <si>
    <t>Lutfan Permata</t>
  </si>
  <si>
    <t>Luthfi Laksmiwati</t>
  </si>
  <si>
    <t>Mahdi Kuswandari</t>
  </si>
  <si>
    <t>Mahdi Mangunsong</t>
  </si>
  <si>
    <t>Mahdi Permadi</t>
  </si>
  <si>
    <t>Mahdi Prasetyo</t>
  </si>
  <si>
    <t>Mahesa Kurniawan</t>
  </si>
  <si>
    <t>Mahesa Maulana</t>
  </si>
  <si>
    <t>Mahfud Melani</t>
  </si>
  <si>
    <t>Mahfud Pertiwi</t>
  </si>
  <si>
    <t>Makara Mulyani</t>
  </si>
  <si>
    <t>Mala Padmasari</t>
  </si>
  <si>
    <t>Malik Mustofa</t>
  </si>
  <si>
    <t>Malik Tampubolon</t>
  </si>
  <si>
    <t>Malika Tamba</t>
  </si>
  <si>
    <t>Maman Hutasoit</t>
  </si>
  <si>
    <t>Maman Winarsih</t>
  </si>
  <si>
    <t>Manah Siregar</t>
  </si>
  <si>
    <t>Maras Salahudin</t>
  </si>
  <si>
    <t>Margana Nasyiah</t>
  </si>
  <si>
    <t>Maria Palastri</t>
  </si>
  <si>
    <t>Mariadi Hasanah</t>
  </si>
  <si>
    <t>Mariadi Wulandari</t>
  </si>
  <si>
    <t>Marsito Ardianto</t>
  </si>
  <si>
    <t>Marsito Nasyiah</t>
  </si>
  <si>
    <t>Marsudi Haryanti</t>
  </si>
  <si>
    <t>Marsudi Rajata</t>
  </si>
  <si>
    <t>Marsudi Uyainah</t>
  </si>
  <si>
    <t>Marsudi Yuniar</t>
  </si>
  <si>
    <t>Martaka Pangestu</t>
  </si>
  <si>
    <t>Martaka Pudjiastuti</t>
  </si>
  <si>
    <t>Martaka Siregar</t>
  </si>
  <si>
    <t>Martana Dongoran</t>
  </si>
  <si>
    <t>Martana Rajasa</t>
  </si>
  <si>
    <t>Martani Lailasari</t>
  </si>
  <si>
    <t>Martani Mulyani</t>
  </si>
  <si>
    <t>Martani Pudjiastuti</t>
  </si>
  <si>
    <t>Martani Puspita</t>
  </si>
  <si>
    <t>Marwata Sudiati</t>
  </si>
  <si>
    <t>Marwata Susanti</t>
  </si>
  <si>
    <t>Maryadi Hakim</t>
  </si>
  <si>
    <t>Maryadi Nainggolan</t>
  </si>
  <si>
    <t>Maryadi Natsir</t>
  </si>
  <si>
    <t>Maryanto Nugroho</t>
  </si>
  <si>
    <t>Maya Simanjuntak</t>
  </si>
  <si>
    <t>Melinda Mayasari</t>
  </si>
  <si>
    <t>Melinda Megantara</t>
  </si>
  <si>
    <t>Melinda Utama</t>
  </si>
  <si>
    <t>Michelle Nuraini</t>
  </si>
  <si>
    <t>Michelle Permata</t>
  </si>
  <si>
    <t>Mila Mahendra</t>
  </si>
  <si>
    <t>Muhammad Suryatmi</t>
  </si>
  <si>
    <t>Muhammad Suryono</t>
  </si>
  <si>
    <t>Muhammad Thamrin</t>
  </si>
  <si>
    <t>Muhammad Wijaya</t>
  </si>
  <si>
    <t>Mujur Halimah</t>
  </si>
  <si>
    <t>Mujur Wibisono</t>
  </si>
  <si>
    <t>Mulya Waluyo</t>
  </si>
  <si>
    <t>Mumpuni Napitupulu</t>
  </si>
  <si>
    <t>Muni Aryani</t>
  </si>
  <si>
    <t>Muni Mangunsong</t>
  </si>
  <si>
    <t>Mursinin Dabukke</t>
  </si>
  <si>
    <t>Mursita Palastri</t>
  </si>
  <si>
    <t>Mursita Puspasari</t>
  </si>
  <si>
    <t>Mursita Safitri</t>
  </si>
  <si>
    <t>Mursita Sirait</t>
  </si>
  <si>
    <t>Mustika Budiman</t>
  </si>
  <si>
    <t>Mustofa Narpati</t>
  </si>
  <si>
    <t>Mutia Hidayat</t>
  </si>
  <si>
    <t>Mutia Suartini</t>
  </si>
  <si>
    <t>Nabila Hidayat</t>
  </si>
  <si>
    <t>Nadia Puspasari</t>
  </si>
  <si>
    <t>Nadine Salahudin</t>
  </si>
  <si>
    <t>Najam Prayoga</t>
  </si>
  <si>
    <t>Najwa Palastri</t>
  </si>
  <si>
    <t>Nalar Andriani</t>
  </si>
  <si>
    <t>Nalar Permadi</t>
  </si>
  <si>
    <t>Nardi Maryadi</t>
  </si>
  <si>
    <t>Narji Haryanto</t>
  </si>
  <si>
    <t>Narji Januar</t>
  </si>
  <si>
    <t>Narji Nugroho</t>
  </si>
  <si>
    <t>Narji Suryono</t>
  </si>
  <si>
    <t>Natalia Hasanah</t>
  </si>
  <si>
    <t>Natalia Rahimah</t>
  </si>
  <si>
    <t>Nilam Hakim</t>
  </si>
  <si>
    <t>Nilam Widodo</t>
  </si>
  <si>
    <t>Niyaga Pradipta</t>
  </si>
  <si>
    <t>Nova Nurdiyanti</t>
  </si>
  <si>
    <t>Nova Rahmawati</t>
  </si>
  <si>
    <t>Nova Sirait</t>
  </si>
  <si>
    <t>Novi Prabowo</t>
  </si>
  <si>
    <t>Nrima Novitasari</t>
  </si>
  <si>
    <t>Nrima Prabowo</t>
  </si>
  <si>
    <t>Nrima Pudjiastuti</t>
  </si>
  <si>
    <t>Nugraha Natsir</t>
  </si>
  <si>
    <t>Nugraha Suryono</t>
  </si>
  <si>
    <t>Nyana Lestari</t>
  </si>
  <si>
    <t>Nyoman Mahendra</t>
  </si>
  <si>
    <t>Nyoman Nuraini</t>
  </si>
  <si>
    <t>Okta Sitorus</t>
  </si>
  <si>
    <t>Okto Hastuti</t>
  </si>
  <si>
    <t>Okto Lestari</t>
  </si>
  <si>
    <t>Olga Handayani</t>
  </si>
  <si>
    <t>Oliva Lailasari</t>
  </si>
  <si>
    <t>Olivia Anggraini</t>
  </si>
  <si>
    <t>Oman Mardhiyah</t>
  </si>
  <si>
    <t>Omar Sihombing</t>
  </si>
  <si>
    <t>Omar Wibowo</t>
  </si>
  <si>
    <t>Opung Maulana</t>
  </si>
  <si>
    <t>Ozy Salahudin</t>
  </si>
  <si>
    <t>Padma Melani</t>
  </si>
  <si>
    <t>Padma Namaga</t>
  </si>
  <si>
    <t>Padmi Anggraini</t>
  </si>
  <si>
    <t>Paiman Hasanah</t>
  </si>
  <si>
    <t>Paiman Santoso</t>
  </si>
  <si>
    <t>Paiman Waskita</t>
  </si>
  <si>
    <t>Pandu Laksmiwati</t>
  </si>
  <si>
    <t>Pandu Sihotang</t>
  </si>
  <si>
    <t>Pangeran Samosir</t>
  </si>
  <si>
    <t>Pangestu Manullang</t>
  </si>
  <si>
    <t>Pardi Yulianti</t>
  </si>
  <si>
    <t>Parman Gunawan</t>
  </si>
  <si>
    <t>Parman Kurniawan</t>
  </si>
  <si>
    <t>Paulin Hariyah</t>
  </si>
  <si>
    <t>Paulin Januar</t>
  </si>
  <si>
    <t>Paulin Nainggolan</t>
  </si>
  <si>
    <t>Perkasa Handayani</t>
  </si>
  <si>
    <t>Perkasa Lailasari</t>
  </si>
  <si>
    <t>Perkasa Wahyuni</t>
  </si>
  <si>
    <t>Praba Tarihoran</t>
  </si>
  <si>
    <t>Prabawa Hutasoit</t>
  </si>
  <si>
    <t>Prabawa Pratiwi</t>
  </si>
  <si>
    <t>Prabu Halim</t>
  </si>
  <si>
    <t>Prabu Natsir</t>
  </si>
  <si>
    <t>Prakosa Halim</t>
  </si>
  <si>
    <t>Pranata Hastuti</t>
  </si>
  <si>
    <t>Pranawa Melani</t>
  </si>
  <si>
    <t>Pranawa Prayoga</t>
  </si>
  <si>
    <t>Prasetyo Nashiruddin</t>
  </si>
  <si>
    <t>Prasetyo Situmorang</t>
  </si>
  <si>
    <t>Prayitna Habibi</t>
  </si>
  <si>
    <t>Prayoga Nurdiyanti</t>
  </si>
  <si>
    <t>Prayogo Sihombing</t>
  </si>
  <si>
    <t>Prima Saefullah</t>
  </si>
  <si>
    <t>Purwa Uyainah</t>
  </si>
  <si>
    <t>Purwadi Natsir</t>
  </si>
  <si>
    <t>Purwadi Palastri</t>
  </si>
  <si>
    <t>Purwadi Sinaga</t>
  </si>
  <si>
    <t>Puspa Fujiati</t>
  </si>
  <si>
    <t>Puspa Laksita</t>
  </si>
  <si>
    <t>Puti Zulaika</t>
  </si>
  <si>
    <t>Putri Nuraini</t>
  </si>
  <si>
    <t>Putri Pertiwi</t>
  </si>
  <si>
    <t>Putri Simanjuntak</t>
  </si>
  <si>
    <t>Putri Thamrin</t>
  </si>
  <si>
    <t>Putu Manullang</t>
  </si>
  <si>
    <t>Qori Hidayat</t>
  </si>
  <si>
    <t>Rachel Salahudin</t>
  </si>
  <si>
    <t>Raden Halim</t>
  </si>
  <si>
    <t>Raden Kusmawati</t>
  </si>
  <si>
    <t>Raden Oktaviani</t>
  </si>
  <si>
    <t>Raden Rahayu</t>
  </si>
  <si>
    <t>Raden Simbolon</t>
  </si>
  <si>
    <t>Radika Aryani</t>
  </si>
  <si>
    <t>Radit Kuswandari</t>
  </si>
  <si>
    <t>Radit Lestari</t>
  </si>
  <si>
    <t>Raditya Mangunsong</t>
  </si>
  <si>
    <t>Raditya Marpaung</t>
  </si>
  <si>
    <t>Rafi Halimah</t>
  </si>
  <si>
    <t>Rafi Lazuardi</t>
  </si>
  <si>
    <t>Rafi Namaga</t>
  </si>
  <si>
    <t>Rafi Uwais</t>
  </si>
  <si>
    <t>Rafid Latupono</t>
  </si>
  <si>
    <t>Rahmat Hutasoit</t>
  </si>
  <si>
    <t>Rahmat Nasyidah</t>
  </si>
  <si>
    <t>Rahmat Purwanti</t>
  </si>
  <si>
    <t>Rahmat Saputra</t>
  </si>
  <si>
    <t>Rahmi Pratiwi</t>
  </si>
  <si>
    <t>Raihan Lailasari</t>
  </si>
  <si>
    <t>Raihan Laksita</t>
  </si>
  <si>
    <t>Raihan Nasyiah</t>
  </si>
  <si>
    <t>Raihan Susanti</t>
  </si>
  <si>
    <t>Raina Yuliarti</t>
  </si>
  <si>
    <t>Raisa Pradana</t>
  </si>
  <si>
    <t>Raisa Situmorang</t>
  </si>
  <si>
    <t>Ratih Palastri</t>
  </si>
  <si>
    <t>Ratih Santoso</t>
  </si>
  <si>
    <t>Ratih Setiawan</t>
  </si>
  <si>
    <t>Reksa Januar</t>
  </si>
  <si>
    <t>Reksa Prastuti</t>
  </si>
  <si>
    <t>Reksa Wulandari</t>
  </si>
  <si>
    <t>Rendy Utama</t>
  </si>
  <si>
    <t>Respati Saptono</t>
  </si>
  <si>
    <t>Restu Wibisono</t>
  </si>
  <si>
    <t>Ridwan Puspasari</t>
  </si>
  <si>
    <t>Ridwan Wijayanti</t>
  </si>
  <si>
    <t>Rika Firmansyah</t>
  </si>
  <si>
    <t>Rina Samosir</t>
  </si>
  <si>
    <t>Rina Yuniar</t>
  </si>
  <si>
    <t>Rizki Puspita</t>
  </si>
  <si>
    <t>Rizki Saputra</t>
  </si>
  <si>
    <t>Rizki Suartini</t>
  </si>
  <si>
    <t>Rosman Maryadi</t>
  </si>
  <si>
    <t>Rosman Susanti</t>
  </si>
  <si>
    <t>Rudi Zulkarnain</t>
  </si>
  <si>
    <t>Rusman Hakim</t>
  </si>
  <si>
    <t>Rusman Nugroho</t>
  </si>
  <si>
    <t>Saadat Iswahyudi</t>
  </si>
  <si>
    <t>Saadat Pratiwi</t>
  </si>
  <si>
    <t>Saadat Salahudin</t>
  </si>
  <si>
    <t>Sabar Pratiwi</t>
  </si>
  <si>
    <t>Sabar Tamba</t>
  </si>
  <si>
    <t>Sadina Hasanah</t>
  </si>
  <si>
    <t>Sadina Prabowo</t>
  </si>
  <si>
    <t>Safina Tamba</t>
  </si>
  <si>
    <t>Saiful Kusumo</t>
  </si>
  <si>
    <t>Saiful Safitri</t>
  </si>
  <si>
    <t>Saka Hidayat</t>
  </si>
  <si>
    <t>Sakti Prasetya</t>
  </si>
  <si>
    <t>Sakura Dabukke</t>
  </si>
  <si>
    <t>Salimah Wastuti</t>
  </si>
  <si>
    <t>Salman Irawan</t>
  </si>
  <si>
    <t>Salman Widiastuti</t>
  </si>
  <si>
    <t>Salwa Utama</t>
  </si>
  <si>
    <t>Samsul Firmansyah</t>
  </si>
  <si>
    <t>Samsul Kusmawati</t>
  </si>
  <si>
    <t>Samsul Widodo</t>
  </si>
  <si>
    <t>Sarah Nuraini</t>
  </si>
  <si>
    <t>Sari Wulandari</t>
  </si>
  <si>
    <t>Satya Budiman</t>
  </si>
  <si>
    <t>Septi Prasetya</t>
  </si>
  <si>
    <t>Setya Kuswoyo</t>
  </si>
  <si>
    <t>Setya Permadi</t>
  </si>
  <si>
    <t>Setya Prayoga</t>
  </si>
  <si>
    <t>Setya Suryatmi</t>
  </si>
  <si>
    <t>Setya Uyainah</t>
  </si>
  <si>
    <t>Shania Anggriawan</t>
  </si>
  <si>
    <t>Shania Maheswara</t>
  </si>
  <si>
    <t>Shania Pertiwi</t>
  </si>
  <si>
    <t>Sidiq Damanik</t>
  </si>
  <si>
    <t>Simon Widiastuti</t>
  </si>
  <si>
    <t>Siti Manullang</t>
  </si>
  <si>
    <t>Siti Prabowo</t>
  </si>
  <si>
    <t>Slamet Marpaung</t>
  </si>
  <si>
    <t>Soleh Uyainah</t>
  </si>
  <si>
    <t>Soleh Wasita</t>
  </si>
  <si>
    <t>Suci Oktaviani</t>
  </si>
  <si>
    <t>Talia Nainggolan</t>
  </si>
  <si>
    <t>Talia Purnawati</t>
  </si>
  <si>
    <t>Talia Saefullah</t>
  </si>
  <si>
    <t>Talia Yuliarti</t>
  </si>
  <si>
    <t>Tania Andriani</t>
  </si>
  <si>
    <t>Tantri Nasyiah</t>
  </si>
  <si>
    <t>Tari Waskita</t>
  </si>
  <si>
    <t>Tasdik Rajasa</t>
  </si>
  <si>
    <t>Tasdik Riyanti</t>
  </si>
  <si>
    <t>Taswir Nababan</t>
  </si>
  <si>
    <t>Taufan Mandala</t>
  </si>
  <si>
    <t>Taufan Permata</t>
  </si>
  <si>
    <t>Taufan Widiastuti</t>
  </si>
  <si>
    <t>Taufik Lailasari</t>
  </si>
  <si>
    <t>Taufik Oktaviani</t>
  </si>
  <si>
    <t>Taufik Uwais</t>
  </si>
  <si>
    <t>Taufik Wasita</t>
  </si>
  <si>
    <t>Teddy Aryani</t>
  </si>
  <si>
    <t>Tedi Aryani</t>
  </si>
  <si>
    <t>Tedi Suryatmi</t>
  </si>
  <si>
    <t>Teguh Astuti</t>
  </si>
  <si>
    <t>Teguh Hardiansyah</t>
  </si>
  <si>
    <t>Teguh Uyainah</t>
  </si>
  <si>
    <t>Tiara Halimah</t>
  </si>
  <si>
    <t>Tiara Palastri</t>
  </si>
  <si>
    <t>Tiara Wijayanti</t>
  </si>
  <si>
    <t>Timbul Hassanah</t>
  </si>
  <si>
    <t>Timbul Riyanti</t>
  </si>
  <si>
    <t>Tina Hidayanto</t>
  </si>
  <si>
    <t>Tina Pradipta</t>
  </si>
  <si>
    <t>Tina Puspasari</t>
  </si>
  <si>
    <t>Tina Saputra</t>
  </si>
  <si>
    <t>Tira Mulyani</t>
  </si>
  <si>
    <t>Tira Natsir</t>
  </si>
  <si>
    <t>Tira Sihombing</t>
  </si>
  <si>
    <t>Tirta Puspasari</t>
  </si>
  <si>
    <t>Tirta Saputra</t>
  </si>
  <si>
    <t>Tirtayasa Nuraini</t>
  </si>
  <si>
    <t>Tomi Pangestu</t>
  </si>
  <si>
    <t>Tomi Riyanti</t>
  </si>
  <si>
    <t>Tri Prasetyo</t>
  </si>
  <si>
    <t>Tri Sihombing</t>
  </si>
  <si>
    <t>Tugiman Hassanah</t>
  </si>
  <si>
    <t>Uchita Haryanto</t>
  </si>
  <si>
    <t>Uchita Hutasoit</t>
  </si>
  <si>
    <t>Umar Prastuti</t>
  </si>
  <si>
    <t>Umay Habibi</t>
  </si>
  <si>
    <t>Umay Siregar</t>
  </si>
  <si>
    <t>Umay Sitompul</t>
  </si>
  <si>
    <t>Umay Suryono</t>
  </si>
  <si>
    <t>Umi Nainggolan</t>
  </si>
  <si>
    <t>Umi Padmasari</t>
  </si>
  <si>
    <t>Upik Nababan</t>
  </si>
  <si>
    <t>Vanesa Agustina</t>
  </si>
  <si>
    <t>Vanya Pradipta</t>
  </si>
  <si>
    <t>Vera Suryatmi</t>
  </si>
  <si>
    <t>Vicky Novitasari</t>
  </si>
  <si>
    <t>Vicky Pratama</t>
  </si>
  <si>
    <t>Vicky Widiastuti</t>
  </si>
  <si>
    <t>Victoria Handayani</t>
  </si>
  <si>
    <t>Victoria Mustofa</t>
  </si>
  <si>
    <t>Viktor Novitasari</t>
  </si>
  <si>
    <t>Viman Latupono</t>
  </si>
  <si>
    <t>Viman Uyainah</t>
  </si>
  <si>
    <t>Vino Nashiruddin</t>
  </si>
  <si>
    <t>Virman Irawan</t>
  </si>
  <si>
    <t>Vivi Nuraini</t>
  </si>
  <si>
    <t>Vivi Suwarno</t>
  </si>
  <si>
    <t>Wadi Wijaya</t>
  </si>
  <si>
    <t>Wahyu Firmansyah</t>
  </si>
  <si>
    <t>Wakiman Prastuti</t>
  </si>
  <si>
    <t>Waluyo Riyanti</t>
  </si>
  <si>
    <t>Wani Kuswandari</t>
  </si>
  <si>
    <t>Wani Wahyudin</t>
  </si>
  <si>
    <t>Wardaya Kusumo</t>
  </si>
  <si>
    <t>Wardi Hasanah</t>
  </si>
  <si>
    <t>Warji Permadi</t>
  </si>
  <si>
    <t>Warji Tampubolon</t>
  </si>
  <si>
    <t>Warji Wahyudin</t>
  </si>
  <si>
    <t>Warji Yuniar</t>
  </si>
  <si>
    <t>Warsa Sudiati</t>
  </si>
  <si>
    <t>Warsita Pudjiastuti</t>
  </si>
  <si>
    <t>Warsita Putra</t>
  </si>
  <si>
    <t>Warta Astuti</t>
  </si>
  <si>
    <t>Wasis Melani</t>
  </si>
  <si>
    <t>Wira Firmansyah</t>
  </si>
  <si>
    <t>Wira Haryanto</t>
  </si>
  <si>
    <t>Wira Novitasari</t>
  </si>
  <si>
    <t>Wirda Sirait</t>
  </si>
  <si>
    <t>Wisnu Nashiruddin</t>
  </si>
  <si>
    <t>Wisnu Pangestu</t>
  </si>
  <si>
    <t>Wulan Lailasari</t>
  </si>
  <si>
    <t>Xanana Lailasari</t>
  </si>
  <si>
    <t>Xanana Nababan</t>
  </si>
  <si>
    <t>Yahya Kusumo</t>
  </si>
  <si>
    <t>Yance Palastri</t>
  </si>
  <si>
    <t>Yance Pranowo</t>
  </si>
  <si>
    <t>Yance Tamba</t>
  </si>
  <si>
    <t>Yance Winarno</t>
  </si>
  <si>
    <t>Yani Santoso</t>
  </si>
  <si>
    <t>Yoga Hakim</t>
  </si>
  <si>
    <t>Yoga Hartati</t>
  </si>
  <si>
    <t>Yoga Suryono</t>
  </si>
  <si>
    <t>Yono Wastuti</t>
  </si>
  <si>
    <t>Yulia Puspita</t>
  </si>
  <si>
    <t>Yuliana Mahendra</t>
  </si>
  <si>
    <t>Yuliana Sihombing</t>
  </si>
  <si>
    <t>Yuni Marpaung</t>
  </si>
  <si>
    <t>Yunita Namaga</t>
  </si>
  <si>
    <t>Yunita Oktaviani</t>
  </si>
  <si>
    <t>Yunita Siregar</t>
  </si>
  <si>
    <t>Zalindra Ramadan</t>
  </si>
  <si>
    <t>Zalindra Widodo</t>
  </si>
  <si>
    <t>Zamira Hutapea</t>
  </si>
  <si>
    <t>Zamira Nurdiyanti</t>
  </si>
  <si>
    <t>Zamira Simanjuntak</t>
  </si>
  <si>
    <t>Zelaya Suartini</t>
  </si>
  <si>
    <t>Zelda Fujiati</t>
  </si>
  <si>
    <t>Zizi Simanjuntak</t>
  </si>
  <si>
    <t>Zulaikha Hasanah</t>
  </si>
  <si>
    <t>Zulaikha Kusumo</t>
  </si>
  <si>
    <t>Zulaikha Kuswoyo</t>
  </si>
  <si>
    <t>Zulaikha Lestari</t>
  </si>
  <si>
    <t>Zulaikha Permadi</t>
  </si>
  <si>
    <t>Zulfa Utami</t>
  </si>
  <si>
    <t>Adinata Gunawan</t>
  </si>
  <si>
    <t>Okta Sitohang</t>
  </si>
  <si>
    <t>Farhunnisa Putri</t>
  </si>
  <si>
    <t>Balangga Kusuma</t>
  </si>
  <si>
    <t>Kusuma Tari</t>
  </si>
  <si>
    <t>Tanggal Lahir</t>
  </si>
  <si>
    <t>Jurusan</t>
  </si>
  <si>
    <t>Statistika</t>
  </si>
  <si>
    <t>Aktuaria</t>
  </si>
  <si>
    <t>Kimia</t>
  </si>
  <si>
    <t>Biologi</t>
  </si>
  <si>
    <t>Fisika</t>
  </si>
  <si>
    <t>Matematika</t>
  </si>
  <si>
    <t>Pertanyaan</t>
  </si>
  <si>
    <t>Berapa data dari kolom Jurusan yang Invalid (Tidak Valid)?</t>
  </si>
  <si>
    <t>Jurusan apa yang paling banyak memiliki data invalid?</t>
  </si>
  <si>
    <t>Ujian 1</t>
  </si>
  <si>
    <t>Ujian 2</t>
  </si>
  <si>
    <t>UTS</t>
  </si>
  <si>
    <t>Ujian 3</t>
  </si>
  <si>
    <t>Ujian 4</t>
  </si>
  <si>
    <t>UAS</t>
  </si>
  <si>
    <t>Tugas</t>
  </si>
  <si>
    <t>Nilai Akhir</t>
  </si>
  <si>
    <t>Contoh</t>
  </si>
  <si>
    <t>ID</t>
  </si>
  <si>
    <t>A0001</t>
  </si>
  <si>
    <t>B0010</t>
  </si>
  <si>
    <t>C0100</t>
  </si>
  <si>
    <t>D1000</t>
  </si>
  <si>
    <t>E0098</t>
  </si>
  <si>
    <t>F0908</t>
  </si>
  <si>
    <t>Grade</t>
  </si>
  <si>
    <t>Ujian 1 hingga Ujian 4</t>
  </si>
  <si>
    <t>UTS dan UAS</t>
  </si>
  <si>
    <t>Masing-masing 20%</t>
  </si>
  <si>
    <t>Masing-masing 12.5%</t>
  </si>
  <si>
    <t>Misal</t>
  </si>
  <si>
    <t xml:space="preserve">Absen </t>
  </si>
  <si>
    <t>Siapa yang mendapatkan Nilai Akhir paling tinggi?</t>
  </si>
  <si>
    <t>Beri Grade berdasarkan kondisi berikut ini</t>
  </si>
  <si>
    <t>90 keatas</t>
  </si>
  <si>
    <t>A</t>
  </si>
  <si>
    <t>B</t>
  </si>
  <si>
    <t>C</t>
  </si>
  <si>
    <t>80,01 sampai 90</t>
  </si>
  <si>
    <t>70,01 sampai 80</t>
  </si>
  <si>
    <t>60,01 sampai 70</t>
  </si>
  <si>
    <t>D</t>
  </si>
  <si>
    <t>40,01 sampai 60</t>
  </si>
  <si>
    <t>E</t>
  </si>
  <si>
    <t>40 dan bawah bawahnya</t>
  </si>
  <si>
    <t>ID Mahasiswa</t>
  </si>
  <si>
    <t>Golongan Darah</t>
  </si>
  <si>
    <t>Tinggi Badan</t>
  </si>
  <si>
    <t>Berat Badan</t>
  </si>
  <si>
    <t>Alamat</t>
  </si>
  <si>
    <t>Kota</t>
  </si>
  <si>
    <t>Code</t>
  </si>
  <si>
    <t>Gg. Erlangga No. 43</t>
  </si>
  <si>
    <t>Tarakan</t>
  </si>
  <si>
    <t>F0699</t>
  </si>
  <si>
    <t>Jalan Pasteur No. 97</t>
  </si>
  <si>
    <t>Padang</t>
  </si>
  <si>
    <t>E0998</t>
  </si>
  <si>
    <t>Gang Kiaracondong No. 44</t>
  </si>
  <si>
    <t>Pangkalpinang</t>
  </si>
  <si>
    <t>F0204</t>
  </si>
  <si>
    <t>Jalan Soekarno Hatta No. 45</t>
  </si>
  <si>
    <t>Sorong</t>
  </si>
  <si>
    <t>D0552</t>
  </si>
  <si>
    <t>Gg. Rawamangun No. 87</t>
  </si>
  <si>
    <t>Batam</t>
  </si>
  <si>
    <t>D0362</t>
  </si>
  <si>
    <t>Gg. Gedebage Selatan No. 16</t>
  </si>
  <si>
    <t>Samarinda</t>
  </si>
  <si>
    <t>B0955</t>
  </si>
  <si>
    <t>Jalan Ciwastra No. 05</t>
  </si>
  <si>
    <t>Banjar</t>
  </si>
  <si>
    <t>D0393</t>
  </si>
  <si>
    <t xml:space="preserve">Gang Laswi No. 9
</t>
  </si>
  <si>
    <t>Ternate</t>
  </si>
  <si>
    <t>E0799</t>
  </si>
  <si>
    <t>Jl. Rungkut Industri No. 10</t>
  </si>
  <si>
    <t>Denpasar</t>
  </si>
  <si>
    <t>E0806</t>
  </si>
  <si>
    <t xml:space="preserve">Gg. Pasirkoja No. 5
</t>
  </si>
  <si>
    <t>Cimahi</t>
  </si>
  <si>
    <t>E0549</t>
  </si>
  <si>
    <t>Gang Rajawali Timur No. 36</t>
  </si>
  <si>
    <t>F0901</t>
  </si>
  <si>
    <t>Gg. Pasirkoja No. 93</t>
  </si>
  <si>
    <t>Payakumbuh</t>
  </si>
  <si>
    <t>C0297</t>
  </si>
  <si>
    <t xml:space="preserve">Jl. Sentot Alibasa No. 0
</t>
  </si>
  <si>
    <t>C0573</t>
  </si>
  <si>
    <t xml:space="preserve">Jl. Rungkut Industri No. 5
</t>
  </si>
  <si>
    <t>Pontianak</t>
  </si>
  <si>
    <t>F0015</t>
  </si>
  <si>
    <t>Gang Gegerkalong Hilir No. 08</t>
  </si>
  <si>
    <t>E0743</t>
  </si>
  <si>
    <t>Jl. Yos Sudarso No. 91</t>
  </si>
  <si>
    <t>Bandar Lampung</t>
  </si>
  <si>
    <t>D0090</t>
  </si>
  <si>
    <t>Gg. Ir. H. Djuanda No. 33</t>
  </si>
  <si>
    <t>Mojokerto</t>
  </si>
  <si>
    <t>E0327</t>
  </si>
  <si>
    <t>Jl. Sadang Serang No. 14</t>
  </si>
  <si>
    <t>Salatiga</t>
  </si>
  <si>
    <t>F0867</t>
  </si>
  <si>
    <t>Gang Pasirkoja No. 48</t>
  </si>
  <si>
    <t>Tebingtinggi</t>
  </si>
  <si>
    <t>B0672</t>
  </si>
  <si>
    <t>Jalan Cikutra Timur No. 62</t>
  </si>
  <si>
    <t>Magelang</t>
  </si>
  <si>
    <t>D0417</t>
  </si>
  <si>
    <t>Jl. Cikutra Barat No. 38</t>
  </si>
  <si>
    <t>Meulaboh</t>
  </si>
  <si>
    <t>A0289</t>
  </si>
  <si>
    <t>Gang Medokan Ayu No. 80</t>
  </si>
  <si>
    <t>Bekasi</t>
  </si>
  <si>
    <t>A0405</t>
  </si>
  <si>
    <t xml:space="preserve">Gang Joyoboyo No. 8
</t>
  </si>
  <si>
    <t>Kota Administrasi Jakarta Selatan</t>
  </si>
  <si>
    <t>A0276</t>
  </si>
  <si>
    <t xml:space="preserve">Gg. M.T Haryono No. 2
</t>
  </si>
  <si>
    <t>Balikpapan</t>
  </si>
  <si>
    <t>C0583</t>
  </si>
  <si>
    <t xml:space="preserve">Gg. Sentot Alibasa No. 8
</t>
  </si>
  <si>
    <t>D0486</t>
  </si>
  <si>
    <t xml:space="preserve">Jalan M.T Haryono No. 8
</t>
  </si>
  <si>
    <t>A0065</t>
  </si>
  <si>
    <t>Jl. Ciwastra No. 68</t>
  </si>
  <si>
    <t>Dumai</t>
  </si>
  <si>
    <t>C0260</t>
  </si>
  <si>
    <t xml:space="preserve">Gang Cikutra Timur No. 8
</t>
  </si>
  <si>
    <t>Sibolga</t>
  </si>
  <si>
    <t>B0129</t>
  </si>
  <si>
    <t>Jl. Wonoayu No. 78</t>
  </si>
  <si>
    <t>D0292</t>
  </si>
  <si>
    <t>Jalan M.H Thamrin No. 47</t>
  </si>
  <si>
    <t>Tangerang</t>
  </si>
  <si>
    <t>A0301</t>
  </si>
  <si>
    <t>Gg. Ir. H. Djuanda No. 55</t>
  </si>
  <si>
    <t>Lubuklinggau</t>
  </si>
  <si>
    <t>C0989</t>
  </si>
  <si>
    <t>Gang Kebonjati No. 85</t>
  </si>
  <si>
    <t>Blitar</t>
  </si>
  <si>
    <t>D0491</t>
  </si>
  <si>
    <t>Jl. Sadang Serang No. 28</t>
  </si>
  <si>
    <t>B0963</t>
  </si>
  <si>
    <t>Gang Gardujati No. 90</t>
  </si>
  <si>
    <t>Tidore Kepulauan</t>
  </si>
  <si>
    <t>B0612</t>
  </si>
  <si>
    <t xml:space="preserve">Gg. Peta No. 3
</t>
  </si>
  <si>
    <t>E0591</t>
  </si>
  <si>
    <t>Gg. Kebonjati No. 65</t>
  </si>
  <si>
    <t>C0320</t>
  </si>
  <si>
    <t>Jalan Kutisari Selatan No. 49</t>
  </si>
  <si>
    <t>Tasikmalaya</t>
  </si>
  <si>
    <t>A0130</t>
  </si>
  <si>
    <t xml:space="preserve">Jl. Kendalsari No. 6
</t>
  </si>
  <si>
    <t>B0660</t>
  </si>
  <si>
    <t xml:space="preserve">Jl. Ahmad Yani No. 4
</t>
  </si>
  <si>
    <t>Mataram</t>
  </si>
  <si>
    <t>E0242</t>
  </si>
  <si>
    <t>Gg. Gegerkalong Hilir No. 12</t>
  </si>
  <si>
    <t>Solok</t>
  </si>
  <si>
    <t>E0981</t>
  </si>
  <si>
    <t>Gang Ronggowarsito No. 18</t>
  </si>
  <si>
    <t>Singkawang</t>
  </si>
  <si>
    <t>F0760</t>
  </si>
  <si>
    <t>Jalan Pacuan Kuda No. 45</t>
  </si>
  <si>
    <t>Langsa</t>
  </si>
  <si>
    <t>D0396</t>
  </si>
  <si>
    <t>Jl. Rajawali Barat No. 63</t>
  </si>
  <si>
    <t>Pekanbaru</t>
  </si>
  <si>
    <t>D0984</t>
  </si>
  <si>
    <t>Gg. Kapten Muslihat No. 53</t>
  </si>
  <si>
    <t>C0776</t>
  </si>
  <si>
    <t>Jalan Sentot Alibasa No. 39</t>
  </si>
  <si>
    <t>Cilegon</t>
  </si>
  <si>
    <t>B0467</t>
  </si>
  <si>
    <t>Gang K.H. Wahid Hasyim No. 25</t>
  </si>
  <si>
    <t>Depok</t>
  </si>
  <si>
    <t>A0394</t>
  </si>
  <si>
    <t>Gg. Erlangga No. 67</t>
  </si>
  <si>
    <t>F0422</t>
  </si>
  <si>
    <t>Gg. Ahmad Yani No. 79</t>
  </si>
  <si>
    <t>A0762</t>
  </si>
  <si>
    <t xml:space="preserve">Jl. Astana Anyar No. 2
</t>
  </si>
  <si>
    <t>Pagaralam</t>
  </si>
  <si>
    <t>E0366</t>
  </si>
  <si>
    <t xml:space="preserve">Jalan Wonoayu No. 2
</t>
  </si>
  <si>
    <t>Surakarta</t>
  </si>
  <si>
    <t>F0732</t>
  </si>
  <si>
    <t>Gang HOS. Cokroaminoto No. 41</t>
  </si>
  <si>
    <t>Prabumulih</t>
  </si>
  <si>
    <t>B0960</t>
  </si>
  <si>
    <t xml:space="preserve">Jl. Kutisari Selatan No. 0
</t>
  </si>
  <si>
    <t>D0747</t>
  </si>
  <si>
    <t>Jl. Kutisari Selatan No. 43</t>
  </si>
  <si>
    <t>B0066</t>
  </si>
  <si>
    <t>Jl. Wonoayu No. 03</t>
  </si>
  <si>
    <t>Surabaya</t>
  </si>
  <si>
    <t>A0500</t>
  </si>
  <si>
    <t>Jalan Suniaraja No. 30</t>
  </si>
  <si>
    <t>Gorontalo</t>
  </si>
  <si>
    <t>A0862</t>
  </si>
  <si>
    <t>Jl. M.T Haryono No. 56</t>
  </si>
  <si>
    <t>Kota Administrasi Jakarta Timur</t>
  </si>
  <si>
    <t>E0018</t>
  </si>
  <si>
    <t xml:space="preserve">Jalan Wonoayu No. 5
</t>
  </si>
  <si>
    <t>D0006</t>
  </si>
  <si>
    <t>Jl. Bangka Raya No. 31</t>
  </si>
  <si>
    <t>Kota Administrasi Jakarta Barat</t>
  </si>
  <si>
    <t>E0183</t>
  </si>
  <si>
    <t xml:space="preserve">Gang W.R. Supratman No. 6
</t>
  </si>
  <si>
    <t>B0891</t>
  </si>
  <si>
    <t>Gang Cikapayang No. 65</t>
  </si>
  <si>
    <t>Pematangsiantar</t>
  </si>
  <si>
    <t>C0648</t>
  </si>
  <si>
    <t>Jl. Rawamangun No. 56</t>
  </si>
  <si>
    <t>Makassar</t>
  </si>
  <si>
    <t>C0404</t>
  </si>
  <si>
    <t>Gang Raya Setiabudhi No. 60</t>
  </si>
  <si>
    <t>F0890</t>
  </si>
  <si>
    <t xml:space="preserve">Gg. Rajiman No. 2
</t>
  </si>
  <si>
    <t>Banjarbaru</t>
  </si>
  <si>
    <t>F0657</t>
  </si>
  <si>
    <t>Gg. Cihampelas No. 70</t>
  </si>
  <si>
    <t>Bengkulu</t>
  </si>
  <si>
    <t>E0073</t>
  </si>
  <si>
    <t>Gang Moch. Ramdan No. 56</t>
  </si>
  <si>
    <t>Sungai Penuh</t>
  </si>
  <si>
    <t>A0265</t>
  </si>
  <si>
    <t xml:space="preserve">Jl. Asia Afrika No. 4
</t>
  </si>
  <si>
    <t>Cirebon</t>
  </si>
  <si>
    <t>E0021</t>
  </si>
  <si>
    <t xml:space="preserve">Gg. Raya Setiabudhi No. 7
</t>
  </si>
  <si>
    <t>C0860</t>
  </si>
  <si>
    <t>Gang Rumah Sakit No. 08</t>
  </si>
  <si>
    <t>A0154</t>
  </si>
  <si>
    <t xml:space="preserve">Jl. Sukabumi No. 2
</t>
  </si>
  <si>
    <t>Bandung</t>
  </si>
  <si>
    <t>F0116</t>
  </si>
  <si>
    <t>Gg. Sukajadi No. 86</t>
  </si>
  <si>
    <t>B0589</t>
  </si>
  <si>
    <t xml:space="preserve">Gang Otto Iskandardinata No. 9
</t>
  </si>
  <si>
    <t>Yogyakarta</t>
  </si>
  <si>
    <t>F0640</t>
  </si>
  <si>
    <t>Gang Medokan Ayu No. 10</t>
  </si>
  <si>
    <t>F0095</t>
  </si>
  <si>
    <t xml:space="preserve">Jl. Kutai No. 6
</t>
  </si>
  <si>
    <t>Lhokseumawe</t>
  </si>
  <si>
    <t>B0351</t>
  </si>
  <si>
    <t>Jalan Merdeka No. 78</t>
  </si>
  <si>
    <t>Jayapura</t>
  </si>
  <si>
    <t>D0375</t>
  </si>
  <si>
    <t>Jalan Veteran No. 11</t>
  </si>
  <si>
    <t>Madiun</t>
  </si>
  <si>
    <t>F0189</t>
  </si>
  <si>
    <t>Gang Cikutra Barat No. 03</t>
  </si>
  <si>
    <t>B0956</t>
  </si>
  <si>
    <t>Jalan Cihampelas No. 01</t>
  </si>
  <si>
    <t>Kota Administrasi Jakarta Utara</t>
  </si>
  <si>
    <t>A0789</t>
  </si>
  <si>
    <t>Gg. Pasir Koja No. 72</t>
  </si>
  <si>
    <t>F0180</t>
  </si>
  <si>
    <t>Gg. Jend. A. Yani No. 47</t>
  </si>
  <si>
    <t>B0245</t>
  </si>
  <si>
    <t>Gang Rungkut Industri No. 01</t>
  </si>
  <si>
    <t>Palu</t>
  </si>
  <si>
    <t>D0668</t>
  </si>
  <si>
    <t xml:space="preserve">Gg. Jakarta No. 0
</t>
  </si>
  <si>
    <t>F0127</t>
  </si>
  <si>
    <t xml:space="preserve">Jalan Cikutra Timur No. 9
</t>
  </si>
  <si>
    <t>D0270</t>
  </si>
  <si>
    <t>Gg. W.R. Supratman No. 89</t>
  </si>
  <si>
    <t>B0677</t>
  </si>
  <si>
    <t xml:space="preserve">Gang Pacuan Kuda No. 7
</t>
  </si>
  <si>
    <t>Tual</t>
  </si>
  <si>
    <t>B0233</t>
  </si>
  <si>
    <t xml:space="preserve">Gang Indragiri No. 8
</t>
  </si>
  <si>
    <t>Bitung</t>
  </si>
  <si>
    <t>C0663</t>
  </si>
  <si>
    <t>Gang Kutai No. 21</t>
  </si>
  <si>
    <t>Bontang</t>
  </si>
  <si>
    <t>F0974</t>
  </si>
  <si>
    <t>Jl. Sadang Serang No. 60</t>
  </si>
  <si>
    <t>Palangkaraya</t>
  </si>
  <si>
    <t>E0032</t>
  </si>
  <si>
    <t xml:space="preserve">Gg. Kutisari Selatan No. 8
</t>
  </si>
  <si>
    <t>D0312</t>
  </si>
  <si>
    <t xml:space="preserve">Jl. Merdeka No. 1
</t>
  </si>
  <si>
    <t>Manado</t>
  </si>
  <si>
    <t>D0773</t>
  </si>
  <si>
    <t>Jalan Peta No. 14</t>
  </si>
  <si>
    <t>D0442</t>
  </si>
  <si>
    <t>Jalan Stasiun Wonokromo No. 03</t>
  </si>
  <si>
    <t>F0505</t>
  </si>
  <si>
    <t>Gang Gedebage Selatan No. 22</t>
  </si>
  <si>
    <t>D0105</t>
  </si>
  <si>
    <t>Gg. Pasirkoja No. 98</t>
  </si>
  <si>
    <t>F0282</t>
  </si>
  <si>
    <t>Jl. Rajawali Barat No. 96</t>
  </si>
  <si>
    <t>Pekalongan</t>
  </si>
  <si>
    <t>D0424</t>
  </si>
  <si>
    <t>Jalan Gedebage Selatan No. 07</t>
  </si>
  <si>
    <t>Kediri</t>
  </si>
  <si>
    <t>D0061</t>
  </si>
  <si>
    <t>Jalan Ciwastra No. 63</t>
  </si>
  <si>
    <t>Palopo</t>
  </si>
  <si>
    <t>B0431</t>
  </si>
  <si>
    <t>Jalan Rawamangun No. 49</t>
  </si>
  <si>
    <t>A0775</t>
  </si>
  <si>
    <t>Jl. Moch. Ramdan No. 35</t>
  </si>
  <si>
    <t>E0450</t>
  </si>
  <si>
    <t>Gang Ahmad Dahlan No. 37</t>
  </si>
  <si>
    <t>Padangpanjang</t>
  </si>
  <si>
    <t>A0016</t>
  </si>
  <si>
    <t>Gang Kapten Muslihat No. 86</t>
  </si>
  <si>
    <t>F0368</t>
  </si>
  <si>
    <t>Gg. Dipatiukur No. 07</t>
  </si>
  <si>
    <t>F0349</t>
  </si>
  <si>
    <t xml:space="preserve">Jl. Ahmad Yani No. 7
</t>
  </si>
  <si>
    <t>C0683</t>
  </si>
  <si>
    <t xml:space="preserve">Gg. Pasirkoja No. 8
</t>
  </si>
  <si>
    <t>C0453</t>
  </si>
  <si>
    <t>Jalan Rajiman No. 79</t>
  </si>
  <si>
    <t>E0639</t>
  </si>
  <si>
    <t>Jl. Monginsidi No. 91</t>
  </si>
  <si>
    <t>Jambi</t>
  </si>
  <si>
    <t>B0778</t>
  </si>
  <si>
    <t>Jl. Waringin No. 03</t>
  </si>
  <si>
    <t>C0616</t>
  </si>
  <si>
    <t>Jl. Laswi No. 62</t>
  </si>
  <si>
    <t>B0675</t>
  </si>
  <si>
    <t>Jl. Jamika No. 09</t>
  </si>
  <si>
    <t>Bau-Bau</t>
  </si>
  <si>
    <t>C0873</t>
  </si>
  <si>
    <t>Gang Laswi No. 60</t>
  </si>
  <si>
    <t>C0474</t>
  </si>
  <si>
    <t xml:space="preserve">Gang Kiaracondong No. 8
</t>
  </si>
  <si>
    <t>Palembang</t>
  </si>
  <si>
    <t>A0966</t>
  </si>
  <si>
    <t>Gg. Astana Anyar No. 64</t>
  </si>
  <si>
    <t>E0852</t>
  </si>
  <si>
    <t>Gang Jend. Sudirman No. 95</t>
  </si>
  <si>
    <t>E0395</t>
  </si>
  <si>
    <t>Gg. Tubagus Ismail No. 99</t>
  </si>
  <si>
    <t>A0905</t>
  </si>
  <si>
    <t>Jl. Jayawijaya No. 73</t>
  </si>
  <si>
    <t>D0704</t>
  </si>
  <si>
    <t>Gg. Monginsidi No. 16</t>
  </si>
  <si>
    <t>Bukittinggi</t>
  </si>
  <si>
    <t>A0816</t>
  </si>
  <si>
    <t>Jalan Kapten Muslihat No. 61</t>
  </si>
  <si>
    <t>D0844</t>
  </si>
  <si>
    <t xml:space="preserve">Gang Pasteur No. 4
</t>
  </si>
  <si>
    <t>E0071</t>
  </si>
  <si>
    <t xml:space="preserve">Gang Ahmad Yani No. 1
</t>
  </si>
  <si>
    <t>D0959</t>
  </si>
  <si>
    <t>Jl. Dipatiukur No. 38</t>
  </si>
  <si>
    <t>D0918</t>
  </si>
  <si>
    <t xml:space="preserve">Gang Rajawali Timur No. 4
</t>
  </si>
  <si>
    <t>C0029</t>
  </si>
  <si>
    <t>Jalan Pasteur No. 62</t>
  </si>
  <si>
    <t>Subulussalam</t>
  </si>
  <si>
    <t>E0556</t>
  </si>
  <si>
    <t>Jalan Raya Setiabudhi No. 92</t>
  </si>
  <si>
    <t>A0529</t>
  </si>
  <si>
    <t xml:space="preserve">Jalan Waringin No. 6
</t>
  </si>
  <si>
    <t>Padang Sidempuan</t>
  </si>
  <si>
    <t>B0515</t>
  </si>
  <si>
    <t>Gg. Cikutra Barat No. 82</t>
  </si>
  <si>
    <t>B0745</t>
  </si>
  <si>
    <t xml:space="preserve">Jl. Cikutra Barat No. 9
</t>
  </si>
  <si>
    <t>A0819</t>
  </si>
  <si>
    <t xml:space="preserve">Jalan S. Parman No. 7
</t>
  </si>
  <si>
    <t>F0251</t>
  </si>
  <si>
    <t>Jl. Setiabudhi No. 18</t>
  </si>
  <si>
    <t>Medan</t>
  </si>
  <si>
    <t>D0447</t>
  </si>
  <si>
    <t>Jalan PHH. Mustofa No. 42</t>
  </si>
  <si>
    <t>D0224</t>
  </si>
  <si>
    <t xml:space="preserve">Gg. Suryakencana No. 0
</t>
  </si>
  <si>
    <t>D0238</t>
  </si>
  <si>
    <t>Gang Jend. Sudirman No. 69</t>
  </si>
  <si>
    <t>A0370</t>
  </si>
  <si>
    <t xml:space="preserve">Jalan Pasir Koja No. 1
</t>
  </si>
  <si>
    <t>Tanjungbalai</t>
  </si>
  <si>
    <t>F0244</t>
  </si>
  <si>
    <t xml:space="preserve">Gang Asia Afrika No. 8
</t>
  </si>
  <si>
    <t>E0509</t>
  </si>
  <si>
    <t xml:space="preserve">Jalan Sentot Alibasa No. 4
</t>
  </si>
  <si>
    <t>B0650</t>
  </si>
  <si>
    <t xml:space="preserve">Jl. Jayawijaya No. 7
</t>
  </si>
  <si>
    <t>Malang</t>
  </si>
  <si>
    <t>D0003</t>
  </si>
  <si>
    <t xml:space="preserve">Gang Medokan Ayu No. 6
</t>
  </si>
  <si>
    <t>E0227</t>
  </si>
  <si>
    <t xml:space="preserve">Jl. Pasirkoja No. 3
</t>
  </si>
  <si>
    <t>E0322</t>
  </si>
  <si>
    <t>Jalan Abdul Muis No. 50</t>
  </si>
  <si>
    <t>F0360</t>
  </si>
  <si>
    <t>Jalan Waringin No. 50</t>
  </si>
  <si>
    <t>Parepare</t>
  </si>
  <si>
    <t>E0043</t>
  </si>
  <si>
    <t>Jalan Asia Afrika No. 15</t>
  </si>
  <si>
    <t>B0744</t>
  </si>
  <si>
    <t>Jl. Ahmad Yani No. 72</t>
  </si>
  <si>
    <t>C0907</t>
  </si>
  <si>
    <t>Jl. BKR No. 67</t>
  </si>
  <si>
    <t>B0193</t>
  </si>
  <si>
    <t>Jl. Jayawijaya No. 33</t>
  </si>
  <si>
    <t>D0550</t>
  </si>
  <si>
    <t>Jalan Moch. Ramdan No. 63</t>
  </si>
  <si>
    <t>A0820</t>
  </si>
  <si>
    <t>Jalan Stasiun Wonokromo No. 12</t>
  </si>
  <si>
    <t>D0846</t>
  </si>
  <si>
    <t xml:space="preserve">Gang Ciwastra No. 6
</t>
  </si>
  <si>
    <t>A0373</t>
  </si>
  <si>
    <t xml:space="preserve">Gang Moch. Ramdan No. 3
</t>
  </si>
  <si>
    <t>C0882</t>
  </si>
  <si>
    <t>Gg. Tubagus Ismail No. 22</t>
  </si>
  <si>
    <t>Kotamobagu</t>
  </si>
  <si>
    <t>E0385</t>
  </si>
  <si>
    <t>Jl. M.H Thamrin No. 98</t>
  </si>
  <si>
    <t>B0770</t>
  </si>
  <si>
    <t xml:space="preserve">Gg. Otto Iskandardinata No. 8
</t>
  </si>
  <si>
    <t>Bogor</t>
  </si>
  <si>
    <t>C0551</t>
  </si>
  <si>
    <t xml:space="preserve">Jl. Monginsidi No. 3
</t>
  </si>
  <si>
    <t>B0702</t>
  </si>
  <si>
    <t>Jl. Indragiri No. 50</t>
  </si>
  <si>
    <t>C0049</t>
  </si>
  <si>
    <t xml:space="preserve">Gang Kiaracondong No. 5
</t>
  </si>
  <si>
    <t>C0205</t>
  </si>
  <si>
    <t>Jalan Ronggowarsito No. 42</t>
  </si>
  <si>
    <t>B0887</t>
  </si>
  <si>
    <t>Gang Peta No. 79</t>
  </si>
  <si>
    <t>B0720</t>
  </si>
  <si>
    <t>Jl. Rumah Sakit No. 08</t>
  </si>
  <si>
    <t>B0082</t>
  </si>
  <si>
    <t>Gang Bangka Raya No. 72</t>
  </si>
  <si>
    <t>Pariaman</t>
  </si>
  <si>
    <t>C0658</t>
  </si>
  <si>
    <t>Gang Sukabumi No. 57</t>
  </si>
  <si>
    <t>D0068</t>
  </si>
  <si>
    <t>Gang Gedebage Selatan No. 09</t>
  </si>
  <si>
    <t>F0374</t>
  </si>
  <si>
    <t>Gg. Sukabumi No. 67</t>
  </si>
  <si>
    <t>E0790</t>
  </si>
  <si>
    <t xml:space="preserve">Jl. Ir. H. Djuanda No. 0
</t>
  </si>
  <si>
    <t>D0153</t>
  </si>
  <si>
    <t xml:space="preserve">Gg. Kutisari Selatan No. 0
</t>
  </si>
  <si>
    <t>A0601</t>
  </si>
  <si>
    <t>Jalan Rajiman No. 35</t>
  </si>
  <si>
    <t>D0157</t>
  </si>
  <si>
    <t>Jl. Otto Iskandardinata No. 55</t>
  </si>
  <si>
    <t>A0284</t>
  </si>
  <si>
    <t>Gang Wonoayu No. 62</t>
  </si>
  <si>
    <t>F0738</t>
  </si>
  <si>
    <t xml:space="preserve">Jl. Jakarta No. 3
</t>
  </si>
  <si>
    <t>B0269</t>
  </si>
  <si>
    <t xml:space="preserve">Gang Cempaka No. 2
</t>
  </si>
  <si>
    <t>B0924</t>
  </si>
  <si>
    <t>Gg. Veteran No. 86</t>
  </si>
  <si>
    <t>B0124</t>
  </si>
  <si>
    <t>Jl. Asia Afrika No. 30</t>
  </si>
  <si>
    <t>E0724</t>
  </si>
  <si>
    <t>Gg. Surapati No. 82</t>
  </si>
  <si>
    <t>E0050</t>
  </si>
  <si>
    <t xml:space="preserve">Gang Rawamangun No. 3
</t>
  </si>
  <si>
    <t>A0876</t>
  </si>
  <si>
    <t>Jl. Soekarno Hatta No. 42</t>
  </si>
  <si>
    <t>Tomohon</t>
  </si>
  <si>
    <t>A0746</t>
  </si>
  <si>
    <t xml:space="preserve">Gang Soekarno Hatta No. 7
</t>
  </si>
  <si>
    <t>Kupang</t>
  </si>
  <si>
    <t>C0173</t>
  </si>
  <si>
    <t>Jl. H.J Maemunah No. 72</t>
  </si>
  <si>
    <t>D0841</t>
  </si>
  <si>
    <t xml:space="preserve">Jl. Pasteur No. 0
</t>
  </si>
  <si>
    <t>Batu</t>
  </si>
  <si>
    <t>B0818</t>
  </si>
  <si>
    <t xml:space="preserve">Gg. Rumah Sakit No. 4
</t>
  </si>
  <si>
    <t>D0869</t>
  </si>
  <si>
    <t xml:space="preserve">Gg. Moch. Ramdan No. 8
</t>
  </si>
  <si>
    <t>E0499</t>
  </si>
  <si>
    <t xml:space="preserve">Jalan Ronggowarsito No. 2
</t>
  </si>
  <si>
    <t>C0793</t>
  </si>
  <si>
    <t>Jalan Jend. A. Yani No. 73</t>
  </si>
  <si>
    <t>C0451</t>
  </si>
  <si>
    <t>F0008</t>
  </si>
  <si>
    <t>Gang Moch. Toha No. 86</t>
  </si>
  <si>
    <t>F0689</t>
  </si>
  <si>
    <t xml:space="preserve">Jl. Jend. Sudirman No. 9
</t>
  </si>
  <si>
    <t>Probolinggo</t>
  </si>
  <si>
    <t>F0473</t>
  </si>
  <si>
    <t>Jl. Jend. A. Yani No. 08</t>
  </si>
  <si>
    <t>C0655</t>
  </si>
  <si>
    <t xml:space="preserve">Gang Gardujati No. 1
</t>
  </si>
  <si>
    <t>F0047</t>
  </si>
  <si>
    <t>Jalan Jayawijaya No. 91</t>
  </si>
  <si>
    <t>A0033</t>
  </si>
  <si>
    <t>Jl. Suniaraja No. 25</t>
  </si>
  <si>
    <t>F0099</t>
  </si>
  <si>
    <t>Gg. Moch. Toha No. 99</t>
  </si>
  <si>
    <t>A0710</t>
  </si>
  <si>
    <t xml:space="preserve">Gang Tubagus Ismail No. 4
</t>
  </si>
  <si>
    <t>E0308</t>
  </si>
  <si>
    <t xml:space="preserve">Gang Ahmad Dahlan No. 7
</t>
  </si>
  <si>
    <t>D0004</t>
  </si>
  <si>
    <t xml:space="preserve">Gang Cihampelas No. 1
</t>
  </si>
  <si>
    <t>D0559</t>
  </si>
  <si>
    <t xml:space="preserve">Jl. M.T Haryono No. 0
</t>
  </si>
  <si>
    <t>B0962</t>
  </si>
  <si>
    <t>Gg. Ciumbuleuit No. 29</t>
  </si>
  <si>
    <t>B0982</t>
  </si>
  <si>
    <t>Gang Pelajar Pejuang No. 49</t>
  </si>
  <si>
    <t>D0027</t>
  </si>
  <si>
    <t>Gg. Soekarno Hatta No. 12</t>
  </si>
  <si>
    <t>Banjarmasin</t>
  </si>
  <si>
    <t>A0438</t>
  </si>
  <si>
    <t>Jalan Dipenogoro No. 70</t>
  </si>
  <si>
    <t>Banda Aceh</t>
  </si>
  <si>
    <t>C0019</t>
  </si>
  <si>
    <t xml:space="preserve">Jl. Indragiri No. 8
</t>
  </si>
  <si>
    <t>E0314</t>
  </si>
  <si>
    <t>Jalan Ronggowarsito No. 39</t>
  </si>
  <si>
    <t>E0874</t>
  </si>
  <si>
    <t>Jl. W.R. Supratman No. 86</t>
  </si>
  <si>
    <t>Semarang</t>
  </si>
  <si>
    <t>D0783</t>
  </si>
  <si>
    <t xml:space="preserve">Jl. Suryakencana No. 7
</t>
  </si>
  <si>
    <t>F0296</t>
  </si>
  <si>
    <t>Jl. Tubagus Ismail No. 73</t>
  </si>
  <si>
    <t>D0287</t>
  </si>
  <si>
    <t xml:space="preserve">Gang Sukajadi No. 1
</t>
  </si>
  <si>
    <t>E0909</t>
  </si>
  <si>
    <t xml:space="preserve">Jalan Rawamangun No. 7
</t>
  </si>
  <si>
    <t>A0766</t>
  </si>
  <si>
    <t>Jalan BKR No. 03</t>
  </si>
  <si>
    <t>D0825</t>
  </si>
  <si>
    <t>Jl. Jamika No. 21</t>
  </si>
  <si>
    <t>B0761</t>
  </si>
  <si>
    <t>Gang Surapati No. 95</t>
  </si>
  <si>
    <t>B0042</t>
  </si>
  <si>
    <t>Jl. Gardujati No. 57</t>
  </si>
  <si>
    <t>B0676</t>
  </si>
  <si>
    <t xml:space="preserve">Gg. Joyoboyo No. 1
</t>
  </si>
  <si>
    <t>F0471</t>
  </si>
  <si>
    <t>Jl. Kebonjati No. 12</t>
  </si>
  <si>
    <t>B0829</t>
  </si>
  <si>
    <t>Gg. Joyoboyo No. 46</t>
  </si>
  <si>
    <t>E0851</t>
  </si>
  <si>
    <t>Gang PHH. Mustofa No. 91</t>
  </si>
  <si>
    <t>D0337</t>
  </si>
  <si>
    <t>Gang Monginsidi No. 08</t>
  </si>
  <si>
    <t>E0175</t>
  </si>
  <si>
    <t>Jl. Monginsidi No. 60</t>
  </si>
  <si>
    <t>B0166</t>
  </si>
  <si>
    <t xml:space="preserve">Gg. Stasiun Wonokromo No. 1
</t>
  </si>
  <si>
    <t>D0934</t>
  </si>
  <si>
    <t>Jalan Otto Iskandardinata No. 30</t>
  </si>
  <si>
    <t>E0452</t>
  </si>
  <si>
    <t xml:space="preserve">Gang Jamika No. 2
</t>
  </si>
  <si>
    <t>A0678</t>
  </si>
  <si>
    <t xml:space="preserve">Gang Yos Sudarso No. 9
</t>
  </si>
  <si>
    <t>Metro</t>
  </si>
  <si>
    <t>D0965</t>
  </si>
  <si>
    <t>Gang Kutisari Selatan No. 72</t>
  </si>
  <si>
    <t>D0437</t>
  </si>
  <si>
    <t>Jl. Ciwastra No. 69</t>
  </si>
  <si>
    <t>B0610</t>
  </si>
  <si>
    <t>Jalan M.H Thamrin No. 08</t>
  </si>
  <si>
    <t>D0359</t>
  </si>
  <si>
    <t xml:space="preserve">Jalan Pacuan Kuda No. 5
</t>
  </si>
  <si>
    <t>Purwokerto</t>
  </si>
  <si>
    <t>D0347</t>
  </si>
  <si>
    <t>Gang Siliwangi No. 07</t>
  </si>
  <si>
    <t>C0794</t>
  </si>
  <si>
    <t xml:space="preserve">Jalan W.R. Supratman No. 2
</t>
  </si>
  <si>
    <t>C0460</t>
  </si>
  <si>
    <t>Gang Raya Ujungberung No. 29</t>
  </si>
  <si>
    <t>D0457</t>
  </si>
  <si>
    <t>Jl. Pasir Koja No. 36</t>
  </si>
  <si>
    <t>A0843</t>
  </si>
  <si>
    <t>Gg. Dipenogoro No. 50</t>
  </si>
  <si>
    <t>Binjai</t>
  </si>
  <si>
    <t>C0631</t>
  </si>
  <si>
    <t xml:space="preserve">Gang Astana Anyar No. 3
</t>
  </si>
  <si>
    <t>D0645</t>
  </si>
  <si>
    <t>Jl. Medokan Ayu No. 73</t>
  </si>
  <si>
    <t>C0030</t>
  </si>
  <si>
    <t>Gg. Veteran No. 48</t>
  </si>
  <si>
    <t>A0854</t>
  </si>
  <si>
    <t xml:space="preserve">Gang Kebonjati No. 8
</t>
  </si>
  <si>
    <t>F0078</t>
  </si>
  <si>
    <t xml:space="preserve">Jalan Suryakencana No. 7
</t>
  </si>
  <si>
    <t>F0215</t>
  </si>
  <si>
    <t>Jalan Soekarno Hatta No. 91</t>
  </si>
  <si>
    <t>F0484</t>
  </si>
  <si>
    <t xml:space="preserve">Jalan PHH. Mustofa No. 6
</t>
  </si>
  <si>
    <t>C0300</t>
  </si>
  <si>
    <t>Jalan S. Parman No. 45</t>
  </si>
  <si>
    <t>B0553</t>
  </si>
  <si>
    <t>Gg. M.T Haryono No. 96</t>
  </si>
  <si>
    <t>C0804</t>
  </si>
  <si>
    <t xml:space="preserve">Jl. Rajawali Barat No. 3
</t>
  </si>
  <si>
    <t>C0548</t>
  </si>
  <si>
    <t>Gang Otto Iskandardinata No. 69</t>
  </si>
  <si>
    <t>A0604</t>
  </si>
  <si>
    <t xml:space="preserve">Gang Gardujati No. 4
</t>
  </si>
  <si>
    <t>E0765</t>
  </si>
  <si>
    <t>Jl. Yos Sudarso No. 38</t>
  </si>
  <si>
    <t>D0171</t>
  </si>
  <si>
    <t>Jalan Kendalsari No. 20</t>
  </si>
  <si>
    <t>C0620</t>
  </si>
  <si>
    <t>Jl. Peta No. 76</t>
  </si>
  <si>
    <t>F0971</t>
  </si>
  <si>
    <t xml:space="preserve">Gg. Pacuan Kuda No. 6
</t>
  </si>
  <si>
    <t>D0911</t>
  </si>
  <si>
    <t xml:space="preserve">Gg. Kiaracondong No. 6
</t>
  </si>
  <si>
    <t>A0485</t>
  </si>
  <si>
    <t>Gg. Cempaka No. 58</t>
  </si>
  <si>
    <t>B0009</t>
  </si>
  <si>
    <t>Gg. Dipatiukur No. 10</t>
  </si>
  <si>
    <t>D0039</t>
  </si>
  <si>
    <t>Jl. Sukabumi No. 07</t>
  </si>
  <si>
    <t>F0598</t>
  </si>
  <si>
    <t>Gang K.H. Wahid Hasyim No. 54</t>
  </si>
  <si>
    <t>C0246</t>
  </si>
  <si>
    <t xml:space="preserve">Jalan Medokan Ayu No. 3
</t>
  </si>
  <si>
    <t>C0101</t>
  </si>
  <si>
    <t>Gg. HOS. Cokroaminoto No. 02</t>
  </si>
  <si>
    <t>A0279</t>
  </si>
  <si>
    <t xml:space="preserve">Gg. Pasirkoja No. 2
</t>
  </si>
  <si>
    <t>A0774</t>
  </si>
  <si>
    <t>Jalan Indragiri No. 47</t>
  </si>
  <si>
    <t>F0126</t>
  </si>
  <si>
    <t xml:space="preserve">Jl. Jend. A. Yani No. 1
</t>
  </si>
  <si>
    <t>A0780</t>
  </si>
  <si>
    <t xml:space="preserve">Gg. Ciumbuleuit No. 1
</t>
  </si>
  <si>
    <t>C0278</t>
  </si>
  <si>
    <t>Gang Ir. H. Djuanda No. 36</t>
  </si>
  <si>
    <t>E0433</t>
  </si>
  <si>
    <t xml:space="preserve">Gg. Kutai No. 0
</t>
  </si>
  <si>
    <t>C0623</t>
  </si>
  <si>
    <t>Jl. Suryakencana No. 68</t>
  </si>
  <si>
    <t>F0134</t>
  </si>
  <si>
    <t>Jl. Medokan Ayu No. 74</t>
  </si>
  <si>
    <t>F0446</t>
  </si>
  <si>
    <t xml:space="preserve">Jalan Dr. Djunjunan No. 3
</t>
  </si>
  <si>
    <t>B0079</t>
  </si>
  <si>
    <t>Gg. Pelajar Pejuang No. 62</t>
  </si>
  <si>
    <t>F0403</t>
  </si>
  <si>
    <t xml:space="preserve">Jl. Asia Afrika No. 1
</t>
  </si>
  <si>
    <t>E0353</t>
  </si>
  <si>
    <t>Gg. Ahmad Dahlan No. 89</t>
  </si>
  <si>
    <t>D0840</t>
  </si>
  <si>
    <t xml:space="preserve">Gg. H.J Maemunah No. 3
</t>
  </si>
  <si>
    <t>F0234</t>
  </si>
  <si>
    <t xml:space="preserve">Jalan Gegerkalong Hilir No. 0
</t>
  </si>
  <si>
    <t>D0102</t>
  </si>
  <si>
    <t>Gg. K.H. Wahid Hasyim No. 78</t>
  </si>
  <si>
    <t>F0914</t>
  </si>
  <si>
    <t>Gg. HOS. Cokroaminoto No. 95</t>
  </si>
  <si>
    <t>B0662</t>
  </si>
  <si>
    <t xml:space="preserve">Jl. Pasteur No. 4
</t>
  </si>
  <si>
    <t>F0172</t>
  </si>
  <si>
    <t>Jl. Cikapayang No. 52</t>
  </si>
  <si>
    <t>D0382</t>
  </si>
  <si>
    <t>Gg. Erlangga No. 85</t>
  </si>
  <si>
    <t>F0410</t>
  </si>
  <si>
    <t>Jl. Rajawali Barat No. 19</t>
  </si>
  <si>
    <t>B0784</t>
  </si>
  <si>
    <t>Jalan Monginsidi No. 21</t>
  </si>
  <si>
    <t>Tangerang Selatan</t>
  </si>
  <si>
    <t>D0163</t>
  </si>
  <si>
    <t xml:space="preserve">Gg. Tebet Barat Dalam No. 6
</t>
  </si>
  <si>
    <t>D0983</t>
  </si>
  <si>
    <t>Gg. Astana Anyar No. 05</t>
  </si>
  <si>
    <t>F0611</t>
  </si>
  <si>
    <t xml:space="preserve">Jl. Monginsidi No. 4
</t>
  </si>
  <si>
    <t>E0560</t>
  </si>
  <si>
    <t>Gang Soekarno Hatta No. 47</t>
  </si>
  <si>
    <t>E0254</t>
  </si>
  <si>
    <t>Jalan Otto Iskandardinata No. 85</t>
  </si>
  <si>
    <t>E0145</t>
  </si>
  <si>
    <t xml:space="preserve">Jl. Rumah Sakit No. 8
</t>
  </si>
  <si>
    <t>C0602</t>
  </si>
  <si>
    <t>Gang Moch. Ramdan No. 25</t>
  </si>
  <si>
    <t>C0406</t>
  </si>
  <si>
    <t>Jalan Setiabudhi No. 75</t>
  </si>
  <si>
    <t>D0114</t>
  </si>
  <si>
    <t>Gang Dr. Djunjunan No. 37</t>
  </si>
  <si>
    <t>B0705</t>
  </si>
  <si>
    <t>Gg. Monginsidi No. 76</t>
  </si>
  <si>
    <t>C0086</t>
  </si>
  <si>
    <t xml:space="preserve">Gang Peta No. 5
</t>
  </si>
  <si>
    <t>B0542</t>
  </si>
  <si>
    <t xml:space="preserve">Gg. Tebet Barat Dalam No. 8
</t>
  </si>
  <si>
    <t>D0558</t>
  </si>
  <si>
    <t xml:space="preserve">Jalan Gedebage Selatan No. 5
</t>
  </si>
  <si>
    <t>Sukabumi</t>
  </si>
  <si>
    <t>D0555</t>
  </si>
  <si>
    <t>Jl. Surapati No. 98</t>
  </si>
  <si>
    <t>A0239</t>
  </si>
  <si>
    <t>Gg. Rajawali Barat No. 45</t>
  </si>
  <si>
    <t>A0861</t>
  </si>
  <si>
    <t>Jl. Sukajadi No. 80</t>
  </si>
  <si>
    <t>Kendari</t>
  </si>
  <si>
    <t>D0421</t>
  </si>
  <si>
    <t xml:space="preserve">Jalan Cikutra Barat No. 0
</t>
  </si>
  <si>
    <t>B0523</t>
  </si>
  <si>
    <t xml:space="preserve">Gang Sentot Alibasa No. 4
</t>
  </si>
  <si>
    <t>F0701</t>
  </si>
  <si>
    <t>Gang Otto Iskandardinata No. 06</t>
  </si>
  <si>
    <t>B0035</t>
  </si>
  <si>
    <t>Gang Antapani Lama No. 00</t>
  </si>
  <si>
    <t>C0626</t>
  </si>
  <si>
    <t xml:space="preserve">Jalan Surapati No. 6
</t>
  </si>
  <si>
    <t>D0266</t>
  </si>
  <si>
    <t>Gg. Otto Iskandardinata No. 43</t>
  </si>
  <si>
    <t>A0978</t>
  </si>
  <si>
    <t>Jalan KH Amin Jasuta No. 27</t>
  </si>
  <si>
    <t>B0621</t>
  </si>
  <si>
    <t>Jalan Pelajar Pejuang No. 01</t>
  </si>
  <si>
    <t>B0847</t>
  </si>
  <si>
    <t>Jl. Pasir Koja No. 51</t>
  </si>
  <si>
    <t>B0530</t>
  </si>
  <si>
    <t>Jl. Soekarno Hatta No. 82</t>
  </si>
  <si>
    <t>E0080</t>
  </si>
  <si>
    <t>Gang Astana Anyar No. 20</t>
  </si>
  <si>
    <t>E0569</t>
  </si>
  <si>
    <t>Gg. Stasiun Wonokromo No. 34</t>
  </si>
  <si>
    <t>C0985</t>
  </si>
  <si>
    <t>Gg. Jend. A. Yani No. 66</t>
  </si>
  <si>
    <t>E0176</t>
  </si>
  <si>
    <t xml:space="preserve">Gang Lembong No. 8
</t>
  </si>
  <si>
    <t>C0800</t>
  </si>
  <si>
    <t>Gang Rajawali Barat No. 56</t>
  </si>
  <si>
    <t>C0494</t>
  </si>
  <si>
    <t>Jl. Ir. H. Djuanda No. 77</t>
  </si>
  <si>
    <t>E0968</t>
  </si>
  <si>
    <t xml:space="preserve">Jl. Jakarta No. 2
</t>
  </si>
  <si>
    <t>C0646</t>
  </si>
  <si>
    <t xml:space="preserve">Gg. Stasiun Wonokromo No. 5
</t>
  </si>
  <si>
    <t>B0625</t>
  </si>
  <si>
    <t>Jl. Ahmad Yani No. 43</t>
  </si>
  <si>
    <t>B0637</t>
  </si>
  <si>
    <t>Gg. BKR No. 13</t>
  </si>
  <si>
    <t>E0574</t>
  </si>
  <si>
    <t xml:space="preserve">Jalan Jakarta No. 9
</t>
  </si>
  <si>
    <t>Kota Administrasi Jakarta Pusat</t>
  </si>
  <si>
    <t>B0456</t>
  </si>
  <si>
    <t>Jalan Cikapayang No. 41</t>
  </si>
  <si>
    <t>C0397</t>
  </si>
  <si>
    <t xml:space="preserve">Jl. Moch. Ramdan No. 5
</t>
  </si>
  <si>
    <t>B0439</t>
  </si>
  <si>
    <t>Gang Jend. Sudirman No. 63</t>
  </si>
  <si>
    <t>B0518</t>
  </si>
  <si>
    <t xml:space="preserve">Jl. Kebonjati No. 5
</t>
  </si>
  <si>
    <t>E0605</t>
  </si>
  <si>
    <t>Jl. Laswi No. 87</t>
  </si>
  <si>
    <t>A0969</t>
  </si>
  <si>
    <t>B0480</t>
  </si>
  <si>
    <t>Jl. Otto Iskandardinata No. 70</t>
  </si>
  <si>
    <t>B0568</t>
  </si>
  <si>
    <t>Jl. Soekarno Hatta No. 88</t>
  </si>
  <si>
    <t>A0536</t>
  </si>
  <si>
    <t>Jalan Gardujati No. 82</t>
  </si>
  <si>
    <t>A0596</t>
  </si>
  <si>
    <t>Gg. Astana Anyar No. 49</t>
  </si>
  <si>
    <t>Ambon</t>
  </si>
  <si>
    <t>C0357</t>
  </si>
  <si>
    <t>Gang Cikapayang No. 76</t>
  </si>
  <si>
    <t>D0165</t>
  </si>
  <si>
    <t>Jl. Yos Sudarso No. 26</t>
  </si>
  <si>
    <t>E0285</t>
  </si>
  <si>
    <t>C0842</t>
  </si>
  <si>
    <t>Gg. Rumah Sakit No. 60</t>
  </si>
  <si>
    <t>D0571</t>
  </si>
  <si>
    <t>Jl. Abdul Muis No. 96</t>
  </si>
  <si>
    <t>B0619</t>
  </si>
  <si>
    <t>Gang Siliwangi No. 32</t>
  </si>
  <si>
    <t>C0121</t>
  </si>
  <si>
    <t xml:space="preserve">Gg. Rajawali Barat No. 7
</t>
  </si>
  <si>
    <t>F0162</t>
  </si>
  <si>
    <t>Gang Cihampelas No. 05</t>
  </si>
  <si>
    <t>C0752</t>
  </si>
  <si>
    <t xml:space="preserve">Gang W.R. Supratman No. 0
</t>
  </si>
  <si>
    <t>C0481</t>
  </si>
  <si>
    <t>Gg. Asia Afrika No. 12</t>
  </si>
  <si>
    <t>E0669</t>
  </si>
  <si>
    <t xml:space="preserve">Gg. Setiabudhi No. 3
</t>
  </si>
  <si>
    <t>D0991</t>
  </si>
  <si>
    <t xml:space="preserve">Gang Kutai No. 1
</t>
  </si>
  <si>
    <t>A0964</t>
  </si>
  <si>
    <t>Jalan Surapati No. 19</t>
  </si>
  <si>
    <t>C0085</t>
  </si>
  <si>
    <t xml:space="preserve">Gg. Kiaracondong No. 9
</t>
  </si>
  <si>
    <t>E0826</t>
  </si>
  <si>
    <t>Gang Jamika No. 82</t>
  </si>
  <si>
    <t>B0495</t>
  </si>
  <si>
    <t>Jalan Suryakencana No. 20</t>
  </si>
  <si>
    <t>F0356</t>
  </si>
  <si>
    <t>Jalan Pacuan Kuda No. 81</t>
  </si>
  <si>
    <t>C0398</t>
  </si>
  <si>
    <t>Jl. Suniaraja No. 37</t>
  </si>
  <si>
    <t>C0151</t>
  </si>
  <si>
    <t>Jalan Bangka Raya No. 36</t>
  </si>
  <si>
    <t>A0609</t>
  </si>
  <si>
    <t xml:space="preserve">Gg. Ahmad Yani No. 8
</t>
  </si>
  <si>
    <t>F0946</t>
  </si>
  <si>
    <t xml:space="preserve">Jl. PHH. Mustofa No. 9
</t>
  </si>
  <si>
    <t>Bima</t>
  </si>
  <si>
    <t>C0647</t>
  </si>
  <si>
    <t>Gang Dipatiukur No. 95</t>
  </si>
  <si>
    <t>B0684</t>
  </si>
  <si>
    <t xml:space="preserve">Gang W.R. Supratman No. 9
</t>
  </si>
  <si>
    <t>D0400</t>
  </si>
  <si>
    <t xml:space="preserve">Jalan Yos Sudarso No. 5
</t>
  </si>
  <si>
    <t>E0089</t>
  </si>
  <si>
    <t>Gang M.T Haryono No. 25</t>
  </si>
  <si>
    <t>A0970</t>
  </si>
  <si>
    <t xml:space="preserve">Gg. Ahmad Yani No. 0
</t>
  </si>
  <si>
    <t>C0788</t>
  </si>
  <si>
    <t xml:space="preserve">Gg. M.H Thamrin No. 5
</t>
  </si>
  <si>
    <t>A0041</t>
  </si>
  <si>
    <t>Jl. Otto Iskandardinata No. 19</t>
  </si>
  <si>
    <t>B0810</t>
  </si>
  <si>
    <t>Gang Gegerkalong Hilir No. 40</t>
  </si>
  <si>
    <t>F0785</t>
  </si>
  <si>
    <t>Jl. Rajiman No. 51</t>
  </si>
  <si>
    <t>A0680</t>
  </si>
  <si>
    <t>Gang Raya Setiabudhi No. 20</t>
  </si>
  <si>
    <t>C0298</t>
  </si>
  <si>
    <t xml:space="preserve">Gang Jend. Sudirman No. 8
</t>
  </si>
  <si>
    <t>B0629</t>
  </si>
  <si>
    <t xml:space="preserve">Jl. Abdul Muis No. 6
</t>
  </si>
  <si>
    <t>E0961</t>
  </si>
  <si>
    <t xml:space="preserve">Gang Waringin No. 6
</t>
  </si>
  <si>
    <t>Pasuruan</t>
  </si>
  <si>
    <t>C0064</t>
  </si>
  <si>
    <t>Gg. Antapani Lama No. 19</t>
  </si>
  <si>
    <t>C0952</t>
  </si>
  <si>
    <t xml:space="preserve">Jl. Rajawali Timur No. 4
</t>
  </si>
  <si>
    <t>C0535</t>
  </si>
  <si>
    <t>Jl. Moch. Toha No. 79</t>
  </si>
  <si>
    <t>D0531</t>
  </si>
  <si>
    <t xml:space="preserve">Gang Antapani Lama No. 7
</t>
  </si>
  <si>
    <t>E0335</t>
  </si>
  <si>
    <t>Gang R.E Martadinata No. 17</t>
  </si>
  <si>
    <t>C0997</t>
  </si>
  <si>
    <t>Gg. Monginsidi No. 39</t>
  </si>
  <si>
    <t>Tegal</t>
  </si>
  <si>
    <t>B0943</t>
  </si>
  <si>
    <t xml:space="preserve">Gg. Asia Afrika No. 3
</t>
  </si>
  <si>
    <t>F0025</t>
  </si>
  <si>
    <t>Jl. Joyoboyo No. 21</t>
  </si>
  <si>
    <t>A0797</t>
  </si>
  <si>
    <t>Jl. Tebet Barat Dalam No. 01</t>
  </si>
  <si>
    <t>C0835</t>
  </si>
  <si>
    <t>Jl. Abdul Muis No. 10</t>
  </si>
  <si>
    <t>C0258</t>
  </si>
  <si>
    <t>Gang Lembong No. 72</t>
  </si>
  <si>
    <t>D0514</t>
  </si>
  <si>
    <t>Jalan Rajawali Timur No. 33</t>
  </si>
  <si>
    <t>C0863</t>
  </si>
  <si>
    <t>Jl. Raya Ujungberung No. 00</t>
  </si>
  <si>
    <t>A0399</t>
  </si>
  <si>
    <t xml:space="preserve">Gang Pasir Koja No. 1
</t>
  </si>
  <si>
    <t>E0703</t>
  </si>
  <si>
    <t>Gang Tebet Barat Dalam No. 83</t>
  </si>
  <si>
    <t>D0318</t>
  </si>
  <si>
    <t>Gang Stasiun Wonokromo No. 16</t>
  </si>
  <si>
    <t>D0786</t>
  </si>
  <si>
    <t>Gang Rawamangun No. 44</t>
  </si>
  <si>
    <t>A0197</t>
  </si>
  <si>
    <t>Jl. Rajawali Timur No. 25</t>
  </si>
  <si>
    <t>A0561</t>
  </si>
  <si>
    <t>Jl. Sukajadi No. 74</t>
  </si>
  <si>
    <t>E0492</t>
  </si>
  <si>
    <t>Gang Sadang Serang No. 63</t>
  </si>
  <si>
    <t>E0161</t>
  </si>
  <si>
    <t xml:space="preserve">Jl. Gedebage Selatan No. 4
</t>
  </si>
  <si>
    <t>A0020</t>
  </si>
  <si>
    <t xml:space="preserve">Gg. Stasiun Wonokromo No. 6
</t>
  </si>
  <si>
    <t>C0896</t>
  </si>
  <si>
    <t xml:space="preserve">Gg. Bangka Raya No. 9
</t>
  </si>
  <si>
    <t>E0967</t>
  </si>
  <si>
    <t>Gang Soekarno Hatta No. 75</t>
  </si>
  <si>
    <t>E0081</t>
  </si>
  <si>
    <t>Jl. KH Amin Jasuta No. 87</t>
  </si>
  <si>
    <t>D0972</t>
  </si>
  <si>
    <t>C0324</t>
  </si>
  <si>
    <t>Jalan Sentot Alibasa No. 17</t>
  </si>
  <si>
    <t>D0779</t>
  </si>
  <si>
    <t xml:space="preserve">Gg. Raya Ujungberung No. 7
</t>
  </si>
  <si>
    <t>D0057</t>
  </si>
  <si>
    <t xml:space="preserve">Gg. Kebonjati No. 4
</t>
  </si>
  <si>
    <t>E0894</t>
  </si>
  <si>
    <t>Gg. Dipatiukur No. 58</t>
  </si>
  <si>
    <t>D0546</t>
  </si>
  <si>
    <t>Gg. Laswi No. 86</t>
  </si>
  <si>
    <t>B0751</t>
  </si>
  <si>
    <t>Jl. Kiaracondong No. 99</t>
  </si>
  <si>
    <t>B0472</t>
  </si>
  <si>
    <t>Gang KH Amin Jasuta No. 44</t>
  </si>
  <si>
    <t>B0125</t>
  </si>
  <si>
    <t xml:space="preserve">Jalan Kebonjati No. 7
</t>
  </si>
  <si>
    <t>D0425</t>
  </si>
  <si>
    <t>Gg. Cempaka No. 15</t>
  </si>
  <si>
    <t>Tanjungpinang</t>
  </si>
  <si>
    <t>A0525</t>
  </si>
  <si>
    <t>Gang Ciwastra No. 42</t>
  </si>
  <si>
    <t>E0267</t>
  </si>
  <si>
    <t>Jalan Yos Sudarso No. 57</t>
  </si>
  <si>
    <t>F0376</t>
  </si>
  <si>
    <t>Gg. Moch. Ramdan No. 55</t>
  </si>
  <si>
    <t>B0521</t>
  </si>
  <si>
    <t>Gang Veteran No. 39</t>
  </si>
  <si>
    <t>Sawahlunto</t>
  </si>
  <si>
    <t>A0358</t>
  </si>
  <si>
    <t>Jalan Monginsidi No. 10</t>
  </si>
  <si>
    <t>F0888</t>
  </si>
  <si>
    <t>Gang Ronggowarsito No. 37</t>
  </si>
  <si>
    <t>B0056</t>
  </si>
  <si>
    <t xml:space="preserve">Gg. Joyoboyo No. 5
</t>
  </si>
  <si>
    <t>A0671</t>
  </si>
  <si>
    <t>Gg. Pasir Koja No. 65</t>
  </si>
  <si>
    <t>A0526</t>
  </si>
  <si>
    <t xml:space="preserve">Jalan K.H. Wahid Hasyim No. 4
</t>
  </si>
  <si>
    <t>A0482</t>
  </si>
  <si>
    <t>Jl. Tubagus Ismail No. 55</t>
  </si>
  <si>
    <t>F0937</t>
  </si>
  <si>
    <t xml:space="preserve">Gg. Cihampelas No. 5
</t>
  </si>
  <si>
    <t>C0379</t>
  </si>
  <si>
    <t>Jl. Cikapayang No. 43</t>
  </si>
  <si>
    <t>F0117</t>
  </si>
  <si>
    <t xml:space="preserve">Gang Rajawali Timur No. 3
</t>
  </si>
  <si>
    <t>F0211</t>
  </si>
  <si>
    <t xml:space="preserve">Jalan Astana Anyar No. 5
</t>
  </si>
  <si>
    <t>F0986</t>
  </si>
  <si>
    <t>Gg. Suniaraja No. 09</t>
  </si>
  <si>
    <t>C0247</t>
  </si>
  <si>
    <t>Gg. Pacuan Kuda No. 56</t>
  </si>
  <si>
    <t>D0903</t>
  </si>
  <si>
    <t>Gg. Ahmad Dahlan No. 15</t>
  </si>
  <si>
    <t>B0037</t>
  </si>
  <si>
    <t xml:space="preserve">Gang M.T Haryono No. 0
</t>
  </si>
  <si>
    <t>C0372</t>
  </si>
  <si>
    <t>Gg. PHH. Mustofa No. 87</t>
  </si>
  <si>
    <t>E0159</t>
  </si>
  <si>
    <t>Jalan Ahmad Dahlan No. 26</t>
  </si>
  <si>
    <t>F0866</t>
  </si>
  <si>
    <t xml:space="preserve">Jalan Peta No. 8
</t>
  </si>
  <si>
    <t>E0248</t>
  </si>
  <si>
    <t>Gang Merdeka No. 60</t>
  </si>
  <si>
    <t>F0524</t>
  </si>
  <si>
    <t xml:space="preserve">Gang Medokan Ayu No. 4
</t>
  </si>
  <si>
    <t>A0737</t>
  </si>
  <si>
    <t xml:space="preserve">Gang K.H. Wahid Hasyim No. 1
</t>
  </si>
  <si>
    <t>B0935</t>
  </si>
  <si>
    <t>Gg. Kiaracondong No. 32</t>
  </si>
  <si>
    <t>F0895</t>
  </si>
  <si>
    <t>Gg. Pasteur No. 57</t>
  </si>
  <si>
    <t>Sabang</t>
  </si>
  <si>
    <t>E0106</t>
  </si>
  <si>
    <t xml:space="preserve">Gg. Ciumbuleuit No. 9
</t>
  </si>
  <si>
    <t>E0200</t>
  </si>
  <si>
    <t xml:space="preserve">Jalan Surapati No. 2
</t>
  </si>
  <si>
    <t>B0231</t>
  </si>
  <si>
    <t>Jl. Ahmad Dahlan No. 75</t>
  </si>
  <si>
    <t>B0628</t>
  </si>
  <si>
    <t>Jl. Medokan Ayu No. 42</t>
  </si>
  <si>
    <t>A0497</t>
  </si>
  <si>
    <t>Jl. Merdeka No. 68</t>
  </si>
  <si>
    <t>F0040</t>
  </si>
  <si>
    <t>Jl. Kiaracondong No. 29</t>
  </si>
  <si>
    <t>E0107</t>
  </si>
  <si>
    <t xml:space="preserve">Jl. PHH. Mustofa No. 3
</t>
  </si>
  <si>
    <t>F0255</t>
  </si>
  <si>
    <t>Jl. Jakarta No. 19</t>
  </si>
  <si>
    <t>C0363</t>
  </si>
  <si>
    <t>Jalan Rajiman No. 44</t>
  </si>
  <si>
    <t>D0832</t>
  </si>
  <si>
    <t>Gg. Kiaracondong No. 19</t>
  </si>
  <si>
    <t>F0811</t>
  </si>
  <si>
    <t xml:space="preserve">Jl. W.R. Supratman No. 0
</t>
  </si>
  <si>
    <t>E0462</t>
  </si>
  <si>
    <t xml:space="preserve">Jl. Astana Anyar No. 9
</t>
  </si>
  <si>
    <t>E0544</t>
  </si>
  <si>
    <t>B0767</t>
  </si>
  <si>
    <t>Gg. Rungkut Industri No. 31</t>
  </si>
  <si>
    <t>C0354</t>
  </si>
  <si>
    <t>Jl. Pasteur No. 87</t>
  </si>
  <si>
    <t>F0186</t>
  </si>
  <si>
    <t xml:space="preserve">Jalan H.J Maemunah No. 5
</t>
  </si>
  <si>
    <t>E0944</t>
  </si>
  <si>
    <t>Jalan Cikapayang No. 13</t>
  </si>
  <si>
    <t>D0987</t>
  </si>
  <si>
    <t>Gg. Pasteur No. 47</t>
  </si>
  <si>
    <t>D0005</t>
  </si>
  <si>
    <t>Gg. Rungkut Industri No. 00</t>
  </si>
  <si>
    <t>F0845</t>
  </si>
  <si>
    <t>Gang Cikapayang No. 22</t>
  </si>
  <si>
    <t>B0711</t>
  </si>
  <si>
    <t>Gg. Lembong No. 31</t>
  </si>
  <si>
    <t>D0220</t>
  </si>
  <si>
    <t>Gg. Pacuan Kuda No. 19</t>
  </si>
  <si>
    <t>C0908</t>
  </si>
  <si>
    <t xml:space="preserve">Jl. Pelajar Pejuang No. 7
</t>
  </si>
  <si>
    <t>F0198</t>
  </si>
  <si>
    <t>Gg. Kutai No. 02</t>
  </si>
  <si>
    <t>A0022</t>
  </si>
  <si>
    <t>Gg. Surapati No. 68</t>
  </si>
  <si>
    <t>A0759</t>
  </si>
  <si>
    <t>Gg. Indragiri No. 23</t>
  </si>
  <si>
    <t>C0423</t>
  </si>
  <si>
    <t>Gang S. Parman No. 64</t>
  </si>
  <si>
    <t>A0992</t>
  </si>
  <si>
    <t xml:space="preserve">Gg. Gegerkalong Hilir No. 4
</t>
  </si>
  <si>
    <t>A0299</t>
  </si>
  <si>
    <t xml:space="preserve">Gg. Rajawali Barat No. 5
</t>
  </si>
  <si>
    <t>F0930</t>
  </si>
  <si>
    <t>Jalan Dr. Djunjunan No. 96</t>
  </si>
  <si>
    <t>D0236</t>
  </si>
  <si>
    <t>Jalan Ciwastra No. 53</t>
  </si>
  <si>
    <t>B0311</t>
  </si>
  <si>
    <t xml:space="preserve">Jl. Sukajadi No. 6
</t>
  </si>
  <si>
    <t>F0670</t>
  </si>
  <si>
    <t xml:space="preserve">Gang Jend. A. Yani No. 5
</t>
  </si>
  <si>
    <t>A0879</t>
  </si>
  <si>
    <t xml:space="preserve">Gang Moch. Toha No. 6
</t>
  </si>
  <si>
    <t>A0980</t>
  </si>
  <si>
    <t>Gg. BKR No. 46</t>
  </si>
  <si>
    <t>A0432</t>
  </si>
  <si>
    <t>Gg. Dipatiukur No. 86</t>
  </si>
  <si>
    <t>D0988</t>
  </si>
  <si>
    <t xml:space="preserve">Gang Pacuan Kuda No. 9
</t>
  </si>
  <si>
    <t>B0476</t>
  </si>
  <si>
    <t>Gang Sukabumi No. 16</t>
  </si>
  <si>
    <t>C0302</t>
  </si>
  <si>
    <t>Gang Medokan Ayu No. 60</t>
  </si>
  <si>
    <t>F0642</t>
  </si>
  <si>
    <t>B0945</t>
  </si>
  <si>
    <t xml:space="preserve">Jl. Rajawali Barat No. 7
</t>
  </si>
  <si>
    <t>E0581</t>
  </si>
  <si>
    <t>Gang H.J Maemunah No. 15</t>
  </si>
  <si>
    <t>C0230</t>
  </si>
  <si>
    <t xml:space="preserve">Jalan Pacuan Kuda No. 0
</t>
  </si>
  <si>
    <t>B0132</t>
  </si>
  <si>
    <t>Gang Moch. Ramdan No. 09</t>
  </si>
  <si>
    <t>E0622</t>
  </si>
  <si>
    <t>Gang Rajawali Barat No. 01</t>
  </si>
  <si>
    <t>D0884</t>
  </si>
  <si>
    <t>Jalan Jakarta No. 90</t>
  </si>
  <si>
    <t>A0196</t>
  </si>
  <si>
    <t>Gang Ahmad Dahlan No. 96</t>
  </si>
  <si>
    <t>C0877</t>
  </si>
  <si>
    <t>Gang Jayawijaya No. 49</t>
  </si>
  <si>
    <t>E0305</t>
  </si>
  <si>
    <t xml:space="preserve">Gg. Sukabumi No. 4
</t>
  </si>
  <si>
    <t>A0693</t>
  </si>
  <si>
    <t>Jalan Erlangga No. 58</t>
  </si>
  <si>
    <t>F0579</t>
  </si>
  <si>
    <t>Jalan Dipenogoro No. 63</t>
  </si>
  <si>
    <t>A0695</t>
  </si>
  <si>
    <t>Gang Surapati No. 48</t>
  </si>
  <si>
    <t>A0051</t>
  </si>
  <si>
    <t>Jl. Gedebage Selatan No. 60</t>
  </si>
  <si>
    <t>D0898</t>
  </si>
  <si>
    <t xml:space="preserve">Jalan Jend. A. Yani No. 9
</t>
  </si>
  <si>
    <t>F0329</t>
  </si>
  <si>
    <t xml:space="preserve">Gang Joyoboyo No. 6
</t>
  </si>
  <si>
    <t>E0115</t>
  </si>
  <si>
    <t>Gang Merdeka No. 47</t>
  </si>
  <si>
    <t>A0407</t>
  </si>
  <si>
    <t xml:space="preserve">Gang Sukabumi No. 7
</t>
  </si>
  <si>
    <t>A0100</t>
  </si>
  <si>
    <t>Gang H.J Maemunah No. 43</t>
  </si>
  <si>
    <t>A0659</t>
  </si>
  <si>
    <t>Jl. Surapati No. 17</t>
  </si>
  <si>
    <t>D0815</t>
  </si>
  <si>
    <t xml:space="preserve">Gg. PHH. Mustofa No. 6
</t>
  </si>
  <si>
    <t>D0427</t>
  </si>
  <si>
    <t>Jl. Erlangga No. 49</t>
  </si>
  <si>
    <t>E0798</t>
  </si>
  <si>
    <t xml:space="preserve">Jalan Wonoayu No. 1
</t>
  </si>
  <si>
    <t>F0369</t>
  </si>
  <si>
    <t xml:space="preserve">Gang Suryakencana No. 9
</t>
  </si>
  <si>
    <t>A0812</t>
  </si>
  <si>
    <t>Jl. Peta No. 41</t>
  </si>
  <si>
    <t>C0687</t>
  </si>
  <si>
    <t xml:space="preserve">Gg. Antapani Lama No. 4
</t>
  </si>
  <si>
    <t>C0541</t>
  </si>
  <si>
    <t>Jl. H.J Maemunah No. 90</t>
  </si>
  <si>
    <t>F0277</t>
  </si>
  <si>
    <t xml:space="preserve">Jalan Cempaka No. 8
</t>
  </si>
  <si>
    <t>B0920</t>
  </si>
  <si>
    <t xml:space="preserve">Jl. Pasir Koja No. 6
</t>
  </si>
  <si>
    <t>F0627</t>
  </si>
  <si>
    <t xml:space="preserve">Jalan HOS. Cokroaminoto No. 2
</t>
  </si>
  <si>
    <t>A0156</t>
  </si>
  <si>
    <t>Jalan Raya Ujungberung No. 34</t>
  </si>
  <si>
    <t>E0469</t>
  </si>
  <si>
    <t>Jl. Laswi No. 24</t>
  </si>
  <si>
    <t>E0386</t>
  </si>
  <si>
    <t>Gang Dipatiukur No. 63</t>
  </si>
  <si>
    <t>F0017</t>
  </si>
  <si>
    <t>Jl. Gedebage Selatan No. 18</t>
  </si>
  <si>
    <t>E0060</t>
  </si>
  <si>
    <t>Jl. Kutai No. 34</t>
  </si>
  <si>
    <t>B0012</t>
  </si>
  <si>
    <t>Jl. Cikutra Timur No. 25</t>
  </si>
  <si>
    <t>D0007</t>
  </si>
  <si>
    <t xml:space="preserve">Gang Setiabudhi No. 0
</t>
  </si>
  <si>
    <t>A0355</t>
  </si>
  <si>
    <t>Gg. Kutai No. 84</t>
  </si>
  <si>
    <t>F0913</t>
  </si>
  <si>
    <t>Jalan Dipatiukur No. 16</t>
  </si>
  <si>
    <t>D0454</t>
  </si>
  <si>
    <t>Jl. Ronggowarsito No. 02</t>
  </si>
  <si>
    <t>B0280</t>
  </si>
  <si>
    <t xml:space="preserve">Jl. Raya Ujungberung No. 0
</t>
  </si>
  <si>
    <t>D0666</t>
  </si>
  <si>
    <t>Jl. KH Amin Jasuta No. 34</t>
  </si>
  <si>
    <t>B0830</t>
  </si>
  <si>
    <t>Gang Pelajar Pejuang No. 27</t>
  </si>
  <si>
    <t>B0507</t>
  </si>
  <si>
    <t>Jl. Jayawijaya No. 87</t>
  </si>
  <si>
    <t>E0075</t>
  </si>
  <si>
    <t xml:space="preserve">Jl. Kapten Muslihat No. 1
</t>
  </si>
  <si>
    <t>B0714</t>
  </si>
  <si>
    <t>Jl. Siliwangi No. 84</t>
  </si>
  <si>
    <t>E0700</t>
  </si>
  <si>
    <t>Jalan Sukabumi No. 61</t>
  </si>
  <si>
    <t>A0192</t>
  </si>
  <si>
    <t xml:space="preserve">Gang Cihampelas No. 8
</t>
  </si>
  <si>
    <t>D0906</t>
  </si>
  <si>
    <t>Gg. Pasirkoja No. 95</t>
  </si>
  <si>
    <t>C0590</t>
  </si>
  <si>
    <t>Jalan Yos Sudarso No. 41</t>
  </si>
  <si>
    <t>C0339</t>
  </si>
  <si>
    <t>Gg. Tebet Barat Dalam No. 45</t>
  </si>
  <si>
    <t>A0813</t>
  </si>
  <si>
    <t>Gg. Surapati No. 92</t>
  </si>
  <si>
    <t>B0594</t>
  </si>
  <si>
    <t>Jl. Cikapayang No. 81</t>
  </si>
  <si>
    <t>F0976</t>
  </si>
  <si>
    <t>Jl. Merdeka No. 40</t>
  </si>
  <si>
    <t>E0464</t>
  </si>
  <si>
    <t>Gang BKR No. 89</t>
  </si>
  <si>
    <t>E0833</t>
  </si>
  <si>
    <t>Jalan Cikapayang No. 30</t>
  </si>
  <si>
    <t>F0444</t>
  </si>
  <si>
    <t>Gg. Suryakencana No. 76</t>
  </si>
  <si>
    <t>C0340</t>
  </si>
  <si>
    <t>Gang Yos Sudarso No. 81</t>
  </si>
  <si>
    <t>A0111</t>
  </si>
  <si>
    <t>Gang Cikutra Barat No. 63</t>
  </si>
  <si>
    <t>D0634</t>
  </si>
  <si>
    <t xml:space="preserve">Gang Kutai No. 8
</t>
  </si>
  <si>
    <t>E0429</t>
  </si>
  <si>
    <t>A0084</t>
  </si>
  <si>
    <t>Jl. M.H Thamrin No. 81</t>
  </si>
  <si>
    <t>C0979</t>
  </si>
  <si>
    <t xml:space="preserve">Gg. S. Parman No. 5
</t>
  </si>
  <si>
    <t>A0694</t>
  </si>
  <si>
    <t>Jalan Sukajadi No. 92</t>
  </si>
  <si>
    <t>F0723</t>
  </si>
  <si>
    <t xml:space="preserve">Gg. Erlangga No. 6
</t>
  </si>
  <si>
    <t>D0024</t>
  </si>
  <si>
    <t xml:space="preserve">Gg. Rawamangun No. 9
</t>
  </si>
  <si>
    <t>C0941</t>
  </si>
  <si>
    <t xml:space="preserve">Gg. Rungkut Industri No. 2
</t>
  </si>
  <si>
    <t>A0503</t>
  </si>
  <si>
    <t>Gang Pasir Koja No. 61</t>
  </si>
  <si>
    <t>A0364</t>
  </si>
  <si>
    <t>Jalan Antapani Lama No. 17</t>
  </si>
  <si>
    <t>E0721</t>
  </si>
  <si>
    <t>Gg. Jamika No. 10</t>
  </si>
  <si>
    <t>C0216</t>
  </si>
  <si>
    <t xml:space="preserve">Jalan BKR No. 3
</t>
  </si>
  <si>
    <t>C0273</t>
  </si>
  <si>
    <t xml:space="preserve">Jalan Gedebage Selatan No. 8
</t>
  </si>
  <si>
    <t>F0593</t>
  </si>
  <si>
    <t>Jl. Veteran No. 54</t>
  </si>
  <si>
    <t>A0319</t>
  </si>
  <si>
    <t>Gang Waringin No. 28</t>
  </si>
  <si>
    <t>B0831</t>
  </si>
  <si>
    <t>Jalan Ir. H. Djuanda No. 25</t>
  </si>
  <si>
    <t>A0722</t>
  </si>
  <si>
    <t>Jl. Rawamangun No. 71</t>
  </si>
  <si>
    <t>C0240</t>
  </si>
  <si>
    <t xml:space="preserve">Jl. S. Parman No. 4
</t>
  </si>
  <si>
    <t>D0850</t>
  </si>
  <si>
    <t>Jl. Rajiman No. 09</t>
  </si>
  <si>
    <t>C0112</t>
  </si>
  <si>
    <t>Jl. Gardujati No. 16</t>
  </si>
  <si>
    <t>B0554</t>
  </si>
  <si>
    <t>Jalan Cihampelas No. 17</t>
  </si>
  <si>
    <t>B0336</t>
  </si>
  <si>
    <t>Gang Tubagus Ismail No. 27</t>
  </si>
  <si>
    <t>F0990</t>
  </si>
  <si>
    <t>Jalan Cikutra Timur No. 22</t>
  </si>
  <si>
    <t>F0228</t>
  </si>
  <si>
    <t>Gang Astana Anyar No. 45</t>
  </si>
  <si>
    <t>A0187</t>
  </si>
  <si>
    <t>Gg. Wonoayu No. 30</t>
  </si>
  <si>
    <t>F0243</t>
  </si>
  <si>
    <t>Jalan HOS. Cokroaminoto No. 30</t>
  </si>
  <si>
    <t>D0809</t>
  </si>
  <si>
    <t>Jalan Rajawali Timur No. 19</t>
  </si>
  <si>
    <t>E0919</t>
  </si>
  <si>
    <t>Jalan Ciwastra No. 18</t>
  </si>
  <si>
    <t>C0565</t>
  </si>
  <si>
    <t xml:space="preserve">Gg. Cikutra Barat No. 2
</t>
  </si>
  <si>
    <t>B0885</t>
  </si>
  <si>
    <t xml:space="preserve">Jl. Pasir Koja No. 2
</t>
  </si>
  <si>
    <t>A0922</t>
  </si>
  <si>
    <t xml:space="preserve">Gang Raya Ujungberung No. 6
</t>
  </si>
  <si>
    <t>C0603</t>
  </si>
  <si>
    <t>Jl. Veteran No. 85</t>
  </si>
  <si>
    <t>E0338</t>
  </si>
  <si>
    <t>Gang Gardujati No. 63</t>
  </si>
  <si>
    <t>D0103</t>
  </si>
  <si>
    <t>Gang HOS. Cokroaminoto No. 57</t>
  </si>
  <si>
    <t>F0996</t>
  </si>
  <si>
    <t xml:space="preserve">Jl. Abdul Muis No. 4
</t>
  </si>
  <si>
    <t>C0900</t>
  </si>
  <si>
    <t>Gang Stasiun Wonokromo No. 62</t>
  </si>
  <si>
    <t>A0209</t>
  </si>
  <si>
    <t>Gang Asia Afrika No. 94</t>
  </si>
  <si>
    <t>B0532</t>
  </si>
  <si>
    <t>Jalan Asia Afrika No. 94</t>
  </si>
  <si>
    <t>F0496</t>
  </si>
  <si>
    <t xml:space="preserve">Gg. Cikutra Timur No. 7
</t>
  </si>
  <si>
    <t>Serang</t>
  </si>
  <si>
    <t>E0152</t>
  </si>
  <si>
    <t xml:space="preserve">Jalan Ciwastra No. 0
</t>
  </si>
  <si>
    <t>B0098</t>
  </si>
  <si>
    <t xml:space="preserve">Jalan Lembong No. 0
</t>
  </si>
  <si>
    <t>F0538</t>
  </si>
  <si>
    <t>Jl. Tubagus Ismail No. 10</t>
  </si>
  <si>
    <t>D0923</t>
  </si>
  <si>
    <t>Jl. Bangka Raya No. 76</t>
  </si>
  <si>
    <t>A0741</t>
  </si>
  <si>
    <t>C0580</t>
  </si>
  <si>
    <t>Jl. Kiaracondong No. 07</t>
  </si>
  <si>
    <t>B0411</t>
  </si>
  <si>
    <t>Jalan Cihampelas No. 91</t>
  </si>
  <si>
    <t>E0350</t>
  </si>
  <si>
    <t>Gang Dipenogoro No. 04</t>
  </si>
  <si>
    <t>F0912</t>
  </si>
  <si>
    <t>Gg. Kutisari Selatan No. 05</t>
  </si>
  <si>
    <t>E0652</t>
  </si>
  <si>
    <t xml:space="preserve">Jl. Dr. Djunjunan No. 3
</t>
  </si>
  <si>
    <t>E0257</t>
  </si>
  <si>
    <t>Jl. Bangka Raya No. 62</t>
  </si>
  <si>
    <t>A0083</t>
  </si>
  <si>
    <t xml:space="preserve">Jalan Ahmad Dahlan No. 3
</t>
  </si>
  <si>
    <t>F0261</t>
  </si>
  <si>
    <t>Gang M.H Thamrin No. 30</t>
  </si>
  <si>
    <t>D0232</t>
  </si>
  <si>
    <t>Gang Gegerkalong Hilir No. 66</t>
  </si>
  <si>
    <t>E0108</t>
  </si>
  <si>
    <t xml:space="preserve">Jl. Suryakencana No. 3
</t>
  </si>
  <si>
    <t>E0223</t>
  </si>
  <si>
    <t>Jalan Dipenogoro No. 04</t>
  </si>
  <si>
    <t>F0221</t>
  </si>
  <si>
    <t>Jl. Pacuan Kuda No. 55</t>
  </si>
  <si>
    <t>F0333</t>
  </si>
  <si>
    <t xml:space="preserve">Jl. Gegerkalong Hilir No. 8
</t>
  </si>
  <si>
    <t>A0728</t>
  </si>
  <si>
    <t xml:space="preserve">Jalan Kiaracondong No. 9
</t>
  </si>
  <si>
    <t>A0688</t>
  </si>
  <si>
    <t>Jalan Kendalsari No. 04</t>
  </si>
  <si>
    <t>B0618</t>
  </si>
  <si>
    <t>Gang Raya Setiabudhi No. 58</t>
  </si>
  <si>
    <t>D0380</t>
  </si>
  <si>
    <t>C0118</t>
  </si>
  <si>
    <t xml:space="preserve">Gang Waringin No. 9
</t>
  </si>
  <si>
    <t>C0170</t>
  </si>
  <si>
    <t>Jl. Moch. Toha No. 97</t>
  </si>
  <si>
    <t>A0031</t>
  </si>
  <si>
    <t>Jalan Sukajadi No. 65</t>
  </si>
  <si>
    <t>A0871</t>
  </si>
  <si>
    <t>Jl. M.H Thamrin No. 58</t>
  </si>
  <si>
    <t>A0834</t>
  </si>
  <si>
    <t>Jl. Abdul Muis No. 40</t>
  </si>
  <si>
    <t>F0147</t>
  </si>
  <si>
    <t>Gang Setiabudhi No. 17</t>
  </si>
  <si>
    <t>D0002</t>
  </si>
  <si>
    <t>Jl. Merdeka No. 55</t>
  </si>
  <si>
    <t>F0392</t>
  </si>
  <si>
    <t>Jalan Sukajadi No. 78</t>
  </si>
  <si>
    <t>D0199</t>
  </si>
  <si>
    <t>Jalan Pasirkoja No. 32</t>
  </si>
  <si>
    <t>D0807</t>
  </si>
  <si>
    <t>Gang Kiaracondong No. 04</t>
  </si>
  <si>
    <t>A0144</t>
  </si>
  <si>
    <t xml:space="preserve">Jalan Jend. A. Yani No. 2
</t>
  </si>
  <si>
    <t>A0725</t>
  </si>
  <si>
    <t>Gg. Yos Sudarso No. 38</t>
  </si>
  <si>
    <t>E0947</t>
  </si>
  <si>
    <t xml:space="preserve">Jalan Dipenogoro No. 9
</t>
  </si>
  <si>
    <t>D0148</t>
  </si>
  <si>
    <t xml:space="preserve">Jl. Moch. Toha No. 4
</t>
  </si>
  <si>
    <t>B0649</t>
  </si>
  <si>
    <t>Jl. Rajiman No. 19</t>
  </si>
  <si>
    <t>C0391</t>
  </si>
  <si>
    <t xml:space="preserve">Jalan H.J Maemunah No. 4
</t>
  </si>
  <si>
    <t>D0777</t>
  </si>
  <si>
    <t>Gg. Rumah Sakit No. 35</t>
  </si>
  <si>
    <t>D0613</t>
  </si>
  <si>
    <t xml:space="preserve">Jl. Ahmad Dahlan No. 1
</t>
  </si>
  <si>
    <t>A0712</t>
  </si>
  <si>
    <t>Gang Sadang Serang No. 57</t>
  </si>
  <si>
    <t>C0274</t>
  </si>
  <si>
    <t>Gang Moch. Toha No. 30</t>
  </si>
  <si>
    <t>D0651</t>
  </si>
  <si>
    <t>Gg. Ir. H. Djuanda No. 36</t>
  </si>
  <si>
    <t>C0237</t>
  </si>
  <si>
    <t xml:space="preserve">Jl. Rungkut Industri No. 0
</t>
  </si>
  <si>
    <t>B0641</t>
  </si>
  <si>
    <t>Jl. Cempaka No. 14</t>
  </si>
  <si>
    <t>D0547</t>
  </si>
  <si>
    <t>Jl. Rawamangun No. 82</t>
  </si>
  <si>
    <t>F0769</t>
  </si>
  <si>
    <t xml:space="preserve">Jalan Dipatiukur No. 0
</t>
  </si>
  <si>
    <t>C0455</t>
  </si>
  <si>
    <t>Jl. KH Amin Jasuta No. 26</t>
  </si>
  <si>
    <t>B0715</t>
  </si>
  <si>
    <t>Jl. Antapani Lama No. 09</t>
  </si>
  <si>
    <t>B0713</t>
  </si>
  <si>
    <t xml:space="preserve">Jl. Erlangga No. 5
</t>
  </si>
  <si>
    <t>C0883</t>
  </si>
  <si>
    <t xml:space="preserve">Gang Ahmad Yani No. 0
</t>
  </si>
  <si>
    <t>A0470</t>
  </si>
  <si>
    <t>Jl. Kebonjati No. 75</t>
  </si>
  <si>
    <t>E0058</t>
  </si>
  <si>
    <t xml:space="preserve">Jalan Ahmad Dahlan No. 4
</t>
  </si>
  <si>
    <t>C0113</t>
  </si>
  <si>
    <t>Jl. Rajiman No. 46</t>
  </si>
  <si>
    <t>F0673</t>
  </si>
  <si>
    <t>Gang Suryakencana No. 71</t>
  </si>
  <si>
    <t>C0575</t>
  </si>
  <si>
    <t xml:space="preserve">Jalan Raya Ujungberung No. 3
</t>
  </si>
  <si>
    <t>E0294</t>
  </si>
  <si>
    <t>Jl. Jakarta No. 92</t>
  </si>
  <si>
    <t>D0667</t>
  </si>
  <si>
    <t>Gg. Antapani Lama No. 96</t>
  </si>
  <si>
    <t>C0490</t>
  </si>
  <si>
    <t>Jl. Jend. A. Yani No. 23</t>
  </si>
  <si>
    <t>A0582</t>
  </si>
  <si>
    <t xml:space="preserve">Jl. M.T Haryono No. 5
</t>
  </si>
  <si>
    <t>D0001</t>
  </si>
  <si>
    <t xml:space="preserve">Gg. M.H Thamrin No. 8
</t>
  </si>
  <si>
    <t>E0543</t>
  </si>
  <si>
    <t xml:space="preserve">Jalan KH Amin Jasuta No. 6
</t>
  </si>
  <si>
    <t>C0516</t>
  </si>
  <si>
    <t>Jalan Sukajadi No. 48</t>
  </si>
  <si>
    <t>F0853</t>
  </si>
  <si>
    <t>Jalan M.H Thamrin No. 28</t>
  </si>
  <si>
    <t>A0607</t>
  </si>
  <si>
    <t xml:space="preserve">Jalan Veteran No. 3
</t>
  </si>
  <si>
    <t>E0781</t>
  </si>
  <si>
    <t>Jalan Bangka Raya No. 21</t>
  </si>
  <si>
    <t>A0321</t>
  </si>
  <si>
    <t>Gg. Cempaka No. 99</t>
  </si>
  <si>
    <t>E0146</t>
  </si>
  <si>
    <t>Jalan Wonoayu No. 69</t>
  </si>
  <si>
    <t>A0217</t>
  </si>
  <si>
    <t xml:space="preserve">Gang Ir. H. Djuanda No. 0
</t>
  </si>
  <si>
    <t>F0599</t>
  </si>
  <si>
    <t>Gg. Lembong No. 64</t>
  </si>
  <si>
    <t>D0167</t>
  </si>
  <si>
    <t>Jl. Medokan Ayu No. 70</t>
  </si>
  <si>
    <t>F0088</t>
  </si>
  <si>
    <t>Gang PHH. Mustofa No. 71</t>
  </si>
  <si>
    <t>A0915</t>
  </si>
  <si>
    <t>Gg. Cikutra Barat No. 75</t>
  </si>
  <si>
    <t>F0219</t>
  </si>
  <si>
    <t xml:space="preserve">Jalan Waringin No. 1
</t>
  </si>
  <si>
    <t>B0011</t>
  </si>
  <si>
    <t>Gang Suryakencana No. 35</t>
  </si>
  <si>
    <t>D0259</t>
  </si>
  <si>
    <t xml:space="preserve">Jalan Gegerkalong Hilir No. 5
</t>
  </si>
  <si>
    <t>F0225</t>
  </si>
  <si>
    <t xml:space="preserve">Gang Siliwangi No. 5
</t>
  </si>
  <si>
    <t>D0537</t>
  </si>
  <si>
    <t>Jalan Cikutra Barat No. 09</t>
  </si>
  <si>
    <t>C0837</t>
  </si>
  <si>
    <t xml:space="preserve">Jalan Ahmad Yani No. 3
</t>
  </si>
  <si>
    <t>C0892</t>
  </si>
  <si>
    <t>Jalan Abdul Muis No. 75</t>
  </si>
  <si>
    <t>F0750</t>
  </si>
  <si>
    <t>Jl. Jamika No. 98</t>
  </si>
  <si>
    <t>E0014</t>
  </si>
  <si>
    <t>Gang Siliwangi No. 93</t>
  </si>
  <si>
    <t>C0317</t>
  </si>
  <si>
    <t xml:space="preserve">Gg. Jend. Sudirman No. 7
</t>
  </si>
  <si>
    <t>C0951</t>
  </si>
  <si>
    <t xml:space="preserve">Gg. KH Amin Jasuta No. 8
</t>
  </si>
  <si>
    <t>A0475</t>
  </si>
  <si>
    <t xml:space="preserve">Gg. Surapati No. 5
</t>
  </si>
  <si>
    <t>C0434</t>
  </si>
  <si>
    <t>Gg. Raya Setiabudhi No. 69</t>
  </si>
  <si>
    <t>B0697</t>
  </si>
  <si>
    <t>Jl. Suryakencana No. 82</t>
  </si>
  <si>
    <t>E0178</t>
  </si>
  <si>
    <t xml:space="preserve">Gang Dipenogoro No. 9
</t>
  </si>
  <si>
    <t>E0264</t>
  </si>
  <si>
    <t xml:space="preserve">Gg. PHH. Mustofa No. 2
</t>
  </si>
  <si>
    <t>D0995</t>
  </si>
  <si>
    <t xml:space="preserve">Jl. Kendalsari No. 4
</t>
  </si>
  <si>
    <t>C0461</t>
  </si>
  <si>
    <t>Jalan Moch. Toha No. 29</t>
  </si>
  <si>
    <t>A0821</t>
  </si>
  <si>
    <t>Jalan Cikutra Timur No. 80</t>
  </si>
  <si>
    <t>D0342</t>
  </si>
  <si>
    <t>Gg. Ahmad Dahlan No. 65</t>
  </si>
  <si>
    <t>F0428</t>
  </si>
  <si>
    <t>Jl. Dr. Djunjunan No. 75</t>
  </si>
  <si>
    <t>A0753</t>
  </si>
  <si>
    <t>Gg. M.T Haryono No. 15</t>
  </si>
  <si>
    <t>D0570</t>
  </si>
  <si>
    <t>Jalan Gedebage Selatan No. 31</t>
  </si>
  <si>
    <t>B0740</t>
  </si>
  <si>
    <t xml:space="preserve">Jalan Monginsidi No. 6
</t>
  </si>
  <si>
    <t>C0177</t>
  </si>
  <si>
    <t>Jalan Bangka Raya No. 33</t>
  </si>
  <si>
    <t>B0295</t>
  </si>
  <si>
    <t>Jalan Sukabumi No. 64</t>
  </si>
  <si>
    <t>D0477</t>
  </si>
  <si>
    <t xml:space="preserve">Jl. Yos Sudarso No. 5
</t>
  </si>
  <si>
    <t>A0880</t>
  </si>
  <si>
    <t>Jalan Dipenogoro No. 30</t>
  </si>
  <si>
    <t>F0917</t>
  </si>
  <si>
    <t>Jalan Bangka Raya No. 88</t>
  </si>
  <si>
    <t>F0249</t>
  </si>
  <si>
    <t>Gang Jend. A. Yani No. 86</t>
  </si>
  <si>
    <t>D0576</t>
  </si>
  <si>
    <t xml:space="preserve">Gang Peta No. 1
</t>
  </si>
  <si>
    <t>C0517</t>
  </si>
  <si>
    <t>Gg. Indragiri No. 16</t>
  </si>
  <si>
    <t>C0562</t>
  </si>
  <si>
    <t>Gang Ahmad Yani No. 42</t>
  </si>
  <si>
    <t>B0252</t>
  </si>
  <si>
    <t xml:space="preserve">Jalan Sukabumi No. 8
</t>
  </si>
  <si>
    <t>F0325</t>
  </si>
  <si>
    <t>Jl. M.H Thamrin No. 55</t>
  </si>
  <si>
    <t>B0087</t>
  </si>
  <si>
    <t xml:space="preserve">Jalan Kutai No. 7
</t>
  </si>
  <si>
    <t>A0415</t>
  </si>
  <si>
    <t>Jl. Ir. H. Djuanda No. 05</t>
  </si>
  <si>
    <t>E0202</t>
  </si>
  <si>
    <t xml:space="preserve">Gang Sadang Serang No. 5
</t>
  </si>
  <si>
    <t>B0973</t>
  </si>
  <si>
    <t>Gang Rawamangun No. 30</t>
  </si>
  <si>
    <t>F0736</t>
  </si>
  <si>
    <t xml:space="preserve">Jl. Jend. Sudirman No. 5
</t>
  </si>
  <si>
    <t>B0377</t>
  </si>
  <si>
    <t xml:space="preserve">Jl. Joyoboyo No. 0
</t>
  </si>
  <si>
    <t>B0749</t>
  </si>
  <si>
    <t>Jalan Pasir Koja No. 95</t>
  </si>
  <si>
    <t>E0768</t>
  </si>
  <si>
    <t>Gg. Pasir Koja No. 91</t>
  </si>
  <si>
    <t>A0763</t>
  </si>
  <si>
    <t xml:space="preserve">Jl. Rajawali Timur No. 7
</t>
  </si>
  <si>
    <t>A0664</t>
  </si>
  <si>
    <t xml:space="preserve">Jl. Merdeka No. 4
</t>
  </si>
  <si>
    <t>F0856</t>
  </si>
  <si>
    <t xml:space="preserve">Gang PHH. Mustofa No. 8
</t>
  </si>
  <si>
    <t>E0123</t>
  </si>
  <si>
    <t>Jl. Rungkut Industri No. 93</t>
  </si>
  <si>
    <t>C0401</t>
  </si>
  <si>
    <t>Jl. Jend. A. Yani No. 89</t>
  </si>
  <si>
    <t>C0309</t>
  </si>
  <si>
    <t>Jalan Astana Anyar No. 45</t>
  </si>
  <si>
    <t>A0938</t>
  </si>
  <si>
    <t>Gang Sadang Serang No. 87</t>
  </si>
  <si>
    <t>E0827</t>
  </si>
  <si>
    <t>Jl. Dipatiukur No. 23</t>
  </si>
  <si>
    <t>F0999</t>
  </si>
  <si>
    <t>Jl. Jakarta No. 43</t>
  </si>
  <si>
    <t>F0293</t>
  </si>
  <si>
    <t>Gg. Peta No. 79</t>
  </si>
  <si>
    <t>E0586</t>
  </si>
  <si>
    <t>Gg. Kendalsari No. 59</t>
  </si>
  <si>
    <t>D0052</t>
  </si>
  <si>
    <t>Gg. Astana Anyar No. 74</t>
  </si>
  <si>
    <t>D0731</t>
  </si>
  <si>
    <t>Gg. Gardujati No. 57</t>
  </si>
  <si>
    <t>E0459</t>
  </si>
  <si>
    <t xml:space="preserve">Gang Laswi No. 2
</t>
  </si>
  <si>
    <t>B0886</t>
  </si>
  <si>
    <t>Jl. Ciumbuleuit No. 87</t>
  </si>
  <si>
    <t>D0332</t>
  </si>
  <si>
    <t xml:space="preserve">Jalan H.J Maemunah No. 0
</t>
  </si>
  <si>
    <t>A0904</t>
  </si>
  <si>
    <t>Jl. Sukabumi No. 61</t>
  </si>
  <si>
    <t>D0062</t>
  </si>
  <si>
    <t>Jalan Pasirkoja No. 20</t>
  </si>
  <si>
    <t>E0771</t>
  </si>
  <si>
    <t xml:space="preserve">Jalan Erlangga No. 8
</t>
  </si>
  <si>
    <t>A0584</t>
  </si>
  <si>
    <t>Jalan Moch. Toha No. 73</t>
  </si>
  <si>
    <t>D0348</t>
  </si>
  <si>
    <t xml:space="preserve">Gang Bangka Raya No. 7
</t>
  </si>
  <si>
    <t>E0754</t>
  </si>
  <si>
    <t>Jalan H.J Maemunah No. 82</t>
  </si>
  <si>
    <t>A0633</t>
  </si>
  <si>
    <t>Jalan Wonoayu No. 77</t>
  </si>
  <si>
    <t>B0268</t>
  </si>
  <si>
    <t>Jl. Pasirkoja No. 44</t>
  </si>
  <si>
    <t>B0748</t>
  </si>
  <si>
    <t>Gang Ronggowarsito No. 54</t>
  </si>
  <si>
    <t>E0478</t>
  </si>
  <si>
    <t>Jalan Rumah Sakit No. 92</t>
  </si>
  <si>
    <t>F0506</t>
  </si>
  <si>
    <t>Jl. Joyoboyo No. 20</t>
  </si>
  <si>
    <t>A0931</t>
  </si>
  <si>
    <t>B0155</t>
  </si>
  <si>
    <t>Gang Rawamangun No. 98</t>
  </si>
  <si>
    <t>E0608</t>
  </si>
  <si>
    <t>Jl. Setiabudhi No. 78</t>
  </si>
  <si>
    <t>C0275</t>
  </si>
  <si>
    <t>Gang Gardujati No. 55</t>
  </si>
  <si>
    <t>D0897</t>
  </si>
  <si>
    <t>Jalan Kutai No. 84</t>
  </si>
  <si>
    <t>C0128</t>
  </si>
  <si>
    <t xml:space="preserve">Gang Gardujati No. 0
</t>
  </si>
  <si>
    <t>A0803</t>
  </si>
  <si>
    <t>Gg. Wonoayu No. 90</t>
  </si>
  <si>
    <t>D0709</t>
  </si>
  <si>
    <t xml:space="preserve">Gg. K.H. Wahid Hasyim No. 1
</t>
  </si>
  <si>
    <t>A0207</t>
  </si>
  <si>
    <t>Jl. Gedebage Selatan No. 21</t>
  </si>
  <si>
    <t>D0468</t>
  </si>
  <si>
    <t>E0572</t>
  </si>
  <si>
    <t>Gang Jamika No. 17</t>
  </si>
  <si>
    <t>C0927</t>
  </si>
  <si>
    <t xml:space="preserve">Gang Rajawali Timur No. 5
</t>
  </si>
  <si>
    <t>C0203</t>
  </si>
  <si>
    <t>Jl. H.J Maemunah No. 28</t>
  </si>
  <si>
    <t>D0644</t>
  </si>
  <si>
    <t>Gang Kiaracondong No. 53</t>
  </si>
  <si>
    <t>C0286</t>
  </si>
  <si>
    <t xml:space="preserve">Gang Rumah Sakit No. 9
</t>
  </si>
  <si>
    <t>D0726</t>
  </si>
  <si>
    <t>Gang Moch. Ramdan No. 87</t>
  </si>
  <si>
    <t>B0718</t>
  </si>
  <si>
    <t>Gang Suniaraja No. 24</t>
  </si>
  <si>
    <t>D0508</t>
  </si>
  <si>
    <t>Jalan Dipatiukur No. 11</t>
  </si>
  <si>
    <t>D0739</t>
  </si>
  <si>
    <t>Gg. Rawamangun No. 30</t>
  </si>
  <si>
    <t>C0069</t>
  </si>
  <si>
    <t xml:space="preserve">Gang Stasiun Wonokromo No. 1
</t>
  </si>
  <si>
    <t>C0313</t>
  </si>
  <si>
    <t xml:space="preserve">Gg. M.T Haryono No. 5
</t>
  </si>
  <si>
    <t>D0158</t>
  </si>
  <si>
    <t>Gang Suryakencana No. 15</t>
  </si>
  <si>
    <t>F0164</t>
  </si>
  <si>
    <t>B0993</t>
  </si>
  <si>
    <t>Jl. Veteran No. 94</t>
  </si>
  <si>
    <t>D0323</t>
  </si>
  <si>
    <t>Jalan PHH. Mustofa No. 25</t>
  </si>
  <si>
    <t>C0836</t>
  </si>
  <si>
    <t xml:space="preserve">Gang Moch. Ramdan No. 6
</t>
  </si>
  <si>
    <t>F0465</t>
  </si>
  <si>
    <t>Gg. Joyoboyo No. 02</t>
  </si>
  <si>
    <t>E0540</t>
  </si>
  <si>
    <t xml:space="preserve">Jalan Soekarno Hatta No. 7
</t>
  </si>
  <si>
    <t>D0304</t>
  </si>
  <si>
    <t>Jalan Kendalsari No. 53</t>
  </si>
  <si>
    <t>A0493</t>
  </si>
  <si>
    <t>C0557</t>
  </si>
  <si>
    <t>Gang Peta No. 67</t>
  </si>
  <si>
    <t>D0564</t>
  </si>
  <si>
    <t xml:space="preserve">Jl. Sukabumi No. 4
</t>
  </si>
  <si>
    <t>E0365</t>
  </si>
  <si>
    <t xml:space="preserve">Jl. Antapani Lama No. 3
</t>
  </si>
  <si>
    <t>A0977</t>
  </si>
  <si>
    <t xml:space="preserve">Jalan Rumah Sakit No. 7
</t>
  </si>
  <si>
    <t>D0194</t>
  </si>
  <si>
    <t>Gg. Raya Ujungberung No. 99</t>
  </si>
  <si>
    <t>D0870</t>
  </si>
  <si>
    <t xml:space="preserve">Jl. Veteran No. 9
</t>
  </si>
  <si>
    <t>C0706</t>
  </si>
  <si>
    <t>Jl. Antapani Lama No. 52</t>
  </si>
  <si>
    <t>D0097</t>
  </si>
  <si>
    <t>Gang Kendalsari No. 85</t>
  </si>
  <si>
    <t>B0925</t>
  </si>
  <si>
    <t>Gg. W.R. Supratman No. 94</t>
  </si>
  <si>
    <t>B0389</t>
  </si>
  <si>
    <t xml:space="preserve">Jalan Gedebage Selatan No. 2
</t>
  </si>
  <si>
    <t>E1000</t>
  </si>
  <si>
    <t>Gg. Suniaraja No. 72</t>
  </si>
  <si>
    <t>F0091</t>
  </si>
  <si>
    <t xml:space="preserve">Gang Waringin No. 2
</t>
  </si>
  <si>
    <t>C0448</t>
  </si>
  <si>
    <t xml:space="preserve">Jl. Otto Iskandardinata No. 4
</t>
  </si>
  <si>
    <t>D0440</t>
  </si>
  <si>
    <t>Jalan Joyoboyo No. 51</t>
  </si>
  <si>
    <t>C0341</t>
  </si>
  <si>
    <t xml:space="preserve">Gang Asia Afrika No. 4
</t>
  </si>
  <si>
    <t>A0174</t>
  </si>
  <si>
    <t>Gang Raya Setiabudhi No. 61</t>
  </si>
  <si>
    <t>B0120</t>
  </si>
  <si>
    <t xml:space="preserve">Gang Peta No. 0
</t>
  </si>
  <si>
    <t>B0206</t>
  </si>
  <si>
    <t>Jl. Otto Iskandardinata No. 35</t>
  </si>
  <si>
    <t>E0504</t>
  </si>
  <si>
    <t>Gg. Peta No. 85</t>
  </si>
  <si>
    <t>D0511</t>
  </si>
  <si>
    <t xml:space="preserve">Gg. Abdul Muis No. 9
</t>
  </si>
  <si>
    <t>B0048</t>
  </si>
  <si>
    <t>Jl. Ciumbuleuit No. 10</t>
  </si>
  <si>
    <t>F0585</t>
  </si>
  <si>
    <t>Jalan Wonoayu No. 31</t>
  </si>
  <si>
    <t>D0875</t>
  </si>
  <si>
    <t>Jl. Siliwangi No. 20</t>
  </si>
  <si>
    <t>D0262</t>
  </si>
  <si>
    <t>Jalan M.T Haryono No. 69</t>
  </si>
  <si>
    <t>D0624</t>
  </si>
  <si>
    <t xml:space="preserve">Jl. Jend. Sudirman No. 4
</t>
  </si>
  <si>
    <t>F0361</t>
  </si>
  <si>
    <t>Gg. Ciwastra No. 36</t>
  </si>
  <si>
    <t>B0910</t>
  </si>
  <si>
    <t>Gg. Peta No. 50</t>
  </si>
  <si>
    <t>B0076</t>
  </si>
  <si>
    <t>Jalan Cikutra Timur No. 51</t>
  </si>
  <si>
    <t>A0034</t>
  </si>
  <si>
    <t>Gg. Rawamangun No. 15</t>
  </si>
  <si>
    <t>E0077</t>
  </si>
  <si>
    <t xml:space="preserve">Jalan M.H Thamrin No. 4
</t>
  </si>
  <si>
    <t>A0566</t>
  </si>
  <si>
    <t xml:space="preserve">Jalan Antapani Lama No. 7
</t>
  </si>
  <si>
    <t>E0734</t>
  </si>
  <si>
    <t>Gg. Antapani Lama No. 68</t>
  </si>
  <si>
    <t>F0755</t>
  </si>
  <si>
    <t xml:space="preserve">Gg. Ir. H. Djuanda No. 4
</t>
  </si>
  <si>
    <t>F0435</t>
  </si>
  <si>
    <t>Gang Pelajar Pejuang No. 06</t>
  </si>
  <si>
    <t>C0328</t>
  </si>
  <si>
    <t>Gang Tebet Barat Dalam No. 45</t>
  </si>
  <si>
    <t>F0195</t>
  </si>
  <si>
    <t xml:space="preserve">Gang Jayawijaya No. 7
</t>
  </si>
  <si>
    <t>F0615</t>
  </si>
  <si>
    <t xml:space="preserve">Jl. Gedebage Selatan No. 6
</t>
  </si>
  <si>
    <t>D0510</t>
  </si>
  <si>
    <t>Jalan Kendalsari No. 30</t>
  </si>
  <si>
    <t>D0942</t>
  </si>
  <si>
    <t xml:space="preserve">Gang Dipenogoro No. 5
</t>
  </si>
  <si>
    <t>B0418</t>
  </si>
  <si>
    <t xml:space="preserve">Jalan Pasirkoja No. 0
</t>
  </si>
  <si>
    <t>C0899</t>
  </si>
  <si>
    <t>Jl. Erlangga No. 90</t>
  </si>
  <si>
    <t>F0235</t>
  </si>
  <si>
    <t>Gang Rajawali Timur No. 87</t>
  </si>
  <si>
    <t>E0218</t>
  </si>
  <si>
    <t>Jalan Indragiri No. 95</t>
  </si>
  <si>
    <t>E0808</t>
  </si>
  <si>
    <t>D0241</t>
  </si>
  <si>
    <t xml:space="preserve">Jalan Otto Iskandardinata No. 9
</t>
  </si>
  <si>
    <t>C0929</t>
  </si>
  <si>
    <t>Jalan Dipenogoro No. 55</t>
  </si>
  <si>
    <t>D0787</t>
  </si>
  <si>
    <t>Jalan Cihampelas No. 50</t>
  </si>
  <si>
    <t>E0933</t>
  </si>
  <si>
    <t>B0466</t>
  </si>
  <si>
    <t>Gg. Bangka Raya No. 27</t>
  </si>
  <si>
    <t>F0463</t>
  </si>
  <si>
    <t>Gg. Siliwangi No. 53</t>
  </si>
  <si>
    <t>C0932</t>
  </si>
  <si>
    <t xml:space="preserve">Gg. Monginsidi No. 7
</t>
  </si>
  <si>
    <t>F0036</t>
  </si>
  <si>
    <t>Gang Cempaka No. 14</t>
  </si>
  <si>
    <t>D0479</t>
  </si>
  <si>
    <t xml:space="preserve">Jl. Wonoayu No. 1
</t>
  </si>
  <si>
    <t>A0638</t>
  </si>
  <si>
    <t>Jl. Ciwastra No. 45</t>
  </si>
  <si>
    <t>D0315</t>
  </si>
  <si>
    <t xml:space="preserve">Jl. Dipenogoro No. 8
</t>
  </si>
  <si>
    <t>E0191</t>
  </si>
  <si>
    <t>Gang Erlangga No. 11</t>
  </si>
  <si>
    <t>F0539</t>
  </si>
  <si>
    <t>Gang Rajawali Timur No. 81</t>
  </si>
  <si>
    <t>B0229</t>
  </si>
  <si>
    <t>Gg. Rawamangun No. 80</t>
  </si>
  <si>
    <t>A0926</t>
  </si>
  <si>
    <t>Jalan Abdul Muis No. 57</t>
  </si>
  <si>
    <t>E0028</t>
  </si>
  <si>
    <t>Jalan Gegerkalong Hilir No. 96</t>
  </si>
  <si>
    <t>C0250</t>
  </si>
  <si>
    <t>Gang Kutai No. 51</t>
  </si>
  <si>
    <t>D0445</t>
  </si>
  <si>
    <t xml:space="preserve">Gg. Indragiri No. 7
</t>
  </si>
  <si>
    <t>C0138</t>
  </si>
  <si>
    <t xml:space="preserve">Gang Jamika No. 6
</t>
  </si>
  <si>
    <t>F0306</t>
  </si>
  <si>
    <t>Gg. Ahmad Dahlan No. 90</t>
  </si>
  <si>
    <t>D0378</t>
  </si>
  <si>
    <t xml:space="preserve">Gang Dipatiukur No. 7
</t>
  </si>
  <si>
    <t>C0253</t>
  </si>
  <si>
    <t>Gg. Gardujati No. 90</t>
  </si>
  <si>
    <t>C0501</t>
  </si>
  <si>
    <t xml:space="preserve">Jl. Suniaraja No. 5
</t>
  </si>
  <si>
    <t>C0054</t>
  </si>
  <si>
    <t xml:space="preserve">Gg. Stasiun Wonokromo No. 8
</t>
  </si>
  <si>
    <t>F0889</t>
  </si>
  <si>
    <t>D0716</t>
  </si>
  <si>
    <t xml:space="preserve">Gg. Abdul Muis No. 4
</t>
  </si>
  <si>
    <t>F0838</t>
  </si>
  <si>
    <t>Gang Cikapayang No. 69</t>
  </si>
  <si>
    <t>E0519</t>
  </si>
  <si>
    <t>Gg. Astana Anyar No. 10</t>
  </si>
  <si>
    <t>A0653</t>
  </si>
  <si>
    <t xml:space="preserve">Gang Suryakencana No. 2
</t>
  </si>
  <si>
    <t>E0578</t>
  </si>
  <si>
    <t>Gang Cikutra Timur No. 64</t>
  </si>
  <si>
    <t>F0735</t>
  </si>
  <si>
    <t>Jalan Ir. H. Djuanda No. 13</t>
  </si>
  <si>
    <t>B0791</t>
  </si>
  <si>
    <t>Jl. Ronggowarsito No. 59</t>
  </si>
  <si>
    <t>D0070</t>
  </si>
  <si>
    <t xml:space="preserve">Gang Sentot Alibasa No. 6
</t>
  </si>
  <si>
    <t>D0950</t>
  </si>
  <si>
    <t>Jalan Laswi No. 49</t>
  </si>
  <si>
    <t>F0074</t>
  </si>
  <si>
    <t>Jl. Stasiun Wonokromo No. 77</t>
  </si>
  <si>
    <t>C0426</t>
  </si>
  <si>
    <t>Gg. M.T Haryono No. 33</t>
  </si>
  <si>
    <t>C0290</t>
  </si>
  <si>
    <t>Jl. Sukajadi No. 67</t>
  </si>
  <si>
    <t>F0038</t>
  </si>
  <si>
    <t>Gg. PHH. Mustofa No. 57</t>
  </si>
  <si>
    <t>E0046</t>
  </si>
  <si>
    <t>Gg. M.H Thamrin No. 37</t>
  </si>
  <si>
    <t>F0408</t>
  </si>
  <si>
    <t xml:space="preserve">Jl. Laswi No. 8
</t>
  </si>
  <si>
    <t>B0881</t>
  </si>
  <si>
    <t>Jalan Jend. A. Yani No. 43</t>
  </si>
  <si>
    <t>A0213</t>
  </si>
  <si>
    <t>Gang Pasteur No. 81</t>
  </si>
  <si>
    <t>D0334</t>
  </si>
  <si>
    <t>Jl. Raya Ujungberung No. 67</t>
  </si>
  <si>
    <t>F0263</t>
  </si>
  <si>
    <t>Jl. Raya Setiabudhi No. 98</t>
  </si>
  <si>
    <t>F0679</t>
  </si>
  <si>
    <t>Gg. Bangka Raya No. 15</t>
  </si>
  <si>
    <t>C0214</t>
  </si>
  <si>
    <t>Jalan Tubagus Ismail No. 99</t>
  </si>
  <si>
    <t>E0630</t>
  </si>
  <si>
    <t xml:space="preserve">Gang Surapati No. 7
</t>
  </si>
  <si>
    <t>B0527</t>
  </si>
  <si>
    <t xml:space="preserve">Gang Rawamangun No. 7
</t>
  </si>
  <si>
    <t>B0600</t>
  </si>
  <si>
    <t>Jalan Merdeka No. 87</t>
  </si>
  <si>
    <t>B0352</t>
  </si>
  <si>
    <t>B0140</t>
  </si>
  <si>
    <t>Jalan Jamika No. 77</t>
  </si>
  <si>
    <t>A0534</t>
  </si>
  <si>
    <t xml:space="preserve">Jl. Rajawali Timur No. 1
</t>
  </si>
  <si>
    <t>B0133</t>
  </si>
  <si>
    <t>Jl. Laswi No. 49</t>
  </si>
  <si>
    <t>D0949</t>
  </si>
  <si>
    <t>Gang BKR No. 08</t>
  </si>
  <si>
    <t>D0044</t>
  </si>
  <si>
    <t>Gg. Cihampelas No. 96</t>
  </si>
  <si>
    <t>D0707</t>
  </si>
  <si>
    <t xml:space="preserve">Gang R.E Martadinata No. 8
</t>
  </si>
  <si>
    <t>E0316</t>
  </si>
  <si>
    <t xml:space="preserve">Gang Jamika No. 9
</t>
  </si>
  <si>
    <t>A0137</t>
  </si>
  <si>
    <t xml:space="preserve">Gg. Gedebage Selatan No. 6
</t>
  </si>
  <si>
    <t>E0636</t>
  </si>
  <si>
    <t xml:space="preserve">Gg. Kutai No. 3
</t>
  </si>
  <si>
    <t>A0185</t>
  </si>
  <si>
    <t>Gang Moch. Ramdan No. 47</t>
  </si>
  <si>
    <t>B0416</t>
  </si>
  <si>
    <t xml:space="preserve">Gg. Rungkut Industri No. 6
</t>
  </si>
  <si>
    <t>C0330</t>
  </si>
  <si>
    <t xml:space="preserve">Gg. Tubagus Ismail No. 9
</t>
  </si>
  <si>
    <t>D0733</t>
  </si>
  <si>
    <t xml:space="preserve">Gang BKR No. 6
</t>
  </si>
  <si>
    <t>F0210</t>
  </si>
  <si>
    <t>Jl. Otto Iskandardinata No. 46</t>
  </si>
  <si>
    <t>E0522</t>
  </si>
  <si>
    <t xml:space="preserve">Jalan Antapani Lama No. 6
</t>
  </si>
  <si>
    <t>B0855</t>
  </si>
  <si>
    <t>Gg. Surapati No. 93</t>
  </si>
  <si>
    <t>E0104</t>
  </si>
  <si>
    <t>Jalan Ahmad Dahlan No. 74</t>
  </si>
  <si>
    <t>C0533</t>
  </si>
  <si>
    <t xml:space="preserve">Gg. BKR No. 3
</t>
  </si>
  <si>
    <t>A0696</t>
  </si>
  <si>
    <t>Gang Joyoboyo No. 21</t>
  </si>
  <si>
    <t>E0119</t>
  </si>
  <si>
    <t xml:space="preserve">Gang HOS. Cokroaminoto No. 5
</t>
  </si>
  <si>
    <t>E0381</t>
  </si>
  <si>
    <t>Gang Asia Afrika No. 97</t>
  </si>
  <si>
    <t>F0802</t>
  </si>
  <si>
    <t xml:space="preserve">Jalan Tubagus Ismail No. 7
</t>
  </si>
  <si>
    <t>E0796</t>
  </si>
  <si>
    <t>Gang Astana Anyar No. 51</t>
  </si>
  <si>
    <t>F0307</t>
  </si>
  <si>
    <t xml:space="preserve">Gang Kutai No. 3
</t>
  </si>
  <si>
    <t>E0708</t>
  </si>
  <si>
    <t xml:space="preserve">Gg. Sentot Alibasa No. 1
</t>
  </si>
  <si>
    <t>F0441</t>
  </si>
  <si>
    <t>F0109</t>
  </si>
  <si>
    <t xml:space="preserve">Gang Rawamangun No. 2
</t>
  </si>
  <si>
    <t>E0402</t>
  </si>
  <si>
    <t>Jl. Indragiri No. 66</t>
  </si>
  <si>
    <t>B0939</t>
  </si>
  <si>
    <t>Jalan Asia Afrika No. 36</t>
  </si>
  <si>
    <t>F0953</t>
  </si>
  <si>
    <t xml:space="preserve">Gang BKR No. 7
</t>
  </si>
  <si>
    <t>A0181</t>
  </si>
  <si>
    <t>Gang Kendalsari No. 87</t>
  </si>
  <si>
    <t>E0520</t>
  </si>
  <si>
    <t>Gang Moch. Toha No. 06</t>
  </si>
  <si>
    <t>F0878</t>
  </si>
  <si>
    <t xml:space="preserve">Jl. KH Amin Jasuta No. 9
</t>
  </si>
  <si>
    <t>F0742</t>
  </si>
  <si>
    <t>Gg. Bangka Raya No. 76</t>
  </si>
  <si>
    <t>B0656</t>
  </si>
  <si>
    <t xml:space="preserve">Gg. Pacuan Kuda No. 1
</t>
  </si>
  <si>
    <t>A0681</t>
  </si>
  <si>
    <t>Jalan BKR No. 90</t>
  </si>
  <si>
    <t>E0419</t>
  </si>
  <si>
    <t>Jl. Kiaracondong No. 45</t>
  </si>
  <si>
    <t>A0063</t>
  </si>
  <si>
    <t>Jalan Ahmad Dahlan No. 88</t>
  </si>
  <si>
    <t>C0449</t>
  </si>
  <si>
    <t xml:space="preserve">Gang Otto Iskandardinata No. 1
</t>
  </si>
  <si>
    <t>A0026</t>
  </si>
  <si>
    <t xml:space="preserve">Gg. Erlangga No. 9
</t>
  </si>
  <si>
    <t>F0182</t>
  </si>
  <si>
    <t xml:space="preserve">Jalan Yos Sudarso No. 8
</t>
  </si>
  <si>
    <t>A0940</t>
  </si>
  <si>
    <t xml:space="preserve">Gg. Monginsidi No. 5
</t>
  </si>
  <si>
    <t>B0893</t>
  </si>
  <si>
    <t>Gg. Sukabumi No. 75</t>
  </si>
  <si>
    <t>E0595</t>
  </si>
  <si>
    <t>Jalan Ahmad Dahlan No. 36</t>
  </si>
  <si>
    <t>B0502</t>
  </si>
  <si>
    <t xml:space="preserve">Jalan Wonoayu No. 0
</t>
  </si>
  <si>
    <t>E0367</t>
  </si>
  <si>
    <t xml:space="preserve">Jl. Gedebage Selatan No. 9
</t>
  </si>
  <si>
    <t>F0498</t>
  </si>
  <si>
    <t>Gg. W.R. Supratman No. 58</t>
  </si>
  <si>
    <t>E0390</t>
  </si>
  <si>
    <t xml:space="preserve">Gang H.J Maemunah No. 5
</t>
  </si>
  <si>
    <t>F0053</t>
  </si>
  <si>
    <t>Jalan Tubagus Ismail No. 73</t>
  </si>
  <si>
    <t>A0488</t>
  </si>
  <si>
    <t>Jalan Kapten Muslihat No. 07</t>
  </si>
  <si>
    <t>F0222</t>
  </si>
  <si>
    <t xml:space="preserve">Jl. HOS. Cokroaminoto No. 4
</t>
  </si>
  <si>
    <t>E0310</t>
  </si>
  <si>
    <t>Jl. Bangka Raya No. 78</t>
  </si>
  <si>
    <t>E0848</t>
  </si>
  <si>
    <t>Jl. Ciwastra No. 38</t>
  </si>
  <si>
    <t>C0179</t>
  </si>
  <si>
    <t>Jalan Rumah Sakit No. 66</t>
  </si>
  <si>
    <t>E0975</t>
  </si>
  <si>
    <t xml:space="preserve">Gg. Dipenogoro No. 2
</t>
  </si>
  <si>
    <t>C0067</t>
  </si>
  <si>
    <t>Jalan Sadang Serang No. 54</t>
  </si>
  <si>
    <t>D0772</t>
  </si>
  <si>
    <t>Jl. Jend. A. Yani No. 60</t>
  </si>
  <si>
    <t>B0371</t>
  </si>
  <si>
    <t>Jalan KH Amin Jasuta No. 68</t>
  </si>
  <si>
    <t>C0859</t>
  </si>
  <si>
    <t>Gang Veteran No. 08</t>
  </si>
  <si>
    <t>A0272</t>
  </si>
  <si>
    <t xml:space="preserve">Jl. Pasteur No. 5
</t>
  </si>
  <si>
    <t>D0801</t>
  </si>
  <si>
    <t xml:space="preserve">Jalan Pasteur No. 6
</t>
  </si>
  <si>
    <t>C0487</t>
  </si>
  <si>
    <t>Jl. Peta No. 31</t>
  </si>
  <si>
    <t>C0665</t>
  </si>
  <si>
    <t xml:space="preserve">Jl. Abdul Muis No. 9
</t>
  </si>
  <si>
    <t>C0430</t>
  </si>
  <si>
    <t>Gang R.E Martadinata No. 04</t>
  </si>
  <si>
    <t>F0168</t>
  </si>
  <si>
    <t xml:space="preserve">Gang Abdul Muis No. 2
</t>
  </si>
  <si>
    <t>C0614</t>
  </si>
  <si>
    <t>Gang Jayawijaya No. 00</t>
  </si>
  <si>
    <t>A0868</t>
  </si>
  <si>
    <t>Gang Rajawali Timur No. 93</t>
  </si>
  <si>
    <t>A0805</t>
  </si>
  <si>
    <t xml:space="preserve">Jalan Gardujati No. 5
</t>
  </si>
  <si>
    <t>D0513</t>
  </si>
  <si>
    <t>Gg. KH Amin Jasuta No. 08</t>
  </si>
  <si>
    <t>E0643</t>
  </si>
  <si>
    <t>Jalan Kutisari Selatan No. 41</t>
  </si>
  <si>
    <t>D0412</t>
  </si>
  <si>
    <t>Gg. Gedebage Selatan No. 46</t>
  </si>
  <si>
    <t>D0136</t>
  </si>
  <si>
    <t>Gg. Pasteur No. 26</t>
  </si>
  <si>
    <t>C0414</t>
  </si>
  <si>
    <t xml:space="preserve">Jalan Kutisari Selatan No. 3
</t>
  </si>
  <si>
    <t>F0957</t>
  </si>
  <si>
    <t>Jalan Kutisari Selatan No. 76</t>
  </si>
  <si>
    <t>F0184</t>
  </si>
  <si>
    <t>Jalan Erlangga No. 87</t>
  </si>
  <si>
    <t>A0692</t>
  </si>
  <si>
    <t>Jl. Kiaracondong No. 50</t>
  </si>
  <si>
    <t>C0139</t>
  </si>
  <si>
    <t xml:space="preserve">Gang Pasirkoja No. 7
</t>
  </si>
  <si>
    <t>A0201</t>
  </si>
  <si>
    <t xml:space="preserve">Jalan Indragiri No. 9
</t>
  </si>
  <si>
    <t>E0345</t>
  </si>
  <si>
    <t xml:space="preserve">Jl. Pelajar Pejuang No. 0
</t>
  </si>
  <si>
    <t>D0928</t>
  </si>
  <si>
    <t>Gg. Erlangga No. 38</t>
  </si>
  <si>
    <t>E0190</t>
  </si>
  <si>
    <t>Jalan Pasir Koja No. 85</t>
  </si>
  <si>
    <t>C0661</t>
  </si>
  <si>
    <t xml:space="preserve">Jalan Rumah Sakit No. 6
</t>
  </si>
  <si>
    <t>D0617</t>
  </si>
  <si>
    <t>Jl. Sukajadi No. 73</t>
  </si>
  <si>
    <t>F0828</t>
  </si>
  <si>
    <t>Jalan W.R. Supratman No. 28</t>
  </si>
  <si>
    <t>B0814</t>
  </si>
  <si>
    <t>Jl. H.J Maemunah No. 30</t>
  </si>
  <si>
    <t>F0823</t>
  </si>
  <si>
    <t xml:space="preserve">Gg. K.H. Wahid Hasyim No. 4
</t>
  </si>
  <si>
    <t>E0143</t>
  </si>
  <si>
    <t xml:space="preserve">Jl. Cikutra Barat No. 2
</t>
  </si>
  <si>
    <t>C0764</t>
  </si>
  <si>
    <t>Jalan Stasiun Wonokromo No. 38</t>
  </si>
  <si>
    <t>C0587</t>
  </si>
  <si>
    <t xml:space="preserve">Jalan K.H. Wahid Hasyim No. 6
</t>
  </si>
  <si>
    <t>E0291</t>
  </si>
  <si>
    <t xml:space="preserve">Jl. Suniaraja No. 3
</t>
  </si>
  <si>
    <t>E0409</t>
  </si>
  <si>
    <t>Jalan W.R. Supratman No. 90</t>
  </si>
  <si>
    <t>B0458</t>
  </si>
  <si>
    <t>Gg. Suryakencana No. 91</t>
  </si>
  <si>
    <t>E0045</t>
  </si>
  <si>
    <t>Gg. Waringin No. 37</t>
  </si>
  <si>
    <t>D0948</t>
  </si>
  <si>
    <t>Jalan Sukajadi No. 84</t>
  </si>
  <si>
    <t>F0256</t>
  </si>
  <si>
    <t>Gg. Stasiun Wonokromo No. 18</t>
  </si>
  <si>
    <t>E0685</t>
  </si>
  <si>
    <t>Gg. Dipatiukur No. 31</t>
  </si>
  <si>
    <t>D0131</t>
  </si>
  <si>
    <t>Jl. Raya Setiabudhi No. 90</t>
  </si>
  <si>
    <t>B0782</t>
  </si>
  <si>
    <t>Jl. Rumah Sakit No. 75</t>
  </si>
  <si>
    <t>A0563</t>
  </si>
  <si>
    <t>Gang Otto Iskandardinata No. 68</t>
  </si>
  <si>
    <t>D0902</t>
  </si>
  <si>
    <t>Gang S. Parman No. 79</t>
  </si>
  <si>
    <t>F0346</t>
  </si>
  <si>
    <t xml:space="preserve">Jl. Kiaracondong No. 2
</t>
  </si>
  <si>
    <t>B0512</t>
  </si>
  <si>
    <t xml:space="preserve">Gg. Indragiri No. 9
</t>
  </si>
  <si>
    <t>D0757</t>
  </si>
  <si>
    <t>Jl. Moch. Toha No. 55</t>
  </si>
  <si>
    <t>D0872</t>
  </si>
  <si>
    <t>Gang HOS. Cokroaminoto No. 33</t>
  </si>
  <si>
    <t>D0849</t>
  </si>
  <si>
    <t>Jl. Rajawali Timur No. 82</t>
  </si>
  <si>
    <t>C0839</t>
  </si>
  <si>
    <t>Jl. Dipatiukur No. 28</t>
  </si>
  <si>
    <t>E0387</t>
  </si>
  <si>
    <t>Gg. Cikutra Barat No. 80</t>
  </si>
  <si>
    <t>F0443</t>
  </si>
  <si>
    <t xml:space="preserve">Jalan Jakarta No. 1
</t>
  </si>
  <si>
    <t>E0059</t>
  </si>
  <si>
    <t>Gg. PHH. Mustofa No. 89</t>
  </si>
  <si>
    <t>B0717</t>
  </si>
  <si>
    <t>Jl. Suryakencana No. 91</t>
  </si>
  <si>
    <t>B0635</t>
  </si>
  <si>
    <t xml:space="preserve">Jl. Gegerkalong Hilir No. 0
</t>
  </si>
  <si>
    <t>A0094</t>
  </si>
  <si>
    <t>Jl. Sukajadi No. 95</t>
  </si>
  <si>
    <t>D0096</t>
  </si>
  <si>
    <t xml:space="preserve">Gg. Gegerkalong Hilir No. 7
</t>
  </si>
  <si>
    <t>D0489</t>
  </si>
  <si>
    <t>Jalan Rajawali Timur No. 17</t>
  </si>
  <si>
    <t>A0281</t>
  </si>
  <si>
    <t xml:space="preserve">Gang Moch. Ramdan No. 0
</t>
  </si>
  <si>
    <t>B0864</t>
  </si>
  <si>
    <t>Gg. Asia Afrika No. 28</t>
  </si>
  <si>
    <t>C0383</t>
  </si>
  <si>
    <t>Jalan W.R. Supratman No. 21</t>
  </si>
  <si>
    <t>D0271</t>
  </si>
  <si>
    <t>Jalan Suryakencana No. 23</t>
  </si>
  <si>
    <t>D0817</t>
  </si>
  <si>
    <t xml:space="preserve">Jl. S. Parman No. 2
</t>
  </si>
  <si>
    <t>F0597</t>
  </si>
  <si>
    <t>F0936</t>
  </si>
  <si>
    <t>D0283</t>
  </si>
  <si>
    <t>Jalan Indragiri No. 33</t>
  </si>
  <si>
    <t>B0226</t>
  </si>
  <si>
    <t>Jalan S. Parman No. 75</t>
  </si>
  <si>
    <t>E0567</t>
  </si>
  <si>
    <t xml:space="preserve">Gg. Jend. Sudirman No. 8
</t>
  </si>
  <si>
    <t>F0326</t>
  </si>
  <si>
    <t xml:space="preserve">Gang Dipenogoro No. 0
</t>
  </si>
  <si>
    <t>C0698</t>
  </si>
  <si>
    <t>Gg. Bangka Raya No. 25</t>
  </si>
  <si>
    <t>C0149</t>
  </si>
  <si>
    <t xml:space="preserve">Jl. S. Parman No. 0
</t>
  </si>
  <si>
    <t>D0141</t>
  </si>
  <si>
    <t>Gang Kendalsari No. 67</t>
  </si>
  <si>
    <t>B0729</t>
  </si>
  <si>
    <t>Jl. Moch. Toha No. 26</t>
  </si>
  <si>
    <t>F0592</t>
  </si>
  <si>
    <t xml:space="preserve">Gg. Monginsidi No. 6
</t>
  </si>
  <si>
    <t>D0792</t>
  </si>
  <si>
    <t>Jalan Raya Setiabudhi No. 63</t>
  </si>
  <si>
    <t>C0436</t>
  </si>
  <si>
    <t>B0023</t>
  </si>
  <si>
    <t xml:space="preserve">Gg. Kutisari Selatan No. 5
</t>
  </si>
  <si>
    <t>B0857</t>
  </si>
  <si>
    <t>Jl. Rungkut Industri No. 62</t>
  </si>
  <si>
    <t>A0758</t>
  </si>
  <si>
    <t>Jl. Kutisari Selatan No. 35</t>
  </si>
  <si>
    <t>B0483</t>
  </si>
  <si>
    <t>Gang Rajawali Timur No. 42</t>
  </si>
  <si>
    <t>D0730</t>
  </si>
  <si>
    <t>Gg. KH Amin Jasuta No. 20</t>
  </si>
  <si>
    <t>E0010</t>
  </si>
  <si>
    <t xml:space="preserve">Gang Erlangga No. 8
</t>
  </si>
  <si>
    <t>C0413</t>
  </si>
  <si>
    <t xml:space="preserve">Jalan Dr. Djunjunan No. 8
</t>
  </si>
  <si>
    <t>C0577</t>
  </si>
  <si>
    <t>Jalan Kebonjati No. 08</t>
  </si>
  <si>
    <t>C0055</t>
  </si>
  <si>
    <t>Gg. Cihampelas No. 45</t>
  </si>
  <si>
    <t>B0092</t>
  </si>
  <si>
    <t>Jalan Moch. Ramdan No. 07</t>
  </si>
  <si>
    <t>F0719</t>
  </si>
  <si>
    <t>Jl. Suryakencana No. 18</t>
  </si>
  <si>
    <t>B0690</t>
  </si>
  <si>
    <t>Jalan Jamika No. 37</t>
  </si>
  <si>
    <t>F0958</t>
  </si>
  <si>
    <t>Jl. Pacuan Kuda No. 72</t>
  </si>
  <si>
    <t>B0921</t>
  </si>
  <si>
    <t xml:space="preserve">Gang PHH. Mustofa No. 2
</t>
  </si>
  <si>
    <t>C0654</t>
  </si>
  <si>
    <t>Gg. Suryakencana No. 67</t>
  </si>
  <si>
    <t>A0188</t>
  </si>
  <si>
    <t>Gang Merdeka No. 34</t>
  </si>
  <si>
    <t>D0686</t>
  </si>
  <si>
    <t>Gg. Cikutra Barat No. 24</t>
  </si>
  <si>
    <t>A0682</t>
  </si>
  <si>
    <t xml:space="preserve">Jl. Dr. Djunjunan No. 2
</t>
  </si>
  <si>
    <t>D0303</t>
  </si>
  <si>
    <t>Jl. Raya Ujungberung No. 69</t>
  </si>
  <si>
    <t>D0072</t>
  </si>
  <si>
    <t>Gg. R.E Martadinata No. 43</t>
  </si>
  <si>
    <t>A0110</t>
  </si>
  <si>
    <t>Jl. Moch. Ramdan No. 70</t>
  </si>
  <si>
    <t>A0288</t>
  </si>
  <si>
    <t>Jl. Indragiri No. 63</t>
  </si>
  <si>
    <t>D0160</t>
  </si>
  <si>
    <t>Jl. Dipenogoro No. 36</t>
  </si>
  <si>
    <t>E0756</t>
  </si>
  <si>
    <t>C0632</t>
  </si>
  <si>
    <t xml:space="preserve">Jalan Gedebage Selatan No. 9
</t>
  </si>
  <si>
    <t>F0212</t>
  </si>
  <si>
    <t>Jl. Kutisari Selatan No. 90</t>
  </si>
  <si>
    <t>C0994</t>
  </si>
  <si>
    <t>Jalan Kendalsari No. 22</t>
  </si>
  <si>
    <t>D0822</t>
  </si>
  <si>
    <t xml:space="preserve">Jalan Veteran No. 9
</t>
  </si>
  <si>
    <t>C0858</t>
  </si>
  <si>
    <t xml:space="preserve">Gang Kendalsari No. 7
</t>
  </si>
  <si>
    <t>A0588</t>
  </si>
  <si>
    <t>Gang Tubagus Ismail No. 63</t>
  </si>
  <si>
    <t>B0331</t>
  </si>
  <si>
    <t>Jl. Monginsidi No. 07</t>
  </si>
  <si>
    <t>F0727</t>
  </si>
  <si>
    <t>Jl. Sukajadi No. 34</t>
  </si>
  <si>
    <t>C0122</t>
  </si>
  <si>
    <t>Jl. Surapati No. 64</t>
  </si>
  <si>
    <t>D0135</t>
  </si>
  <si>
    <t xml:space="preserve">Jalan Ciwastra No. 4
</t>
  </si>
  <si>
    <t>B0343</t>
  </si>
  <si>
    <t>Jalan Surapati No. 77</t>
  </si>
  <si>
    <t>A0150</t>
  </si>
  <si>
    <t>Jalan Sukabumi No. 33</t>
  </si>
  <si>
    <t>E0093</t>
  </si>
  <si>
    <t>Gg. Moch. Toha No. 61</t>
  </si>
  <si>
    <t>B0208</t>
  </si>
  <si>
    <t xml:space="preserve">Gg. Laswi No. 6
</t>
  </si>
  <si>
    <t>E0824</t>
  </si>
  <si>
    <t xml:space="preserve">Gg. Kutisari Selatan No. 7
</t>
  </si>
  <si>
    <t>A0169</t>
  </si>
  <si>
    <t>Jl. Kapten Muslihat No. 27</t>
  </si>
  <si>
    <t>C0865</t>
  </si>
  <si>
    <t>Jalan Tebet Barat Dalam No. 39</t>
  </si>
  <si>
    <t>C0388</t>
  </si>
  <si>
    <t>A0674</t>
  </si>
  <si>
    <t>Jl. Laswi No. 15</t>
  </si>
  <si>
    <t>B0142</t>
  </si>
  <si>
    <t>Jalan Kiaracondong No. 15</t>
  </si>
  <si>
    <t>F0420</t>
  </si>
  <si>
    <t xml:space="preserve">Jalan Cihampelas No. 5
</t>
  </si>
  <si>
    <t>B0954</t>
  </si>
  <si>
    <t>Jalan Peta No. 59</t>
  </si>
  <si>
    <t>D0344</t>
  </si>
  <si>
    <t>Gang Pasirkoja No. 56</t>
  </si>
  <si>
    <t>B0606</t>
  </si>
  <si>
    <t xml:space="preserve">Gg. Tebet Barat Dalam No. 9
</t>
  </si>
  <si>
    <t>C0528</t>
  </si>
  <si>
    <t>Jalan S. Parman No. 85</t>
  </si>
  <si>
    <t>E0013</t>
  </si>
  <si>
    <t>Jl. Jakarta No. 26</t>
  </si>
  <si>
    <t>A0916</t>
  </si>
  <si>
    <t>Jalan Joyoboyo No. 04</t>
  </si>
  <si>
    <t>C0545</t>
  </si>
  <si>
    <t>Gang Medokan Ayu No. 30</t>
  </si>
  <si>
    <t>D0795</t>
  </si>
  <si>
    <t xml:space="preserve">Gg. Cikutra Barat No. 1
</t>
  </si>
  <si>
    <t>A0691</t>
  </si>
  <si>
    <t>Gang Pasir Koja No. 23</t>
  </si>
  <si>
    <t>F0384</t>
  </si>
  <si>
    <t>Tanggal Absen</t>
  </si>
  <si>
    <t>Bulan</t>
  </si>
  <si>
    <t>Nomor</t>
  </si>
  <si>
    <t>List Jurusan</t>
  </si>
  <si>
    <r>
      <t xml:space="preserve">Isi sheet </t>
    </r>
    <r>
      <rPr>
        <b/>
        <sz val="11"/>
        <color theme="1"/>
        <rFont val="Calibri"/>
        <family val="2"/>
        <scheme val="minor"/>
      </rPr>
      <t>Helper</t>
    </r>
    <r>
      <rPr>
        <sz val="11"/>
        <color theme="1"/>
        <rFont val="Calibri"/>
        <family val="2"/>
        <scheme val="minor"/>
      </rPr>
      <t xml:space="preserve"> dengan nilai yang valid (ada nilai valid apa di kolom Jurusan)</t>
    </r>
  </si>
  <si>
    <r>
      <t xml:space="preserve">Cek apakah ada data invalid dari sheet </t>
    </r>
    <r>
      <rPr>
        <b/>
        <sz val="11"/>
        <color theme="1"/>
        <rFont val="Calibri"/>
        <family val="2"/>
        <scheme val="minor"/>
      </rPr>
      <t>Main</t>
    </r>
    <r>
      <rPr>
        <sz val="11"/>
        <color theme="1"/>
        <rFont val="Calibri"/>
        <family val="2"/>
        <scheme val="minor"/>
      </rPr>
      <t xml:space="preserve"> berdasarkan kamus yang ada di sheet </t>
    </r>
    <r>
      <rPr>
        <b/>
        <sz val="11"/>
        <color theme="1"/>
        <rFont val="Calibri"/>
        <family val="2"/>
        <scheme val="minor"/>
      </rPr>
      <t>Helper</t>
    </r>
    <r>
      <rPr>
        <sz val="11"/>
        <color theme="1"/>
        <rFont val="Calibri"/>
        <family val="2"/>
        <scheme val="minor"/>
      </rPr>
      <t>, jika ada silahkan ditandai dengan lingkaran</t>
    </r>
  </si>
  <si>
    <r>
      <t xml:space="preserve">Jawab pertanyaan nomor 1-3 dari sheet </t>
    </r>
    <r>
      <rPr>
        <b/>
        <sz val="11"/>
        <color theme="1"/>
        <rFont val="Calibri"/>
        <family val="2"/>
        <scheme val="minor"/>
      </rPr>
      <t>Soal</t>
    </r>
  </si>
  <si>
    <r>
      <t xml:space="preserve">Perbaiki data yang invalid sehingga semua data dari sheet Main menjadi valid (berdasarkan sheet </t>
    </r>
    <r>
      <rPr>
        <b/>
        <sz val="11"/>
        <color theme="1"/>
        <rFont val="Calibri"/>
        <family val="2"/>
        <scheme val="minor"/>
      </rPr>
      <t>Helper</t>
    </r>
    <r>
      <rPr>
        <sz val="11"/>
        <color theme="1"/>
        <rFont val="Calibri"/>
        <family val="2"/>
        <scheme val="minor"/>
      </rPr>
      <t>)</t>
    </r>
  </si>
  <si>
    <t>Buat 3 grafik dengan contoh seperti ini</t>
  </si>
  <si>
    <r>
      <t xml:space="preserve">Jawab pertanyaan nomor 4-6 dari sheet </t>
    </r>
    <r>
      <rPr>
        <b/>
        <sz val="11"/>
        <color theme="1"/>
        <rFont val="Calibri"/>
        <family val="2"/>
        <scheme val="minor"/>
      </rPr>
      <t>Soal</t>
    </r>
  </si>
  <si>
    <r>
      <t xml:space="preserve">Buat ID Mahasiswa dari Sheet </t>
    </r>
    <r>
      <rPr>
        <b/>
        <sz val="11"/>
        <color theme="1"/>
        <rFont val="Calibri"/>
        <family val="2"/>
        <scheme val="minor"/>
      </rPr>
      <t>Main</t>
    </r>
    <r>
      <rPr>
        <sz val="11"/>
        <color theme="1"/>
        <rFont val="Calibri"/>
        <family val="2"/>
        <scheme val="minor"/>
      </rPr>
      <t xml:space="preserve"> berdasarkan Kode Jurusan + Nomor mereka</t>
    </r>
  </si>
  <si>
    <r>
      <t xml:space="preserve">Isi kolom Absen dari Sheet </t>
    </r>
    <r>
      <rPr>
        <b/>
        <sz val="11"/>
        <color theme="1"/>
        <rFont val="Calibri"/>
        <family val="2"/>
        <scheme val="minor"/>
      </rPr>
      <t>Main</t>
    </r>
    <r>
      <rPr>
        <sz val="11"/>
        <color theme="1"/>
        <rFont val="Calibri"/>
        <family val="2"/>
        <scheme val="minor"/>
      </rPr>
      <t xml:space="preserve"> berdasarkan data dari Sheet </t>
    </r>
    <r>
      <rPr>
        <b/>
        <sz val="11"/>
        <color theme="1"/>
        <rFont val="Calibri"/>
        <family val="2"/>
        <scheme val="minor"/>
      </rPr>
      <t>Absen</t>
    </r>
  </si>
  <si>
    <t>Jawab pertanyaan nomor 7-9 dari sheet Soal</t>
  </si>
  <si>
    <r>
      <t xml:space="preserve">Isi kolom </t>
    </r>
    <r>
      <rPr>
        <b/>
        <sz val="11"/>
        <color theme="1"/>
        <rFont val="Calibri"/>
        <family val="2"/>
        <scheme val="minor"/>
      </rPr>
      <t>Nilai Akhir</t>
    </r>
    <r>
      <rPr>
        <sz val="11"/>
        <color theme="1"/>
        <rFont val="Calibri"/>
        <family val="2"/>
        <scheme val="minor"/>
      </rPr>
      <t xml:space="preserve"> dengan kriteria berikut</t>
    </r>
  </si>
  <si>
    <t>Yes</t>
  </si>
  <si>
    <t>80-10= 70</t>
  </si>
  <si>
    <r>
      <t xml:space="preserve">Untuk mahasiswa yang pernah absen mengurangi nilai </t>
    </r>
    <r>
      <rPr>
        <b/>
        <sz val="11"/>
        <color theme="1"/>
        <rFont val="Calibri"/>
        <family val="2"/>
        <scheme val="minor"/>
      </rPr>
      <t>Tugas</t>
    </r>
    <r>
      <rPr>
        <sz val="11"/>
        <color theme="1"/>
        <rFont val="Calibri"/>
        <family val="2"/>
        <scheme val="minor"/>
      </rPr>
      <t xml:space="preserve"> sebanyak 10</t>
    </r>
  </si>
  <si>
    <r>
      <t xml:space="preserve">Isi kolom Nama dari sheet </t>
    </r>
    <r>
      <rPr>
        <b/>
        <sz val="11"/>
        <color theme="1"/>
        <rFont val="Calibri"/>
        <family val="2"/>
        <scheme val="minor"/>
      </rPr>
      <t>Main</t>
    </r>
    <r>
      <rPr>
        <sz val="11"/>
        <color theme="1"/>
        <rFont val="Calibri"/>
        <family val="2"/>
        <scheme val="minor"/>
      </rPr>
      <t xml:space="preserve"> berdasarkan data dari sheet </t>
    </r>
    <r>
      <rPr>
        <b/>
        <sz val="11"/>
        <color theme="1"/>
        <rFont val="Calibri"/>
        <family val="2"/>
        <scheme val="minor"/>
      </rPr>
      <t>Detail</t>
    </r>
  </si>
  <si>
    <r>
      <t xml:space="preserve">Jawab pertanyaan nomor 10-12 dari sheet </t>
    </r>
    <r>
      <rPr>
        <b/>
        <sz val="11"/>
        <color theme="1"/>
        <rFont val="Calibri"/>
        <family val="2"/>
        <scheme val="minor"/>
      </rPr>
      <t>Soal</t>
    </r>
  </si>
  <si>
    <r>
      <t xml:space="preserve">Jawab pertanyaan nomor 13-15 dari sheet </t>
    </r>
    <r>
      <rPr>
        <b/>
        <sz val="11"/>
        <color theme="1"/>
        <rFont val="Calibri"/>
        <family val="2"/>
        <scheme val="minor"/>
      </rPr>
      <t>Soal</t>
    </r>
  </si>
  <si>
    <t>Jawaban</t>
  </si>
  <si>
    <t>Check</t>
  </si>
  <si>
    <t>Nama</t>
  </si>
  <si>
    <t>Berapa data dari Jurusan Fisika yang Invalid (Tidak Valid)?</t>
  </si>
  <si>
    <t>Berapa selisih dari rata rata Ujian 4 dan rata rata Ujian 3 untuk Jurusan Aktuaria? (2 angka dibelakang koma)</t>
  </si>
  <si>
    <t>Absen</t>
  </si>
  <si>
    <t>Jika mahasiswa berada di data Absen, isi dengan tanggal dia absen</t>
  </si>
  <si>
    <r>
      <t xml:space="preserve">Jika tidak ada, isi dengan kalimat </t>
    </r>
    <r>
      <rPr>
        <b/>
        <sz val="11"/>
        <color theme="1"/>
        <rFont val="Calibri"/>
        <family val="2"/>
        <scheme val="minor"/>
      </rPr>
      <t>No</t>
    </r>
  </si>
  <si>
    <t>Berapa mahasiswa jurusan Statistika yang pernah absen?</t>
  </si>
  <si>
    <t>Berapa persen mahasiswa jurusan Biologi yang tidak pernah absen?</t>
  </si>
  <si>
    <t>Tugas Update</t>
  </si>
  <si>
    <t>Berapa Nilai Akhir dari mahasiswi Irfan Nababan? (1 angka dibelakang koma)</t>
  </si>
  <si>
    <t>Jurusan apa yang memiliki rata-rata Nilai Akhir terendah?</t>
  </si>
  <si>
    <t>Berapa mahasiswa yang mendapatkan Grade B?</t>
  </si>
  <si>
    <t>Berapa persen mahasiswa yang mendapatkan Grade D?</t>
  </si>
  <si>
    <t>Berapa mahasiswa yang mendapatkan Grade A dan berada di Jurusan Aktuaria?</t>
  </si>
  <si>
    <t>Langkah Pengerjaan (NB: Bagi yang sebelumnya sudah sempat mengerjakan dan hasilnya masih X, bisa di copy paste rumusnya kesini ya, jika secara rumus benar maka akan mendapatkan hasil yang benar juga, mohon maaf atas ketidaknyamanannya)</t>
  </si>
  <si>
    <t>Berapa rata rata UTS dari Jurusan Statistika? (1 angka dibelakang koma)</t>
  </si>
  <si>
    <t>Berapa jumlah Ujian 2 dari jurusan Fisika?</t>
  </si>
  <si>
    <t>Berapa mahasiswa yang absen di bulan Oktober 2022?</t>
  </si>
  <si>
    <t>Rata-rata UTS</t>
  </si>
  <si>
    <t>Jumlah ujian 2</t>
  </si>
  <si>
    <t>jurusan</t>
  </si>
  <si>
    <t xml:space="preserve">Rata-rata ujian 4 </t>
  </si>
  <si>
    <t>Rata rata ujian 3</t>
  </si>
  <si>
    <t xml:space="preserve">Jumlah </t>
  </si>
  <si>
    <t>tidak pernah Absen</t>
  </si>
  <si>
    <t>abesen</t>
  </si>
  <si>
    <t>absen oktober</t>
  </si>
  <si>
    <t>Nilai akhir rata-rata</t>
  </si>
  <si>
    <t>statistika</t>
  </si>
  <si>
    <t>Gol darah</t>
  </si>
  <si>
    <t>kalo pakai xlookup</t>
  </si>
  <si>
    <t>Jumlah Ujian 1</t>
  </si>
  <si>
    <t>Rata rata ujian 1</t>
  </si>
  <si>
    <t>rata rata ujian 2</t>
  </si>
  <si>
    <t>rata rata ujian 3</t>
  </si>
  <si>
    <t>selisih ujian 1 dan 2</t>
  </si>
  <si>
    <t>selisih ujian 2 dan 3</t>
  </si>
  <si>
    <t>absen september</t>
  </si>
  <si>
    <t>GRADE A</t>
  </si>
  <si>
    <t>Grade C</t>
  </si>
  <si>
    <t>Rata rata tinggi badan asal surabaya</t>
  </si>
  <si>
    <t>1-250</t>
  </si>
  <si>
    <t>251-500</t>
  </si>
  <si>
    <t>501-750</t>
  </si>
  <si>
    <t>751-1000</t>
  </si>
  <si>
    <t>Bu Dwi</t>
  </si>
  <si>
    <t>Pak Krisna</t>
  </si>
  <si>
    <t>Pak Budi</t>
  </si>
  <si>
    <t>Bu Ratna</t>
  </si>
  <si>
    <t>Bu Made</t>
  </si>
  <si>
    <t>Pak Andi</t>
  </si>
  <si>
    <t>Dosen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</si>
</sst>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0000000000"/>
    <numFmt numFmtId="165" formatCode="0.0%"/>
    <numFmt numFmtId="166" formatCode="0.0"/>
    <numFmt numFmtId="167" formatCode="0.0000"/>
    <numFmt numFmtId="168" formatCode="_-* #,##0_-;\-* #,##0_-;_-* &quot;-&quot;??_-;_-@_-"/>
    <numFmt numFmtId="169" formatCode="_-* #,##0.0_-;\-* #,##0.0_-;_-* &quot;-&quot;??_-;_-@_-"/>
  </numFmts>
  <fonts count="8" x14ac:knownFonts="1">
    <font>
      <sz val="11"/>
      <color theme="1"/>
      <name val="Calibri"/>
      <family val="2"/>
      <scheme val="minor"/>
    </font>
    <font>
      <b/>
      <sz val="11"/>
      <color theme="1"/>
      <name val="Calibri"/>
      <family val="2"/>
      <scheme val="minor"/>
    </font>
    <font>
      <sz val="12"/>
      <color theme="1"/>
      <name val="Calibri"/>
      <family val="2"/>
      <scheme val="minor"/>
    </font>
    <font>
      <sz val="11"/>
      <color theme="1"/>
      <name val="Calibri"/>
      <family val="2"/>
      <scheme val="minor"/>
    </font>
    <font>
      <b/>
      <sz val="12"/>
      <color theme="1"/>
      <name val="Calibri"/>
      <family val="2"/>
      <scheme val="minor"/>
    </font>
    <font>
      <b/>
      <sz val="12"/>
      <color rgb="FF5F6368"/>
      <name val="Calibri"/>
      <family val="2"/>
    </font>
    <font>
      <sz val="11"/>
      <color rgb="FF202124"/>
      <name val="Arial"/>
      <family val="2"/>
    </font>
    <font>
      <b/>
      <sz val="11"/>
      <name val="Calibri"/>
      <family val="2"/>
    </font>
  </fonts>
  <fills count="12">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65">
    <xf numFmtId="0" fontId="0" fillId="0" borderId="0" xfId="0"/>
    <xf numFmtId="0" fontId="0" fillId="0" borderId="0" xfId="0" applyProtection="1">
      <protection locked="0"/>
    </xf>
    <xf numFmtId="14" fontId="2" fillId="0" borderId="0" xfId="0" applyNumberFormat="1" applyFont="1"/>
    <xf numFmtId="0" fontId="2" fillId="0" borderId="0" xfId="0" applyFont="1"/>
    <xf numFmtId="14" fontId="2" fillId="0" borderId="0" xfId="0" applyNumberFormat="1" applyFont="1" applyAlignment="1">
      <alignment horizontal="left" vertical="center"/>
    </xf>
    <xf numFmtId="0" fontId="2" fillId="0" borderId="0" xfId="0" applyFont="1" applyAlignment="1">
      <alignment horizontal="left" vertical="center"/>
    </xf>
    <xf numFmtId="0" fontId="1" fillId="0" borderId="0" xfId="0" applyFont="1"/>
    <xf numFmtId="0" fontId="0" fillId="0" borderId="1" xfId="0" applyBorder="1"/>
    <xf numFmtId="0" fontId="0" fillId="0" borderId="0" xfId="0" applyAlignment="1">
      <alignment horizontal="left" vertical="center" wrapText="1"/>
    </xf>
    <xf numFmtId="0" fontId="0" fillId="0" borderId="0" xfId="0" applyAlignment="1">
      <alignment vertical="center"/>
    </xf>
    <xf numFmtId="0" fontId="0" fillId="2" borderId="0" xfId="0" applyFill="1" applyAlignment="1">
      <alignment vertical="center"/>
    </xf>
    <xf numFmtId="0" fontId="0" fillId="2" borderId="0" xfId="0" applyFill="1" applyAlignment="1">
      <alignment horizontal="left" vertical="center" wrapText="1"/>
    </xf>
    <xf numFmtId="0" fontId="0" fillId="3" borderId="0" xfId="0" applyFill="1" applyAlignment="1">
      <alignment vertical="center"/>
    </xf>
    <xf numFmtId="0" fontId="0" fillId="3" borderId="0" xfId="0" applyFill="1" applyAlignment="1">
      <alignment horizontal="left" vertical="center" wrapText="1"/>
    </xf>
    <xf numFmtId="0" fontId="0" fillId="4" borderId="0" xfId="0" applyFill="1" applyAlignment="1">
      <alignment vertical="center"/>
    </xf>
    <xf numFmtId="0" fontId="0" fillId="4" borderId="0" xfId="0" applyFill="1" applyAlignment="1">
      <alignment horizontal="left" vertical="center" wrapText="1"/>
    </xf>
    <xf numFmtId="0" fontId="0" fillId="5" borderId="0" xfId="0" applyFill="1" applyAlignment="1">
      <alignment vertical="center"/>
    </xf>
    <xf numFmtId="0" fontId="0" fillId="5" borderId="0" xfId="0" applyFill="1" applyAlignment="1">
      <alignment horizontal="left" vertical="center" wrapText="1"/>
    </xf>
    <xf numFmtId="0" fontId="0" fillId="6" borderId="0" xfId="0" applyFill="1" applyAlignment="1">
      <alignment vertical="center"/>
    </xf>
    <xf numFmtId="0" fontId="0" fillId="6" borderId="0" xfId="0" applyFill="1" applyAlignment="1">
      <alignment horizontal="left" vertical="center" wrapText="1"/>
    </xf>
    <xf numFmtId="0" fontId="1" fillId="0" borderId="0" xfId="0" applyFont="1" applyAlignment="1">
      <alignment horizontal="center" vertical="center" wrapText="1"/>
    </xf>
    <xf numFmtId="0" fontId="1" fillId="0" borderId="0" xfId="0" applyFont="1" applyAlignment="1" applyProtection="1">
      <alignment horizontal="center"/>
      <protection locked="0"/>
    </xf>
    <xf numFmtId="9" fontId="0" fillId="0" borderId="0" xfId="0" applyNumberFormat="1" applyProtection="1">
      <protection locked="0"/>
    </xf>
    <xf numFmtId="0" fontId="1" fillId="0" borderId="0" xfId="0" applyFont="1" applyAlignment="1" applyProtection="1">
      <alignment horizontal="center"/>
      <protection hidden="1"/>
    </xf>
    <xf numFmtId="0" fontId="0" fillId="0" borderId="0" xfId="0" applyAlignment="1" applyProtection="1">
      <alignment horizontal="center"/>
      <protection hidden="1"/>
    </xf>
    <xf numFmtId="164" fontId="0" fillId="0" borderId="0" xfId="0" applyNumberFormat="1" applyProtection="1">
      <protection locked="0"/>
    </xf>
    <xf numFmtId="14" fontId="0" fillId="0" borderId="0" xfId="0" applyNumberFormat="1"/>
    <xf numFmtId="10" fontId="0" fillId="0" borderId="0" xfId="0" applyNumberFormat="1"/>
    <xf numFmtId="165" fontId="0" fillId="0" borderId="0" xfId="1" applyNumberFormat="1" applyFont="1"/>
    <xf numFmtId="10" fontId="0" fillId="0" borderId="0" xfId="1" applyNumberFormat="1" applyFont="1" applyProtection="1">
      <protection locked="0"/>
    </xf>
    <xf numFmtId="0" fontId="0" fillId="0" borderId="0" xfId="1" applyNumberFormat="1" applyFont="1" applyProtection="1">
      <protection locked="0"/>
    </xf>
    <xf numFmtId="0" fontId="4" fillId="0" borderId="1" xfId="0" applyFont="1" applyBorder="1"/>
    <xf numFmtId="0" fontId="5" fillId="0" borderId="1" xfId="0" applyFont="1" applyBorder="1"/>
    <xf numFmtId="0" fontId="2" fillId="0" borderId="1" xfId="0" applyFont="1" applyBorder="1"/>
    <xf numFmtId="0" fontId="0" fillId="7" borderId="0" xfId="0" applyFill="1"/>
    <xf numFmtId="166" fontId="0" fillId="0" borderId="0" xfId="0" applyNumberFormat="1"/>
    <xf numFmtId="2" fontId="0" fillId="0" borderId="1" xfId="0" applyNumberFormat="1" applyBorder="1"/>
    <xf numFmtId="168" fontId="0" fillId="0" borderId="1" xfId="2" applyNumberFormat="1" applyFont="1" applyBorder="1"/>
    <xf numFmtId="0" fontId="0" fillId="0" borderId="2" xfId="0" applyBorder="1"/>
    <xf numFmtId="166" fontId="0" fillId="0" borderId="2" xfId="0" applyNumberFormat="1" applyBorder="1"/>
    <xf numFmtId="167" fontId="0" fillId="7" borderId="0" xfId="0" applyNumberFormat="1" applyFill="1"/>
    <xf numFmtId="9" fontId="0" fillId="0" borderId="0" xfId="1" applyFont="1"/>
    <xf numFmtId="0" fontId="1" fillId="7" borderId="1" xfId="0" applyFont="1" applyFill="1" applyBorder="1"/>
    <xf numFmtId="0" fontId="0" fillId="7" borderId="1" xfId="0" applyFill="1" applyBorder="1"/>
    <xf numFmtId="169" fontId="0" fillId="0" borderId="0" xfId="2" applyNumberFormat="1" applyFont="1"/>
    <xf numFmtId="9" fontId="1" fillId="7" borderId="1" xfId="0" applyNumberFormat="1" applyFont="1" applyFill="1" applyBorder="1"/>
    <xf numFmtId="9" fontId="0" fillId="7" borderId="1" xfId="0" applyNumberFormat="1" applyFill="1" applyBorder="1"/>
    <xf numFmtId="0" fontId="1" fillId="7" borderId="0" xfId="0" applyFont="1" applyFill="1"/>
    <xf numFmtId="0" fontId="0" fillId="7" borderId="0" xfId="0" applyFill="1" applyAlignment="1">
      <alignment horizontal="left"/>
    </xf>
    <xf numFmtId="0" fontId="0" fillId="8" borderId="0" xfId="0" applyFill="1"/>
    <xf numFmtId="0" fontId="1" fillId="0" borderId="1" xfId="0" applyFont="1" applyBorder="1"/>
    <xf numFmtId="0" fontId="1" fillId="9" borderId="1" xfId="0" applyFont="1" applyFill="1" applyBorder="1"/>
    <xf numFmtId="14" fontId="2" fillId="0" borderId="1" xfId="0" applyNumberFormat="1" applyFont="1" applyBorder="1" applyAlignment="1">
      <alignment horizontal="left" vertical="center"/>
    </xf>
    <xf numFmtId="0" fontId="7" fillId="10" borderId="1" xfId="0" applyFont="1" applyFill="1" applyBorder="1" applyAlignment="1">
      <alignment horizontal="center" vertical="top"/>
    </xf>
    <xf numFmtId="0" fontId="4" fillId="10" borderId="1" xfId="0" applyFont="1" applyFill="1" applyBorder="1"/>
    <xf numFmtId="0" fontId="1" fillId="10" borderId="1" xfId="0" applyFont="1" applyFill="1" applyBorder="1"/>
    <xf numFmtId="14" fontId="0" fillId="0" borderId="1" xfId="0" applyNumberFormat="1" applyBorder="1"/>
    <xf numFmtId="166" fontId="0" fillId="0" borderId="1" xfId="0" applyNumberFormat="1" applyBorder="1"/>
    <xf numFmtId="169" fontId="0" fillId="0" borderId="1" xfId="2" applyNumberFormat="1" applyFont="1" applyBorder="1"/>
    <xf numFmtId="0" fontId="1" fillId="11" borderId="1" xfId="0" applyFont="1" applyFill="1" applyBorder="1"/>
    <xf numFmtId="14" fontId="1" fillId="11" borderId="1" xfId="0" applyNumberFormat="1" applyFont="1" applyFill="1" applyBorder="1"/>
    <xf numFmtId="0" fontId="1" fillId="11" borderId="0" xfId="0" applyFont="1" applyFill="1"/>
    <xf numFmtId="0" fontId="6" fillId="0" borderId="1" xfId="0" applyFont="1" applyBorder="1"/>
    <xf numFmtId="9" fontId="0" fillId="0" borderId="1" xfId="1" applyFont="1" applyBorder="1"/>
    <xf numFmtId="2" fontId="2" fillId="0" borderId="1" xfId="0" applyNumberFormat="1" applyFont="1" applyBorder="1"/>
  </cellXfs>
  <cellStyles count="3">
    <cellStyle name="Comma" xfId="2" builtinId="3"/>
    <cellStyle name="Normal" xfId="0" builtinId="0"/>
    <cellStyle name="Percent" xfId="1" builtinId="5"/>
  </cellStyles>
  <dxfs count="8">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0660290427741864E-2"/>
          <c:y val="0.16991048608006967"/>
          <c:w val="0.93785310734463279"/>
          <c:h val="0.62082850492745012"/>
        </c:manualLayout>
      </c:layout>
      <c:barChart>
        <c:barDir val="col"/>
        <c:grouping val="clustered"/>
        <c:varyColors val="0"/>
        <c:ser>
          <c:idx val="0"/>
          <c:order val="0"/>
          <c:tx>
            <c:strRef>
              <c:f>Helper!$B$1</c:f>
              <c:strCache>
                <c:ptCount val="1"/>
                <c:pt idx="0">
                  <c:v>Rata-rata UTS</c:v>
                </c:pt>
              </c:strCache>
            </c:strRef>
          </c:tx>
          <c:spPr>
            <a:solidFill>
              <a:schemeClr val="accent1"/>
            </a:solidFill>
            <a:ln>
              <a:noFill/>
            </a:ln>
            <a:effectLst/>
          </c:spPr>
          <c:invertIfNegative val="0"/>
          <c:cat>
            <c:strRef>
              <c:f>Helper!$A$14:$A$19</c:f>
              <c:strCache>
                <c:ptCount val="6"/>
                <c:pt idx="0">
                  <c:v>Aktuaria</c:v>
                </c:pt>
                <c:pt idx="1">
                  <c:v>Matematika</c:v>
                </c:pt>
                <c:pt idx="2">
                  <c:v>Kimia</c:v>
                </c:pt>
                <c:pt idx="3">
                  <c:v>Fisika</c:v>
                </c:pt>
                <c:pt idx="4">
                  <c:v>Biologi</c:v>
                </c:pt>
                <c:pt idx="5">
                  <c:v>Statistika</c:v>
                </c:pt>
              </c:strCache>
            </c:strRef>
          </c:cat>
          <c:val>
            <c:numRef>
              <c:f>Helper!$B$2:$B$7</c:f>
              <c:numCache>
                <c:formatCode>0.0</c:formatCode>
                <c:ptCount val="6"/>
                <c:pt idx="0">
                  <c:v>65.128834355828218</c:v>
                </c:pt>
                <c:pt idx="1">
                  <c:v>63.874213836477985</c:v>
                </c:pt>
                <c:pt idx="2">
                  <c:v>63.645348837209305</c:v>
                </c:pt>
                <c:pt idx="3">
                  <c:v>62.825000000000003</c:v>
                </c:pt>
                <c:pt idx="4">
                  <c:v>62.322580645161288</c:v>
                </c:pt>
                <c:pt idx="5">
                  <c:v>62.193750000000001</c:v>
                </c:pt>
              </c:numCache>
            </c:numRef>
          </c:val>
          <c:extLst>
            <c:ext xmlns:c16="http://schemas.microsoft.com/office/drawing/2014/chart" uri="{C3380CC4-5D6E-409C-BE32-E72D297353CC}">
              <c16:uniqueId val="{00000000-D8C9-488A-AA4C-8767E8229C6D}"/>
            </c:ext>
          </c:extLst>
        </c:ser>
        <c:dLbls>
          <c:showLegendKey val="0"/>
          <c:showVal val="0"/>
          <c:showCatName val="0"/>
          <c:showSerName val="0"/>
          <c:showPercent val="0"/>
          <c:showBubbleSize val="0"/>
        </c:dLbls>
        <c:gapWidth val="219"/>
        <c:overlap val="-27"/>
        <c:axId val="1833526912"/>
        <c:axId val="1833531712"/>
      </c:barChart>
      <c:catAx>
        <c:axId val="183352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531712"/>
        <c:crosses val="autoZero"/>
        <c:auto val="1"/>
        <c:lblAlgn val="ctr"/>
        <c:lblOffset val="100"/>
        <c:noMultiLvlLbl val="0"/>
      </c:catAx>
      <c:valAx>
        <c:axId val="1833531712"/>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833526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348824817950394E-2"/>
          <c:y val="0.23190495924851498"/>
          <c:w val="0.4957894736842105"/>
          <c:h val="0.67285714285714282"/>
        </c:manualLayout>
      </c:layout>
      <c:doughnutChart>
        <c:varyColors val="1"/>
        <c:ser>
          <c:idx val="0"/>
          <c:order val="0"/>
          <c:tx>
            <c:strRef>
              <c:f>Helper!$L$1</c:f>
              <c:strCache>
                <c:ptCount val="1"/>
                <c:pt idx="0">
                  <c:v>Jumlah ujian 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57-4B4E-ACF1-FE0F9E29F9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57-4B4E-ACF1-FE0F9E29F9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57-4B4E-ACF1-FE0F9E29F9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57-4B4E-ACF1-FE0F9E29F9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57-4B4E-ACF1-FE0F9E29F9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57-4B4E-ACF1-FE0F9E29F9AF}"/>
              </c:ext>
            </c:extLst>
          </c:dPt>
          <c:cat>
            <c:strRef>
              <c:f>Helper!$K$2:$K$7</c:f>
              <c:strCache>
                <c:ptCount val="6"/>
                <c:pt idx="0">
                  <c:v>Biologi</c:v>
                </c:pt>
                <c:pt idx="1">
                  <c:v>Aktuaria</c:v>
                </c:pt>
                <c:pt idx="2">
                  <c:v>Fisika</c:v>
                </c:pt>
                <c:pt idx="3">
                  <c:v>Statistika</c:v>
                </c:pt>
                <c:pt idx="4">
                  <c:v>Matematika</c:v>
                </c:pt>
                <c:pt idx="5">
                  <c:v>Kimia</c:v>
                </c:pt>
              </c:strCache>
            </c:strRef>
          </c:cat>
          <c:val>
            <c:numRef>
              <c:f>Helper!$L$2:$L$7</c:f>
              <c:numCache>
                <c:formatCode>_-* #,##0_-;\-* #,##0_-;_-* "-"??_-;_-@_-</c:formatCode>
                <c:ptCount val="6"/>
                <c:pt idx="0">
                  <c:v>9493</c:v>
                </c:pt>
                <c:pt idx="1">
                  <c:v>9075</c:v>
                </c:pt>
                <c:pt idx="2">
                  <c:v>10010</c:v>
                </c:pt>
                <c:pt idx="3">
                  <c:v>9022</c:v>
                </c:pt>
                <c:pt idx="4">
                  <c:v>10745</c:v>
                </c:pt>
                <c:pt idx="5">
                  <c:v>8949</c:v>
                </c:pt>
              </c:numCache>
            </c:numRef>
          </c:val>
          <c:extLst>
            <c:ext xmlns:c16="http://schemas.microsoft.com/office/drawing/2014/chart" uri="{C3380CC4-5D6E-409C-BE32-E72D297353CC}">
              <c16:uniqueId val="{00000000-D6E4-4E1C-80FF-DC43E48BF12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331021446153426"/>
          <c:y val="0.2620789962230331"/>
          <c:w val="0.3025899394154678"/>
          <c:h val="0.71053128885205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Rata-rata</a:t>
            </a:r>
            <a:r>
              <a:rPr lang="en-ID" baseline="0"/>
              <a:t> ujian 3 vs 4</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Helper!$S$1</c:f>
              <c:strCache>
                <c:ptCount val="1"/>
                <c:pt idx="0">
                  <c:v>Rata rata ujian 3</c:v>
                </c:pt>
              </c:strCache>
            </c:strRef>
          </c:tx>
          <c:spPr>
            <a:solidFill>
              <a:schemeClr val="accent1"/>
            </a:solidFill>
            <a:ln>
              <a:noFill/>
            </a:ln>
            <a:effectLst/>
          </c:spPr>
          <c:invertIfNegative val="0"/>
          <c:cat>
            <c:strRef>
              <c:f>Helper!$R$2:$R$7</c:f>
              <c:strCache>
                <c:ptCount val="6"/>
                <c:pt idx="0">
                  <c:v>Biologi</c:v>
                </c:pt>
                <c:pt idx="1">
                  <c:v>Aktuaria</c:v>
                </c:pt>
                <c:pt idx="2">
                  <c:v>Fisika</c:v>
                </c:pt>
                <c:pt idx="3">
                  <c:v>Statistika</c:v>
                </c:pt>
                <c:pt idx="4">
                  <c:v>Matematika</c:v>
                </c:pt>
                <c:pt idx="5">
                  <c:v>Kimia</c:v>
                </c:pt>
              </c:strCache>
            </c:strRef>
          </c:cat>
          <c:val>
            <c:numRef>
              <c:f>Helper!$S$2:$S$7</c:f>
              <c:numCache>
                <c:formatCode>0.00</c:formatCode>
                <c:ptCount val="6"/>
                <c:pt idx="0">
                  <c:v>62.494623655913976</c:v>
                </c:pt>
                <c:pt idx="1">
                  <c:v>62.128834355828218</c:v>
                </c:pt>
                <c:pt idx="2">
                  <c:v>63.106250000000003</c:v>
                </c:pt>
                <c:pt idx="3">
                  <c:v>62.362499999999997</c:v>
                </c:pt>
                <c:pt idx="4">
                  <c:v>62.654088050314463</c:v>
                </c:pt>
                <c:pt idx="5">
                  <c:v>62.087209302325583</c:v>
                </c:pt>
              </c:numCache>
            </c:numRef>
          </c:val>
          <c:extLst>
            <c:ext xmlns:c16="http://schemas.microsoft.com/office/drawing/2014/chart" uri="{C3380CC4-5D6E-409C-BE32-E72D297353CC}">
              <c16:uniqueId val="{00000000-60FD-4A40-8004-8980B909E6CC}"/>
            </c:ext>
          </c:extLst>
        </c:ser>
        <c:ser>
          <c:idx val="1"/>
          <c:order val="1"/>
          <c:tx>
            <c:strRef>
              <c:f>Helper!$T$1</c:f>
              <c:strCache>
                <c:ptCount val="1"/>
                <c:pt idx="0">
                  <c:v>Rata-rata ujian 4 </c:v>
                </c:pt>
              </c:strCache>
            </c:strRef>
          </c:tx>
          <c:spPr>
            <a:solidFill>
              <a:schemeClr val="accent2"/>
            </a:solidFill>
            <a:ln>
              <a:noFill/>
            </a:ln>
            <a:effectLst/>
          </c:spPr>
          <c:invertIfNegative val="0"/>
          <c:cat>
            <c:strRef>
              <c:f>Helper!$R$2:$R$7</c:f>
              <c:strCache>
                <c:ptCount val="6"/>
                <c:pt idx="0">
                  <c:v>Biologi</c:v>
                </c:pt>
                <c:pt idx="1">
                  <c:v>Aktuaria</c:v>
                </c:pt>
                <c:pt idx="2">
                  <c:v>Fisika</c:v>
                </c:pt>
                <c:pt idx="3">
                  <c:v>Statistika</c:v>
                </c:pt>
                <c:pt idx="4">
                  <c:v>Matematika</c:v>
                </c:pt>
                <c:pt idx="5">
                  <c:v>Kimia</c:v>
                </c:pt>
              </c:strCache>
            </c:strRef>
          </c:cat>
          <c:val>
            <c:numRef>
              <c:f>Helper!$T$2:$T$7</c:f>
              <c:numCache>
                <c:formatCode>0.00</c:formatCode>
                <c:ptCount val="6"/>
                <c:pt idx="0">
                  <c:v>71.005376344086017</c:v>
                </c:pt>
                <c:pt idx="1">
                  <c:v>73.521472392638032</c:v>
                </c:pt>
                <c:pt idx="2">
                  <c:v>71.206249999999997</c:v>
                </c:pt>
                <c:pt idx="3">
                  <c:v>72.025000000000006</c:v>
                </c:pt>
                <c:pt idx="4">
                  <c:v>73.440251572327043</c:v>
                </c:pt>
                <c:pt idx="5">
                  <c:v>73.354651162790702</c:v>
                </c:pt>
              </c:numCache>
            </c:numRef>
          </c:val>
          <c:extLst>
            <c:ext xmlns:c16="http://schemas.microsoft.com/office/drawing/2014/chart" uri="{C3380CC4-5D6E-409C-BE32-E72D297353CC}">
              <c16:uniqueId val="{00000001-60FD-4A40-8004-8980B909E6CC}"/>
            </c:ext>
          </c:extLst>
        </c:ser>
        <c:dLbls>
          <c:showLegendKey val="0"/>
          <c:showVal val="0"/>
          <c:showCatName val="0"/>
          <c:showSerName val="0"/>
          <c:showPercent val="0"/>
          <c:showBubbleSize val="0"/>
        </c:dLbls>
        <c:gapWidth val="182"/>
        <c:axId val="1928771344"/>
        <c:axId val="1928758864"/>
      </c:barChart>
      <c:catAx>
        <c:axId val="192877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758864"/>
        <c:crosses val="autoZero"/>
        <c:auto val="1"/>
        <c:lblAlgn val="ctr"/>
        <c:lblOffset val="100"/>
        <c:noMultiLvlLbl val="0"/>
      </c:catAx>
      <c:valAx>
        <c:axId val="1928758864"/>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28771344"/>
        <c:crosses val="autoZero"/>
        <c:crossBetween val="between"/>
      </c:valAx>
      <c:spPr>
        <a:noFill/>
        <a:ln>
          <a:noFill/>
        </a:ln>
        <a:effectLst/>
      </c:spPr>
    </c:plotArea>
    <c:legend>
      <c:legendPos val="b"/>
      <c:layout>
        <c:manualLayout>
          <c:xMode val="edge"/>
          <c:yMode val="edge"/>
          <c:x val="0.11764096602018707"/>
          <c:y val="0.85654823305597305"/>
          <c:w val="0.64924801257689324"/>
          <c:h val="0.10274049436857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314476</xdr:colOff>
      <xdr:row>6</xdr:row>
      <xdr:rowOff>13607</xdr:rowOff>
    </xdr:from>
    <xdr:to>
      <xdr:col>3</xdr:col>
      <xdr:colOff>43031</xdr:colOff>
      <xdr:row>16</xdr:row>
      <xdr:rowOff>13606</xdr:rowOff>
    </xdr:to>
    <xdr:pic>
      <xdr:nvPicPr>
        <xdr:cNvPr id="4" name="Picture 3">
          <a:extLst>
            <a:ext uri="{FF2B5EF4-FFF2-40B4-BE49-F238E27FC236}">
              <a16:creationId xmlns:a16="http://schemas.microsoft.com/office/drawing/2014/main" id="{FD722EB0-3BA1-92DD-1B24-193616ED08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476" y="1156607"/>
          <a:ext cx="3168138" cy="1904999"/>
        </a:xfrm>
        <a:prstGeom prst="rect">
          <a:avLst/>
        </a:prstGeom>
      </xdr:spPr>
    </xdr:pic>
    <xdr:clientData/>
  </xdr:twoCellAnchor>
  <xdr:twoCellAnchor editAs="oneCell">
    <xdr:from>
      <xdr:col>3</xdr:col>
      <xdr:colOff>428626</xdr:colOff>
      <xdr:row>5</xdr:row>
      <xdr:rowOff>176893</xdr:rowOff>
    </xdr:from>
    <xdr:to>
      <xdr:col>8</xdr:col>
      <xdr:colOff>312965</xdr:colOff>
      <xdr:row>16</xdr:row>
      <xdr:rowOff>10496</xdr:rowOff>
    </xdr:to>
    <xdr:pic>
      <xdr:nvPicPr>
        <xdr:cNvPr id="3" name="Picture 2">
          <a:extLst>
            <a:ext uri="{FF2B5EF4-FFF2-40B4-BE49-F238E27FC236}">
              <a16:creationId xmlns:a16="http://schemas.microsoft.com/office/drawing/2014/main" id="{9E5681E7-C2C1-1D31-E142-4D6E396334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71233" y="1129393"/>
          <a:ext cx="3211286" cy="1929103"/>
        </a:xfrm>
        <a:prstGeom prst="rect">
          <a:avLst/>
        </a:prstGeom>
      </xdr:spPr>
    </xdr:pic>
    <xdr:clientData/>
  </xdr:twoCellAnchor>
  <xdr:twoCellAnchor editAs="oneCell">
    <xdr:from>
      <xdr:col>9</xdr:col>
      <xdr:colOff>1</xdr:colOff>
      <xdr:row>6</xdr:row>
      <xdr:rowOff>0</xdr:rowOff>
    </xdr:from>
    <xdr:to>
      <xdr:col>14</xdr:col>
      <xdr:colOff>115662</xdr:colOff>
      <xdr:row>16</xdr:row>
      <xdr:rowOff>3667</xdr:rowOff>
    </xdr:to>
    <xdr:pic>
      <xdr:nvPicPr>
        <xdr:cNvPr id="8" name="Picture 7">
          <a:extLst>
            <a:ext uri="{FF2B5EF4-FFF2-40B4-BE49-F238E27FC236}">
              <a16:creationId xmlns:a16="http://schemas.microsoft.com/office/drawing/2014/main" id="{C5544C47-07D1-1CAC-23B9-E8BDB39694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81876" y="1143000"/>
          <a:ext cx="3177268" cy="1908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133351</xdr:colOff>
      <xdr:row>0</xdr:row>
      <xdr:rowOff>38101</xdr:rowOff>
    </xdr:from>
    <xdr:to>
      <xdr:col>9</xdr:col>
      <xdr:colOff>28575</xdr:colOff>
      <xdr:row>9</xdr:row>
      <xdr:rowOff>142875</xdr:rowOff>
    </xdr:to>
    <xdr:graphicFrame macro="">
      <xdr:nvGraphicFramePr>
        <xdr:cNvPr id="2" name="Chart 1">
          <a:extLst>
            <a:ext uri="{FF2B5EF4-FFF2-40B4-BE49-F238E27FC236}">
              <a16:creationId xmlns:a16="http://schemas.microsoft.com/office/drawing/2014/main" id="{38593F7F-2B1F-B568-1CF1-AD30E1408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133351</xdr:colOff>
      <xdr:row>0</xdr:row>
      <xdr:rowOff>0</xdr:rowOff>
    </xdr:from>
    <xdr:to>
      <xdr:col>16</xdr:col>
      <xdr:colOff>228601</xdr:colOff>
      <xdr:row>9</xdr:row>
      <xdr:rowOff>19050</xdr:rowOff>
    </xdr:to>
    <xdr:graphicFrame macro="">
      <xdr:nvGraphicFramePr>
        <xdr:cNvPr id="4" name="Chart 3">
          <a:extLst>
            <a:ext uri="{FF2B5EF4-FFF2-40B4-BE49-F238E27FC236}">
              <a16:creationId xmlns:a16="http://schemas.microsoft.com/office/drawing/2014/main" id="{F3FEA5A4-4511-F703-69DC-9664758AF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xdr:colOff>
      <xdr:row>0</xdr:row>
      <xdr:rowOff>0</xdr:rowOff>
    </xdr:from>
    <xdr:to>
      <xdr:col>25</xdr:col>
      <xdr:colOff>295275</xdr:colOff>
      <xdr:row>10</xdr:row>
      <xdr:rowOff>104774</xdr:rowOff>
    </xdr:to>
    <xdr:graphicFrame macro="">
      <xdr:nvGraphicFramePr>
        <xdr:cNvPr id="6" name="Chart 5">
          <a:extLst>
            <a:ext uri="{FF2B5EF4-FFF2-40B4-BE49-F238E27FC236}">
              <a16:creationId xmlns:a16="http://schemas.microsoft.com/office/drawing/2014/main" id="{4DED9704-85FC-725B-A7C1-79EF44394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C1F7-0D93-4761-9E40-EEAA1E144E07}">
  <dimension ref="A1:I50"/>
  <sheetViews>
    <sheetView zoomScale="66" zoomScaleNormal="100" workbookViewId="0">
      <selection activeCell="B20" sqref="B20"/>
    </sheetView>
  </sheetViews>
  <sheetFormatPr defaultRowHeight="15" x14ac:dyDescent="0.25"/>
  <cols>
    <col min="2" max="2" width="20" customWidth="1"/>
    <col min="3" max="3" width="22.42578125" customWidth="1"/>
    <col min="4" max="4" width="13.140625" bestFit="1" customWidth="1"/>
  </cols>
  <sheetData>
    <row r="1" spans="1:9" x14ac:dyDescent="0.25">
      <c r="A1" s="6" t="s">
        <v>3174</v>
      </c>
    </row>
    <row r="2" spans="1:9" x14ac:dyDescent="0.25">
      <c r="A2" s="34">
        <v>1</v>
      </c>
      <c r="B2" s="34" t="s">
        <v>3142</v>
      </c>
      <c r="C2" s="34"/>
      <c r="D2" s="34"/>
      <c r="E2" s="34"/>
      <c r="F2" s="34"/>
      <c r="G2" s="34"/>
      <c r="H2" s="34"/>
      <c r="I2" s="34"/>
    </row>
    <row r="3" spans="1:9" x14ac:dyDescent="0.25">
      <c r="A3" s="34">
        <v>2</v>
      </c>
      <c r="B3" s="34" t="s">
        <v>3143</v>
      </c>
      <c r="C3" s="34"/>
      <c r="D3" s="34"/>
      <c r="E3" s="34"/>
      <c r="F3" s="34"/>
      <c r="G3" s="34"/>
      <c r="H3" s="34"/>
      <c r="I3" s="34"/>
    </row>
    <row r="4" spans="1:9" x14ac:dyDescent="0.25">
      <c r="A4" s="34">
        <v>3</v>
      </c>
      <c r="B4" s="34" t="s">
        <v>3144</v>
      </c>
      <c r="C4" s="34"/>
      <c r="D4" s="34"/>
      <c r="E4" s="34"/>
      <c r="F4" s="34"/>
      <c r="G4" s="34"/>
      <c r="H4" s="34"/>
      <c r="I4" s="34"/>
    </row>
    <row r="5" spans="1:9" x14ac:dyDescent="0.25">
      <c r="A5" s="34">
        <v>4</v>
      </c>
      <c r="B5" s="34" t="s">
        <v>3145</v>
      </c>
      <c r="C5" s="34"/>
      <c r="D5" s="34"/>
      <c r="E5" s="34"/>
      <c r="F5" s="34"/>
      <c r="G5" s="34"/>
      <c r="H5" s="34"/>
      <c r="I5" s="34"/>
    </row>
    <row r="6" spans="1:9" x14ac:dyDescent="0.25">
      <c r="A6" s="34">
        <v>5</v>
      </c>
      <c r="B6" s="34" t="s">
        <v>3146</v>
      </c>
      <c r="C6" s="34"/>
    </row>
    <row r="7" spans="1:9" x14ac:dyDescent="0.25">
      <c r="A7" s="34"/>
    </row>
    <row r="8" spans="1:9" x14ac:dyDescent="0.25">
      <c r="A8" s="34"/>
    </row>
    <row r="9" spans="1:9" x14ac:dyDescent="0.25">
      <c r="A9" s="34"/>
    </row>
    <row r="10" spans="1:9" x14ac:dyDescent="0.25">
      <c r="A10" s="34"/>
    </row>
    <row r="11" spans="1:9" x14ac:dyDescent="0.25">
      <c r="A11" s="34"/>
    </row>
    <row r="12" spans="1:9" x14ac:dyDescent="0.25">
      <c r="A12" s="34"/>
    </row>
    <row r="13" spans="1:9" x14ac:dyDescent="0.25">
      <c r="A13" s="34"/>
    </row>
    <row r="14" spans="1:9" x14ac:dyDescent="0.25">
      <c r="A14" s="34"/>
    </row>
    <row r="15" spans="1:9" x14ac:dyDescent="0.25">
      <c r="A15" s="34"/>
    </row>
    <row r="16" spans="1:9" x14ac:dyDescent="0.25">
      <c r="A16" s="34"/>
    </row>
    <row r="17" spans="1:6" x14ac:dyDescent="0.25">
      <c r="A17" s="34"/>
    </row>
    <row r="18" spans="1:6" x14ac:dyDescent="0.25">
      <c r="A18" s="34">
        <v>6</v>
      </c>
      <c r="B18" s="34" t="s">
        <v>3147</v>
      </c>
      <c r="C18" s="34"/>
      <c r="D18" s="34"/>
      <c r="E18" s="34"/>
      <c r="F18" s="34"/>
    </row>
    <row r="19" spans="1:6" x14ac:dyDescent="0.25">
      <c r="A19" s="34">
        <v>7</v>
      </c>
      <c r="B19" s="34" t="s">
        <v>3148</v>
      </c>
      <c r="C19" s="34"/>
      <c r="D19" s="34"/>
      <c r="E19" s="34"/>
      <c r="F19" s="34"/>
    </row>
    <row r="20" spans="1:6" x14ac:dyDescent="0.25">
      <c r="A20" s="34"/>
      <c r="B20" s="34" t="s">
        <v>1027</v>
      </c>
      <c r="C20" s="34"/>
      <c r="D20" s="34"/>
      <c r="E20" s="34"/>
      <c r="F20" s="34"/>
    </row>
    <row r="21" spans="1:6" x14ac:dyDescent="0.25">
      <c r="A21" s="34"/>
      <c r="B21" s="42" t="s">
        <v>3140</v>
      </c>
      <c r="C21" s="42" t="s">
        <v>1009</v>
      </c>
      <c r="D21" s="42" t="s">
        <v>1055</v>
      </c>
      <c r="E21" s="34"/>
    </row>
    <row r="22" spans="1:6" x14ac:dyDescent="0.25">
      <c r="A22" s="34"/>
      <c r="B22" s="43">
        <v>1</v>
      </c>
      <c r="C22" s="43" t="s">
        <v>1015</v>
      </c>
      <c r="D22" s="43" t="s">
        <v>1029</v>
      </c>
      <c r="E22" s="34"/>
    </row>
    <row r="23" spans="1:6" x14ac:dyDescent="0.25">
      <c r="A23" s="34"/>
      <c r="B23" s="43">
        <v>10</v>
      </c>
      <c r="C23" s="43" t="s">
        <v>1014</v>
      </c>
      <c r="D23" s="43" t="s">
        <v>1030</v>
      </c>
      <c r="E23" s="34"/>
    </row>
    <row r="24" spans="1:6" x14ac:dyDescent="0.25">
      <c r="A24" s="34"/>
      <c r="B24" s="43">
        <v>100</v>
      </c>
      <c r="C24" s="43" t="s">
        <v>1012</v>
      </c>
      <c r="D24" s="43" t="s">
        <v>1031</v>
      </c>
      <c r="E24" s="34"/>
    </row>
    <row r="25" spans="1:6" x14ac:dyDescent="0.25">
      <c r="A25" s="34"/>
      <c r="B25" s="43">
        <v>1000</v>
      </c>
      <c r="C25" s="43" t="s">
        <v>1013</v>
      </c>
      <c r="D25" s="43" t="s">
        <v>1032</v>
      </c>
      <c r="E25" s="34"/>
    </row>
    <row r="26" spans="1:6" x14ac:dyDescent="0.25">
      <c r="A26" s="34"/>
      <c r="B26" s="43">
        <v>98</v>
      </c>
      <c r="C26" s="43" t="s">
        <v>1010</v>
      </c>
      <c r="D26" s="43" t="s">
        <v>1033</v>
      </c>
      <c r="E26" s="34"/>
    </row>
    <row r="27" spans="1:6" x14ac:dyDescent="0.25">
      <c r="A27" s="34"/>
      <c r="B27" s="43">
        <v>908</v>
      </c>
      <c r="C27" s="43" t="s">
        <v>1011</v>
      </c>
      <c r="D27" s="43" t="s">
        <v>1034</v>
      </c>
      <c r="E27" s="34"/>
    </row>
    <row r="28" spans="1:6" x14ac:dyDescent="0.25">
      <c r="A28" s="34">
        <v>8</v>
      </c>
      <c r="B28" s="34" t="s">
        <v>3149</v>
      </c>
      <c r="C28" s="34"/>
      <c r="D28" s="34"/>
      <c r="E28" s="34"/>
    </row>
    <row r="29" spans="1:6" x14ac:dyDescent="0.25">
      <c r="A29" s="34"/>
      <c r="B29" s="34" t="s">
        <v>3164</v>
      </c>
      <c r="C29" s="34"/>
      <c r="D29" s="34"/>
      <c r="E29" s="34"/>
    </row>
    <row r="30" spans="1:6" x14ac:dyDescent="0.25">
      <c r="A30" s="34"/>
      <c r="B30" s="34" t="s">
        <v>3165</v>
      </c>
      <c r="C30" s="34"/>
      <c r="D30" s="34"/>
      <c r="E30" s="34"/>
    </row>
    <row r="31" spans="1:6" x14ac:dyDescent="0.25">
      <c r="A31" s="34">
        <v>9</v>
      </c>
      <c r="B31" s="34" t="s">
        <v>3150</v>
      </c>
      <c r="C31" s="34"/>
      <c r="D31" s="34"/>
    </row>
    <row r="32" spans="1:6" x14ac:dyDescent="0.25">
      <c r="A32" s="34">
        <v>10</v>
      </c>
      <c r="B32" s="34" t="s">
        <v>3151</v>
      </c>
      <c r="C32" s="34"/>
      <c r="D32" s="34"/>
      <c r="E32" s="34"/>
    </row>
    <row r="33" spans="1:5" x14ac:dyDescent="0.25">
      <c r="A33" s="34"/>
      <c r="B33" s="45" t="s">
        <v>1036</v>
      </c>
      <c r="C33" s="43" t="s">
        <v>1039</v>
      </c>
      <c r="D33" s="34"/>
      <c r="E33" s="34"/>
    </row>
    <row r="34" spans="1:5" x14ac:dyDescent="0.25">
      <c r="A34" s="34"/>
      <c r="B34" s="42" t="s">
        <v>1037</v>
      </c>
      <c r="C34" s="43" t="s">
        <v>1038</v>
      </c>
      <c r="D34" s="34"/>
      <c r="E34" s="34"/>
    </row>
    <row r="35" spans="1:5" x14ac:dyDescent="0.25">
      <c r="A35" s="34"/>
      <c r="B35" s="42" t="s">
        <v>1025</v>
      </c>
      <c r="C35" s="46">
        <v>0.1</v>
      </c>
      <c r="D35" s="34"/>
      <c r="E35" s="34"/>
    </row>
    <row r="36" spans="1:5" x14ac:dyDescent="0.25">
      <c r="A36" s="34"/>
      <c r="B36" s="34" t="s">
        <v>3154</v>
      </c>
      <c r="C36" s="34"/>
      <c r="D36" s="34"/>
      <c r="E36" s="34"/>
    </row>
    <row r="37" spans="1:5" x14ac:dyDescent="0.25">
      <c r="A37" s="34"/>
      <c r="B37" s="34" t="s">
        <v>1040</v>
      </c>
      <c r="C37" s="34"/>
      <c r="D37" s="34"/>
      <c r="E37" s="34"/>
    </row>
    <row r="38" spans="1:5" x14ac:dyDescent="0.25">
      <c r="A38" s="34"/>
      <c r="B38" s="47" t="s">
        <v>1025</v>
      </c>
      <c r="C38" s="48">
        <v>80</v>
      </c>
      <c r="D38" s="34"/>
      <c r="E38" s="34"/>
    </row>
    <row r="39" spans="1:5" x14ac:dyDescent="0.25">
      <c r="A39" s="34"/>
      <c r="B39" s="47" t="s">
        <v>1041</v>
      </c>
      <c r="C39" s="48" t="s">
        <v>3152</v>
      </c>
      <c r="D39" s="34"/>
      <c r="E39" s="34"/>
    </row>
    <row r="40" spans="1:5" x14ac:dyDescent="0.25">
      <c r="A40" s="34"/>
      <c r="B40" s="47" t="s">
        <v>1025</v>
      </c>
      <c r="C40" s="48" t="s">
        <v>3153</v>
      </c>
      <c r="D40" s="34"/>
      <c r="E40" s="34"/>
    </row>
    <row r="41" spans="1:5" x14ac:dyDescent="0.25">
      <c r="A41" s="34">
        <v>11</v>
      </c>
      <c r="B41" s="34" t="s">
        <v>3155</v>
      </c>
      <c r="C41" s="34"/>
      <c r="D41" s="34"/>
      <c r="E41" s="34"/>
    </row>
    <row r="42" spans="1:5" x14ac:dyDescent="0.25">
      <c r="A42" s="34">
        <v>12</v>
      </c>
      <c r="B42" s="34" t="s">
        <v>3156</v>
      </c>
      <c r="C42" s="34"/>
      <c r="D42" s="34"/>
      <c r="E42" s="34"/>
    </row>
    <row r="43" spans="1:5" x14ac:dyDescent="0.25">
      <c r="A43" s="34">
        <v>13</v>
      </c>
      <c r="B43" s="34" t="s">
        <v>1043</v>
      </c>
    </row>
    <row r="44" spans="1:5" x14ac:dyDescent="0.25">
      <c r="A44" s="34"/>
      <c r="B44" s="34" t="s">
        <v>1</v>
      </c>
      <c r="C44" t="s">
        <v>1044</v>
      </c>
    </row>
    <row r="45" spans="1:5" x14ac:dyDescent="0.25">
      <c r="A45" s="34"/>
      <c r="B45" s="34" t="s">
        <v>1045</v>
      </c>
      <c r="C45" t="s">
        <v>1048</v>
      </c>
    </row>
    <row r="46" spans="1:5" x14ac:dyDescent="0.25">
      <c r="A46" s="34"/>
      <c r="B46" s="34" t="s">
        <v>1046</v>
      </c>
      <c r="C46" t="s">
        <v>1049</v>
      </c>
    </row>
    <row r="47" spans="1:5" x14ac:dyDescent="0.25">
      <c r="A47" s="34"/>
      <c r="B47" s="34" t="s">
        <v>1047</v>
      </c>
      <c r="C47" t="s">
        <v>1050</v>
      </c>
    </row>
    <row r="48" spans="1:5" x14ac:dyDescent="0.25">
      <c r="A48" s="34"/>
      <c r="B48" s="34" t="s">
        <v>1051</v>
      </c>
      <c r="C48" t="s">
        <v>1052</v>
      </c>
    </row>
    <row r="49" spans="1:3" x14ac:dyDescent="0.25">
      <c r="A49" s="34"/>
      <c r="B49" s="34" t="s">
        <v>1053</v>
      </c>
      <c r="C49" t="s">
        <v>1054</v>
      </c>
    </row>
    <row r="50" spans="1:3" x14ac:dyDescent="0.25">
      <c r="A50" s="34">
        <v>14</v>
      </c>
      <c r="B50" s="34" t="s">
        <v>3157</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0C52-091B-43F1-BE2C-DDC04AD215DA}">
  <dimension ref="A1:AD1004"/>
  <sheetViews>
    <sheetView topLeftCell="B1" zoomScale="69" zoomScaleNormal="100" workbookViewId="0">
      <selection activeCell="L6" sqref="L6"/>
    </sheetView>
  </sheetViews>
  <sheetFormatPr defaultRowHeight="15" x14ac:dyDescent="0.25"/>
  <cols>
    <col min="1" max="1" width="10.28515625" customWidth="1"/>
    <col min="2" max="2" width="16.7109375" customWidth="1"/>
    <col min="3" max="3" width="16.85546875" customWidth="1"/>
    <col min="4" max="4" width="23.140625" bestFit="1" customWidth="1"/>
    <col min="5" max="5" width="12.7109375" customWidth="1"/>
    <col min="6" max="6" width="9.140625" customWidth="1"/>
    <col min="7" max="7" width="9.140625" style="35" customWidth="1"/>
    <col min="8" max="8" width="10.5703125" customWidth="1"/>
    <col min="9" max="11" width="9.140625" customWidth="1"/>
    <col min="12" max="12" width="14.42578125" style="26" customWidth="1"/>
    <col min="13" max="13" width="15.42578125" bestFit="1" customWidth="1"/>
    <col min="14" max="14" width="14.28515625" style="35" customWidth="1"/>
    <col min="15" max="15" width="9.42578125" customWidth="1"/>
    <col min="16" max="16" width="16.85546875" customWidth="1"/>
    <col min="17" max="17" width="32.7109375" customWidth="1"/>
    <col min="18" max="18" width="15.85546875" customWidth="1"/>
    <col min="19" max="19" width="13.85546875" bestFit="1" customWidth="1"/>
    <col min="20" max="20" width="31.42578125" customWidth="1"/>
    <col min="21" max="21" width="20.42578125" customWidth="1"/>
    <col min="22" max="22" width="12.5703125" customWidth="1"/>
    <col min="23" max="23" width="12.85546875" customWidth="1"/>
  </cols>
  <sheetData>
    <row r="1" spans="1:30" x14ac:dyDescent="0.25">
      <c r="A1" s="59" t="s">
        <v>3140</v>
      </c>
      <c r="B1" s="59" t="s">
        <v>1055</v>
      </c>
      <c r="C1" s="59" t="s">
        <v>1009</v>
      </c>
      <c r="D1" s="59" t="s">
        <v>3160</v>
      </c>
      <c r="E1" s="59" t="s">
        <v>1019</v>
      </c>
      <c r="F1" s="59" t="s">
        <v>1020</v>
      </c>
      <c r="G1" s="59" t="s">
        <v>1021</v>
      </c>
      <c r="H1" s="59" t="s">
        <v>1022</v>
      </c>
      <c r="I1" s="59" t="s">
        <v>1023</v>
      </c>
      <c r="J1" s="59" t="s">
        <v>1024</v>
      </c>
      <c r="K1" s="59" t="s">
        <v>1025</v>
      </c>
      <c r="L1" s="60" t="s">
        <v>3163</v>
      </c>
      <c r="M1" s="59" t="s">
        <v>3168</v>
      </c>
      <c r="N1" s="59" t="s">
        <v>1026</v>
      </c>
      <c r="O1" s="59" t="s">
        <v>1035</v>
      </c>
      <c r="P1" s="59" t="s">
        <v>1008</v>
      </c>
      <c r="Q1" s="59" t="s">
        <v>1060</v>
      </c>
      <c r="R1" s="59" t="s">
        <v>1057</v>
      </c>
      <c r="S1" s="59" t="s">
        <v>1058</v>
      </c>
      <c r="T1" s="59" t="s">
        <v>1059</v>
      </c>
      <c r="U1" s="59" t="s">
        <v>1056</v>
      </c>
      <c r="V1" s="59" t="s">
        <v>3211</v>
      </c>
      <c r="W1" s="59" t="s">
        <v>3189</v>
      </c>
      <c r="X1" s="61" t="s">
        <v>3190</v>
      </c>
    </row>
    <row r="2" spans="1:30" ht="15.75" x14ac:dyDescent="0.25">
      <c r="A2" s="7">
        <v>16</v>
      </c>
      <c r="B2" s="33" t="str">
        <f>CONCATENATE("A",TEXT(Main!A2,"0000"))</f>
        <v>A0016</v>
      </c>
      <c r="C2" s="7" t="s">
        <v>1015</v>
      </c>
      <c r="D2" s="33" t="str">
        <f>VLOOKUP(B2,Detail!$G$1:$H$1001,2,FALSE)</f>
        <v>Baktiono Kurniawan</v>
      </c>
      <c r="E2" s="7">
        <v>72</v>
      </c>
      <c r="F2" s="7">
        <v>64</v>
      </c>
      <c r="G2" s="57">
        <v>79</v>
      </c>
      <c r="H2" s="7">
        <v>59</v>
      </c>
      <c r="I2" s="7">
        <v>82</v>
      </c>
      <c r="J2" s="7">
        <v>88</v>
      </c>
      <c r="K2" s="7">
        <v>69</v>
      </c>
      <c r="L2" s="56">
        <f>IFERROR(VLOOKUP(B2,Absen!$A$1:$C$501,2,FALSE),"No")</f>
        <v>44828</v>
      </c>
      <c r="M2" s="58">
        <f t="shared" ref="M2:M65" si="0">IF(L2="no",K2,K2-10)*10%</f>
        <v>5.9</v>
      </c>
      <c r="N2" s="57">
        <f t="shared" ref="N2:N65" si="1">SUM(E2*12.5%,F2*12.5%,H2*12.5%,I2*12.5%,G2*20%,J2*20%,M2)</f>
        <v>73.925000000000011</v>
      </c>
      <c r="O2" s="7" t="str">
        <f>VLOOKUP(N2,Helper!$B$30:$C$35,2,TRUE)</f>
        <v>B</v>
      </c>
      <c r="P2" s="56">
        <f>INDEX(Detail!$A$1:$A$1001,MATCH(B2,Detail!$G$1:$G$1001,0))</f>
        <v>37464</v>
      </c>
      <c r="Q2" s="33" t="str">
        <f>INDEX(Detail!$F$1:$F$1001,MATCH(Main!B2,Detail!$G$1:$G$1001,0))</f>
        <v>Padangpanjang</v>
      </c>
      <c r="R2" s="7">
        <f>INDEX(Detail!$C$1:$C$1001,MATCH(B2,Detail!$G$1:$G$1001,0),1)</f>
        <v>159</v>
      </c>
      <c r="S2" s="7">
        <f>INDEX(Detail!$D$1:$D$1001,MATCH(B2,Detail!$G$1:$G$1001,0),1)</f>
        <v>56</v>
      </c>
      <c r="T2" s="7" t="str">
        <f>INDEX(Detail!$E$1:$E$1001,MATCH(Main!B2,Detail!$G$1:$G$1001,0))</f>
        <v>Gang Ahmad Dahlan No. 37</v>
      </c>
      <c r="U2" s="7" t="str">
        <f>INDEX(Detail!$B$1:$B$1001,MATCH(B2,Detail!$G$1:$G$1001,0),1)</f>
        <v>O-</v>
      </c>
      <c r="V2" s="7" t="str" cm="1">
        <f t="array" ref="V2">INDEX(Dosen!$B$3:$E$8,MATCH(Main!C2,Dosen!$A$3:$A$8,0),IF(AND(Main!A2&gt;=1,Main!A2&lt;=250),1,IF(AND(Main!A2&gt;=251,Main!A2&lt;=500),2,IF(AND(Main!A2&gt;=501,Main!A2&lt;=750),3,4))))</f>
        <v>Bu Dwi</v>
      </c>
      <c r="W2" s="7" t="str">
        <f>_xlfn.XLOOKUP(B2,Detail!$G$1:$G$1001,Detail!$B$1:$B$1001)</f>
        <v>O-</v>
      </c>
      <c r="X2" s="6" t="str">
        <f ca="1">_xlfn.FORMULATEXT(W2)</f>
        <v>=XLOOKUP(B2;Detail!$G$1:$G$1001;Detail!$B$1:$B$1001)</v>
      </c>
      <c r="Y2" s="27"/>
      <c r="Z2" s="27"/>
      <c r="AA2" s="27"/>
      <c r="AB2" s="27"/>
      <c r="AC2" s="27"/>
      <c r="AD2" s="27"/>
    </row>
    <row r="3" spans="1:30" ht="15.75" x14ac:dyDescent="0.25">
      <c r="A3" s="7">
        <v>20</v>
      </c>
      <c r="B3" s="33" t="str">
        <f>CONCATENATE("A",TEXT(Main!A3,"0000"))</f>
        <v>A0020</v>
      </c>
      <c r="C3" s="7" t="s">
        <v>1015</v>
      </c>
      <c r="D3" s="33" t="str">
        <f>VLOOKUP(B3,Detail!$G$1:$H$1001,2,FALSE)</f>
        <v>Halima Marbun</v>
      </c>
      <c r="E3" s="7">
        <v>60</v>
      </c>
      <c r="F3" s="7">
        <v>69</v>
      </c>
      <c r="G3" s="57">
        <v>93</v>
      </c>
      <c r="H3" s="7">
        <v>72</v>
      </c>
      <c r="I3" s="7">
        <v>60</v>
      </c>
      <c r="J3" s="7">
        <v>100</v>
      </c>
      <c r="K3" s="7">
        <v>70</v>
      </c>
      <c r="L3" s="56">
        <f>IFERROR(VLOOKUP(B3,Absen!$A$1:$C$501,2,FALSE),"No")</f>
        <v>44762</v>
      </c>
      <c r="M3" s="58">
        <f t="shared" si="0"/>
        <v>6</v>
      </c>
      <c r="N3" s="57">
        <f t="shared" si="1"/>
        <v>77.224999999999994</v>
      </c>
      <c r="O3" s="7" t="str">
        <f>VLOOKUP(N3,Helper!$B$30:$C$35,2,TRUE)</f>
        <v>B</v>
      </c>
      <c r="P3" s="56">
        <f>INDEX(Detail!$A$1:$A$1001,MATCH(B3,Detail!$G$1:$G$1001,0))</f>
        <v>37957</v>
      </c>
      <c r="Q3" s="33" t="str">
        <f>INDEX(Detail!$F$1:$F$1001,MATCH(Main!B3,Detail!$G$1:$G$1001,0))</f>
        <v>Palu</v>
      </c>
      <c r="R3" s="7">
        <f>INDEX(Detail!$C$1:$C$1001,MATCH(B3,Detail!$G$1:$G$1001,0),1)</f>
        <v>160</v>
      </c>
      <c r="S3" s="7">
        <f>INDEX(Detail!$D$1:$D$1001,MATCH(B3,Detail!$G$1:$G$1001,0),1)</f>
        <v>73</v>
      </c>
      <c r="T3" s="7" t="str">
        <f>INDEX(Detail!$E$1:$E$1001,MATCH(Main!B3,Detail!$G$1:$G$1001,0))</f>
        <v xml:space="preserve">Jl. Gedebage Selatan No. 4
</v>
      </c>
      <c r="U3" s="7" t="str">
        <f>INDEX(Detail!$B$1:$B$1001,MATCH(B3,Detail!$G$1:$G$1001,0),1)</f>
        <v>O+</v>
      </c>
      <c r="V3" s="7" t="str" cm="1">
        <f t="array" ref="V3">INDEX(Dosen!$B$3:$E$8,MATCH(Main!C3,Dosen!$A$3:$A$8,0),IF(AND(Main!A3&gt;=1,Main!A3&lt;=250),1,IF(AND(Main!A3&gt;=251,Main!A3&lt;=500),2,IF(AND(Main!A3&gt;=501,Main!A3&lt;=750),3,4))))</f>
        <v>Bu Dwi</v>
      </c>
      <c r="W3" s="7" t="str">
        <f>_xlfn.XLOOKUP(B3,Detail!$G$1:$G$1001,Detail!$B$1:$B$1001)</f>
        <v>O+</v>
      </c>
      <c r="Y3" s="27"/>
    </row>
    <row r="4" spans="1:30" ht="15.75" x14ac:dyDescent="0.25">
      <c r="A4" s="7">
        <v>22</v>
      </c>
      <c r="B4" s="33" t="str">
        <f>CONCATENATE("A",TEXT(Main!A4,"0000"))</f>
        <v>A0022</v>
      </c>
      <c r="C4" s="7" t="s">
        <v>1015</v>
      </c>
      <c r="D4" s="33" t="str">
        <f>VLOOKUP(B4,Detail!$G$1:$H$1001,2,FALSE)</f>
        <v>Ira Firgantoro</v>
      </c>
      <c r="E4" s="7">
        <v>51</v>
      </c>
      <c r="F4" s="7">
        <v>42</v>
      </c>
      <c r="G4" s="57">
        <v>38</v>
      </c>
      <c r="H4" s="7">
        <v>73</v>
      </c>
      <c r="I4" s="7">
        <v>63</v>
      </c>
      <c r="J4" s="7">
        <v>52</v>
      </c>
      <c r="K4" s="7">
        <v>71</v>
      </c>
      <c r="L4" s="56" t="str">
        <f>IFERROR(VLOOKUP(B4,Absen!$A$1:$C$501,2,FALSE),"No")</f>
        <v>No</v>
      </c>
      <c r="M4" s="58">
        <f t="shared" si="0"/>
        <v>7.1000000000000005</v>
      </c>
      <c r="N4" s="57">
        <f t="shared" si="1"/>
        <v>53.725000000000001</v>
      </c>
      <c r="O4" s="7" t="str">
        <f>VLOOKUP(N4,Helper!$B$30:$C$35,2,TRUE)</f>
        <v>D</v>
      </c>
      <c r="P4" s="56">
        <f>INDEX(Detail!$A$1:$A$1001,MATCH(B4,Detail!$G$1:$G$1001,0))</f>
        <v>37815</v>
      </c>
      <c r="Q4" s="33" t="str">
        <f>INDEX(Detail!$F$1:$F$1001,MATCH(Main!B4,Detail!$G$1:$G$1001,0))</f>
        <v>Banjarbaru</v>
      </c>
      <c r="R4" s="7">
        <f>INDEX(Detail!$C$1:$C$1001,MATCH(B4,Detail!$G$1:$G$1001,0),1)</f>
        <v>173</v>
      </c>
      <c r="S4" s="7">
        <f>INDEX(Detail!$D$1:$D$1001,MATCH(B4,Detail!$G$1:$G$1001,0),1)</f>
        <v>86</v>
      </c>
      <c r="T4" s="7" t="str">
        <f>INDEX(Detail!$E$1:$E$1001,MATCH(Main!B4,Detail!$G$1:$G$1001,0))</f>
        <v>Gg. Kutai No. 02</v>
      </c>
      <c r="U4" s="7" t="str">
        <f>INDEX(Detail!$B$1:$B$1001,MATCH(B4,Detail!$G$1:$G$1001,0),1)</f>
        <v>AB-</v>
      </c>
      <c r="V4" s="7" t="str" cm="1">
        <f t="array" ref="V4">INDEX(Dosen!$B$3:$E$8,MATCH(Main!C4,Dosen!$A$3:$A$8,0),IF(AND(Main!A4&gt;=1,Main!A4&lt;=250),1,IF(AND(Main!A4&gt;=251,Main!A4&lt;=500),2,IF(AND(Main!A4&gt;=501,Main!A4&lt;=750),3,4))))</f>
        <v>Bu Dwi</v>
      </c>
      <c r="W4" s="7" t="str">
        <f>_xlfn.XLOOKUP(B4,Detail!$G$1:$G$1001,Detail!$B$1:$B$1001)</f>
        <v>AB-</v>
      </c>
      <c r="Y4" s="27"/>
    </row>
    <row r="5" spans="1:30" ht="15.75" x14ac:dyDescent="0.25">
      <c r="A5" s="7">
        <v>26</v>
      </c>
      <c r="B5" s="33" t="str">
        <f>CONCATENATE("A",TEXT(Main!A5,"0000"))</f>
        <v>A0026</v>
      </c>
      <c r="C5" s="7" t="s">
        <v>1015</v>
      </c>
      <c r="D5" s="33" t="str">
        <f>VLOOKUP(B5,Detail!$G$1:$H$1001,2,FALSE)</f>
        <v>Samsul Kusmawati</v>
      </c>
      <c r="E5" s="7">
        <v>74</v>
      </c>
      <c r="F5" s="7">
        <v>57</v>
      </c>
      <c r="G5" s="57">
        <v>49</v>
      </c>
      <c r="H5" s="7">
        <v>53</v>
      </c>
      <c r="I5" s="7">
        <v>70</v>
      </c>
      <c r="J5" s="7">
        <v>57</v>
      </c>
      <c r="K5" s="7">
        <v>63</v>
      </c>
      <c r="L5" s="56">
        <f>IFERROR(VLOOKUP(B5,Absen!$A$1:$C$501,2,FALSE),"No")</f>
        <v>44811</v>
      </c>
      <c r="M5" s="58">
        <f t="shared" si="0"/>
        <v>5.3000000000000007</v>
      </c>
      <c r="N5" s="57">
        <f t="shared" si="1"/>
        <v>58.25</v>
      </c>
      <c r="O5" s="7" t="str">
        <f>VLOOKUP(N5,Helper!$B$30:$C$35,2,TRUE)</f>
        <v>D</v>
      </c>
      <c r="P5" s="56">
        <f>INDEX(Detail!$A$1:$A$1001,MATCH(B5,Detail!$G$1:$G$1001,0))</f>
        <v>37135</v>
      </c>
      <c r="Q5" s="33" t="str">
        <f>INDEX(Detail!$F$1:$F$1001,MATCH(Main!B5,Detail!$G$1:$G$1001,0))</f>
        <v>Lubuklinggau</v>
      </c>
      <c r="R5" s="7">
        <f>INDEX(Detail!$C$1:$C$1001,MATCH(B5,Detail!$G$1:$G$1001,0),1)</f>
        <v>156</v>
      </c>
      <c r="S5" s="7">
        <f>INDEX(Detail!$D$1:$D$1001,MATCH(B5,Detail!$G$1:$G$1001,0),1)</f>
        <v>86</v>
      </c>
      <c r="T5" s="7" t="str">
        <f>INDEX(Detail!$E$1:$E$1001,MATCH(Main!B5,Detail!$G$1:$G$1001,0))</f>
        <v xml:space="preserve">Gang Otto Iskandardinata No. 1
</v>
      </c>
      <c r="U5" s="7" t="str">
        <f>INDEX(Detail!$B$1:$B$1001,MATCH(B5,Detail!$G$1:$G$1001,0),1)</f>
        <v>A+</v>
      </c>
      <c r="V5" s="7" t="str" cm="1">
        <f t="array" ref="V5">INDEX(Dosen!$B$3:$E$8,MATCH(Main!C5,Dosen!$A$3:$A$8,0),IF(AND(Main!A5&gt;=1,Main!A5&lt;=250),1,IF(AND(Main!A5&gt;=251,Main!A5&lt;=500),2,IF(AND(Main!A5&gt;=501,Main!A5&lt;=750),3,4))))</f>
        <v>Bu Dwi</v>
      </c>
      <c r="W5" s="7" t="str">
        <f>_xlfn.XLOOKUP(B5,Detail!$G$1:$G$1001,Detail!$B$1:$B$1001)</f>
        <v>A+</v>
      </c>
      <c r="Y5" s="27"/>
    </row>
    <row r="6" spans="1:30" ht="15.75" x14ac:dyDescent="0.25">
      <c r="A6" s="7">
        <v>31</v>
      </c>
      <c r="B6" s="33" t="str">
        <f>CONCATENATE("A",TEXT(Main!A6,"0000"))</f>
        <v>A0031</v>
      </c>
      <c r="C6" s="7" t="s">
        <v>1015</v>
      </c>
      <c r="D6" s="33" t="str">
        <f>VLOOKUP(B6,Detail!$G$1:$H$1001,2,FALSE)</f>
        <v>Koko Suartini</v>
      </c>
      <c r="E6" s="7">
        <v>75</v>
      </c>
      <c r="F6" s="7">
        <v>60</v>
      </c>
      <c r="G6" s="57">
        <v>55</v>
      </c>
      <c r="H6" s="7">
        <v>74</v>
      </c>
      <c r="I6" s="7">
        <v>91</v>
      </c>
      <c r="J6" s="7">
        <v>65</v>
      </c>
      <c r="K6" s="7">
        <v>81</v>
      </c>
      <c r="L6" s="56" t="str">
        <f>IFERROR(VLOOKUP(B6,Absen!$A$1:$C$501,2,FALSE),"No")</f>
        <v>No</v>
      </c>
      <c r="M6" s="58">
        <f t="shared" si="0"/>
        <v>8.1</v>
      </c>
      <c r="N6" s="57">
        <f t="shared" si="1"/>
        <v>69.599999999999994</v>
      </c>
      <c r="O6" s="7" t="str">
        <f>VLOOKUP(N6,Helper!$B$30:$C$35,2,TRUE)</f>
        <v>C</v>
      </c>
      <c r="P6" s="56">
        <f>INDEX(Detail!$A$1:$A$1001,MATCH(B6,Detail!$G$1:$G$1001,0))</f>
        <v>38316</v>
      </c>
      <c r="Q6" s="33" t="str">
        <f>INDEX(Detail!$F$1:$F$1001,MATCH(Main!B6,Detail!$G$1:$G$1001,0))</f>
        <v>Lubuklinggau</v>
      </c>
      <c r="R6" s="7">
        <f>INDEX(Detail!$C$1:$C$1001,MATCH(B6,Detail!$G$1:$G$1001,0),1)</f>
        <v>175</v>
      </c>
      <c r="S6" s="7">
        <f>INDEX(Detail!$D$1:$D$1001,MATCH(B6,Detail!$G$1:$G$1001,0),1)</f>
        <v>87</v>
      </c>
      <c r="T6" s="7" t="str">
        <f>INDEX(Detail!$E$1:$E$1001,MATCH(Main!B6,Detail!$G$1:$G$1001,0))</f>
        <v>Jl. Moch. Toha No. 97</v>
      </c>
      <c r="U6" s="7" t="str">
        <f>INDEX(Detail!$B$1:$B$1001,MATCH(B6,Detail!$G$1:$G$1001,0),1)</f>
        <v>O+</v>
      </c>
      <c r="V6" s="7" t="str" cm="1">
        <f t="array" ref="V6">INDEX(Dosen!$B$3:$E$8,MATCH(Main!C6,Dosen!$A$3:$A$8,0),IF(AND(Main!A6&gt;=1,Main!A6&lt;=250),1,IF(AND(Main!A6&gt;=251,Main!A6&lt;=500),2,IF(AND(Main!A6&gt;=501,Main!A6&lt;=750),3,4))))</f>
        <v>Bu Dwi</v>
      </c>
      <c r="W6" s="7" t="str">
        <f>_xlfn.XLOOKUP(B6,Detail!$G$1:$G$1001,Detail!$B$1:$B$1001)</f>
        <v>O+</v>
      </c>
      <c r="Y6" s="27"/>
    </row>
    <row r="7" spans="1:30" ht="15.75" x14ac:dyDescent="0.25">
      <c r="A7" s="7">
        <v>33</v>
      </c>
      <c r="B7" s="33" t="str">
        <f>CONCATENATE("A",TEXT(Main!A7,"0000"))</f>
        <v>A0033</v>
      </c>
      <c r="C7" s="7" t="s">
        <v>1015</v>
      </c>
      <c r="D7" s="33" t="str">
        <f>VLOOKUP(B7,Detail!$G$1:$H$1001,2,FALSE)</f>
        <v>Dalimin Natsir</v>
      </c>
      <c r="E7" s="7">
        <v>73</v>
      </c>
      <c r="F7" s="7">
        <v>64</v>
      </c>
      <c r="G7" s="57">
        <v>40</v>
      </c>
      <c r="H7" s="7">
        <v>61</v>
      </c>
      <c r="I7" s="7">
        <v>89</v>
      </c>
      <c r="J7" s="7">
        <v>75</v>
      </c>
      <c r="K7" s="7">
        <v>65</v>
      </c>
      <c r="L7" s="56">
        <f>IFERROR(VLOOKUP(B7,Absen!$A$1:$C$501,2,FALSE),"No")</f>
        <v>44880</v>
      </c>
      <c r="M7" s="58">
        <f t="shared" si="0"/>
        <v>5.5</v>
      </c>
      <c r="N7" s="57">
        <f t="shared" si="1"/>
        <v>64.375</v>
      </c>
      <c r="O7" s="7" t="str">
        <f>VLOOKUP(N7,Helper!$B$30:$C$35,2,TRUE)</f>
        <v>C</v>
      </c>
      <c r="P7" s="56">
        <f>INDEX(Detail!$A$1:$A$1001,MATCH(B7,Detail!$G$1:$G$1001,0))</f>
        <v>37644</v>
      </c>
      <c r="Q7" s="33" t="str">
        <f>INDEX(Detail!$F$1:$F$1001,MATCH(Main!B7,Detail!$G$1:$G$1001,0))</f>
        <v>Padang Sidempuan</v>
      </c>
      <c r="R7" s="7">
        <f>INDEX(Detail!$C$1:$C$1001,MATCH(B7,Detail!$G$1:$G$1001,0),1)</f>
        <v>174</v>
      </c>
      <c r="S7" s="7">
        <f>INDEX(Detail!$D$1:$D$1001,MATCH(B7,Detail!$G$1:$G$1001,0),1)</f>
        <v>86</v>
      </c>
      <c r="T7" s="7" t="str">
        <f>INDEX(Detail!$E$1:$E$1001,MATCH(Main!B7,Detail!$G$1:$G$1001,0))</f>
        <v>Jalan Jayawijaya No. 91</v>
      </c>
      <c r="U7" s="7" t="str">
        <f>INDEX(Detail!$B$1:$B$1001,MATCH(B7,Detail!$G$1:$G$1001,0),1)</f>
        <v>B-</v>
      </c>
      <c r="V7" s="7" t="str" cm="1">
        <f t="array" ref="V7">INDEX(Dosen!$B$3:$E$8,MATCH(Main!C7,Dosen!$A$3:$A$8,0),IF(AND(Main!A7&gt;=1,Main!A7&lt;=250),1,IF(AND(Main!A7&gt;=251,Main!A7&lt;=500),2,IF(AND(Main!A7&gt;=501,Main!A7&lt;=750),3,4))))</f>
        <v>Bu Dwi</v>
      </c>
      <c r="W7" s="7" t="str">
        <f>_xlfn.XLOOKUP(B7,Detail!$G$1:$G$1001,Detail!$B$1:$B$1001)</f>
        <v>B-</v>
      </c>
      <c r="Y7" s="27"/>
    </row>
    <row r="8" spans="1:30" ht="15.75" x14ac:dyDescent="0.25">
      <c r="A8" s="7">
        <v>34</v>
      </c>
      <c r="B8" s="33" t="str">
        <f>CONCATENATE("A",TEXT(Main!A8,"0000"))</f>
        <v>A0034</v>
      </c>
      <c r="C8" s="7" t="s">
        <v>1015</v>
      </c>
      <c r="D8" s="33" t="str">
        <f>VLOOKUP(B8,Detail!$G$1:$H$1001,2,FALSE)</f>
        <v>Paulin Januar</v>
      </c>
      <c r="E8" s="7">
        <v>58</v>
      </c>
      <c r="F8" s="7">
        <v>57</v>
      </c>
      <c r="G8" s="57">
        <v>78</v>
      </c>
      <c r="H8" s="7">
        <v>55</v>
      </c>
      <c r="I8" s="7">
        <v>63</v>
      </c>
      <c r="J8" s="7">
        <v>49</v>
      </c>
      <c r="K8" s="7">
        <v>94</v>
      </c>
      <c r="L8" s="56">
        <f>IFERROR(VLOOKUP(B8,Absen!$A$1:$C$501,2,FALSE),"No")</f>
        <v>44765</v>
      </c>
      <c r="M8" s="58">
        <f t="shared" si="0"/>
        <v>8.4</v>
      </c>
      <c r="N8" s="57">
        <f t="shared" si="1"/>
        <v>62.925000000000004</v>
      </c>
      <c r="O8" s="7" t="str">
        <f>VLOOKUP(N8,Helper!$B$30:$C$35,2,TRUE)</f>
        <v>C</v>
      </c>
      <c r="P8" s="56">
        <f>INDEX(Detail!$A$1:$A$1001,MATCH(B8,Detail!$G$1:$G$1001,0))</f>
        <v>38456</v>
      </c>
      <c r="Q8" s="33" t="str">
        <f>INDEX(Detail!$F$1:$F$1001,MATCH(Main!B8,Detail!$G$1:$G$1001,0))</f>
        <v>Kota Administrasi Jakarta Selatan</v>
      </c>
      <c r="R8" s="7">
        <f>INDEX(Detail!$C$1:$C$1001,MATCH(B8,Detail!$G$1:$G$1001,0),1)</f>
        <v>151</v>
      </c>
      <c r="S8" s="7">
        <f>INDEX(Detail!$D$1:$D$1001,MATCH(B8,Detail!$G$1:$G$1001,0),1)</f>
        <v>72</v>
      </c>
      <c r="T8" s="7" t="str">
        <f>INDEX(Detail!$E$1:$E$1001,MATCH(Main!B8,Detail!$G$1:$G$1001,0))</f>
        <v>Jalan Cikutra Timur No. 51</v>
      </c>
      <c r="U8" s="7" t="str">
        <f>INDEX(Detail!$B$1:$B$1001,MATCH(B8,Detail!$G$1:$G$1001,0),1)</f>
        <v>AB-</v>
      </c>
      <c r="V8" s="7" t="str" cm="1">
        <f t="array" ref="V8">INDEX(Dosen!$B$3:$E$8,MATCH(Main!C8,Dosen!$A$3:$A$8,0),IF(AND(Main!A8&gt;=1,Main!A8&lt;=250),1,IF(AND(Main!A8&gt;=251,Main!A8&lt;=500),2,IF(AND(Main!A8&gt;=501,Main!A8&lt;=750),3,4))))</f>
        <v>Bu Dwi</v>
      </c>
      <c r="W8" s="7" t="str">
        <f>_xlfn.XLOOKUP(B8,Detail!$G$1:$G$1001,Detail!$B$1:$B$1001)</f>
        <v>AB-</v>
      </c>
      <c r="X8" s="28"/>
      <c r="Y8" s="28"/>
      <c r="Z8" s="28"/>
      <c r="AA8" s="28"/>
      <c r="AB8" s="28"/>
      <c r="AC8" s="28"/>
    </row>
    <row r="9" spans="1:30" ht="15.75" x14ac:dyDescent="0.25">
      <c r="A9" s="7">
        <v>41</v>
      </c>
      <c r="B9" s="33" t="str">
        <f>CONCATENATE("A",TEXT(Main!A9,"0000"))</f>
        <v>A0041</v>
      </c>
      <c r="C9" s="7" t="s">
        <v>1015</v>
      </c>
      <c r="D9" s="33" t="str">
        <f>VLOOKUP(B9,Detail!$G$1:$H$1001,2,FALSE)</f>
        <v>Gangsa Riyanti</v>
      </c>
      <c r="E9" s="7">
        <v>53</v>
      </c>
      <c r="F9" s="7">
        <v>48</v>
      </c>
      <c r="G9" s="57">
        <v>88</v>
      </c>
      <c r="H9" s="7">
        <v>59</v>
      </c>
      <c r="I9" s="7">
        <v>90</v>
      </c>
      <c r="J9" s="7">
        <v>49</v>
      </c>
      <c r="K9" s="7">
        <v>70</v>
      </c>
      <c r="L9" s="56" t="str">
        <f>IFERROR(VLOOKUP(B9,Absen!$A$1:$C$501,2,FALSE),"No")</f>
        <v>No</v>
      </c>
      <c r="M9" s="58">
        <f t="shared" si="0"/>
        <v>7</v>
      </c>
      <c r="N9" s="57">
        <f t="shared" si="1"/>
        <v>65.650000000000006</v>
      </c>
      <c r="O9" s="7" t="str">
        <f>VLOOKUP(N9,Helper!$B$30:$C$35,2,TRUE)</f>
        <v>C</v>
      </c>
      <c r="P9" s="56">
        <f>INDEX(Detail!$A$1:$A$1001,MATCH(B9,Detail!$G$1:$G$1001,0))</f>
        <v>37504</v>
      </c>
      <c r="Q9" s="33" t="str">
        <f>INDEX(Detail!$F$1:$F$1001,MATCH(Main!B9,Detail!$G$1:$G$1001,0))</f>
        <v>Kota Administrasi Jakarta Timur</v>
      </c>
      <c r="R9" s="7">
        <f>INDEX(Detail!$C$1:$C$1001,MATCH(B9,Detail!$G$1:$G$1001,0),1)</f>
        <v>156</v>
      </c>
      <c r="S9" s="7">
        <f>INDEX(Detail!$D$1:$D$1001,MATCH(B9,Detail!$G$1:$G$1001,0),1)</f>
        <v>95</v>
      </c>
      <c r="T9" s="7" t="str">
        <f>INDEX(Detail!$E$1:$E$1001,MATCH(Main!B9,Detail!$G$1:$G$1001,0))</f>
        <v xml:space="preserve">Gg. M.H Thamrin No. 5
</v>
      </c>
      <c r="U9" s="7" t="str">
        <f>INDEX(Detail!$B$1:$B$1001,MATCH(B9,Detail!$G$1:$G$1001,0),1)</f>
        <v>B+</v>
      </c>
      <c r="V9" s="7" t="str" cm="1">
        <f t="array" ref="V9">INDEX(Dosen!$B$3:$E$8,MATCH(Main!C9,Dosen!$A$3:$A$8,0),IF(AND(Main!A9&gt;=1,Main!A9&lt;=250),1,IF(AND(Main!A9&gt;=251,Main!A9&lt;=500),2,IF(AND(Main!A9&gt;=501,Main!A9&lt;=750),3,4))))</f>
        <v>Bu Dwi</v>
      </c>
      <c r="W9" s="7" t="str">
        <f>_xlfn.XLOOKUP(B9,Detail!$G$1:$G$1001,Detail!$B$1:$B$1001)</f>
        <v>B+</v>
      </c>
    </row>
    <row r="10" spans="1:30" ht="15.75" x14ac:dyDescent="0.25">
      <c r="A10" s="7">
        <v>51</v>
      </c>
      <c r="B10" s="33" t="str">
        <f>CONCATENATE("A",TEXT(Main!A10,"0000"))</f>
        <v>A0051</v>
      </c>
      <c r="C10" s="7" t="s">
        <v>1015</v>
      </c>
      <c r="D10" s="33" t="str">
        <f>VLOOKUP(B10,Detail!$G$1:$H$1001,2,FALSE)</f>
        <v>Jamalia Zulaika</v>
      </c>
      <c r="E10" s="7">
        <v>65</v>
      </c>
      <c r="F10" s="7">
        <v>64</v>
      </c>
      <c r="G10" s="57">
        <v>62</v>
      </c>
      <c r="H10" s="7">
        <v>54</v>
      </c>
      <c r="I10" s="7">
        <v>79</v>
      </c>
      <c r="J10" s="7">
        <v>82</v>
      </c>
      <c r="K10" s="7">
        <v>76</v>
      </c>
      <c r="L10" s="56">
        <f>IFERROR(VLOOKUP(B10,Absen!$A$1:$C$501,2,FALSE),"No")</f>
        <v>44771</v>
      </c>
      <c r="M10" s="58">
        <f t="shared" si="0"/>
        <v>6.6000000000000005</v>
      </c>
      <c r="N10" s="57">
        <f t="shared" si="1"/>
        <v>68.149999999999991</v>
      </c>
      <c r="O10" s="7" t="str">
        <f>VLOOKUP(N10,Helper!$B$30:$C$35,2,TRUE)</f>
        <v>C</v>
      </c>
      <c r="P10" s="56">
        <f>INDEX(Detail!$A$1:$A$1001,MATCH(B10,Detail!$G$1:$G$1001,0))</f>
        <v>37719</v>
      </c>
      <c r="Q10" s="33" t="str">
        <f>INDEX(Detail!$F$1:$F$1001,MATCH(Main!B10,Detail!$G$1:$G$1001,0))</f>
        <v>Tanjungbalai</v>
      </c>
      <c r="R10" s="7">
        <f>INDEX(Detail!$C$1:$C$1001,MATCH(B10,Detail!$G$1:$G$1001,0),1)</f>
        <v>171</v>
      </c>
      <c r="S10" s="7">
        <f>INDEX(Detail!$D$1:$D$1001,MATCH(B10,Detail!$G$1:$G$1001,0),1)</f>
        <v>79</v>
      </c>
      <c r="T10" s="7" t="str">
        <f>INDEX(Detail!$E$1:$E$1001,MATCH(Main!B10,Detail!$G$1:$G$1001,0))</f>
        <v>Gang Surapati No. 48</v>
      </c>
      <c r="U10" s="7" t="str">
        <f>INDEX(Detail!$B$1:$B$1001,MATCH(B10,Detail!$G$1:$G$1001,0),1)</f>
        <v>O+</v>
      </c>
      <c r="V10" s="7" t="str" cm="1">
        <f t="array" ref="V10">INDEX(Dosen!$B$3:$E$8,MATCH(Main!C10,Dosen!$A$3:$A$8,0),IF(AND(Main!A10&gt;=1,Main!A10&lt;=250),1,IF(AND(Main!A10&gt;=251,Main!A10&lt;=500),2,IF(AND(Main!A10&gt;=501,Main!A10&lt;=750),3,4))))</f>
        <v>Bu Dwi</v>
      </c>
      <c r="W10" s="7" t="str">
        <f>_xlfn.XLOOKUP(B10,Detail!$G$1:$G$1001,Detail!$B$1:$B$1001)</f>
        <v>O+</v>
      </c>
    </row>
    <row r="11" spans="1:30" ht="15.75" x14ac:dyDescent="0.25">
      <c r="A11" s="7">
        <v>63</v>
      </c>
      <c r="B11" s="33" t="str">
        <f>CONCATENATE("A",TEXT(Main!A11,"0000"))</f>
        <v>A0063</v>
      </c>
      <c r="C11" s="7" t="s">
        <v>1015</v>
      </c>
      <c r="D11" s="33" t="str">
        <f>VLOOKUP(B11,Detail!$G$1:$H$1001,2,FALSE)</f>
        <v>Salwa Wasita</v>
      </c>
      <c r="E11" s="7">
        <v>74</v>
      </c>
      <c r="F11" s="7">
        <v>52</v>
      </c>
      <c r="G11" s="57">
        <v>71</v>
      </c>
      <c r="H11" s="7">
        <v>59</v>
      </c>
      <c r="I11" s="7">
        <v>72</v>
      </c>
      <c r="J11" s="7">
        <v>54</v>
      </c>
      <c r="K11" s="7">
        <v>79</v>
      </c>
      <c r="L11" s="56">
        <f>IFERROR(VLOOKUP(B11,Absen!$A$1:$C$501,2,FALSE),"No")</f>
        <v>44836</v>
      </c>
      <c r="M11" s="58">
        <f t="shared" si="0"/>
        <v>6.9</v>
      </c>
      <c r="N11" s="57">
        <f t="shared" si="1"/>
        <v>64.025000000000006</v>
      </c>
      <c r="O11" s="7" t="str">
        <f>VLOOKUP(N11,Helper!$B$30:$C$35,2,TRUE)</f>
        <v>C</v>
      </c>
      <c r="P11" s="56">
        <f>INDEX(Detail!$A$1:$A$1001,MATCH(B11,Detail!$G$1:$G$1001,0))</f>
        <v>38293</v>
      </c>
      <c r="Q11" s="33" t="str">
        <f>INDEX(Detail!$F$1:$F$1001,MATCH(Main!B11,Detail!$G$1:$G$1001,0))</f>
        <v>Salatiga</v>
      </c>
      <c r="R11" s="7">
        <f>INDEX(Detail!$C$1:$C$1001,MATCH(B11,Detail!$G$1:$G$1001,0),1)</f>
        <v>162</v>
      </c>
      <c r="S11" s="7">
        <f>INDEX(Detail!$D$1:$D$1001,MATCH(B11,Detail!$G$1:$G$1001,0),1)</f>
        <v>84</v>
      </c>
      <c r="T11" s="7" t="str">
        <f>INDEX(Detail!$E$1:$E$1001,MATCH(Main!B11,Detail!$G$1:$G$1001,0))</f>
        <v>Jl. Kiaracondong No. 45</v>
      </c>
      <c r="U11" s="7" t="str">
        <f>INDEX(Detail!$B$1:$B$1001,MATCH(B11,Detail!$G$1:$G$1001,0),1)</f>
        <v>AB+</v>
      </c>
      <c r="V11" s="7" t="str" cm="1">
        <f t="array" ref="V11">INDEX(Dosen!$B$3:$E$8,MATCH(Main!C11,Dosen!$A$3:$A$8,0),IF(AND(Main!A11&gt;=1,Main!A11&lt;=250),1,IF(AND(Main!A11&gt;=251,Main!A11&lt;=500),2,IF(AND(Main!A11&gt;=501,Main!A11&lt;=750),3,4))))</f>
        <v>Bu Dwi</v>
      </c>
      <c r="W11" s="7" t="str">
        <f>_xlfn.XLOOKUP(B11,Detail!$G$1:$G$1001,Detail!$B$1:$B$1001)</f>
        <v>AB+</v>
      </c>
    </row>
    <row r="12" spans="1:30" ht="15.75" x14ac:dyDescent="0.25">
      <c r="A12" s="7">
        <v>65</v>
      </c>
      <c r="B12" s="33" t="str">
        <f>CONCATENATE("A",TEXT(Main!A12,"0000"))</f>
        <v>A0065</v>
      </c>
      <c r="C12" s="7" t="s">
        <v>1015</v>
      </c>
      <c r="D12" s="33" t="str">
        <f>VLOOKUP(B12,Detail!$G$1:$H$1001,2,FALSE)</f>
        <v>Ajiman Mulyani</v>
      </c>
      <c r="E12" s="7">
        <v>81</v>
      </c>
      <c r="F12" s="7">
        <v>41</v>
      </c>
      <c r="G12" s="57">
        <v>67</v>
      </c>
      <c r="H12" s="7">
        <v>54</v>
      </c>
      <c r="I12" s="7">
        <v>95</v>
      </c>
      <c r="J12" s="7">
        <v>52</v>
      </c>
      <c r="K12" s="7">
        <v>71</v>
      </c>
      <c r="L12" s="56">
        <f>IFERROR(VLOOKUP(B12,Absen!$A$1:$C$501,2,FALSE),"No")</f>
        <v>44852</v>
      </c>
      <c r="M12" s="58">
        <f t="shared" si="0"/>
        <v>6.1000000000000005</v>
      </c>
      <c r="N12" s="57">
        <f t="shared" si="1"/>
        <v>63.774999999999999</v>
      </c>
      <c r="O12" s="7" t="str">
        <f>VLOOKUP(N12,Helper!$B$30:$C$35,2,TRUE)</f>
        <v>C</v>
      </c>
      <c r="P12" s="56">
        <f>INDEX(Detail!$A$1:$A$1001,MATCH(B12,Detail!$G$1:$G$1001,0))</f>
        <v>38212</v>
      </c>
      <c r="Q12" s="33" t="str">
        <f>INDEX(Detail!$F$1:$F$1001,MATCH(Main!B12,Detail!$G$1:$G$1001,0))</f>
        <v>Balikpapan</v>
      </c>
      <c r="R12" s="7">
        <f>INDEX(Detail!$C$1:$C$1001,MATCH(B12,Detail!$G$1:$G$1001,0),1)</f>
        <v>166</v>
      </c>
      <c r="S12" s="7">
        <f>INDEX(Detail!$D$1:$D$1001,MATCH(B12,Detail!$G$1:$G$1001,0),1)</f>
        <v>81</v>
      </c>
      <c r="T12" s="7" t="str">
        <f>INDEX(Detail!$E$1:$E$1001,MATCH(Main!B12,Detail!$G$1:$G$1001,0))</f>
        <v xml:space="preserve">Jalan M.T Haryono No. 8
</v>
      </c>
      <c r="U12" s="7" t="str">
        <f>INDEX(Detail!$B$1:$B$1001,MATCH(B12,Detail!$G$1:$G$1001,0),1)</f>
        <v>O+</v>
      </c>
      <c r="V12" s="7" t="str" cm="1">
        <f t="array" ref="V12">INDEX(Dosen!$B$3:$E$8,MATCH(Main!C12,Dosen!$A$3:$A$8,0),IF(AND(Main!A12&gt;=1,Main!A12&lt;=250),1,IF(AND(Main!A12&gt;=251,Main!A12&lt;=500),2,IF(AND(Main!A12&gt;=501,Main!A12&lt;=750),3,4))))</f>
        <v>Bu Dwi</v>
      </c>
      <c r="W12" s="7" t="str">
        <f>_xlfn.XLOOKUP(B12,Detail!$G$1:$G$1001,Detail!$B$1:$B$1001)</f>
        <v>O+</v>
      </c>
    </row>
    <row r="13" spans="1:30" ht="15.75" x14ac:dyDescent="0.25">
      <c r="A13" s="7">
        <v>83</v>
      </c>
      <c r="B13" s="33" t="str">
        <f>CONCATENATE("A",TEXT(Main!A13,"0000"))</f>
        <v>A0083</v>
      </c>
      <c r="C13" s="7" t="s">
        <v>1015</v>
      </c>
      <c r="D13" s="33" t="str">
        <f>VLOOKUP(B13,Detail!$G$1:$H$1001,2,FALSE)</f>
        <v>Keisha Suryatmi</v>
      </c>
      <c r="E13" s="7">
        <v>58</v>
      </c>
      <c r="F13" s="7">
        <v>72</v>
      </c>
      <c r="G13" s="57">
        <v>75</v>
      </c>
      <c r="H13" s="7">
        <v>60</v>
      </c>
      <c r="I13" s="7">
        <v>75</v>
      </c>
      <c r="J13" s="7">
        <v>58</v>
      </c>
      <c r="K13" s="7">
        <v>93</v>
      </c>
      <c r="L13" s="56">
        <f>IFERROR(VLOOKUP(B13,Absen!$A$1:$C$501,2,FALSE),"No")</f>
        <v>44762</v>
      </c>
      <c r="M13" s="58">
        <f t="shared" si="0"/>
        <v>8.3000000000000007</v>
      </c>
      <c r="N13" s="57">
        <f t="shared" si="1"/>
        <v>68.025000000000006</v>
      </c>
      <c r="O13" s="7" t="str">
        <f>VLOOKUP(N13,Helper!$B$30:$C$35,2,TRUE)</f>
        <v>C</v>
      </c>
      <c r="P13" s="56">
        <f>INDEX(Detail!$A$1:$A$1001,MATCH(B13,Detail!$G$1:$G$1001,0))</f>
        <v>37240</v>
      </c>
      <c r="Q13" s="33" t="str">
        <f>INDEX(Detail!$F$1:$F$1001,MATCH(Main!B13,Detail!$G$1:$G$1001,0))</f>
        <v>Bau-Bau</v>
      </c>
      <c r="R13" s="7">
        <f>INDEX(Detail!$C$1:$C$1001,MATCH(B13,Detail!$G$1:$G$1001,0),1)</f>
        <v>160</v>
      </c>
      <c r="S13" s="7">
        <f>INDEX(Detail!$D$1:$D$1001,MATCH(B13,Detail!$G$1:$G$1001,0),1)</f>
        <v>50</v>
      </c>
      <c r="T13" s="7" t="str">
        <f>INDEX(Detail!$E$1:$E$1001,MATCH(Main!B13,Detail!$G$1:$G$1001,0))</f>
        <v>Jl. Bangka Raya No. 62</v>
      </c>
      <c r="U13" s="7" t="str">
        <f>INDEX(Detail!$B$1:$B$1001,MATCH(B13,Detail!$G$1:$G$1001,0),1)</f>
        <v>AB-</v>
      </c>
      <c r="V13" s="7" t="str" cm="1">
        <f t="array" ref="V13">INDEX(Dosen!$B$3:$E$8,MATCH(Main!C13,Dosen!$A$3:$A$8,0),IF(AND(Main!A13&gt;=1,Main!A13&lt;=250),1,IF(AND(Main!A13&gt;=251,Main!A13&lt;=500),2,IF(AND(Main!A13&gt;=501,Main!A13&lt;=750),3,4))))</f>
        <v>Bu Dwi</v>
      </c>
      <c r="W13" s="7" t="str">
        <f>_xlfn.XLOOKUP(B13,Detail!$G$1:$G$1001,Detail!$B$1:$B$1001)</f>
        <v>AB-</v>
      </c>
    </row>
    <row r="14" spans="1:30" ht="15.75" x14ac:dyDescent="0.25">
      <c r="A14" s="7">
        <v>84</v>
      </c>
      <c r="B14" s="33" t="str">
        <f>CONCATENATE("A",TEXT(Main!A14,"0000"))</f>
        <v>A0084</v>
      </c>
      <c r="C14" s="7" t="s">
        <v>1015</v>
      </c>
      <c r="D14" s="33" t="str">
        <f>VLOOKUP(B14,Detail!$G$1:$H$1001,2,FALSE)</f>
        <v>Kadir Anggriawan</v>
      </c>
      <c r="E14" s="7">
        <v>86</v>
      </c>
      <c r="F14" s="7">
        <v>61</v>
      </c>
      <c r="G14" s="57">
        <v>71</v>
      </c>
      <c r="H14" s="7">
        <v>59</v>
      </c>
      <c r="I14" s="7">
        <v>62</v>
      </c>
      <c r="J14" s="7">
        <v>45</v>
      </c>
      <c r="K14" s="7">
        <v>84</v>
      </c>
      <c r="L14" s="56" t="str">
        <f>IFERROR(VLOOKUP(B14,Absen!$A$1:$C$501,2,FALSE),"No")</f>
        <v>No</v>
      </c>
      <c r="M14" s="58">
        <f t="shared" si="0"/>
        <v>8.4</v>
      </c>
      <c r="N14" s="57">
        <f t="shared" si="1"/>
        <v>65.100000000000009</v>
      </c>
      <c r="O14" s="7" t="str">
        <f>VLOOKUP(N14,Helper!$B$30:$C$35,2,TRUE)</f>
        <v>C</v>
      </c>
      <c r="P14" s="56">
        <f>INDEX(Detail!$A$1:$A$1001,MATCH(B14,Detail!$G$1:$G$1001,0))</f>
        <v>38089</v>
      </c>
      <c r="Q14" s="33" t="str">
        <f>INDEX(Detail!$F$1:$F$1001,MATCH(Main!B14,Detail!$G$1:$G$1001,0))</f>
        <v>Makassar</v>
      </c>
      <c r="R14" s="7">
        <f>INDEX(Detail!$C$1:$C$1001,MATCH(B14,Detail!$G$1:$G$1001,0),1)</f>
        <v>156</v>
      </c>
      <c r="S14" s="7">
        <f>INDEX(Detail!$D$1:$D$1001,MATCH(B14,Detail!$G$1:$G$1001,0),1)</f>
        <v>50</v>
      </c>
      <c r="T14" s="7" t="str">
        <f>INDEX(Detail!$E$1:$E$1001,MATCH(Main!B14,Detail!$G$1:$G$1001,0))</f>
        <v xml:space="preserve">Gang Waringin No. 6
</v>
      </c>
      <c r="U14" s="7" t="str">
        <f>INDEX(Detail!$B$1:$B$1001,MATCH(B14,Detail!$G$1:$G$1001,0),1)</f>
        <v>B-</v>
      </c>
      <c r="V14" s="7" t="str" cm="1">
        <f t="array" ref="V14">INDEX(Dosen!$B$3:$E$8,MATCH(Main!C14,Dosen!$A$3:$A$8,0),IF(AND(Main!A14&gt;=1,Main!A14&lt;=250),1,IF(AND(Main!A14&gt;=251,Main!A14&lt;=500),2,IF(AND(Main!A14&gt;=501,Main!A14&lt;=750),3,4))))</f>
        <v>Bu Dwi</v>
      </c>
      <c r="W14" s="7" t="str">
        <f>_xlfn.XLOOKUP(B14,Detail!$G$1:$G$1001,Detail!$B$1:$B$1001)</f>
        <v>B-</v>
      </c>
    </row>
    <row r="15" spans="1:30" ht="15.75" x14ac:dyDescent="0.25">
      <c r="A15" s="7">
        <v>94</v>
      </c>
      <c r="B15" s="33" t="str">
        <f>CONCATENATE("A",TEXT(Main!A15,"0000"))</f>
        <v>A0094</v>
      </c>
      <c r="C15" s="7" t="s">
        <v>1015</v>
      </c>
      <c r="D15" s="33" t="str">
        <f>VLOOKUP(B15,Detail!$G$1:$H$1001,2,FALSE)</f>
        <v>Umay Suryono</v>
      </c>
      <c r="E15" s="7">
        <v>60</v>
      </c>
      <c r="F15" s="7">
        <v>46</v>
      </c>
      <c r="G15" s="57">
        <v>92</v>
      </c>
      <c r="H15" s="7">
        <v>75</v>
      </c>
      <c r="I15" s="7">
        <v>72</v>
      </c>
      <c r="J15" s="7">
        <v>69</v>
      </c>
      <c r="K15" s="7">
        <v>87</v>
      </c>
      <c r="L15" s="56" t="str">
        <f>IFERROR(VLOOKUP(B15,Absen!$A$1:$C$501,2,FALSE),"No")</f>
        <v>No</v>
      </c>
      <c r="M15" s="58">
        <f t="shared" si="0"/>
        <v>8.7000000000000011</v>
      </c>
      <c r="N15" s="57">
        <f t="shared" si="1"/>
        <v>72.525000000000006</v>
      </c>
      <c r="O15" s="7" t="str">
        <f>VLOOKUP(N15,Helper!$B$30:$C$35,2,TRUE)</f>
        <v>B</v>
      </c>
      <c r="P15" s="56">
        <f>INDEX(Detail!$A$1:$A$1001,MATCH(B15,Detail!$G$1:$G$1001,0))</f>
        <v>37701</v>
      </c>
      <c r="Q15" s="33" t="str">
        <f>INDEX(Detail!$F$1:$F$1001,MATCH(Main!B15,Detail!$G$1:$G$1001,0))</f>
        <v>Lubuklinggau</v>
      </c>
      <c r="R15" s="7">
        <f>INDEX(Detail!$C$1:$C$1001,MATCH(B15,Detail!$G$1:$G$1001,0),1)</f>
        <v>160</v>
      </c>
      <c r="S15" s="7">
        <f>INDEX(Detail!$D$1:$D$1001,MATCH(B15,Detail!$G$1:$G$1001,0),1)</f>
        <v>69</v>
      </c>
      <c r="T15" s="7" t="str">
        <f>INDEX(Detail!$E$1:$E$1001,MATCH(Main!B15,Detail!$G$1:$G$1001,0))</f>
        <v xml:space="preserve">Jl. Gegerkalong Hilir No. 0
</v>
      </c>
      <c r="U15" s="7" t="str">
        <f>INDEX(Detail!$B$1:$B$1001,MATCH(B15,Detail!$G$1:$G$1001,0),1)</f>
        <v>AB-</v>
      </c>
      <c r="V15" s="7" t="str" cm="1">
        <f t="array" ref="V15">INDEX(Dosen!$B$3:$E$8,MATCH(Main!C15,Dosen!$A$3:$A$8,0),IF(AND(Main!A15&gt;=1,Main!A15&lt;=250),1,IF(AND(Main!A15&gt;=251,Main!A15&lt;=500),2,IF(AND(Main!A15&gt;=501,Main!A15&lt;=750),3,4))))</f>
        <v>Bu Dwi</v>
      </c>
      <c r="W15" s="7" t="str">
        <f>_xlfn.XLOOKUP(B15,Detail!$G$1:$G$1001,Detail!$B$1:$B$1001)</f>
        <v>AB-</v>
      </c>
    </row>
    <row r="16" spans="1:30" ht="15.75" x14ac:dyDescent="0.25">
      <c r="A16" s="7">
        <v>100</v>
      </c>
      <c r="B16" s="33" t="str">
        <f>CONCATENATE("A",TEXT(Main!A16,"0000"))</f>
        <v>A0100</v>
      </c>
      <c r="C16" s="7" t="s">
        <v>1015</v>
      </c>
      <c r="D16" s="33" t="str">
        <f>VLOOKUP(B16,Detail!$G$1:$H$1001,2,FALSE)</f>
        <v>Jarwa Maulana</v>
      </c>
      <c r="E16" s="7">
        <v>50</v>
      </c>
      <c r="F16" s="7">
        <v>44</v>
      </c>
      <c r="G16" s="57">
        <v>51</v>
      </c>
      <c r="H16" s="7">
        <v>69</v>
      </c>
      <c r="I16" s="7">
        <v>54</v>
      </c>
      <c r="J16" s="7">
        <v>82</v>
      </c>
      <c r="K16" s="7">
        <v>66</v>
      </c>
      <c r="L16" s="56">
        <f>IFERROR(VLOOKUP(B16,Absen!$A$1:$C$501,2,FALSE),"No")</f>
        <v>44811</v>
      </c>
      <c r="M16" s="58">
        <f t="shared" si="0"/>
        <v>5.6000000000000005</v>
      </c>
      <c r="N16" s="57">
        <f t="shared" si="1"/>
        <v>59.32500000000001</v>
      </c>
      <c r="O16" s="7" t="str">
        <f>VLOOKUP(N16,Helper!$B$30:$C$35,2,TRUE)</f>
        <v>D</v>
      </c>
      <c r="P16" s="56">
        <f>INDEX(Detail!$A$1:$A$1001,MATCH(B16,Detail!$G$1:$G$1001,0))</f>
        <v>37996</v>
      </c>
      <c r="Q16" s="33" t="str">
        <f>INDEX(Detail!$F$1:$F$1001,MATCH(Main!B16,Detail!$G$1:$G$1001,0))</f>
        <v>Bitung</v>
      </c>
      <c r="R16" s="7">
        <f>INDEX(Detail!$C$1:$C$1001,MATCH(B16,Detail!$G$1:$G$1001,0),1)</f>
        <v>168</v>
      </c>
      <c r="S16" s="7">
        <f>INDEX(Detail!$D$1:$D$1001,MATCH(B16,Detail!$G$1:$G$1001,0),1)</f>
        <v>62</v>
      </c>
      <c r="T16" s="7" t="str">
        <f>INDEX(Detail!$E$1:$E$1001,MATCH(Main!B16,Detail!$G$1:$G$1001,0))</f>
        <v xml:space="preserve">Gang Sukabumi No. 7
</v>
      </c>
      <c r="U16" s="7" t="str">
        <f>INDEX(Detail!$B$1:$B$1001,MATCH(B16,Detail!$G$1:$G$1001,0),1)</f>
        <v>O-</v>
      </c>
      <c r="V16" s="7" t="str" cm="1">
        <f t="array" ref="V16">INDEX(Dosen!$B$3:$E$8,MATCH(Main!C16,Dosen!$A$3:$A$8,0),IF(AND(Main!A16&gt;=1,Main!A16&lt;=250),1,IF(AND(Main!A16&gt;=251,Main!A16&lt;=500),2,IF(AND(Main!A16&gt;=501,Main!A16&lt;=750),3,4))))</f>
        <v>Bu Dwi</v>
      </c>
      <c r="W16" s="7" t="str">
        <f>_xlfn.XLOOKUP(B16,Detail!$G$1:$G$1001,Detail!$B$1:$B$1001)</f>
        <v>O-</v>
      </c>
    </row>
    <row r="17" spans="1:23" ht="15.75" x14ac:dyDescent="0.25">
      <c r="A17" s="7">
        <v>110</v>
      </c>
      <c r="B17" s="33" t="str">
        <f>CONCATENATE("A",TEXT(Main!A17,"0000"))</f>
        <v>A0110</v>
      </c>
      <c r="C17" s="7" t="s">
        <v>1015</v>
      </c>
      <c r="D17" s="33" t="str">
        <f>VLOOKUP(B17,Detail!$G$1:$H$1001,2,FALSE)</f>
        <v>Wisnu Pangestu</v>
      </c>
      <c r="E17" s="7">
        <v>84</v>
      </c>
      <c r="F17" s="7">
        <v>68</v>
      </c>
      <c r="G17" s="57">
        <v>58</v>
      </c>
      <c r="H17" s="7">
        <v>51</v>
      </c>
      <c r="I17" s="7">
        <v>80</v>
      </c>
      <c r="J17" s="7">
        <v>46</v>
      </c>
      <c r="K17" s="7">
        <v>88</v>
      </c>
      <c r="L17" s="56" t="str">
        <f>IFERROR(VLOOKUP(B17,Absen!$A$1:$C$501,2,FALSE),"No")</f>
        <v>No</v>
      </c>
      <c r="M17" s="58">
        <f t="shared" si="0"/>
        <v>8.8000000000000007</v>
      </c>
      <c r="N17" s="57">
        <f t="shared" si="1"/>
        <v>64.975000000000009</v>
      </c>
      <c r="O17" s="7" t="str">
        <f>VLOOKUP(N17,Helper!$B$30:$C$35,2,TRUE)</f>
        <v>C</v>
      </c>
      <c r="P17" s="56">
        <f>INDEX(Detail!$A$1:$A$1001,MATCH(B17,Detail!$G$1:$G$1001,0))</f>
        <v>37705</v>
      </c>
      <c r="Q17" s="33" t="str">
        <f>INDEX(Detail!$F$1:$F$1001,MATCH(Main!B17,Detail!$G$1:$G$1001,0))</f>
        <v>Pematangsiantar</v>
      </c>
      <c r="R17" s="7">
        <f>INDEX(Detail!$C$1:$C$1001,MATCH(B17,Detail!$G$1:$G$1001,0),1)</f>
        <v>172</v>
      </c>
      <c r="S17" s="7">
        <f>INDEX(Detail!$D$1:$D$1001,MATCH(B17,Detail!$G$1:$G$1001,0),1)</f>
        <v>48</v>
      </c>
      <c r="T17" s="7" t="str">
        <f>INDEX(Detail!$E$1:$E$1001,MATCH(Main!B17,Detail!$G$1:$G$1001,0))</f>
        <v>Gg. R.E Martadinata No. 43</v>
      </c>
      <c r="U17" s="7" t="str">
        <f>INDEX(Detail!$B$1:$B$1001,MATCH(B17,Detail!$G$1:$G$1001,0),1)</f>
        <v>AB+</v>
      </c>
      <c r="V17" s="7" t="str" cm="1">
        <f t="array" ref="V17">INDEX(Dosen!$B$3:$E$8,MATCH(Main!C17,Dosen!$A$3:$A$8,0),IF(AND(Main!A17&gt;=1,Main!A17&lt;=250),1,IF(AND(Main!A17&gt;=251,Main!A17&lt;=500),2,IF(AND(Main!A17&gt;=501,Main!A17&lt;=750),3,4))))</f>
        <v>Bu Dwi</v>
      </c>
      <c r="W17" s="7" t="str">
        <f>_xlfn.XLOOKUP(B17,Detail!$G$1:$G$1001,Detail!$B$1:$B$1001)</f>
        <v>AB+</v>
      </c>
    </row>
    <row r="18" spans="1:23" ht="15.75" x14ac:dyDescent="0.25">
      <c r="A18" s="7">
        <v>111</v>
      </c>
      <c r="B18" s="33" t="str">
        <f>CONCATENATE("A",TEXT(Main!A18,"0000"))</f>
        <v>A0111</v>
      </c>
      <c r="C18" s="7" t="s">
        <v>1015</v>
      </c>
      <c r="D18" s="33" t="str">
        <f>VLOOKUP(B18,Detail!$G$1:$H$1001,2,FALSE)</f>
        <v>Jumadi Wahyuni</v>
      </c>
      <c r="E18" s="7">
        <v>73</v>
      </c>
      <c r="F18" s="7">
        <v>74</v>
      </c>
      <c r="G18" s="57">
        <v>64</v>
      </c>
      <c r="H18" s="7">
        <v>51</v>
      </c>
      <c r="I18" s="7">
        <v>95</v>
      </c>
      <c r="J18" s="7">
        <v>85</v>
      </c>
      <c r="K18" s="7">
        <v>99</v>
      </c>
      <c r="L18" s="56" t="str">
        <f>IFERROR(VLOOKUP(B18,Absen!$A$1:$C$501,2,FALSE),"No")</f>
        <v>No</v>
      </c>
      <c r="M18" s="58">
        <f t="shared" si="0"/>
        <v>9.9</v>
      </c>
      <c r="N18" s="57">
        <f t="shared" si="1"/>
        <v>76.325000000000003</v>
      </c>
      <c r="O18" s="7" t="str">
        <f>VLOOKUP(N18,Helper!$B$30:$C$35,2,TRUE)</f>
        <v>B</v>
      </c>
      <c r="P18" s="56">
        <f>INDEX(Detail!$A$1:$A$1001,MATCH(B18,Detail!$G$1:$G$1001,0))</f>
        <v>37290</v>
      </c>
      <c r="Q18" s="33" t="str">
        <f>INDEX(Detail!$F$1:$F$1001,MATCH(Main!B18,Detail!$G$1:$G$1001,0))</f>
        <v>Pariaman</v>
      </c>
      <c r="R18" s="7">
        <f>INDEX(Detail!$C$1:$C$1001,MATCH(B18,Detail!$G$1:$G$1001,0),1)</f>
        <v>154</v>
      </c>
      <c r="S18" s="7">
        <f>INDEX(Detail!$D$1:$D$1001,MATCH(B18,Detail!$G$1:$G$1001,0),1)</f>
        <v>95</v>
      </c>
      <c r="T18" s="7" t="str">
        <f>INDEX(Detail!$E$1:$E$1001,MATCH(Main!B18,Detail!$G$1:$G$1001,0))</f>
        <v>Gang Yos Sudarso No. 81</v>
      </c>
      <c r="U18" s="7" t="str">
        <f>INDEX(Detail!$B$1:$B$1001,MATCH(B18,Detail!$G$1:$G$1001,0),1)</f>
        <v>A+</v>
      </c>
      <c r="V18" s="7" t="str" cm="1">
        <f t="array" ref="V18">INDEX(Dosen!$B$3:$E$8,MATCH(Main!C18,Dosen!$A$3:$A$8,0),IF(AND(Main!A18&gt;=1,Main!A18&lt;=250),1,IF(AND(Main!A18&gt;=251,Main!A18&lt;=500),2,IF(AND(Main!A18&gt;=501,Main!A18&lt;=750),3,4))))</f>
        <v>Bu Dwi</v>
      </c>
      <c r="W18" s="7" t="str">
        <f>_xlfn.XLOOKUP(B18,Detail!$G$1:$G$1001,Detail!$B$1:$B$1001)</f>
        <v>A+</v>
      </c>
    </row>
    <row r="19" spans="1:23" ht="15.75" x14ac:dyDescent="0.25">
      <c r="A19" s="7">
        <v>130</v>
      </c>
      <c r="B19" s="33" t="str">
        <f>CONCATENATE("A",TEXT(Main!A19,"0000"))</f>
        <v>A0130</v>
      </c>
      <c r="C19" s="7" t="s">
        <v>1015</v>
      </c>
      <c r="D19" s="33" t="str">
        <f>VLOOKUP(B19,Detail!$G$1:$H$1001,2,FALSE)</f>
        <v>Amalia Pratiwi</v>
      </c>
      <c r="E19" s="7">
        <v>62</v>
      </c>
      <c r="F19" s="7">
        <v>48</v>
      </c>
      <c r="G19" s="57">
        <v>51</v>
      </c>
      <c r="H19" s="7">
        <v>68</v>
      </c>
      <c r="I19" s="7">
        <v>83</v>
      </c>
      <c r="J19" s="7">
        <v>60</v>
      </c>
      <c r="K19" s="7">
        <v>78</v>
      </c>
      <c r="L19" s="56" t="str">
        <f>IFERROR(VLOOKUP(B19,Absen!$A$1:$C$501,2,FALSE),"No")</f>
        <v>No</v>
      </c>
      <c r="M19" s="58">
        <f t="shared" si="0"/>
        <v>7.8000000000000007</v>
      </c>
      <c r="N19" s="57">
        <f t="shared" si="1"/>
        <v>62.625</v>
      </c>
      <c r="O19" s="7" t="str">
        <f>VLOOKUP(N19,Helper!$B$30:$C$35,2,TRUE)</f>
        <v>C</v>
      </c>
      <c r="P19" s="56">
        <f>INDEX(Detail!$A$1:$A$1001,MATCH(B19,Detail!$G$1:$G$1001,0))</f>
        <v>38454</v>
      </c>
      <c r="Q19" s="33" t="str">
        <f>INDEX(Detail!$F$1:$F$1001,MATCH(Main!B19,Detail!$G$1:$G$1001,0))</f>
        <v>Tasikmalaya</v>
      </c>
      <c r="R19" s="7">
        <f>INDEX(Detail!$C$1:$C$1001,MATCH(B19,Detail!$G$1:$G$1001,0),1)</f>
        <v>155</v>
      </c>
      <c r="S19" s="7">
        <f>INDEX(Detail!$D$1:$D$1001,MATCH(B19,Detail!$G$1:$G$1001,0),1)</f>
        <v>82</v>
      </c>
      <c r="T19" s="7" t="str">
        <f>INDEX(Detail!$E$1:$E$1001,MATCH(Main!B19,Detail!$G$1:$G$1001,0))</f>
        <v>Jalan Kutisari Selatan No. 49</v>
      </c>
      <c r="U19" s="7" t="str">
        <f>INDEX(Detail!$B$1:$B$1001,MATCH(B19,Detail!$G$1:$G$1001,0),1)</f>
        <v>O+</v>
      </c>
      <c r="V19" s="7" t="str" cm="1">
        <f t="array" ref="V19">INDEX(Dosen!$B$3:$E$8,MATCH(Main!C19,Dosen!$A$3:$A$8,0),IF(AND(Main!A19&gt;=1,Main!A19&lt;=250),1,IF(AND(Main!A19&gt;=251,Main!A19&lt;=500),2,IF(AND(Main!A19&gt;=501,Main!A19&lt;=750),3,4))))</f>
        <v>Bu Dwi</v>
      </c>
      <c r="W19" s="7" t="str">
        <f>_xlfn.XLOOKUP(B19,Detail!$G$1:$G$1001,Detail!$B$1:$B$1001)</f>
        <v>O+</v>
      </c>
    </row>
    <row r="20" spans="1:23" ht="15.75" x14ac:dyDescent="0.25">
      <c r="A20" s="7">
        <v>137</v>
      </c>
      <c r="B20" s="33" t="str">
        <f>CONCATENATE("A",TEXT(Main!A20,"0000"))</f>
        <v>A0137</v>
      </c>
      <c r="C20" s="7" t="s">
        <v>1015</v>
      </c>
      <c r="D20" s="33" t="str">
        <f>VLOOKUP(B20,Detail!$G$1:$H$1001,2,FALSE)</f>
        <v>Rika Firmansyah</v>
      </c>
      <c r="E20" s="7">
        <v>60</v>
      </c>
      <c r="F20" s="7">
        <v>61</v>
      </c>
      <c r="G20" s="57">
        <v>89</v>
      </c>
      <c r="H20" s="7">
        <v>58</v>
      </c>
      <c r="I20" s="7">
        <v>55</v>
      </c>
      <c r="J20" s="7">
        <v>76</v>
      </c>
      <c r="K20" s="7">
        <v>74</v>
      </c>
      <c r="L20" s="56">
        <f>IFERROR(VLOOKUP(B20,Absen!$A$1:$C$501,2,FALSE),"No")</f>
        <v>44854</v>
      </c>
      <c r="M20" s="58">
        <f t="shared" si="0"/>
        <v>6.4</v>
      </c>
      <c r="N20" s="57">
        <f t="shared" si="1"/>
        <v>68.650000000000006</v>
      </c>
      <c r="O20" s="7" t="str">
        <f>VLOOKUP(N20,Helper!$B$30:$C$35,2,TRUE)</f>
        <v>C</v>
      </c>
      <c r="P20" s="56">
        <f>INDEX(Detail!$A$1:$A$1001,MATCH(B20,Detail!$G$1:$G$1001,0))</f>
        <v>37220</v>
      </c>
      <c r="Q20" s="33" t="str">
        <f>INDEX(Detail!$F$1:$F$1001,MATCH(Main!B20,Detail!$G$1:$G$1001,0))</f>
        <v>Tebingtinggi</v>
      </c>
      <c r="R20" s="7">
        <f>INDEX(Detail!$C$1:$C$1001,MATCH(B20,Detail!$G$1:$G$1001,0),1)</f>
        <v>174</v>
      </c>
      <c r="S20" s="7">
        <f>INDEX(Detail!$D$1:$D$1001,MATCH(B20,Detail!$G$1:$G$1001,0),1)</f>
        <v>91</v>
      </c>
      <c r="T20" s="7" t="str">
        <f>INDEX(Detail!$E$1:$E$1001,MATCH(Main!B20,Detail!$G$1:$G$1001,0))</f>
        <v xml:space="preserve">Gang Jamika No. 9
</v>
      </c>
      <c r="U20" s="7" t="str">
        <f>INDEX(Detail!$B$1:$B$1001,MATCH(B20,Detail!$G$1:$G$1001,0),1)</f>
        <v>AB+</v>
      </c>
      <c r="V20" s="7" t="str" cm="1">
        <f t="array" ref="V20">INDEX(Dosen!$B$3:$E$8,MATCH(Main!C20,Dosen!$A$3:$A$8,0),IF(AND(Main!A20&gt;=1,Main!A20&lt;=250),1,IF(AND(Main!A20&gt;=251,Main!A20&lt;=500),2,IF(AND(Main!A20&gt;=501,Main!A20&lt;=750),3,4))))</f>
        <v>Bu Dwi</v>
      </c>
      <c r="W20" s="7" t="str">
        <f>_xlfn.XLOOKUP(B20,Detail!$G$1:$G$1001,Detail!$B$1:$B$1001)</f>
        <v>AB+</v>
      </c>
    </row>
    <row r="21" spans="1:23" ht="15.75" x14ac:dyDescent="0.25">
      <c r="A21" s="7">
        <v>144</v>
      </c>
      <c r="B21" s="33" t="str">
        <f>CONCATENATE("A",TEXT(Main!A21,"0000"))</f>
        <v>A0144</v>
      </c>
      <c r="C21" s="7" t="s">
        <v>1015</v>
      </c>
      <c r="D21" s="33" t="str">
        <f>VLOOKUP(B21,Detail!$G$1:$H$1001,2,FALSE)</f>
        <v>Kusuma Uwais</v>
      </c>
      <c r="E21" s="7">
        <v>76</v>
      </c>
      <c r="F21" s="7">
        <v>64</v>
      </c>
      <c r="G21" s="57">
        <v>84</v>
      </c>
      <c r="H21" s="7">
        <v>66</v>
      </c>
      <c r="I21" s="7">
        <v>66</v>
      </c>
      <c r="J21" s="7">
        <v>42</v>
      </c>
      <c r="K21" s="7">
        <v>63</v>
      </c>
      <c r="L21" s="56" t="str">
        <f>IFERROR(VLOOKUP(B21,Absen!$A$1:$C$501,2,FALSE),"No")</f>
        <v>No</v>
      </c>
      <c r="M21" s="58">
        <f t="shared" si="0"/>
        <v>6.3000000000000007</v>
      </c>
      <c r="N21" s="57">
        <f t="shared" si="1"/>
        <v>65.5</v>
      </c>
      <c r="O21" s="7" t="str">
        <f>VLOOKUP(N21,Helper!$B$30:$C$35,2,TRUE)</f>
        <v>C</v>
      </c>
      <c r="P21" s="56">
        <f>INDEX(Detail!$A$1:$A$1001,MATCH(B21,Detail!$G$1:$G$1001,0))</f>
        <v>37753</v>
      </c>
      <c r="Q21" s="33" t="str">
        <f>INDEX(Detail!$F$1:$F$1001,MATCH(Main!B21,Detail!$G$1:$G$1001,0))</f>
        <v>Payakumbuh</v>
      </c>
      <c r="R21" s="7">
        <f>INDEX(Detail!$C$1:$C$1001,MATCH(B21,Detail!$G$1:$G$1001,0),1)</f>
        <v>172</v>
      </c>
      <c r="S21" s="7">
        <f>INDEX(Detail!$D$1:$D$1001,MATCH(B21,Detail!$G$1:$G$1001,0),1)</f>
        <v>62</v>
      </c>
      <c r="T21" s="7" t="str">
        <f>INDEX(Detail!$E$1:$E$1001,MATCH(Main!B21,Detail!$G$1:$G$1001,0))</f>
        <v>Gang Kiaracondong No. 04</v>
      </c>
      <c r="U21" s="7" t="str">
        <f>INDEX(Detail!$B$1:$B$1001,MATCH(B21,Detail!$G$1:$G$1001,0),1)</f>
        <v>O-</v>
      </c>
      <c r="V21" s="7" t="str" cm="1">
        <f t="array" ref="V21">INDEX(Dosen!$B$3:$E$8,MATCH(Main!C21,Dosen!$A$3:$A$8,0),IF(AND(Main!A21&gt;=1,Main!A21&lt;=250),1,IF(AND(Main!A21&gt;=251,Main!A21&lt;=500),2,IF(AND(Main!A21&gt;=501,Main!A21&lt;=750),3,4))))</f>
        <v>Bu Dwi</v>
      </c>
      <c r="W21" s="7" t="str">
        <f>_xlfn.XLOOKUP(B21,Detail!$G$1:$G$1001,Detail!$B$1:$B$1001)</f>
        <v>O-</v>
      </c>
    </row>
    <row r="22" spans="1:23" ht="15.75" x14ac:dyDescent="0.25">
      <c r="A22" s="7">
        <v>150</v>
      </c>
      <c r="B22" s="33" t="str">
        <f>CONCATENATE("A",TEXT(Main!A22,"0000"))</f>
        <v>A0150</v>
      </c>
      <c r="C22" s="7" t="s">
        <v>1015</v>
      </c>
      <c r="D22" s="33" t="str">
        <f>VLOOKUP(B22,Detail!$G$1:$H$1001,2,FALSE)</f>
        <v>Yuliana Mahendra</v>
      </c>
      <c r="E22" s="7">
        <v>83</v>
      </c>
      <c r="F22" s="7">
        <v>75</v>
      </c>
      <c r="G22" s="57">
        <v>86</v>
      </c>
      <c r="H22" s="7">
        <v>59</v>
      </c>
      <c r="I22" s="7">
        <v>57</v>
      </c>
      <c r="J22" s="7">
        <v>99</v>
      </c>
      <c r="K22" s="7">
        <v>99</v>
      </c>
      <c r="L22" s="56" t="str">
        <f>IFERROR(VLOOKUP(B22,Absen!$A$1:$C$501,2,FALSE),"No")</f>
        <v>No</v>
      </c>
      <c r="M22" s="58">
        <f t="shared" si="0"/>
        <v>9.9</v>
      </c>
      <c r="N22" s="57">
        <f t="shared" si="1"/>
        <v>81.150000000000006</v>
      </c>
      <c r="O22" s="7" t="str">
        <f>VLOOKUP(N22,Helper!$B$30:$C$35,2,TRUE)</f>
        <v>A</v>
      </c>
      <c r="P22" s="56">
        <f>INDEX(Detail!$A$1:$A$1001,MATCH(B22,Detail!$G$1:$G$1001,0))</f>
        <v>37038</v>
      </c>
      <c r="Q22" s="33" t="str">
        <f>INDEX(Detail!$F$1:$F$1001,MATCH(Main!B22,Detail!$G$1:$G$1001,0))</f>
        <v>Banjar</v>
      </c>
      <c r="R22" s="7">
        <f>INDEX(Detail!$C$1:$C$1001,MATCH(B22,Detail!$G$1:$G$1001,0),1)</f>
        <v>157</v>
      </c>
      <c r="S22" s="7">
        <f>INDEX(Detail!$D$1:$D$1001,MATCH(B22,Detail!$G$1:$G$1001,0),1)</f>
        <v>54</v>
      </c>
      <c r="T22" s="7" t="str">
        <f>INDEX(Detail!$E$1:$E$1001,MATCH(Main!B22,Detail!$G$1:$G$1001,0))</f>
        <v>Jalan Surapati No. 77</v>
      </c>
      <c r="U22" s="7" t="str">
        <f>INDEX(Detail!$B$1:$B$1001,MATCH(B22,Detail!$G$1:$G$1001,0),1)</f>
        <v>B-</v>
      </c>
      <c r="V22" s="7" t="str" cm="1">
        <f t="array" ref="V22">INDEX(Dosen!$B$3:$E$8,MATCH(Main!C22,Dosen!$A$3:$A$8,0),IF(AND(Main!A22&gt;=1,Main!A22&lt;=250),1,IF(AND(Main!A22&gt;=251,Main!A22&lt;=500),2,IF(AND(Main!A22&gt;=501,Main!A22&lt;=750),3,4))))</f>
        <v>Bu Dwi</v>
      </c>
      <c r="W22" s="7" t="str">
        <f>_xlfn.XLOOKUP(B22,Detail!$G$1:$G$1001,Detail!$B$1:$B$1001)</f>
        <v>B-</v>
      </c>
    </row>
    <row r="23" spans="1:23" ht="15.75" x14ac:dyDescent="0.25">
      <c r="A23" s="7">
        <v>154</v>
      </c>
      <c r="B23" s="33" t="str">
        <f>CONCATENATE("A",TEXT(Main!A23,"0000"))</f>
        <v>A0154</v>
      </c>
      <c r="C23" s="7" t="s">
        <v>1015</v>
      </c>
      <c r="D23" s="33" t="str">
        <f>VLOOKUP(B23,Detail!$G$1:$H$1001,2,FALSE)</f>
        <v>Atmaja Nainggolan</v>
      </c>
      <c r="E23" s="7">
        <v>53</v>
      </c>
      <c r="F23" s="7">
        <v>67</v>
      </c>
      <c r="G23" s="57">
        <v>85</v>
      </c>
      <c r="H23" s="7">
        <v>60</v>
      </c>
      <c r="I23" s="7">
        <v>50</v>
      </c>
      <c r="J23" s="7">
        <v>44</v>
      </c>
      <c r="K23" s="7">
        <v>88</v>
      </c>
      <c r="L23" s="56">
        <f>IFERROR(VLOOKUP(B23,Absen!$A$1:$C$501,2,FALSE),"No")</f>
        <v>44858</v>
      </c>
      <c r="M23" s="58">
        <f t="shared" si="0"/>
        <v>7.8000000000000007</v>
      </c>
      <c r="N23" s="57">
        <f t="shared" si="1"/>
        <v>62.349999999999994</v>
      </c>
      <c r="O23" s="7" t="str">
        <f>VLOOKUP(N23,Helper!$B$30:$C$35,2,TRUE)</f>
        <v>C</v>
      </c>
      <c r="P23" s="56">
        <f>INDEX(Detail!$A$1:$A$1001,MATCH(B23,Detail!$G$1:$G$1001,0))</f>
        <v>37673</v>
      </c>
      <c r="Q23" s="33" t="str">
        <f>INDEX(Detail!$F$1:$F$1001,MATCH(Main!B23,Detail!$G$1:$G$1001,0))</f>
        <v>Pematangsiantar</v>
      </c>
      <c r="R23" s="7">
        <f>INDEX(Detail!$C$1:$C$1001,MATCH(B23,Detail!$G$1:$G$1001,0),1)</f>
        <v>165</v>
      </c>
      <c r="S23" s="7">
        <f>INDEX(Detail!$D$1:$D$1001,MATCH(B23,Detail!$G$1:$G$1001,0),1)</f>
        <v>85</v>
      </c>
      <c r="T23" s="7" t="str">
        <f>INDEX(Detail!$E$1:$E$1001,MATCH(Main!B23,Detail!$G$1:$G$1001,0))</f>
        <v>Gang Rumah Sakit No. 08</v>
      </c>
      <c r="U23" s="7" t="str">
        <f>INDEX(Detail!$B$1:$B$1001,MATCH(B23,Detail!$G$1:$G$1001,0),1)</f>
        <v>A+</v>
      </c>
      <c r="V23" s="7" t="str" cm="1">
        <f t="array" ref="V23">INDEX(Dosen!$B$3:$E$8,MATCH(Main!C23,Dosen!$A$3:$A$8,0),IF(AND(Main!A23&gt;=1,Main!A23&lt;=250),1,IF(AND(Main!A23&gt;=251,Main!A23&lt;=500),2,IF(AND(Main!A23&gt;=501,Main!A23&lt;=750),3,4))))</f>
        <v>Bu Dwi</v>
      </c>
      <c r="W23" s="7" t="str">
        <f>_xlfn.XLOOKUP(B23,Detail!$G$1:$G$1001,Detail!$B$1:$B$1001)</f>
        <v>A+</v>
      </c>
    </row>
    <row r="24" spans="1:23" ht="15.75" x14ac:dyDescent="0.25">
      <c r="A24" s="7">
        <v>156</v>
      </c>
      <c r="B24" s="33" t="str">
        <f>CONCATENATE("A",TEXT(Main!A24,"0000"))</f>
        <v>A0156</v>
      </c>
      <c r="C24" s="7" t="s">
        <v>1015</v>
      </c>
      <c r="D24" s="33" t="str">
        <f>VLOOKUP(B24,Detail!$G$1:$H$1001,2,FALSE)</f>
        <v>Jaswadi Permata</v>
      </c>
      <c r="E24" s="7">
        <v>87</v>
      </c>
      <c r="F24" s="7">
        <v>43</v>
      </c>
      <c r="G24" s="57">
        <v>93</v>
      </c>
      <c r="H24" s="7">
        <v>57</v>
      </c>
      <c r="I24" s="7">
        <v>62</v>
      </c>
      <c r="J24" s="7">
        <v>99</v>
      </c>
      <c r="K24" s="7">
        <v>83</v>
      </c>
      <c r="L24" s="56">
        <f>IFERROR(VLOOKUP(B24,Absen!$A$1:$C$501,2,FALSE),"No")</f>
        <v>44810</v>
      </c>
      <c r="M24" s="58">
        <f t="shared" si="0"/>
        <v>7.3000000000000007</v>
      </c>
      <c r="N24" s="57">
        <f t="shared" si="1"/>
        <v>76.825000000000003</v>
      </c>
      <c r="O24" s="7" t="str">
        <f>VLOOKUP(N24,Helper!$B$30:$C$35,2,TRUE)</f>
        <v>B</v>
      </c>
      <c r="P24" s="56">
        <f>INDEX(Detail!$A$1:$A$1001,MATCH(B24,Detail!$G$1:$G$1001,0))</f>
        <v>37752</v>
      </c>
      <c r="Q24" s="33" t="str">
        <f>INDEX(Detail!$F$1:$F$1001,MATCH(Main!B24,Detail!$G$1:$G$1001,0))</f>
        <v>Manado</v>
      </c>
      <c r="R24" s="7">
        <f>INDEX(Detail!$C$1:$C$1001,MATCH(B24,Detail!$G$1:$G$1001,0),1)</f>
        <v>161</v>
      </c>
      <c r="S24" s="7">
        <f>INDEX(Detail!$D$1:$D$1001,MATCH(B24,Detail!$G$1:$G$1001,0),1)</f>
        <v>62</v>
      </c>
      <c r="T24" s="7" t="str">
        <f>INDEX(Detail!$E$1:$E$1001,MATCH(Main!B24,Detail!$G$1:$G$1001,0))</f>
        <v xml:space="preserve">Jalan HOS. Cokroaminoto No. 2
</v>
      </c>
      <c r="U24" s="7" t="str">
        <f>INDEX(Detail!$B$1:$B$1001,MATCH(B24,Detail!$G$1:$G$1001,0),1)</f>
        <v>B+</v>
      </c>
      <c r="V24" s="7" t="str" cm="1">
        <f t="array" ref="V24">INDEX(Dosen!$B$3:$E$8,MATCH(Main!C24,Dosen!$A$3:$A$8,0),IF(AND(Main!A24&gt;=1,Main!A24&lt;=250),1,IF(AND(Main!A24&gt;=251,Main!A24&lt;=500),2,IF(AND(Main!A24&gt;=501,Main!A24&lt;=750),3,4))))</f>
        <v>Bu Dwi</v>
      </c>
      <c r="W24" s="7" t="str">
        <f>_xlfn.XLOOKUP(B24,Detail!$G$1:$G$1001,Detail!$B$1:$B$1001)</f>
        <v>B+</v>
      </c>
    </row>
    <row r="25" spans="1:23" ht="15.75" x14ac:dyDescent="0.25">
      <c r="A25" s="7">
        <v>169</v>
      </c>
      <c r="B25" s="33" t="str">
        <f>CONCATENATE("A",TEXT(Main!A25,"0000"))</f>
        <v>A0169</v>
      </c>
      <c r="C25" s="7" t="s">
        <v>1015</v>
      </c>
      <c r="D25" s="33" t="str">
        <f>VLOOKUP(B25,Detail!$G$1:$H$1001,2,FALSE)</f>
        <v>Yunita Oktaviani</v>
      </c>
      <c r="E25" s="7">
        <v>79</v>
      </c>
      <c r="F25" s="7">
        <v>40</v>
      </c>
      <c r="G25" s="57">
        <v>58</v>
      </c>
      <c r="H25" s="7">
        <v>56</v>
      </c>
      <c r="I25" s="7">
        <v>73</v>
      </c>
      <c r="J25" s="7">
        <v>50</v>
      </c>
      <c r="K25" s="7">
        <v>60</v>
      </c>
      <c r="L25" s="56" t="str">
        <f>IFERROR(VLOOKUP(B25,Absen!$A$1:$C$501,2,FALSE),"No")</f>
        <v>No</v>
      </c>
      <c r="M25" s="58">
        <f t="shared" si="0"/>
        <v>6</v>
      </c>
      <c r="N25" s="57">
        <f t="shared" si="1"/>
        <v>58.6</v>
      </c>
      <c r="O25" s="7" t="str">
        <f>VLOOKUP(N25,Helper!$B$30:$C$35,2,TRUE)</f>
        <v>D</v>
      </c>
      <c r="P25" s="56">
        <f>INDEX(Detail!$A$1:$A$1001,MATCH(B25,Detail!$G$1:$G$1001,0))</f>
        <v>37145</v>
      </c>
      <c r="Q25" s="33" t="str">
        <f>INDEX(Detail!$F$1:$F$1001,MATCH(Main!B25,Detail!$G$1:$G$1001,0))</f>
        <v>Batu</v>
      </c>
      <c r="R25" s="7">
        <f>INDEX(Detail!$C$1:$C$1001,MATCH(B25,Detail!$G$1:$G$1001,0),1)</f>
        <v>178</v>
      </c>
      <c r="S25" s="7">
        <f>INDEX(Detail!$D$1:$D$1001,MATCH(B25,Detail!$G$1:$G$1001,0),1)</f>
        <v>91</v>
      </c>
      <c r="T25" s="7" t="str">
        <f>INDEX(Detail!$E$1:$E$1001,MATCH(Main!B25,Detail!$G$1:$G$1001,0))</f>
        <v xml:space="preserve">Gg. Kutisari Selatan No. 7
</v>
      </c>
      <c r="U25" s="7" t="str">
        <f>INDEX(Detail!$B$1:$B$1001,MATCH(B25,Detail!$G$1:$G$1001,0),1)</f>
        <v>A-</v>
      </c>
      <c r="V25" s="7" t="str" cm="1">
        <f t="array" ref="V25">INDEX(Dosen!$B$3:$E$8,MATCH(Main!C25,Dosen!$A$3:$A$8,0),IF(AND(Main!A25&gt;=1,Main!A25&lt;=250),1,IF(AND(Main!A25&gt;=251,Main!A25&lt;=500),2,IF(AND(Main!A25&gt;=501,Main!A25&lt;=750),3,4))))</f>
        <v>Bu Dwi</v>
      </c>
      <c r="W25" s="7" t="str">
        <f>_xlfn.XLOOKUP(B25,Detail!$G$1:$G$1001,Detail!$B$1:$B$1001)</f>
        <v>A-</v>
      </c>
    </row>
    <row r="26" spans="1:23" ht="15.75" x14ac:dyDescent="0.25">
      <c r="A26" s="7">
        <v>174</v>
      </c>
      <c r="B26" s="33" t="str">
        <f>CONCATENATE("A",TEXT(Main!A26,"0000"))</f>
        <v>A0174</v>
      </c>
      <c r="C26" s="7" t="s">
        <v>1015</v>
      </c>
      <c r="D26" s="33" t="str">
        <f>VLOOKUP(B26,Detail!$G$1:$H$1001,2,FALSE)</f>
        <v>Padma Namaga</v>
      </c>
      <c r="E26" s="7">
        <v>87</v>
      </c>
      <c r="F26" s="7">
        <v>56</v>
      </c>
      <c r="G26" s="57">
        <v>57</v>
      </c>
      <c r="H26" s="7">
        <v>65</v>
      </c>
      <c r="I26" s="7">
        <v>89</v>
      </c>
      <c r="J26" s="7">
        <v>41</v>
      </c>
      <c r="K26" s="7">
        <v>63</v>
      </c>
      <c r="L26" s="56" t="str">
        <f>IFERROR(VLOOKUP(B26,Absen!$A$1:$C$501,2,FALSE),"No")</f>
        <v>No</v>
      </c>
      <c r="M26" s="58">
        <f t="shared" si="0"/>
        <v>6.3000000000000007</v>
      </c>
      <c r="N26" s="57">
        <f t="shared" si="1"/>
        <v>63.025000000000006</v>
      </c>
      <c r="O26" s="7" t="str">
        <f>VLOOKUP(N26,Helper!$B$30:$C$35,2,TRUE)</f>
        <v>C</v>
      </c>
      <c r="P26" s="56">
        <f>INDEX(Detail!$A$1:$A$1001,MATCH(B26,Detail!$G$1:$G$1001,0))</f>
        <v>38032</v>
      </c>
      <c r="Q26" s="33" t="str">
        <f>INDEX(Detail!$F$1:$F$1001,MATCH(Main!B26,Detail!$G$1:$G$1001,0))</f>
        <v>Mataram</v>
      </c>
      <c r="R26" s="7">
        <f>INDEX(Detail!$C$1:$C$1001,MATCH(B26,Detail!$G$1:$G$1001,0),1)</f>
        <v>177</v>
      </c>
      <c r="S26" s="7">
        <f>INDEX(Detail!$D$1:$D$1001,MATCH(B26,Detail!$G$1:$G$1001,0),1)</f>
        <v>87</v>
      </c>
      <c r="T26" s="7" t="str">
        <f>INDEX(Detail!$E$1:$E$1001,MATCH(Main!B26,Detail!$G$1:$G$1001,0))</f>
        <v xml:space="preserve">Gang Asia Afrika No. 4
</v>
      </c>
      <c r="U26" s="7" t="str">
        <f>INDEX(Detail!$B$1:$B$1001,MATCH(B26,Detail!$G$1:$G$1001,0),1)</f>
        <v>A-</v>
      </c>
      <c r="V26" s="7" t="str" cm="1">
        <f t="array" ref="V26">INDEX(Dosen!$B$3:$E$8,MATCH(Main!C26,Dosen!$A$3:$A$8,0),IF(AND(Main!A26&gt;=1,Main!A26&lt;=250),1,IF(AND(Main!A26&gt;=251,Main!A26&lt;=500),2,IF(AND(Main!A26&gt;=501,Main!A26&lt;=750),3,4))))</f>
        <v>Bu Dwi</v>
      </c>
      <c r="W26" s="7" t="str">
        <f>_xlfn.XLOOKUP(B26,Detail!$G$1:$G$1001,Detail!$B$1:$B$1001)</f>
        <v>A-</v>
      </c>
    </row>
    <row r="27" spans="1:23" ht="15.75" x14ac:dyDescent="0.25">
      <c r="A27" s="7">
        <v>181</v>
      </c>
      <c r="B27" s="33" t="str">
        <f>CONCATENATE("A",TEXT(Main!A27,"0000"))</f>
        <v>A0181</v>
      </c>
      <c r="C27" s="7" t="s">
        <v>1015</v>
      </c>
      <c r="D27" s="33" t="str">
        <f>VLOOKUP(B27,Detail!$G$1:$H$1001,2,FALSE)</f>
        <v>Sakura Dabukke</v>
      </c>
      <c r="E27" s="7">
        <v>69</v>
      </c>
      <c r="F27" s="7">
        <v>41</v>
      </c>
      <c r="G27" s="57">
        <v>56</v>
      </c>
      <c r="H27" s="7">
        <v>70</v>
      </c>
      <c r="I27" s="7">
        <v>82</v>
      </c>
      <c r="J27" s="7">
        <v>80</v>
      </c>
      <c r="K27" s="7">
        <v>95</v>
      </c>
      <c r="L27" s="56" t="str">
        <f>IFERROR(VLOOKUP(B27,Absen!$A$1:$C$501,2,FALSE),"No")</f>
        <v>No</v>
      </c>
      <c r="M27" s="58">
        <f t="shared" si="0"/>
        <v>9.5</v>
      </c>
      <c r="N27" s="57">
        <f t="shared" si="1"/>
        <v>69.45</v>
      </c>
      <c r="O27" s="7" t="str">
        <f>VLOOKUP(N27,Helper!$B$30:$C$35,2,TRUE)</f>
        <v>C</v>
      </c>
      <c r="P27" s="56">
        <f>INDEX(Detail!$A$1:$A$1001,MATCH(B27,Detail!$G$1:$G$1001,0))</f>
        <v>37164</v>
      </c>
      <c r="Q27" s="33" t="str">
        <f>INDEX(Detail!$F$1:$F$1001,MATCH(Main!B27,Detail!$G$1:$G$1001,0))</f>
        <v>Meulaboh</v>
      </c>
      <c r="R27" s="7">
        <f>INDEX(Detail!$C$1:$C$1001,MATCH(B27,Detail!$G$1:$G$1001,0),1)</f>
        <v>179</v>
      </c>
      <c r="S27" s="7">
        <f>INDEX(Detail!$D$1:$D$1001,MATCH(B27,Detail!$G$1:$G$1001,0),1)</f>
        <v>51</v>
      </c>
      <c r="T27" s="7" t="str">
        <f>INDEX(Detail!$E$1:$E$1001,MATCH(Main!B27,Detail!$G$1:$G$1001,0))</f>
        <v xml:space="preserve">Gang BKR No. 7
</v>
      </c>
      <c r="U27" s="7" t="str">
        <f>INDEX(Detail!$B$1:$B$1001,MATCH(B27,Detail!$G$1:$G$1001,0),1)</f>
        <v>A+</v>
      </c>
      <c r="V27" s="7" t="str" cm="1">
        <f t="array" ref="V27">INDEX(Dosen!$B$3:$E$8,MATCH(Main!C27,Dosen!$A$3:$A$8,0),IF(AND(Main!A27&gt;=1,Main!A27&lt;=250),1,IF(AND(Main!A27&gt;=251,Main!A27&lt;=500),2,IF(AND(Main!A27&gt;=501,Main!A27&lt;=750),3,4))))</f>
        <v>Bu Dwi</v>
      </c>
      <c r="W27" s="7" t="str">
        <f>_xlfn.XLOOKUP(B27,Detail!$G$1:$G$1001,Detail!$B$1:$B$1001)</f>
        <v>A+</v>
      </c>
    </row>
    <row r="28" spans="1:23" ht="15.75" x14ac:dyDescent="0.25">
      <c r="A28" s="7">
        <v>185</v>
      </c>
      <c r="B28" s="33" t="str">
        <f>CONCATENATE("A",TEXT(Main!A28,"0000"))</f>
        <v>A0185</v>
      </c>
      <c r="C28" s="7" t="s">
        <v>1015</v>
      </c>
      <c r="D28" s="33" t="str">
        <f>VLOOKUP(B28,Detail!$G$1:$H$1001,2,FALSE)</f>
        <v>Rina Yuniar</v>
      </c>
      <c r="E28" s="7">
        <v>84</v>
      </c>
      <c r="F28" s="7">
        <v>47</v>
      </c>
      <c r="G28" s="57">
        <v>74</v>
      </c>
      <c r="H28" s="7">
        <v>70</v>
      </c>
      <c r="I28" s="7">
        <v>85</v>
      </c>
      <c r="J28" s="7">
        <v>91</v>
      </c>
      <c r="K28" s="7">
        <v>73</v>
      </c>
      <c r="L28" s="56" t="str">
        <f>IFERROR(VLOOKUP(B28,Absen!$A$1:$C$501,2,FALSE),"No")</f>
        <v>No</v>
      </c>
      <c r="M28" s="58">
        <f t="shared" si="0"/>
        <v>7.3000000000000007</v>
      </c>
      <c r="N28" s="57">
        <f t="shared" si="1"/>
        <v>76.05</v>
      </c>
      <c r="O28" s="7" t="str">
        <f>VLOOKUP(N28,Helper!$B$30:$C$35,2,TRUE)</f>
        <v>B</v>
      </c>
      <c r="P28" s="56">
        <f>INDEX(Detail!$A$1:$A$1001,MATCH(B28,Detail!$G$1:$G$1001,0))</f>
        <v>37015</v>
      </c>
      <c r="Q28" s="33" t="str">
        <f>INDEX(Detail!$F$1:$F$1001,MATCH(Main!B28,Detail!$G$1:$G$1001,0))</f>
        <v>Bandung</v>
      </c>
      <c r="R28" s="7">
        <f>INDEX(Detail!$C$1:$C$1001,MATCH(B28,Detail!$G$1:$G$1001,0),1)</f>
        <v>154</v>
      </c>
      <c r="S28" s="7">
        <f>INDEX(Detail!$D$1:$D$1001,MATCH(B28,Detail!$G$1:$G$1001,0),1)</f>
        <v>62</v>
      </c>
      <c r="T28" s="7" t="str">
        <f>INDEX(Detail!$E$1:$E$1001,MATCH(Main!B28,Detail!$G$1:$G$1001,0))</f>
        <v xml:space="preserve">Gg. Kutai No. 3
</v>
      </c>
      <c r="U28" s="7" t="str">
        <f>INDEX(Detail!$B$1:$B$1001,MATCH(B28,Detail!$G$1:$G$1001,0),1)</f>
        <v>A+</v>
      </c>
      <c r="V28" s="7" t="str" cm="1">
        <f t="array" ref="V28">INDEX(Dosen!$B$3:$E$8,MATCH(Main!C28,Dosen!$A$3:$A$8,0),IF(AND(Main!A28&gt;=1,Main!A28&lt;=250),1,IF(AND(Main!A28&gt;=251,Main!A28&lt;=500),2,IF(AND(Main!A28&gt;=501,Main!A28&lt;=750),3,4))))</f>
        <v>Bu Dwi</v>
      </c>
      <c r="W28" s="7" t="str">
        <f>_xlfn.XLOOKUP(B28,Detail!$G$1:$G$1001,Detail!$B$1:$B$1001)</f>
        <v>A+</v>
      </c>
    </row>
    <row r="29" spans="1:23" ht="15.75" x14ac:dyDescent="0.25">
      <c r="A29" s="7">
        <v>187</v>
      </c>
      <c r="B29" s="33" t="str">
        <f>CONCATENATE("A",TEXT(Main!A29,"0000"))</f>
        <v>A0187</v>
      </c>
      <c r="C29" s="7" t="s">
        <v>1015</v>
      </c>
      <c r="D29" s="33" t="str">
        <f>VLOOKUP(B29,Detail!$G$1:$H$1001,2,FALSE)</f>
        <v>Karja Winarsih</v>
      </c>
      <c r="E29" s="7">
        <v>65</v>
      </c>
      <c r="F29" s="7">
        <v>73</v>
      </c>
      <c r="G29" s="57">
        <v>43</v>
      </c>
      <c r="H29" s="7">
        <v>72</v>
      </c>
      <c r="I29" s="7">
        <v>72</v>
      </c>
      <c r="J29" s="7">
        <v>54</v>
      </c>
      <c r="K29" s="7">
        <v>99</v>
      </c>
      <c r="L29" s="56">
        <f>IFERROR(VLOOKUP(B29,Absen!$A$1:$C$501,2,FALSE),"No")</f>
        <v>44820</v>
      </c>
      <c r="M29" s="58">
        <f t="shared" si="0"/>
        <v>8.9</v>
      </c>
      <c r="N29" s="57">
        <f t="shared" si="1"/>
        <v>63.550000000000004</v>
      </c>
      <c r="O29" s="7" t="str">
        <f>VLOOKUP(N29,Helper!$B$30:$C$35,2,TRUE)</f>
        <v>C</v>
      </c>
      <c r="P29" s="56">
        <f>INDEX(Detail!$A$1:$A$1001,MATCH(B29,Detail!$G$1:$G$1001,0))</f>
        <v>38155</v>
      </c>
      <c r="Q29" s="33" t="str">
        <f>INDEX(Detail!$F$1:$F$1001,MATCH(Main!B29,Detail!$G$1:$G$1001,0))</f>
        <v>Prabumulih</v>
      </c>
      <c r="R29" s="7">
        <f>INDEX(Detail!$C$1:$C$1001,MATCH(B29,Detail!$G$1:$G$1001,0),1)</f>
        <v>177</v>
      </c>
      <c r="S29" s="7">
        <f>INDEX(Detail!$D$1:$D$1001,MATCH(B29,Detail!$G$1:$G$1001,0),1)</f>
        <v>91</v>
      </c>
      <c r="T29" s="7" t="str">
        <f>INDEX(Detail!$E$1:$E$1001,MATCH(Main!B29,Detail!$G$1:$G$1001,0))</f>
        <v>Gang Astana Anyar No. 45</v>
      </c>
      <c r="U29" s="7" t="str">
        <f>INDEX(Detail!$B$1:$B$1001,MATCH(B29,Detail!$G$1:$G$1001,0),1)</f>
        <v>A+</v>
      </c>
      <c r="V29" s="7" t="str" cm="1">
        <f t="array" ref="V29">INDEX(Dosen!$B$3:$E$8,MATCH(Main!C29,Dosen!$A$3:$A$8,0),IF(AND(Main!A29&gt;=1,Main!A29&lt;=250),1,IF(AND(Main!A29&gt;=251,Main!A29&lt;=500),2,IF(AND(Main!A29&gt;=501,Main!A29&lt;=750),3,4))))</f>
        <v>Bu Dwi</v>
      </c>
      <c r="W29" s="7" t="str">
        <f>_xlfn.XLOOKUP(B29,Detail!$G$1:$G$1001,Detail!$B$1:$B$1001)</f>
        <v>A+</v>
      </c>
    </row>
    <row r="30" spans="1:23" ht="15.75" x14ac:dyDescent="0.25">
      <c r="A30" s="7">
        <v>188</v>
      </c>
      <c r="B30" s="33" t="str">
        <f>CONCATENATE("A",TEXT(Main!A30,"0000"))</f>
        <v>A0188</v>
      </c>
      <c r="C30" s="7" t="s">
        <v>1015</v>
      </c>
      <c r="D30" s="33" t="str">
        <f>VLOOKUP(B30,Detail!$G$1:$H$1001,2,FALSE)</f>
        <v>Wira Firmansyah</v>
      </c>
      <c r="E30" s="7">
        <v>74</v>
      </c>
      <c r="F30" s="7">
        <v>72</v>
      </c>
      <c r="G30" s="57">
        <v>30</v>
      </c>
      <c r="H30" s="7">
        <v>69</v>
      </c>
      <c r="I30" s="7">
        <v>90</v>
      </c>
      <c r="J30" s="7">
        <v>98</v>
      </c>
      <c r="K30" s="7">
        <v>66</v>
      </c>
      <c r="L30" s="56">
        <f>IFERROR(VLOOKUP(B30,Absen!$A$1:$C$501,2,FALSE),"No")</f>
        <v>44803</v>
      </c>
      <c r="M30" s="58">
        <f t="shared" si="0"/>
        <v>5.6000000000000005</v>
      </c>
      <c r="N30" s="57">
        <f t="shared" si="1"/>
        <v>69.325000000000003</v>
      </c>
      <c r="O30" s="7" t="str">
        <f>VLOOKUP(N30,Helper!$B$30:$C$35,2,TRUE)</f>
        <v>C</v>
      </c>
      <c r="P30" s="56">
        <f>INDEX(Detail!$A$1:$A$1001,MATCH(B30,Detail!$G$1:$G$1001,0))</f>
        <v>37610</v>
      </c>
      <c r="Q30" s="33" t="str">
        <f>INDEX(Detail!$F$1:$F$1001,MATCH(Main!B30,Detail!$G$1:$G$1001,0))</f>
        <v>Pangkalpinang</v>
      </c>
      <c r="R30" s="7">
        <f>INDEX(Detail!$C$1:$C$1001,MATCH(B30,Detail!$G$1:$G$1001,0),1)</f>
        <v>166</v>
      </c>
      <c r="S30" s="7">
        <f>INDEX(Detail!$D$1:$D$1001,MATCH(B30,Detail!$G$1:$G$1001,0),1)</f>
        <v>78</v>
      </c>
      <c r="T30" s="7" t="str">
        <f>INDEX(Detail!$E$1:$E$1001,MATCH(Main!B30,Detail!$G$1:$G$1001,0))</f>
        <v>Gg. Suryakencana No. 67</v>
      </c>
      <c r="U30" s="7" t="str">
        <f>INDEX(Detail!$B$1:$B$1001,MATCH(B30,Detail!$G$1:$G$1001,0),1)</f>
        <v>B+</v>
      </c>
      <c r="V30" s="7" t="str" cm="1">
        <f t="array" ref="V30">INDEX(Dosen!$B$3:$E$8,MATCH(Main!C30,Dosen!$A$3:$A$8,0),IF(AND(Main!A30&gt;=1,Main!A30&lt;=250),1,IF(AND(Main!A30&gt;=251,Main!A30&lt;=500),2,IF(AND(Main!A30&gt;=501,Main!A30&lt;=750),3,4))))</f>
        <v>Bu Dwi</v>
      </c>
      <c r="W30" s="7" t="str">
        <f>_xlfn.XLOOKUP(B30,Detail!$G$1:$G$1001,Detail!$B$1:$B$1001)</f>
        <v>B+</v>
      </c>
    </row>
    <row r="31" spans="1:23" ht="15.75" x14ac:dyDescent="0.25">
      <c r="A31" s="7">
        <v>192</v>
      </c>
      <c r="B31" s="33" t="str">
        <f>CONCATENATE("A",TEXT(Main!A31,"0000"))</f>
        <v>A0192</v>
      </c>
      <c r="C31" s="7" t="s">
        <v>1015</v>
      </c>
      <c r="D31" s="33" t="str">
        <f>VLOOKUP(B31,Detail!$G$1:$H$1001,2,FALSE)</f>
        <v>Jessica Pradipta</v>
      </c>
      <c r="E31" s="7">
        <v>81</v>
      </c>
      <c r="F31" s="7">
        <v>67</v>
      </c>
      <c r="G31" s="57">
        <v>60</v>
      </c>
      <c r="H31" s="7">
        <v>75</v>
      </c>
      <c r="I31" s="7">
        <v>87</v>
      </c>
      <c r="J31" s="7">
        <v>64</v>
      </c>
      <c r="K31" s="7">
        <v>75</v>
      </c>
      <c r="L31" s="56">
        <f>IFERROR(VLOOKUP(B31,Absen!$A$1:$C$501,2,FALSE),"No")</f>
        <v>44835</v>
      </c>
      <c r="M31" s="58">
        <f t="shared" si="0"/>
        <v>6.5</v>
      </c>
      <c r="N31" s="57">
        <f t="shared" si="1"/>
        <v>70.05</v>
      </c>
      <c r="O31" s="7" t="str">
        <f>VLOOKUP(N31,Helper!$B$30:$C$35,2,TRUE)</f>
        <v>B</v>
      </c>
      <c r="P31" s="56">
        <f>INDEX(Detail!$A$1:$A$1001,MATCH(B31,Detail!$G$1:$G$1001,0))</f>
        <v>37106</v>
      </c>
      <c r="Q31" s="33" t="str">
        <f>INDEX(Detail!$F$1:$F$1001,MATCH(Main!B31,Detail!$G$1:$G$1001,0))</f>
        <v>Banjar</v>
      </c>
      <c r="R31" s="7">
        <f>INDEX(Detail!$C$1:$C$1001,MATCH(B31,Detail!$G$1:$G$1001,0),1)</f>
        <v>156</v>
      </c>
      <c r="S31" s="7">
        <f>INDEX(Detail!$D$1:$D$1001,MATCH(B31,Detail!$G$1:$G$1001,0),1)</f>
        <v>61</v>
      </c>
      <c r="T31" s="7" t="str">
        <f>INDEX(Detail!$E$1:$E$1001,MATCH(Main!B31,Detail!$G$1:$G$1001,0))</f>
        <v>Jalan Sukabumi No. 61</v>
      </c>
      <c r="U31" s="7" t="str">
        <f>INDEX(Detail!$B$1:$B$1001,MATCH(B31,Detail!$G$1:$G$1001,0),1)</f>
        <v>A-</v>
      </c>
      <c r="V31" s="7" t="str" cm="1">
        <f t="array" ref="V31">INDEX(Dosen!$B$3:$E$8,MATCH(Main!C31,Dosen!$A$3:$A$8,0),IF(AND(Main!A31&gt;=1,Main!A31&lt;=250),1,IF(AND(Main!A31&gt;=251,Main!A31&lt;=500),2,IF(AND(Main!A31&gt;=501,Main!A31&lt;=750),3,4))))</f>
        <v>Bu Dwi</v>
      </c>
      <c r="W31" s="7" t="str">
        <f>_xlfn.XLOOKUP(B31,Detail!$G$1:$G$1001,Detail!$B$1:$B$1001)</f>
        <v>A-</v>
      </c>
    </row>
    <row r="32" spans="1:23" ht="15.75" x14ac:dyDescent="0.25">
      <c r="A32" s="7">
        <v>196</v>
      </c>
      <c r="B32" s="33" t="str">
        <f>CONCATENATE("A",TEXT(Main!A32,"0000"))</f>
        <v>A0196</v>
      </c>
      <c r="C32" s="7" t="s">
        <v>1015</v>
      </c>
      <c r="D32" s="33" t="str">
        <f>VLOOKUP(B32,Detail!$G$1:$H$1001,2,FALSE)</f>
        <v>Jail Mulyani</v>
      </c>
      <c r="E32" s="7">
        <v>68</v>
      </c>
      <c r="F32" s="7">
        <v>61</v>
      </c>
      <c r="G32" s="57">
        <v>65</v>
      </c>
      <c r="H32" s="7">
        <v>53</v>
      </c>
      <c r="I32" s="7">
        <v>82</v>
      </c>
      <c r="J32" s="7">
        <v>43</v>
      </c>
      <c r="K32" s="7">
        <v>78</v>
      </c>
      <c r="L32" s="56">
        <f>IFERROR(VLOOKUP(B32,Absen!$A$1:$C$501,2,FALSE),"No")</f>
        <v>44872</v>
      </c>
      <c r="M32" s="58">
        <f t="shared" si="0"/>
        <v>6.8000000000000007</v>
      </c>
      <c r="N32" s="57">
        <f t="shared" si="1"/>
        <v>61.400000000000006</v>
      </c>
      <c r="O32" s="7" t="str">
        <f>VLOOKUP(N32,Helper!$B$30:$C$35,2,TRUE)</f>
        <v>C</v>
      </c>
      <c r="P32" s="56">
        <f>INDEX(Detail!$A$1:$A$1001,MATCH(B32,Detail!$G$1:$G$1001,0))</f>
        <v>38299</v>
      </c>
      <c r="Q32" s="33" t="str">
        <f>INDEX(Detail!$F$1:$F$1001,MATCH(Main!B32,Detail!$G$1:$G$1001,0))</f>
        <v>Madiun</v>
      </c>
      <c r="R32" s="7">
        <f>INDEX(Detail!$C$1:$C$1001,MATCH(B32,Detail!$G$1:$G$1001,0),1)</f>
        <v>156</v>
      </c>
      <c r="S32" s="7">
        <f>INDEX(Detail!$D$1:$D$1001,MATCH(B32,Detail!$G$1:$G$1001,0),1)</f>
        <v>68</v>
      </c>
      <c r="T32" s="7" t="str">
        <f>INDEX(Detail!$E$1:$E$1001,MATCH(Main!B32,Detail!$G$1:$G$1001,0))</f>
        <v>Jalan Jakarta No. 90</v>
      </c>
      <c r="U32" s="7" t="str">
        <f>INDEX(Detail!$B$1:$B$1001,MATCH(B32,Detail!$G$1:$G$1001,0),1)</f>
        <v>B-</v>
      </c>
      <c r="V32" s="7" t="str" cm="1">
        <f t="array" ref="V32">INDEX(Dosen!$B$3:$E$8,MATCH(Main!C32,Dosen!$A$3:$A$8,0),IF(AND(Main!A32&gt;=1,Main!A32&lt;=250),1,IF(AND(Main!A32&gt;=251,Main!A32&lt;=500),2,IF(AND(Main!A32&gt;=501,Main!A32&lt;=750),3,4))))</f>
        <v>Bu Dwi</v>
      </c>
      <c r="W32" s="7" t="str">
        <f>_xlfn.XLOOKUP(B32,Detail!$G$1:$G$1001,Detail!$B$1:$B$1001)</f>
        <v>B-</v>
      </c>
    </row>
    <row r="33" spans="1:23" ht="15.75" x14ac:dyDescent="0.25">
      <c r="A33" s="7">
        <v>197</v>
      </c>
      <c r="B33" s="33" t="str">
        <f>CONCATENATE("A",TEXT(Main!A33,"0000"))</f>
        <v>A0197</v>
      </c>
      <c r="C33" s="7" t="s">
        <v>1015</v>
      </c>
      <c r="D33" s="33" t="str">
        <f>VLOOKUP(B33,Detail!$G$1:$H$1001,2,FALSE)</f>
        <v>Hafshah Padmasari</v>
      </c>
      <c r="E33" s="7">
        <v>59</v>
      </c>
      <c r="F33" s="7">
        <v>64</v>
      </c>
      <c r="G33" s="57">
        <v>37</v>
      </c>
      <c r="H33" s="7">
        <v>53</v>
      </c>
      <c r="I33" s="7">
        <v>52</v>
      </c>
      <c r="J33" s="7">
        <v>63</v>
      </c>
      <c r="K33" s="7">
        <v>77</v>
      </c>
      <c r="L33" s="56" t="str">
        <f>IFERROR(VLOOKUP(B33,Absen!$A$1:$C$501,2,FALSE),"No")</f>
        <v>No</v>
      </c>
      <c r="M33" s="58">
        <f t="shared" si="0"/>
        <v>7.7</v>
      </c>
      <c r="N33" s="57">
        <f t="shared" si="1"/>
        <v>56.2</v>
      </c>
      <c r="O33" s="7" t="str">
        <f>VLOOKUP(N33,Helper!$B$30:$C$35,2,TRUE)</f>
        <v>D</v>
      </c>
      <c r="P33" s="56">
        <f>INDEX(Detail!$A$1:$A$1001,MATCH(B33,Detail!$G$1:$G$1001,0))</f>
        <v>37473</v>
      </c>
      <c r="Q33" s="33" t="str">
        <f>INDEX(Detail!$F$1:$F$1001,MATCH(Main!B33,Detail!$G$1:$G$1001,0))</f>
        <v>Padangpanjang</v>
      </c>
      <c r="R33" s="7">
        <f>INDEX(Detail!$C$1:$C$1001,MATCH(B33,Detail!$G$1:$G$1001,0),1)</f>
        <v>162</v>
      </c>
      <c r="S33" s="7">
        <f>INDEX(Detail!$D$1:$D$1001,MATCH(B33,Detail!$G$1:$G$1001,0),1)</f>
        <v>78</v>
      </c>
      <c r="T33" s="7" t="str">
        <f>INDEX(Detail!$E$1:$E$1001,MATCH(Main!B33,Detail!$G$1:$G$1001,0))</f>
        <v>Gang Rawamangun No. 44</v>
      </c>
      <c r="U33" s="7" t="str">
        <f>INDEX(Detail!$B$1:$B$1001,MATCH(B33,Detail!$G$1:$G$1001,0),1)</f>
        <v>O+</v>
      </c>
      <c r="V33" s="7" t="str" cm="1">
        <f t="array" ref="V33">INDEX(Dosen!$B$3:$E$8,MATCH(Main!C33,Dosen!$A$3:$A$8,0),IF(AND(Main!A33&gt;=1,Main!A33&lt;=250),1,IF(AND(Main!A33&gt;=251,Main!A33&lt;=500),2,IF(AND(Main!A33&gt;=501,Main!A33&lt;=750),3,4))))</f>
        <v>Bu Dwi</v>
      </c>
      <c r="W33" s="7" t="str">
        <f>_xlfn.XLOOKUP(B33,Detail!$G$1:$G$1001,Detail!$B$1:$B$1001)</f>
        <v>O+</v>
      </c>
    </row>
    <row r="34" spans="1:23" ht="15.75" x14ac:dyDescent="0.25">
      <c r="A34" s="7">
        <v>201</v>
      </c>
      <c r="B34" s="33" t="str">
        <f>CONCATENATE("A",TEXT(Main!A34,"0000"))</f>
        <v>A0201</v>
      </c>
      <c r="C34" s="7" t="s">
        <v>1015</v>
      </c>
      <c r="D34" s="33" t="str">
        <f>VLOOKUP(B34,Detail!$G$1:$H$1001,2,FALSE)</f>
        <v>Taufik Wasita</v>
      </c>
      <c r="E34" s="7">
        <v>76</v>
      </c>
      <c r="F34" s="7">
        <v>44</v>
      </c>
      <c r="G34" s="57">
        <v>33</v>
      </c>
      <c r="H34" s="7">
        <v>64</v>
      </c>
      <c r="I34" s="7">
        <v>84</v>
      </c>
      <c r="J34" s="7">
        <v>96</v>
      </c>
      <c r="K34" s="7">
        <v>66</v>
      </c>
      <c r="L34" s="56">
        <f>IFERROR(VLOOKUP(B34,Absen!$A$1:$C$501,2,FALSE),"No")</f>
        <v>44855</v>
      </c>
      <c r="M34" s="58">
        <f t="shared" si="0"/>
        <v>5.6000000000000005</v>
      </c>
      <c r="N34" s="57">
        <f t="shared" si="1"/>
        <v>64.900000000000006</v>
      </c>
      <c r="O34" s="7" t="str">
        <f>VLOOKUP(N34,Helper!$B$30:$C$35,2,TRUE)</f>
        <v>C</v>
      </c>
      <c r="P34" s="56">
        <f>INDEX(Detail!$A$1:$A$1001,MATCH(B34,Detail!$G$1:$G$1001,0))</f>
        <v>37479</v>
      </c>
      <c r="Q34" s="33" t="str">
        <f>INDEX(Detail!$F$1:$F$1001,MATCH(Main!B34,Detail!$G$1:$G$1001,0))</f>
        <v>Kotamobagu</v>
      </c>
      <c r="R34" s="7">
        <f>INDEX(Detail!$C$1:$C$1001,MATCH(B34,Detail!$G$1:$G$1001,0),1)</f>
        <v>173</v>
      </c>
      <c r="S34" s="7">
        <f>INDEX(Detail!$D$1:$D$1001,MATCH(B34,Detail!$G$1:$G$1001,0),1)</f>
        <v>78</v>
      </c>
      <c r="T34" s="7" t="str">
        <f>INDEX(Detail!$E$1:$E$1001,MATCH(Main!B34,Detail!$G$1:$G$1001,0))</f>
        <v xml:space="preserve">Gang Pasirkoja No. 7
</v>
      </c>
      <c r="U34" s="7" t="str">
        <f>INDEX(Detail!$B$1:$B$1001,MATCH(B34,Detail!$G$1:$G$1001,0),1)</f>
        <v>O-</v>
      </c>
      <c r="V34" s="7" t="str" cm="1">
        <f t="array" ref="V34">INDEX(Dosen!$B$3:$E$8,MATCH(Main!C34,Dosen!$A$3:$A$8,0),IF(AND(Main!A34&gt;=1,Main!A34&lt;=250),1,IF(AND(Main!A34&gt;=251,Main!A34&lt;=500),2,IF(AND(Main!A34&gt;=501,Main!A34&lt;=750),3,4))))</f>
        <v>Bu Dwi</v>
      </c>
      <c r="W34" s="7" t="str">
        <f>_xlfn.XLOOKUP(B34,Detail!$G$1:$G$1001,Detail!$B$1:$B$1001)</f>
        <v>O-</v>
      </c>
    </row>
    <row r="35" spans="1:23" ht="15.75" x14ac:dyDescent="0.25">
      <c r="A35" s="7">
        <v>207</v>
      </c>
      <c r="B35" s="33" t="str">
        <f>CONCATENATE("A",TEXT(Main!A35,"0000"))</f>
        <v>A0207</v>
      </c>
      <c r="C35" s="7" t="s">
        <v>1015</v>
      </c>
      <c r="D35" s="33" t="str">
        <f>VLOOKUP(B35,Detail!$G$1:$H$1001,2,FALSE)</f>
        <v>Nalar Andriani</v>
      </c>
      <c r="E35" s="7">
        <v>65</v>
      </c>
      <c r="F35" s="7">
        <v>40</v>
      </c>
      <c r="G35" s="57">
        <v>94</v>
      </c>
      <c r="H35" s="7">
        <v>73</v>
      </c>
      <c r="I35" s="7">
        <v>57</v>
      </c>
      <c r="J35" s="7">
        <v>61</v>
      </c>
      <c r="K35" s="7">
        <v>62</v>
      </c>
      <c r="L35" s="56">
        <f>IFERROR(VLOOKUP(B35,Absen!$A$1:$C$501,2,FALSE),"No")</f>
        <v>44912</v>
      </c>
      <c r="M35" s="58">
        <f t="shared" si="0"/>
        <v>5.2</v>
      </c>
      <c r="N35" s="57">
        <f t="shared" si="1"/>
        <v>65.575000000000003</v>
      </c>
      <c r="O35" s="7" t="str">
        <f>VLOOKUP(N35,Helper!$B$30:$C$35,2,TRUE)</f>
        <v>C</v>
      </c>
      <c r="P35" s="56">
        <f>INDEX(Detail!$A$1:$A$1001,MATCH(B35,Detail!$G$1:$G$1001,0))</f>
        <v>37489</v>
      </c>
      <c r="Q35" s="33" t="str">
        <f>INDEX(Detail!$F$1:$F$1001,MATCH(Main!B35,Detail!$G$1:$G$1001,0))</f>
        <v>Jayapura</v>
      </c>
      <c r="R35" s="7">
        <f>INDEX(Detail!$C$1:$C$1001,MATCH(B35,Detail!$G$1:$G$1001,0),1)</f>
        <v>179</v>
      </c>
      <c r="S35" s="7">
        <f>INDEX(Detail!$D$1:$D$1001,MATCH(B35,Detail!$G$1:$G$1001,0),1)</f>
        <v>73</v>
      </c>
      <c r="T35" s="7" t="str">
        <f>INDEX(Detail!$E$1:$E$1001,MATCH(Main!B35,Detail!$G$1:$G$1001,0))</f>
        <v xml:space="preserve">Gg. K.H. Wahid Hasyim No. 1
</v>
      </c>
      <c r="U35" s="7" t="str">
        <f>INDEX(Detail!$B$1:$B$1001,MATCH(B35,Detail!$G$1:$G$1001,0),1)</f>
        <v>B-</v>
      </c>
      <c r="V35" s="7" t="str" cm="1">
        <f t="array" ref="V35">INDEX(Dosen!$B$3:$E$8,MATCH(Main!C35,Dosen!$A$3:$A$8,0),IF(AND(Main!A35&gt;=1,Main!A35&lt;=250),1,IF(AND(Main!A35&gt;=251,Main!A35&lt;=500),2,IF(AND(Main!A35&gt;=501,Main!A35&lt;=750),3,4))))</f>
        <v>Bu Dwi</v>
      </c>
      <c r="W35" s="7" t="str">
        <f>_xlfn.XLOOKUP(B35,Detail!$G$1:$G$1001,Detail!$B$1:$B$1001)</f>
        <v>B-</v>
      </c>
    </row>
    <row r="36" spans="1:23" ht="15.75" x14ac:dyDescent="0.25">
      <c r="A36" s="7">
        <v>209</v>
      </c>
      <c r="B36" s="33" t="str">
        <f>CONCATENATE("A",TEXT(Main!A36,"0000"))</f>
        <v>A0209</v>
      </c>
      <c r="C36" s="7" t="s">
        <v>1015</v>
      </c>
      <c r="D36" s="33" t="str">
        <f>VLOOKUP(B36,Detail!$G$1:$H$1001,2,FALSE)</f>
        <v>Kasiran Nugroho</v>
      </c>
      <c r="E36" s="7">
        <v>53</v>
      </c>
      <c r="F36" s="7">
        <v>70</v>
      </c>
      <c r="G36" s="57">
        <v>90</v>
      </c>
      <c r="H36" s="7">
        <v>66</v>
      </c>
      <c r="I36" s="7">
        <v>70</v>
      </c>
      <c r="J36" s="7">
        <v>62</v>
      </c>
      <c r="K36" s="7">
        <v>91</v>
      </c>
      <c r="L36" s="56">
        <f>IFERROR(VLOOKUP(B36,Absen!$A$1:$C$501,2,FALSE),"No")</f>
        <v>44871</v>
      </c>
      <c r="M36" s="58">
        <f t="shared" si="0"/>
        <v>8.1</v>
      </c>
      <c r="N36" s="57">
        <f t="shared" si="1"/>
        <v>70.875</v>
      </c>
      <c r="O36" s="7" t="str">
        <f>VLOOKUP(N36,Helper!$B$30:$C$35,2,TRUE)</f>
        <v>B</v>
      </c>
      <c r="P36" s="56">
        <f>INDEX(Detail!$A$1:$A$1001,MATCH(B36,Detail!$G$1:$G$1001,0))</f>
        <v>38302</v>
      </c>
      <c r="Q36" s="33" t="str">
        <f>INDEX(Detail!$F$1:$F$1001,MATCH(Main!B36,Detail!$G$1:$G$1001,0))</f>
        <v>Bitung</v>
      </c>
      <c r="R36" s="7">
        <f>INDEX(Detail!$C$1:$C$1001,MATCH(B36,Detail!$G$1:$G$1001,0),1)</f>
        <v>163</v>
      </c>
      <c r="S36" s="7">
        <f>INDEX(Detail!$D$1:$D$1001,MATCH(B36,Detail!$G$1:$G$1001,0),1)</f>
        <v>62</v>
      </c>
      <c r="T36" s="7" t="str">
        <f>INDEX(Detail!$E$1:$E$1001,MATCH(Main!B36,Detail!$G$1:$G$1001,0))</f>
        <v>Gang Stasiun Wonokromo No. 62</v>
      </c>
      <c r="U36" s="7" t="str">
        <f>INDEX(Detail!$B$1:$B$1001,MATCH(B36,Detail!$G$1:$G$1001,0),1)</f>
        <v>AB+</v>
      </c>
      <c r="V36" s="7" t="str" cm="1">
        <f t="array" ref="V36">INDEX(Dosen!$B$3:$E$8,MATCH(Main!C36,Dosen!$A$3:$A$8,0),IF(AND(Main!A36&gt;=1,Main!A36&lt;=250),1,IF(AND(Main!A36&gt;=251,Main!A36&lt;=500),2,IF(AND(Main!A36&gt;=501,Main!A36&lt;=750),3,4))))</f>
        <v>Bu Dwi</v>
      </c>
      <c r="W36" s="7" t="str">
        <f>_xlfn.XLOOKUP(B36,Detail!$G$1:$G$1001,Detail!$B$1:$B$1001)</f>
        <v>AB+</v>
      </c>
    </row>
    <row r="37" spans="1:23" ht="15.75" x14ac:dyDescent="0.25">
      <c r="A37" s="7">
        <v>213</v>
      </c>
      <c r="B37" s="33" t="str">
        <f>CONCATENATE("A",TEXT(Main!A37,"0000"))</f>
        <v>A0213</v>
      </c>
      <c r="C37" s="7" t="s">
        <v>1015</v>
      </c>
      <c r="D37" s="33" t="str">
        <f>VLOOKUP(B37,Detail!$G$1:$H$1001,2,FALSE)</f>
        <v>Raihan Susanti</v>
      </c>
      <c r="E37" s="7">
        <v>95</v>
      </c>
      <c r="F37" s="7">
        <v>49</v>
      </c>
      <c r="G37" s="57">
        <v>93</v>
      </c>
      <c r="H37" s="7">
        <v>71</v>
      </c>
      <c r="I37" s="7">
        <v>68</v>
      </c>
      <c r="J37" s="7">
        <v>86</v>
      </c>
      <c r="K37" s="7">
        <v>62</v>
      </c>
      <c r="L37" s="56">
        <f>IFERROR(VLOOKUP(B37,Absen!$A$1:$C$501,2,FALSE),"No")</f>
        <v>44858</v>
      </c>
      <c r="M37" s="58">
        <f t="shared" si="0"/>
        <v>5.2</v>
      </c>
      <c r="N37" s="57">
        <f t="shared" si="1"/>
        <v>76.375</v>
      </c>
      <c r="O37" s="7" t="str">
        <f>VLOOKUP(N37,Helper!$B$30:$C$35,2,TRUE)</f>
        <v>B</v>
      </c>
      <c r="P37" s="56">
        <f>INDEX(Detail!$A$1:$A$1001,MATCH(B37,Detail!$G$1:$G$1001,0))</f>
        <v>37157</v>
      </c>
      <c r="Q37" s="33" t="str">
        <f>INDEX(Detail!$F$1:$F$1001,MATCH(Main!B37,Detail!$G$1:$G$1001,0))</f>
        <v>Palopo</v>
      </c>
      <c r="R37" s="7">
        <f>INDEX(Detail!$C$1:$C$1001,MATCH(B37,Detail!$G$1:$G$1001,0),1)</f>
        <v>180</v>
      </c>
      <c r="S37" s="7">
        <f>INDEX(Detail!$D$1:$D$1001,MATCH(B37,Detail!$G$1:$G$1001,0),1)</f>
        <v>93</v>
      </c>
      <c r="T37" s="7" t="str">
        <f>INDEX(Detail!$E$1:$E$1001,MATCH(Main!B37,Detail!$G$1:$G$1001,0))</f>
        <v>Jalan Jend. A. Yani No. 43</v>
      </c>
      <c r="U37" s="7" t="str">
        <f>INDEX(Detail!$B$1:$B$1001,MATCH(B37,Detail!$G$1:$G$1001,0),1)</f>
        <v>O-</v>
      </c>
      <c r="V37" s="7" t="str" cm="1">
        <f t="array" ref="V37">INDEX(Dosen!$B$3:$E$8,MATCH(Main!C37,Dosen!$A$3:$A$8,0),IF(AND(Main!A37&gt;=1,Main!A37&lt;=250),1,IF(AND(Main!A37&gt;=251,Main!A37&lt;=500),2,IF(AND(Main!A37&gt;=501,Main!A37&lt;=750),3,4))))</f>
        <v>Bu Dwi</v>
      </c>
      <c r="W37" s="7" t="str">
        <f>_xlfn.XLOOKUP(B37,Detail!$G$1:$G$1001,Detail!$B$1:$B$1001)</f>
        <v>O-</v>
      </c>
    </row>
    <row r="38" spans="1:23" ht="15.75" x14ac:dyDescent="0.25">
      <c r="A38" s="7">
        <v>217</v>
      </c>
      <c r="B38" s="33" t="str">
        <f>CONCATENATE("A",TEXT(Main!A38,"0000"))</f>
        <v>A0217</v>
      </c>
      <c r="C38" s="7" t="s">
        <v>1015</v>
      </c>
      <c r="D38" s="33" t="str">
        <f>VLOOKUP(B38,Detail!$G$1:$H$1001,2,FALSE)</f>
        <v>Lili Nainggolan</v>
      </c>
      <c r="E38" s="7">
        <v>61</v>
      </c>
      <c r="F38" s="7">
        <v>68</v>
      </c>
      <c r="G38" s="57">
        <v>94</v>
      </c>
      <c r="H38" s="7">
        <v>60</v>
      </c>
      <c r="I38" s="7">
        <v>90</v>
      </c>
      <c r="J38" s="7">
        <v>89</v>
      </c>
      <c r="K38" s="7">
        <v>65</v>
      </c>
      <c r="L38" s="56" t="str">
        <f>IFERROR(VLOOKUP(B38,Absen!$A$1:$C$501,2,FALSE),"No")</f>
        <v>No</v>
      </c>
      <c r="M38" s="58">
        <f t="shared" si="0"/>
        <v>6.5</v>
      </c>
      <c r="N38" s="57">
        <f t="shared" si="1"/>
        <v>77.974999999999994</v>
      </c>
      <c r="O38" s="7" t="str">
        <f>VLOOKUP(N38,Helper!$B$30:$C$35,2,TRUE)</f>
        <v>B</v>
      </c>
      <c r="P38" s="56">
        <f>INDEX(Detail!$A$1:$A$1001,MATCH(B38,Detail!$G$1:$G$1001,0))</f>
        <v>37464</v>
      </c>
      <c r="Q38" s="33" t="str">
        <f>INDEX(Detail!$F$1:$F$1001,MATCH(Main!B38,Detail!$G$1:$G$1001,0))</f>
        <v>Tegal</v>
      </c>
      <c r="R38" s="7">
        <f>INDEX(Detail!$C$1:$C$1001,MATCH(B38,Detail!$G$1:$G$1001,0),1)</f>
        <v>163</v>
      </c>
      <c r="S38" s="7">
        <f>INDEX(Detail!$D$1:$D$1001,MATCH(B38,Detail!$G$1:$G$1001,0),1)</f>
        <v>50</v>
      </c>
      <c r="T38" s="7" t="str">
        <f>INDEX(Detail!$E$1:$E$1001,MATCH(Main!B38,Detail!$G$1:$G$1001,0))</f>
        <v>Jalan Wonoayu No. 69</v>
      </c>
      <c r="U38" s="7" t="str">
        <f>INDEX(Detail!$B$1:$B$1001,MATCH(B38,Detail!$G$1:$G$1001,0),1)</f>
        <v>O+</v>
      </c>
      <c r="V38" s="7" t="str" cm="1">
        <f t="array" ref="V38">INDEX(Dosen!$B$3:$E$8,MATCH(Main!C38,Dosen!$A$3:$A$8,0),IF(AND(Main!A38&gt;=1,Main!A38&lt;=250),1,IF(AND(Main!A38&gt;=251,Main!A38&lt;=500),2,IF(AND(Main!A38&gt;=501,Main!A38&lt;=750),3,4))))</f>
        <v>Bu Dwi</v>
      </c>
      <c r="W38" s="7" t="str">
        <f>_xlfn.XLOOKUP(B38,Detail!$G$1:$G$1001,Detail!$B$1:$B$1001)</f>
        <v>O+</v>
      </c>
    </row>
    <row r="39" spans="1:23" ht="15.75" x14ac:dyDescent="0.25">
      <c r="A39" s="7">
        <v>239</v>
      </c>
      <c r="B39" s="33" t="str">
        <f>CONCATENATE("A",TEXT(Main!A39,"0000"))</f>
        <v>A0239</v>
      </c>
      <c r="C39" s="7" t="s">
        <v>1015</v>
      </c>
      <c r="D39" s="33" t="str">
        <f>VLOOKUP(B39,Detail!$G$1:$H$1001,2,FALSE)</f>
        <v>Elvina Siregar</v>
      </c>
      <c r="E39" s="7">
        <v>61</v>
      </c>
      <c r="F39" s="7">
        <v>40</v>
      </c>
      <c r="G39" s="57">
        <v>32</v>
      </c>
      <c r="H39" s="7">
        <v>56</v>
      </c>
      <c r="I39" s="7">
        <v>50</v>
      </c>
      <c r="J39" s="7">
        <v>84</v>
      </c>
      <c r="K39" s="7">
        <v>80</v>
      </c>
      <c r="L39" s="56" t="str">
        <f>IFERROR(VLOOKUP(B39,Absen!$A$1:$C$501,2,FALSE),"No")</f>
        <v>No</v>
      </c>
      <c r="M39" s="58">
        <f t="shared" si="0"/>
        <v>8</v>
      </c>
      <c r="N39" s="57">
        <f t="shared" si="1"/>
        <v>57.075000000000003</v>
      </c>
      <c r="O39" s="7" t="str">
        <f>VLOOKUP(N39,Helper!$B$30:$C$35,2,TRUE)</f>
        <v>D</v>
      </c>
      <c r="P39" s="56">
        <f>INDEX(Detail!$A$1:$A$1001,MATCH(B39,Detail!$G$1:$G$1001,0))</f>
        <v>37086</v>
      </c>
      <c r="Q39" s="33" t="str">
        <f>INDEX(Detail!$F$1:$F$1001,MATCH(Main!B39,Detail!$G$1:$G$1001,0))</f>
        <v>Bontang</v>
      </c>
      <c r="R39" s="7">
        <f>INDEX(Detail!$C$1:$C$1001,MATCH(B39,Detail!$G$1:$G$1001,0),1)</f>
        <v>180</v>
      </c>
      <c r="S39" s="7">
        <f>INDEX(Detail!$D$1:$D$1001,MATCH(B39,Detail!$G$1:$G$1001,0),1)</f>
        <v>91</v>
      </c>
      <c r="T39" s="7" t="str">
        <f>INDEX(Detail!$E$1:$E$1001,MATCH(Main!B39,Detail!$G$1:$G$1001,0))</f>
        <v>Jl. Surapati No. 98</v>
      </c>
      <c r="U39" s="7" t="str">
        <f>INDEX(Detail!$B$1:$B$1001,MATCH(B39,Detail!$G$1:$G$1001,0),1)</f>
        <v>AB+</v>
      </c>
      <c r="V39" s="7" t="str" cm="1">
        <f t="array" ref="V39">INDEX(Dosen!$B$3:$E$8,MATCH(Main!C39,Dosen!$A$3:$A$8,0),IF(AND(Main!A39&gt;=1,Main!A39&lt;=250),1,IF(AND(Main!A39&gt;=251,Main!A39&lt;=500),2,IF(AND(Main!A39&gt;=501,Main!A39&lt;=750),3,4))))</f>
        <v>Bu Dwi</v>
      </c>
      <c r="W39" s="7" t="str">
        <f>_xlfn.XLOOKUP(B39,Detail!$G$1:$G$1001,Detail!$B$1:$B$1001)</f>
        <v>AB+</v>
      </c>
    </row>
    <row r="40" spans="1:23" ht="15.75" x14ac:dyDescent="0.25">
      <c r="A40" s="7">
        <v>265</v>
      </c>
      <c r="B40" s="33" t="str">
        <f>CONCATENATE("A",TEXT(Main!A40,"0000"))</f>
        <v>A0265</v>
      </c>
      <c r="C40" s="7" t="s">
        <v>1015</v>
      </c>
      <c r="D40" s="33" t="str">
        <f>VLOOKUP(B40,Detail!$G$1:$H$1001,2,FALSE)</f>
        <v>Asmuni Anggriawan</v>
      </c>
      <c r="E40" s="7">
        <v>69</v>
      </c>
      <c r="F40" s="7">
        <v>52</v>
      </c>
      <c r="G40" s="57">
        <v>30</v>
      </c>
      <c r="H40" s="7">
        <v>64</v>
      </c>
      <c r="I40" s="7">
        <v>90</v>
      </c>
      <c r="J40" s="7">
        <v>91</v>
      </c>
      <c r="K40" s="7">
        <v>93</v>
      </c>
      <c r="L40" s="56">
        <f>IFERROR(VLOOKUP(B40,Absen!$A$1:$C$501,2,FALSE),"No")</f>
        <v>44874</v>
      </c>
      <c r="M40" s="58">
        <f t="shared" si="0"/>
        <v>8.3000000000000007</v>
      </c>
      <c r="N40" s="57">
        <f t="shared" si="1"/>
        <v>66.875</v>
      </c>
      <c r="O40" s="7" t="str">
        <f>VLOOKUP(N40,Helper!$B$30:$C$35,2,TRUE)</f>
        <v>C</v>
      </c>
      <c r="P40" s="56">
        <f>INDEX(Detail!$A$1:$A$1001,MATCH(B40,Detail!$G$1:$G$1001,0))</f>
        <v>38109</v>
      </c>
      <c r="Q40" s="33" t="str">
        <f>INDEX(Detail!$F$1:$F$1001,MATCH(Main!B40,Detail!$G$1:$G$1001,0))</f>
        <v>Sungai Penuh</v>
      </c>
      <c r="R40" s="7">
        <f>INDEX(Detail!$C$1:$C$1001,MATCH(B40,Detail!$G$1:$G$1001,0),1)</f>
        <v>175</v>
      </c>
      <c r="S40" s="7">
        <f>INDEX(Detail!$D$1:$D$1001,MATCH(B40,Detail!$G$1:$G$1001,0),1)</f>
        <v>52</v>
      </c>
      <c r="T40" s="7" t="str">
        <f>INDEX(Detail!$E$1:$E$1001,MATCH(Main!B40,Detail!$G$1:$G$1001,0))</f>
        <v>Gang Moch. Ramdan No. 56</v>
      </c>
      <c r="U40" s="7" t="str">
        <f>INDEX(Detail!$B$1:$B$1001,MATCH(B40,Detail!$G$1:$G$1001,0),1)</f>
        <v>B+</v>
      </c>
      <c r="V40" s="7" t="str" cm="1">
        <f t="array" ref="V40">INDEX(Dosen!$B$3:$E$8,MATCH(Main!C40,Dosen!$A$3:$A$8,0),IF(AND(Main!A40&gt;=1,Main!A40&lt;=250),1,IF(AND(Main!A40&gt;=251,Main!A40&lt;=500),2,IF(AND(Main!A40&gt;=501,Main!A40&lt;=750),3,4))))</f>
        <v>Pak Budi</v>
      </c>
      <c r="W40" s="7" t="str">
        <f>_xlfn.XLOOKUP(B40,Detail!$G$1:$G$1001,Detail!$B$1:$B$1001)</f>
        <v>B+</v>
      </c>
    </row>
    <row r="41" spans="1:23" ht="15.75" x14ac:dyDescent="0.25">
      <c r="A41" s="7">
        <v>272</v>
      </c>
      <c r="B41" s="33" t="str">
        <f>CONCATENATE("A",TEXT(Main!A41,"0000"))</f>
        <v>A0272</v>
      </c>
      <c r="C41" s="7" t="s">
        <v>1015</v>
      </c>
      <c r="D41" s="33" t="str">
        <f>VLOOKUP(B41,Detail!$G$1:$H$1001,2,FALSE)</f>
        <v>Soleh Wasita</v>
      </c>
      <c r="E41" s="7">
        <v>84</v>
      </c>
      <c r="F41" s="7">
        <v>50</v>
      </c>
      <c r="G41" s="57">
        <v>56</v>
      </c>
      <c r="H41" s="7">
        <v>60</v>
      </c>
      <c r="I41" s="7">
        <v>57</v>
      </c>
      <c r="J41" s="7">
        <v>74</v>
      </c>
      <c r="K41" s="7">
        <v>99</v>
      </c>
      <c r="L41" s="56">
        <f>IFERROR(VLOOKUP(B41,Absen!$A$1:$C$501,2,FALSE),"No")</f>
        <v>44865</v>
      </c>
      <c r="M41" s="58">
        <f t="shared" si="0"/>
        <v>8.9</v>
      </c>
      <c r="N41" s="57">
        <f t="shared" si="1"/>
        <v>66.275000000000006</v>
      </c>
      <c r="O41" s="7" t="str">
        <f>VLOOKUP(N41,Helper!$B$30:$C$35,2,TRUE)</f>
        <v>C</v>
      </c>
      <c r="P41" s="56">
        <f>INDEX(Detail!$A$1:$A$1001,MATCH(B41,Detail!$G$1:$G$1001,0))</f>
        <v>37256</v>
      </c>
      <c r="Q41" s="33" t="str">
        <f>INDEX(Detail!$F$1:$F$1001,MATCH(Main!B41,Detail!$G$1:$G$1001,0))</f>
        <v>Padang</v>
      </c>
      <c r="R41" s="7">
        <f>INDEX(Detail!$C$1:$C$1001,MATCH(B41,Detail!$G$1:$G$1001,0),1)</f>
        <v>171</v>
      </c>
      <c r="S41" s="7">
        <f>INDEX(Detail!$D$1:$D$1001,MATCH(B41,Detail!$G$1:$G$1001,0),1)</f>
        <v>81</v>
      </c>
      <c r="T41" s="7" t="str">
        <f>INDEX(Detail!$E$1:$E$1001,MATCH(Main!B41,Detail!$G$1:$G$1001,0))</f>
        <v>Gang Veteran No. 08</v>
      </c>
      <c r="U41" s="7" t="str">
        <f>INDEX(Detail!$B$1:$B$1001,MATCH(B41,Detail!$G$1:$G$1001,0),1)</f>
        <v>B+</v>
      </c>
      <c r="V41" s="7" t="str" cm="1">
        <f t="array" ref="V41">INDEX(Dosen!$B$3:$E$8,MATCH(Main!C41,Dosen!$A$3:$A$8,0),IF(AND(Main!A41&gt;=1,Main!A41&lt;=250),1,IF(AND(Main!A41&gt;=251,Main!A41&lt;=500),2,IF(AND(Main!A41&gt;=501,Main!A41&lt;=750),3,4))))</f>
        <v>Pak Budi</v>
      </c>
      <c r="W41" s="7" t="str">
        <f>_xlfn.XLOOKUP(B41,Detail!$G$1:$G$1001,Detail!$B$1:$B$1001)</f>
        <v>B+</v>
      </c>
    </row>
    <row r="42" spans="1:23" ht="15.75" x14ac:dyDescent="0.25">
      <c r="A42" s="7">
        <v>276</v>
      </c>
      <c r="B42" s="33" t="str">
        <f>CONCATENATE("A",TEXT(Main!A42,"0000"))</f>
        <v>A0276</v>
      </c>
      <c r="C42" s="7" t="s">
        <v>1015</v>
      </c>
      <c r="D42" s="33" t="str">
        <f>VLOOKUP(B42,Detail!$G$1:$H$1001,2,FALSE)</f>
        <v>Ajeng Setiawan</v>
      </c>
      <c r="E42" s="7">
        <v>90</v>
      </c>
      <c r="F42" s="7">
        <v>65</v>
      </c>
      <c r="G42" s="57">
        <v>35</v>
      </c>
      <c r="H42" s="7">
        <v>56</v>
      </c>
      <c r="I42" s="7">
        <v>55</v>
      </c>
      <c r="J42" s="7">
        <v>42</v>
      </c>
      <c r="K42" s="7">
        <v>80</v>
      </c>
      <c r="L42" s="56" t="str">
        <f>IFERROR(VLOOKUP(B42,Absen!$A$1:$C$501,2,FALSE),"No")</f>
        <v>No</v>
      </c>
      <c r="M42" s="58">
        <f t="shared" si="0"/>
        <v>8</v>
      </c>
      <c r="N42" s="57">
        <f t="shared" si="1"/>
        <v>56.65</v>
      </c>
      <c r="O42" s="7" t="str">
        <f>VLOOKUP(N42,Helper!$B$30:$C$35,2,TRUE)</f>
        <v>D</v>
      </c>
      <c r="P42" s="56">
        <f>INDEX(Detail!$A$1:$A$1001,MATCH(B42,Detail!$G$1:$G$1001,0))</f>
        <v>37274</v>
      </c>
      <c r="Q42" s="33" t="str">
        <f>INDEX(Detail!$F$1:$F$1001,MATCH(Main!B42,Detail!$G$1:$G$1001,0))</f>
        <v>Kota Administrasi Jakarta Selatan</v>
      </c>
      <c r="R42" s="7">
        <f>INDEX(Detail!$C$1:$C$1001,MATCH(B42,Detail!$G$1:$G$1001,0),1)</f>
        <v>150</v>
      </c>
      <c r="S42" s="7">
        <f>INDEX(Detail!$D$1:$D$1001,MATCH(B42,Detail!$G$1:$G$1001,0),1)</f>
        <v>53</v>
      </c>
      <c r="T42" s="7" t="str">
        <f>INDEX(Detail!$E$1:$E$1001,MATCH(Main!B42,Detail!$G$1:$G$1001,0))</f>
        <v xml:space="preserve">Gang Joyoboyo No. 8
</v>
      </c>
      <c r="U42" s="7" t="str">
        <f>INDEX(Detail!$B$1:$B$1001,MATCH(B42,Detail!$G$1:$G$1001,0),1)</f>
        <v>AB+</v>
      </c>
      <c r="V42" s="7" t="str" cm="1">
        <f t="array" ref="V42">INDEX(Dosen!$B$3:$E$8,MATCH(Main!C42,Dosen!$A$3:$A$8,0),IF(AND(Main!A42&gt;=1,Main!A42&lt;=250),1,IF(AND(Main!A42&gt;=251,Main!A42&lt;=500),2,IF(AND(Main!A42&gt;=501,Main!A42&lt;=750),3,4))))</f>
        <v>Pak Budi</v>
      </c>
      <c r="W42" s="7" t="str">
        <f>_xlfn.XLOOKUP(B42,Detail!$G$1:$G$1001,Detail!$B$1:$B$1001)</f>
        <v>AB+</v>
      </c>
    </row>
    <row r="43" spans="1:23" ht="15.75" x14ac:dyDescent="0.25">
      <c r="A43" s="7">
        <v>279</v>
      </c>
      <c r="B43" s="33" t="str">
        <f>CONCATENATE("A",TEXT(Main!A43,"0000"))</f>
        <v>A0279</v>
      </c>
      <c r="C43" s="7" t="s">
        <v>1015</v>
      </c>
      <c r="D43" s="33" t="str">
        <f>VLOOKUP(B43,Detail!$G$1:$H$1001,2,FALSE)</f>
        <v>Dono Dabukke</v>
      </c>
      <c r="E43" s="7">
        <v>74</v>
      </c>
      <c r="F43" s="7">
        <v>44</v>
      </c>
      <c r="G43" s="57">
        <v>83</v>
      </c>
      <c r="H43" s="7">
        <v>70</v>
      </c>
      <c r="I43" s="7">
        <v>70</v>
      </c>
      <c r="J43" s="7">
        <v>79</v>
      </c>
      <c r="K43" s="7">
        <v>71</v>
      </c>
      <c r="L43" s="56">
        <f>IFERROR(VLOOKUP(B43,Absen!$A$1:$C$501,2,FALSE),"No")</f>
        <v>44859</v>
      </c>
      <c r="M43" s="58">
        <f t="shared" si="0"/>
        <v>6.1000000000000005</v>
      </c>
      <c r="N43" s="57">
        <f t="shared" si="1"/>
        <v>70.75</v>
      </c>
      <c r="O43" s="7" t="str">
        <f>VLOOKUP(N43,Helper!$B$30:$C$35,2,TRUE)</f>
        <v>B</v>
      </c>
      <c r="P43" s="56">
        <f>INDEX(Detail!$A$1:$A$1001,MATCH(B43,Detail!$G$1:$G$1001,0))</f>
        <v>37678</v>
      </c>
      <c r="Q43" s="33" t="str">
        <f>INDEX(Detail!$F$1:$F$1001,MATCH(Main!B43,Detail!$G$1:$G$1001,0))</f>
        <v>Surakarta</v>
      </c>
      <c r="R43" s="7">
        <f>INDEX(Detail!$C$1:$C$1001,MATCH(B43,Detail!$G$1:$G$1001,0),1)</f>
        <v>168</v>
      </c>
      <c r="S43" s="7">
        <f>INDEX(Detail!$D$1:$D$1001,MATCH(B43,Detail!$G$1:$G$1001,0),1)</f>
        <v>55</v>
      </c>
      <c r="T43" s="7" t="str">
        <f>INDEX(Detail!$E$1:$E$1001,MATCH(Main!B43,Detail!$G$1:$G$1001,0))</f>
        <v>Gg. HOS. Cokroaminoto No. 02</v>
      </c>
      <c r="U43" s="7" t="str">
        <f>INDEX(Detail!$B$1:$B$1001,MATCH(B43,Detail!$G$1:$G$1001,0),1)</f>
        <v>B-</v>
      </c>
      <c r="V43" s="7" t="str" cm="1">
        <f t="array" ref="V43">INDEX(Dosen!$B$3:$E$8,MATCH(Main!C43,Dosen!$A$3:$A$8,0),IF(AND(Main!A43&gt;=1,Main!A43&lt;=250),1,IF(AND(Main!A43&gt;=251,Main!A43&lt;=500),2,IF(AND(Main!A43&gt;=501,Main!A43&lt;=750),3,4))))</f>
        <v>Pak Budi</v>
      </c>
      <c r="W43" s="7" t="str">
        <f>_xlfn.XLOOKUP(B43,Detail!$G$1:$G$1001,Detail!$B$1:$B$1001)</f>
        <v>B-</v>
      </c>
    </row>
    <row r="44" spans="1:23" ht="15.75" x14ac:dyDescent="0.25">
      <c r="A44" s="7">
        <v>281</v>
      </c>
      <c r="B44" s="33" t="str">
        <f>CONCATENATE("A",TEXT(Main!A44,"0000"))</f>
        <v>A0281</v>
      </c>
      <c r="C44" s="7" t="s">
        <v>1015</v>
      </c>
      <c r="D44" s="33" t="str">
        <f>VLOOKUP(B44,Detail!$G$1:$H$1001,2,FALSE)</f>
        <v>Upik Nababan</v>
      </c>
      <c r="E44" s="7">
        <v>71</v>
      </c>
      <c r="F44" s="7">
        <v>72</v>
      </c>
      <c r="G44" s="57">
        <v>72</v>
      </c>
      <c r="H44" s="7">
        <v>71</v>
      </c>
      <c r="I44" s="7">
        <v>79</v>
      </c>
      <c r="J44" s="7">
        <v>77</v>
      </c>
      <c r="K44" s="7">
        <v>78</v>
      </c>
      <c r="L44" s="56">
        <f>IFERROR(VLOOKUP(B44,Absen!$A$1:$C$501,2,FALSE),"No")</f>
        <v>44808</v>
      </c>
      <c r="M44" s="58">
        <f t="shared" si="0"/>
        <v>6.8000000000000007</v>
      </c>
      <c r="N44" s="57">
        <f t="shared" si="1"/>
        <v>73.224999999999994</v>
      </c>
      <c r="O44" s="7" t="str">
        <f>VLOOKUP(N44,Helper!$B$30:$C$35,2,TRUE)</f>
        <v>B</v>
      </c>
      <c r="P44" s="56">
        <f>INDEX(Detail!$A$1:$A$1001,MATCH(B44,Detail!$G$1:$G$1001,0))</f>
        <v>38056</v>
      </c>
      <c r="Q44" s="33" t="str">
        <f>INDEX(Detail!$F$1:$F$1001,MATCH(Main!B44,Detail!$G$1:$G$1001,0))</f>
        <v>Metro</v>
      </c>
      <c r="R44" s="7">
        <f>INDEX(Detail!$C$1:$C$1001,MATCH(B44,Detail!$G$1:$G$1001,0),1)</f>
        <v>159</v>
      </c>
      <c r="S44" s="7">
        <f>INDEX(Detail!$D$1:$D$1001,MATCH(B44,Detail!$G$1:$G$1001,0),1)</f>
        <v>81</v>
      </c>
      <c r="T44" s="7" t="str">
        <f>INDEX(Detail!$E$1:$E$1001,MATCH(Main!B44,Detail!$G$1:$G$1001,0))</f>
        <v>Jalan Rajawali Timur No. 17</v>
      </c>
      <c r="U44" s="7" t="str">
        <f>INDEX(Detail!$B$1:$B$1001,MATCH(B44,Detail!$G$1:$G$1001,0),1)</f>
        <v>A+</v>
      </c>
      <c r="V44" s="7" t="str" cm="1">
        <f t="array" ref="V44">INDEX(Dosen!$B$3:$E$8,MATCH(Main!C44,Dosen!$A$3:$A$8,0),IF(AND(Main!A44&gt;=1,Main!A44&lt;=250),1,IF(AND(Main!A44&gt;=251,Main!A44&lt;=500),2,IF(AND(Main!A44&gt;=501,Main!A44&lt;=750),3,4))))</f>
        <v>Pak Budi</v>
      </c>
      <c r="W44" s="7" t="str">
        <f>_xlfn.XLOOKUP(B44,Detail!$G$1:$G$1001,Detail!$B$1:$B$1001)</f>
        <v>A+</v>
      </c>
    </row>
    <row r="45" spans="1:23" ht="15.75" x14ac:dyDescent="0.25">
      <c r="A45" s="7">
        <v>284</v>
      </c>
      <c r="B45" s="33" t="str">
        <f>CONCATENATE("A",TEXT(Main!A45,"0000"))</f>
        <v>A0284</v>
      </c>
      <c r="C45" s="7" t="s">
        <v>1015</v>
      </c>
      <c r="D45" s="33" t="str">
        <f>VLOOKUP(B45,Detail!$G$1:$H$1001,2,FALSE)</f>
        <v>Chelsea Purnawati</v>
      </c>
      <c r="E45" s="7">
        <v>62</v>
      </c>
      <c r="F45" s="7">
        <v>62</v>
      </c>
      <c r="G45" s="57">
        <v>43</v>
      </c>
      <c r="H45" s="7">
        <v>53</v>
      </c>
      <c r="I45" s="7">
        <v>68</v>
      </c>
      <c r="J45" s="7">
        <v>84</v>
      </c>
      <c r="K45" s="7">
        <v>67</v>
      </c>
      <c r="L45" s="56" t="str">
        <f>IFERROR(VLOOKUP(B45,Absen!$A$1:$C$501,2,FALSE),"No")</f>
        <v>No</v>
      </c>
      <c r="M45" s="58">
        <f t="shared" si="0"/>
        <v>6.7</v>
      </c>
      <c r="N45" s="57">
        <f t="shared" si="1"/>
        <v>62.725000000000009</v>
      </c>
      <c r="O45" s="7" t="str">
        <f>VLOOKUP(N45,Helper!$B$30:$C$35,2,TRUE)</f>
        <v>C</v>
      </c>
      <c r="P45" s="56">
        <f>INDEX(Detail!$A$1:$A$1001,MATCH(B45,Detail!$G$1:$G$1001,0))</f>
        <v>37933</v>
      </c>
      <c r="Q45" s="33" t="str">
        <f>INDEX(Detail!$F$1:$F$1001,MATCH(Main!B45,Detail!$G$1:$G$1001,0))</f>
        <v>Surakarta</v>
      </c>
      <c r="R45" s="7">
        <f>INDEX(Detail!$C$1:$C$1001,MATCH(B45,Detail!$G$1:$G$1001,0),1)</f>
        <v>166</v>
      </c>
      <c r="S45" s="7">
        <f>INDEX(Detail!$D$1:$D$1001,MATCH(B45,Detail!$G$1:$G$1001,0),1)</f>
        <v>85</v>
      </c>
      <c r="T45" s="7" t="str">
        <f>INDEX(Detail!$E$1:$E$1001,MATCH(Main!B45,Detail!$G$1:$G$1001,0))</f>
        <v>Jl. Otto Iskandardinata No. 55</v>
      </c>
      <c r="U45" s="7" t="str">
        <f>INDEX(Detail!$B$1:$B$1001,MATCH(B45,Detail!$G$1:$G$1001,0),1)</f>
        <v>A-</v>
      </c>
      <c r="V45" s="7" t="str" cm="1">
        <f t="array" ref="V45">INDEX(Dosen!$B$3:$E$8,MATCH(Main!C45,Dosen!$A$3:$A$8,0),IF(AND(Main!A45&gt;=1,Main!A45&lt;=250),1,IF(AND(Main!A45&gt;=251,Main!A45&lt;=500),2,IF(AND(Main!A45&gt;=501,Main!A45&lt;=750),3,4))))</f>
        <v>Pak Budi</v>
      </c>
      <c r="W45" s="7" t="str">
        <f>_xlfn.XLOOKUP(B45,Detail!$G$1:$G$1001,Detail!$B$1:$B$1001)</f>
        <v>A-</v>
      </c>
    </row>
    <row r="46" spans="1:23" ht="15.75" x14ac:dyDescent="0.25">
      <c r="A46" s="7">
        <v>288</v>
      </c>
      <c r="B46" s="33" t="str">
        <f>CONCATENATE("A",TEXT(Main!A46,"0000"))</f>
        <v>A0288</v>
      </c>
      <c r="C46" s="7" t="s">
        <v>1015</v>
      </c>
      <c r="D46" s="33" t="str">
        <f>VLOOKUP(B46,Detail!$G$1:$H$1001,2,FALSE)</f>
        <v>Wulan Lailasari</v>
      </c>
      <c r="E46" s="7">
        <v>66</v>
      </c>
      <c r="F46" s="7">
        <v>42</v>
      </c>
      <c r="G46" s="57">
        <v>81</v>
      </c>
      <c r="H46" s="7">
        <v>54</v>
      </c>
      <c r="I46" s="7">
        <v>77</v>
      </c>
      <c r="J46" s="7">
        <v>81</v>
      </c>
      <c r="K46" s="7">
        <v>75</v>
      </c>
      <c r="L46" s="56" t="str">
        <f>IFERROR(VLOOKUP(B46,Absen!$A$1:$C$501,2,FALSE),"No")</f>
        <v>No</v>
      </c>
      <c r="M46" s="58">
        <f t="shared" si="0"/>
        <v>7.5</v>
      </c>
      <c r="N46" s="57">
        <f t="shared" si="1"/>
        <v>69.775000000000006</v>
      </c>
      <c r="O46" s="7" t="str">
        <f>VLOOKUP(N46,Helper!$B$30:$C$35,2,TRUE)</f>
        <v>C</v>
      </c>
      <c r="P46" s="56">
        <f>INDEX(Detail!$A$1:$A$1001,MATCH(B46,Detail!$G$1:$G$1001,0))</f>
        <v>38363</v>
      </c>
      <c r="Q46" s="33" t="str">
        <f>INDEX(Detail!$F$1:$F$1001,MATCH(Main!B46,Detail!$G$1:$G$1001,0))</f>
        <v>Bima</v>
      </c>
      <c r="R46" s="7">
        <f>INDEX(Detail!$C$1:$C$1001,MATCH(B46,Detail!$G$1:$G$1001,0),1)</f>
        <v>172</v>
      </c>
      <c r="S46" s="7">
        <f>INDEX(Detail!$D$1:$D$1001,MATCH(B46,Detail!$G$1:$G$1001,0),1)</f>
        <v>83</v>
      </c>
      <c r="T46" s="7" t="str">
        <f>INDEX(Detail!$E$1:$E$1001,MATCH(Main!B46,Detail!$G$1:$G$1001,0))</f>
        <v>Jl. Moch. Ramdan No. 70</v>
      </c>
      <c r="U46" s="7" t="str">
        <f>INDEX(Detail!$B$1:$B$1001,MATCH(B46,Detail!$G$1:$G$1001,0),1)</f>
        <v>O-</v>
      </c>
      <c r="V46" s="7" t="str" cm="1">
        <f t="array" ref="V46">INDEX(Dosen!$B$3:$E$8,MATCH(Main!C46,Dosen!$A$3:$A$8,0),IF(AND(Main!A46&gt;=1,Main!A46&lt;=250),1,IF(AND(Main!A46&gt;=251,Main!A46&lt;=500),2,IF(AND(Main!A46&gt;=501,Main!A46&lt;=750),3,4))))</f>
        <v>Pak Budi</v>
      </c>
      <c r="W46" s="7" t="str">
        <f>_xlfn.XLOOKUP(B46,Detail!$G$1:$G$1001,Detail!$B$1:$B$1001)</f>
        <v>O-</v>
      </c>
    </row>
    <row r="47" spans="1:23" ht="15.75" x14ac:dyDescent="0.25">
      <c r="A47" s="7">
        <v>289</v>
      </c>
      <c r="B47" s="33" t="str">
        <f>CONCATENATE("A",TEXT(Main!A47,"0000"))</f>
        <v>A0289</v>
      </c>
      <c r="C47" s="7" t="s">
        <v>1015</v>
      </c>
      <c r="D47" s="33" t="str">
        <f>VLOOKUP(B47,Detail!$G$1:$H$1001,2,FALSE)</f>
        <v>Agus Jailani</v>
      </c>
      <c r="E47" s="7">
        <v>69</v>
      </c>
      <c r="F47" s="7">
        <v>45</v>
      </c>
      <c r="G47" s="57">
        <v>54</v>
      </c>
      <c r="H47" s="7">
        <v>51</v>
      </c>
      <c r="I47" s="7">
        <v>80</v>
      </c>
      <c r="J47" s="7">
        <v>90</v>
      </c>
      <c r="K47" s="7">
        <v>63</v>
      </c>
      <c r="L47" s="56">
        <f>IFERROR(VLOOKUP(B47,Absen!$A$1:$C$501,2,FALSE),"No")</f>
        <v>44842</v>
      </c>
      <c r="M47" s="58">
        <f t="shared" si="0"/>
        <v>5.3000000000000007</v>
      </c>
      <c r="N47" s="57">
        <f t="shared" si="1"/>
        <v>64.724999999999994</v>
      </c>
      <c r="O47" s="7" t="str">
        <f>VLOOKUP(N47,Helper!$B$30:$C$35,2,TRUE)</f>
        <v>C</v>
      </c>
      <c r="P47" s="56">
        <f>INDEX(Detail!$A$1:$A$1001,MATCH(B47,Detail!$G$1:$G$1001,0))</f>
        <v>37638</v>
      </c>
      <c r="Q47" s="33" t="str">
        <f>INDEX(Detail!$F$1:$F$1001,MATCH(Main!B47,Detail!$G$1:$G$1001,0))</f>
        <v>Meulaboh</v>
      </c>
      <c r="R47" s="7">
        <f>INDEX(Detail!$C$1:$C$1001,MATCH(B47,Detail!$G$1:$G$1001,0),1)</f>
        <v>157</v>
      </c>
      <c r="S47" s="7">
        <f>INDEX(Detail!$D$1:$D$1001,MATCH(B47,Detail!$G$1:$G$1001,0),1)</f>
        <v>83</v>
      </c>
      <c r="T47" s="7" t="str">
        <f>INDEX(Detail!$E$1:$E$1001,MATCH(Main!B47,Detail!$G$1:$G$1001,0))</f>
        <v>Jl. Cikutra Barat No. 38</v>
      </c>
      <c r="U47" s="7" t="str">
        <f>INDEX(Detail!$B$1:$B$1001,MATCH(B47,Detail!$G$1:$G$1001,0),1)</f>
        <v>AB-</v>
      </c>
      <c r="V47" s="7" t="str" cm="1">
        <f t="array" ref="V47">INDEX(Dosen!$B$3:$E$8,MATCH(Main!C47,Dosen!$A$3:$A$8,0),IF(AND(Main!A47&gt;=1,Main!A47&lt;=250),1,IF(AND(Main!A47&gt;=251,Main!A47&lt;=500),2,IF(AND(Main!A47&gt;=501,Main!A47&lt;=750),3,4))))</f>
        <v>Pak Budi</v>
      </c>
      <c r="W47" s="7" t="str">
        <f>_xlfn.XLOOKUP(B47,Detail!$G$1:$G$1001,Detail!$B$1:$B$1001)</f>
        <v>AB-</v>
      </c>
    </row>
    <row r="48" spans="1:23" ht="15.75" x14ac:dyDescent="0.25">
      <c r="A48" s="7">
        <v>299</v>
      </c>
      <c r="B48" s="33" t="str">
        <f>CONCATENATE("A",TEXT(Main!A48,"0000"))</f>
        <v>A0299</v>
      </c>
      <c r="C48" s="7" t="s">
        <v>1015</v>
      </c>
      <c r="D48" s="33" t="str">
        <f>VLOOKUP(B48,Detail!$G$1:$H$1001,2,FALSE)</f>
        <v>Irfan Pranowo</v>
      </c>
      <c r="E48" s="7">
        <v>72</v>
      </c>
      <c r="F48" s="7">
        <v>69</v>
      </c>
      <c r="G48" s="57">
        <v>67</v>
      </c>
      <c r="H48" s="7">
        <v>72</v>
      </c>
      <c r="I48" s="7">
        <v>72</v>
      </c>
      <c r="J48" s="7">
        <v>61</v>
      </c>
      <c r="K48" s="7">
        <v>74</v>
      </c>
      <c r="L48" s="56">
        <f>IFERROR(VLOOKUP(B48,Absen!$A$1:$C$501,2,FALSE),"No")</f>
        <v>44910</v>
      </c>
      <c r="M48" s="58">
        <f t="shared" si="0"/>
        <v>6.4</v>
      </c>
      <c r="N48" s="57">
        <f t="shared" si="1"/>
        <v>67.625</v>
      </c>
      <c r="O48" s="7" t="str">
        <f>VLOOKUP(N48,Helper!$B$30:$C$35,2,TRUE)</f>
        <v>C</v>
      </c>
      <c r="P48" s="56">
        <f>INDEX(Detail!$A$1:$A$1001,MATCH(B48,Detail!$G$1:$G$1001,0))</f>
        <v>38244</v>
      </c>
      <c r="Q48" s="33" t="str">
        <f>INDEX(Detail!$F$1:$F$1001,MATCH(Main!B48,Detail!$G$1:$G$1001,0))</f>
        <v>Makassar</v>
      </c>
      <c r="R48" s="7">
        <f>INDEX(Detail!$C$1:$C$1001,MATCH(B48,Detail!$G$1:$G$1001,0),1)</f>
        <v>151</v>
      </c>
      <c r="S48" s="7">
        <f>INDEX(Detail!$D$1:$D$1001,MATCH(B48,Detail!$G$1:$G$1001,0),1)</f>
        <v>50</v>
      </c>
      <c r="T48" s="7" t="str">
        <f>INDEX(Detail!$E$1:$E$1001,MATCH(Main!B48,Detail!$G$1:$G$1001,0))</f>
        <v xml:space="preserve">Gg. Gegerkalong Hilir No. 4
</v>
      </c>
      <c r="U48" s="7" t="str">
        <f>INDEX(Detail!$B$1:$B$1001,MATCH(B48,Detail!$G$1:$G$1001,0),1)</f>
        <v>B+</v>
      </c>
      <c r="V48" s="7" t="str" cm="1">
        <f t="array" ref="V48">INDEX(Dosen!$B$3:$E$8,MATCH(Main!C48,Dosen!$A$3:$A$8,0),IF(AND(Main!A48&gt;=1,Main!A48&lt;=250),1,IF(AND(Main!A48&gt;=251,Main!A48&lt;=500),2,IF(AND(Main!A48&gt;=501,Main!A48&lt;=750),3,4))))</f>
        <v>Pak Budi</v>
      </c>
      <c r="W48" s="7" t="str">
        <f>_xlfn.XLOOKUP(B48,Detail!$G$1:$G$1001,Detail!$B$1:$B$1001)</f>
        <v>B+</v>
      </c>
    </row>
    <row r="49" spans="1:23" ht="15.75" x14ac:dyDescent="0.25">
      <c r="A49" s="7">
        <v>301</v>
      </c>
      <c r="B49" s="33" t="str">
        <f>CONCATENATE("A",TEXT(Main!A49,"0000"))</f>
        <v>A0301</v>
      </c>
      <c r="C49" s="7" t="s">
        <v>1015</v>
      </c>
      <c r="D49" s="33" t="str">
        <f>VLOOKUP(B49,Detail!$G$1:$H$1001,2,FALSE)</f>
        <v>Akarsana Lestari</v>
      </c>
      <c r="E49" s="7">
        <v>75</v>
      </c>
      <c r="F49" s="7">
        <v>65</v>
      </c>
      <c r="G49" s="57">
        <v>43</v>
      </c>
      <c r="H49" s="7">
        <v>52</v>
      </c>
      <c r="I49" s="7">
        <v>56</v>
      </c>
      <c r="J49" s="7">
        <v>84</v>
      </c>
      <c r="K49" s="7">
        <v>92</v>
      </c>
      <c r="L49" s="56">
        <f>IFERROR(VLOOKUP(B49,Absen!$A$1:$C$501,2,FALSE),"No")</f>
        <v>44896</v>
      </c>
      <c r="M49" s="58">
        <f t="shared" si="0"/>
        <v>8.2000000000000011</v>
      </c>
      <c r="N49" s="57">
        <f t="shared" si="1"/>
        <v>64.600000000000009</v>
      </c>
      <c r="O49" s="7" t="str">
        <f>VLOOKUP(N49,Helper!$B$30:$C$35,2,TRUE)</f>
        <v>C</v>
      </c>
      <c r="P49" s="56">
        <f>INDEX(Detail!$A$1:$A$1001,MATCH(B49,Detail!$G$1:$G$1001,0))</f>
        <v>37902</v>
      </c>
      <c r="Q49" s="33" t="str">
        <f>INDEX(Detail!$F$1:$F$1001,MATCH(Main!B49,Detail!$G$1:$G$1001,0))</f>
        <v>Tangerang</v>
      </c>
      <c r="R49" s="7">
        <f>INDEX(Detail!$C$1:$C$1001,MATCH(B49,Detail!$G$1:$G$1001,0),1)</f>
        <v>165</v>
      </c>
      <c r="S49" s="7">
        <f>INDEX(Detail!$D$1:$D$1001,MATCH(B49,Detail!$G$1:$G$1001,0),1)</f>
        <v>69</v>
      </c>
      <c r="T49" s="7" t="str">
        <f>INDEX(Detail!$E$1:$E$1001,MATCH(Main!B49,Detail!$G$1:$G$1001,0))</f>
        <v>Jalan M.H Thamrin No. 47</v>
      </c>
      <c r="U49" s="7" t="str">
        <f>INDEX(Detail!$B$1:$B$1001,MATCH(B49,Detail!$G$1:$G$1001,0),1)</f>
        <v>A-</v>
      </c>
      <c r="V49" s="7" t="str" cm="1">
        <f t="array" ref="V49">INDEX(Dosen!$B$3:$E$8,MATCH(Main!C49,Dosen!$A$3:$A$8,0),IF(AND(Main!A49&gt;=1,Main!A49&lt;=250),1,IF(AND(Main!A49&gt;=251,Main!A49&lt;=500),2,IF(AND(Main!A49&gt;=501,Main!A49&lt;=750),3,4))))</f>
        <v>Pak Budi</v>
      </c>
      <c r="W49" s="7" t="str">
        <f>_xlfn.XLOOKUP(B49,Detail!$G$1:$G$1001,Detail!$B$1:$B$1001)</f>
        <v>A-</v>
      </c>
    </row>
    <row r="50" spans="1:23" ht="15.75" x14ac:dyDescent="0.25">
      <c r="A50" s="7">
        <v>319</v>
      </c>
      <c r="B50" s="33" t="str">
        <f>CONCATENATE("A",TEXT(Main!A50,"0000"))</f>
        <v>A0319</v>
      </c>
      <c r="C50" s="7" t="s">
        <v>1015</v>
      </c>
      <c r="D50" s="33" t="str">
        <f>VLOOKUP(B50,Detail!$G$1:$H$1001,2,FALSE)</f>
        <v>Kamila Megantara</v>
      </c>
      <c r="E50" s="7">
        <v>50</v>
      </c>
      <c r="F50" s="7">
        <v>68</v>
      </c>
      <c r="G50" s="57">
        <v>94</v>
      </c>
      <c r="H50" s="7">
        <v>64</v>
      </c>
      <c r="I50" s="7">
        <v>63</v>
      </c>
      <c r="J50" s="7">
        <v>44</v>
      </c>
      <c r="K50" s="7">
        <v>79</v>
      </c>
      <c r="L50" s="56">
        <f>IFERROR(VLOOKUP(B50,Absen!$A$1:$C$501,2,FALSE),"No")</f>
        <v>44901</v>
      </c>
      <c r="M50" s="58">
        <f t="shared" si="0"/>
        <v>6.9</v>
      </c>
      <c r="N50" s="57">
        <f t="shared" si="1"/>
        <v>65.125</v>
      </c>
      <c r="O50" s="7" t="str">
        <f>VLOOKUP(N50,Helper!$B$30:$C$35,2,TRUE)</f>
        <v>C</v>
      </c>
      <c r="P50" s="56">
        <f>INDEX(Detail!$A$1:$A$1001,MATCH(B50,Detail!$G$1:$G$1001,0))</f>
        <v>37114</v>
      </c>
      <c r="Q50" s="33" t="str">
        <f>INDEX(Detail!$F$1:$F$1001,MATCH(Main!B50,Detail!$G$1:$G$1001,0))</f>
        <v>Palangkaraya</v>
      </c>
      <c r="R50" s="7">
        <f>INDEX(Detail!$C$1:$C$1001,MATCH(B50,Detail!$G$1:$G$1001,0),1)</f>
        <v>172</v>
      </c>
      <c r="S50" s="7">
        <f>INDEX(Detail!$D$1:$D$1001,MATCH(B50,Detail!$G$1:$G$1001,0),1)</f>
        <v>90</v>
      </c>
      <c r="T50" s="7" t="str">
        <f>INDEX(Detail!$E$1:$E$1001,MATCH(Main!B50,Detail!$G$1:$G$1001,0))</f>
        <v>Jl. Veteran No. 54</v>
      </c>
      <c r="U50" s="7" t="str">
        <f>INDEX(Detail!$B$1:$B$1001,MATCH(B50,Detail!$G$1:$G$1001,0),1)</f>
        <v>A+</v>
      </c>
      <c r="V50" s="7" t="str" cm="1">
        <f t="array" ref="V50">INDEX(Dosen!$B$3:$E$8,MATCH(Main!C50,Dosen!$A$3:$A$8,0),IF(AND(Main!A50&gt;=1,Main!A50&lt;=250),1,IF(AND(Main!A50&gt;=251,Main!A50&lt;=500),2,IF(AND(Main!A50&gt;=501,Main!A50&lt;=750),3,4))))</f>
        <v>Pak Budi</v>
      </c>
      <c r="W50" s="7" t="str">
        <f>_xlfn.XLOOKUP(B50,Detail!$G$1:$G$1001,Detail!$B$1:$B$1001)</f>
        <v>A+</v>
      </c>
    </row>
    <row r="51" spans="1:23" ht="15.75" x14ac:dyDescent="0.25">
      <c r="A51" s="7">
        <v>321</v>
      </c>
      <c r="B51" s="33" t="str">
        <f>CONCATENATE("A",TEXT(Main!A51,"0000"))</f>
        <v>A0321</v>
      </c>
      <c r="C51" s="7" t="s">
        <v>1015</v>
      </c>
      <c r="D51" s="33" t="str">
        <f>VLOOKUP(B51,Detail!$G$1:$H$1001,2,FALSE)</f>
        <v>Lidya Prasetya</v>
      </c>
      <c r="E51" s="7">
        <v>67</v>
      </c>
      <c r="F51" s="7">
        <v>52</v>
      </c>
      <c r="G51" s="57">
        <v>76</v>
      </c>
      <c r="H51" s="7">
        <v>73</v>
      </c>
      <c r="I51" s="7">
        <v>52</v>
      </c>
      <c r="J51" s="7">
        <v>76</v>
      </c>
      <c r="K51" s="7">
        <v>63</v>
      </c>
      <c r="L51" s="56">
        <f>IFERROR(VLOOKUP(B51,Absen!$A$1:$C$501,2,FALSE),"No")</f>
        <v>44752</v>
      </c>
      <c r="M51" s="58">
        <f t="shared" si="0"/>
        <v>5.3000000000000007</v>
      </c>
      <c r="N51" s="57">
        <f t="shared" si="1"/>
        <v>66.2</v>
      </c>
      <c r="O51" s="7" t="str">
        <f>VLOOKUP(N51,Helper!$B$30:$C$35,2,TRUE)</f>
        <v>C</v>
      </c>
      <c r="P51" s="56">
        <f>INDEX(Detail!$A$1:$A$1001,MATCH(B51,Detail!$G$1:$G$1001,0))</f>
        <v>37075</v>
      </c>
      <c r="Q51" s="33" t="str">
        <f>INDEX(Detail!$F$1:$F$1001,MATCH(Main!B51,Detail!$G$1:$G$1001,0))</f>
        <v>Sungai Penuh</v>
      </c>
      <c r="R51" s="7">
        <f>INDEX(Detail!$C$1:$C$1001,MATCH(B51,Detail!$G$1:$G$1001,0),1)</f>
        <v>151</v>
      </c>
      <c r="S51" s="7">
        <f>INDEX(Detail!$D$1:$D$1001,MATCH(B51,Detail!$G$1:$G$1001,0),1)</f>
        <v>70</v>
      </c>
      <c r="T51" s="7" t="str">
        <f>INDEX(Detail!$E$1:$E$1001,MATCH(Main!B51,Detail!$G$1:$G$1001,0))</f>
        <v>Jalan Bangka Raya No. 21</v>
      </c>
      <c r="U51" s="7" t="str">
        <f>INDEX(Detail!$B$1:$B$1001,MATCH(B51,Detail!$G$1:$G$1001,0),1)</f>
        <v>A+</v>
      </c>
      <c r="V51" s="7" t="str" cm="1">
        <f t="array" ref="V51">INDEX(Dosen!$B$3:$E$8,MATCH(Main!C51,Dosen!$A$3:$A$8,0),IF(AND(Main!A51&gt;=1,Main!A51&lt;=250),1,IF(AND(Main!A51&gt;=251,Main!A51&lt;=500),2,IF(AND(Main!A51&gt;=501,Main!A51&lt;=750),3,4))))</f>
        <v>Pak Budi</v>
      </c>
      <c r="W51" s="7" t="str">
        <f>_xlfn.XLOOKUP(B51,Detail!$G$1:$G$1001,Detail!$B$1:$B$1001)</f>
        <v>A+</v>
      </c>
    </row>
    <row r="52" spans="1:23" ht="15.75" x14ac:dyDescent="0.25">
      <c r="A52" s="7">
        <v>355</v>
      </c>
      <c r="B52" s="33" t="str">
        <f>CONCATENATE("A",TEXT(Main!A52,"0000"))</f>
        <v>A0355</v>
      </c>
      <c r="C52" s="7" t="s">
        <v>1015</v>
      </c>
      <c r="D52" s="33" t="str">
        <f>VLOOKUP(B52,Detail!$G$1:$H$1001,2,FALSE)</f>
        <v>Jatmiko Pangestu</v>
      </c>
      <c r="E52" s="7">
        <v>51</v>
      </c>
      <c r="F52" s="7">
        <v>69</v>
      </c>
      <c r="G52" s="57">
        <v>49</v>
      </c>
      <c r="H52" s="7">
        <v>57</v>
      </c>
      <c r="I52" s="7">
        <v>94</v>
      </c>
      <c r="J52" s="7">
        <v>49</v>
      </c>
      <c r="K52" s="7">
        <v>86</v>
      </c>
      <c r="L52" s="56">
        <f>IFERROR(VLOOKUP(B52,Absen!$A$1:$C$501,2,FALSE),"No")</f>
        <v>44834</v>
      </c>
      <c r="M52" s="58">
        <f t="shared" si="0"/>
        <v>7.6000000000000005</v>
      </c>
      <c r="N52" s="57">
        <f t="shared" si="1"/>
        <v>61.074999999999996</v>
      </c>
      <c r="O52" s="7" t="str">
        <f>VLOOKUP(N52,Helper!$B$30:$C$35,2,TRUE)</f>
        <v>C</v>
      </c>
      <c r="P52" s="56">
        <f>INDEX(Detail!$A$1:$A$1001,MATCH(B52,Detail!$G$1:$G$1001,0))</f>
        <v>37337</v>
      </c>
      <c r="Q52" s="33" t="str">
        <f>INDEX(Detail!$F$1:$F$1001,MATCH(Main!B52,Detail!$G$1:$G$1001,0))</f>
        <v>Tarakan</v>
      </c>
      <c r="R52" s="7">
        <f>INDEX(Detail!$C$1:$C$1001,MATCH(B52,Detail!$G$1:$G$1001,0),1)</f>
        <v>178</v>
      </c>
      <c r="S52" s="7">
        <f>INDEX(Detail!$D$1:$D$1001,MATCH(B52,Detail!$G$1:$G$1001,0),1)</f>
        <v>94</v>
      </c>
      <c r="T52" s="7" t="str">
        <f>INDEX(Detail!$E$1:$E$1001,MATCH(Main!B52,Detail!$G$1:$G$1001,0))</f>
        <v xml:space="preserve">Gang Setiabudhi No. 0
</v>
      </c>
      <c r="U52" s="7" t="str">
        <f>INDEX(Detail!$B$1:$B$1001,MATCH(B52,Detail!$G$1:$G$1001,0),1)</f>
        <v>A-</v>
      </c>
      <c r="V52" s="7" t="str" cm="1">
        <f t="array" ref="V52">INDEX(Dosen!$B$3:$E$8,MATCH(Main!C52,Dosen!$A$3:$A$8,0),IF(AND(Main!A52&gt;=1,Main!A52&lt;=250),1,IF(AND(Main!A52&gt;=251,Main!A52&lt;=500),2,IF(AND(Main!A52&gt;=501,Main!A52&lt;=750),3,4))))</f>
        <v>Pak Budi</v>
      </c>
      <c r="W52" s="7" t="str">
        <f>_xlfn.XLOOKUP(B52,Detail!$G$1:$G$1001,Detail!$B$1:$B$1001)</f>
        <v>A-</v>
      </c>
    </row>
    <row r="53" spans="1:23" ht="15.75" x14ac:dyDescent="0.25">
      <c r="A53" s="7">
        <v>358</v>
      </c>
      <c r="B53" s="33" t="str">
        <f>CONCATENATE("A",TEXT(Main!A53,"0000"))</f>
        <v>A0358</v>
      </c>
      <c r="C53" s="7" t="s">
        <v>1015</v>
      </c>
      <c r="D53" s="33" t="str">
        <f>VLOOKUP(B53,Detail!$G$1:$H$1001,2,FALSE)</f>
        <v>Hartaka Rahimah</v>
      </c>
      <c r="E53" s="7">
        <v>50</v>
      </c>
      <c r="F53" s="7">
        <v>46</v>
      </c>
      <c r="G53" s="57">
        <v>63</v>
      </c>
      <c r="H53" s="7">
        <v>51</v>
      </c>
      <c r="I53" s="7">
        <v>89</v>
      </c>
      <c r="J53" s="7">
        <v>80</v>
      </c>
      <c r="K53" s="7">
        <v>95</v>
      </c>
      <c r="L53" s="56">
        <f>IFERROR(VLOOKUP(B53,Absen!$A$1:$C$501,2,FALSE),"No")</f>
        <v>44908</v>
      </c>
      <c r="M53" s="58">
        <f t="shared" si="0"/>
        <v>8.5</v>
      </c>
      <c r="N53" s="57">
        <f t="shared" si="1"/>
        <v>66.599999999999994</v>
      </c>
      <c r="O53" s="7" t="str">
        <f>VLOOKUP(N53,Helper!$B$30:$C$35,2,TRUE)</f>
        <v>C</v>
      </c>
      <c r="P53" s="56">
        <f>INDEX(Detail!$A$1:$A$1001,MATCH(B53,Detail!$G$1:$G$1001,0))</f>
        <v>37437</v>
      </c>
      <c r="Q53" s="33" t="str">
        <f>INDEX(Detail!$F$1:$F$1001,MATCH(Main!B53,Detail!$G$1:$G$1001,0))</f>
        <v>Sawahlunto</v>
      </c>
      <c r="R53" s="7">
        <f>INDEX(Detail!$C$1:$C$1001,MATCH(B53,Detail!$G$1:$G$1001,0),1)</f>
        <v>153</v>
      </c>
      <c r="S53" s="7">
        <f>INDEX(Detail!$D$1:$D$1001,MATCH(B53,Detail!$G$1:$G$1001,0),1)</f>
        <v>54</v>
      </c>
      <c r="T53" s="7" t="str">
        <f>INDEX(Detail!$E$1:$E$1001,MATCH(Main!B53,Detail!$G$1:$G$1001,0))</f>
        <v>Gang Veteran No. 39</v>
      </c>
      <c r="U53" s="7" t="str">
        <f>INDEX(Detail!$B$1:$B$1001,MATCH(B53,Detail!$G$1:$G$1001,0),1)</f>
        <v>O+</v>
      </c>
      <c r="V53" s="7" t="str" cm="1">
        <f t="array" ref="V53">INDEX(Dosen!$B$3:$E$8,MATCH(Main!C53,Dosen!$A$3:$A$8,0),IF(AND(Main!A53&gt;=1,Main!A53&lt;=250),1,IF(AND(Main!A53&gt;=251,Main!A53&lt;=500),2,IF(AND(Main!A53&gt;=501,Main!A53&lt;=750),3,4))))</f>
        <v>Pak Budi</v>
      </c>
      <c r="W53" s="7" t="str">
        <f>_xlfn.XLOOKUP(B53,Detail!$G$1:$G$1001,Detail!$B$1:$B$1001)</f>
        <v>O+</v>
      </c>
    </row>
    <row r="54" spans="1:23" ht="15.75" x14ac:dyDescent="0.25">
      <c r="A54" s="7">
        <v>364</v>
      </c>
      <c r="B54" s="33" t="str">
        <f>CONCATENATE("A",TEXT(Main!A54,"0000"))</f>
        <v>A0364</v>
      </c>
      <c r="C54" s="7" t="s">
        <v>1015</v>
      </c>
      <c r="D54" s="33" t="str">
        <f>VLOOKUP(B54,Detail!$G$1:$H$1001,2,FALSE)</f>
        <v>Kamal Saefullah</v>
      </c>
      <c r="E54" s="7">
        <v>87</v>
      </c>
      <c r="F54" s="7">
        <v>69</v>
      </c>
      <c r="G54" s="57">
        <v>75</v>
      </c>
      <c r="H54" s="7">
        <v>56</v>
      </c>
      <c r="I54" s="7">
        <v>52</v>
      </c>
      <c r="J54" s="7">
        <v>94</v>
      </c>
      <c r="K54" s="7">
        <v>72</v>
      </c>
      <c r="L54" s="56" t="str">
        <f>IFERROR(VLOOKUP(B54,Absen!$A$1:$C$501,2,FALSE),"No")</f>
        <v>No</v>
      </c>
      <c r="M54" s="58">
        <f t="shared" si="0"/>
        <v>7.2</v>
      </c>
      <c r="N54" s="57">
        <f t="shared" si="1"/>
        <v>74</v>
      </c>
      <c r="O54" s="7" t="str">
        <f>VLOOKUP(N54,Helper!$B$30:$C$35,2,TRUE)</f>
        <v>B</v>
      </c>
      <c r="P54" s="56">
        <f>INDEX(Detail!$A$1:$A$1001,MATCH(B54,Detail!$G$1:$G$1001,0))</f>
        <v>38050</v>
      </c>
      <c r="Q54" s="33" t="str">
        <f>INDEX(Detail!$F$1:$F$1001,MATCH(Main!B54,Detail!$G$1:$G$1001,0))</f>
        <v>Tomohon</v>
      </c>
      <c r="R54" s="7">
        <f>INDEX(Detail!$C$1:$C$1001,MATCH(B54,Detail!$G$1:$G$1001,0),1)</f>
        <v>179</v>
      </c>
      <c r="S54" s="7">
        <f>INDEX(Detail!$D$1:$D$1001,MATCH(B54,Detail!$G$1:$G$1001,0),1)</f>
        <v>66</v>
      </c>
      <c r="T54" s="7" t="str">
        <f>INDEX(Detail!$E$1:$E$1001,MATCH(Main!B54,Detail!$G$1:$G$1001,0))</f>
        <v>Gang Pasir Koja No. 61</v>
      </c>
      <c r="U54" s="7" t="str">
        <f>INDEX(Detail!$B$1:$B$1001,MATCH(B54,Detail!$G$1:$G$1001,0),1)</f>
        <v>AB-</v>
      </c>
      <c r="V54" s="7" t="str" cm="1">
        <f t="array" ref="V54">INDEX(Dosen!$B$3:$E$8,MATCH(Main!C54,Dosen!$A$3:$A$8,0),IF(AND(Main!A54&gt;=1,Main!A54&lt;=250),1,IF(AND(Main!A54&gt;=251,Main!A54&lt;=500),2,IF(AND(Main!A54&gt;=501,Main!A54&lt;=750),3,4))))</f>
        <v>Pak Budi</v>
      </c>
      <c r="W54" s="7" t="str">
        <f>_xlfn.XLOOKUP(B54,Detail!$G$1:$G$1001,Detail!$B$1:$B$1001)</f>
        <v>AB-</v>
      </c>
    </row>
    <row r="55" spans="1:23" ht="15.75" x14ac:dyDescent="0.25">
      <c r="A55" s="7">
        <v>370</v>
      </c>
      <c r="B55" s="33" t="str">
        <f>CONCATENATE("A",TEXT(Main!A55,"0000"))</f>
        <v>A0370</v>
      </c>
      <c r="C55" s="7" t="s">
        <v>1015</v>
      </c>
      <c r="D55" s="33" t="str">
        <f>VLOOKUP(B55,Detail!$G$1:$H$1001,2,FALSE)</f>
        <v>Cahyono Hartati</v>
      </c>
      <c r="E55" s="7">
        <v>56</v>
      </c>
      <c r="F55" s="7">
        <v>70</v>
      </c>
      <c r="G55" s="57">
        <v>86</v>
      </c>
      <c r="H55" s="7">
        <v>59</v>
      </c>
      <c r="I55" s="7">
        <v>69</v>
      </c>
      <c r="J55" s="7">
        <v>60</v>
      </c>
      <c r="K55" s="7">
        <v>70</v>
      </c>
      <c r="L55" s="56">
        <f>IFERROR(VLOOKUP(B55,Absen!$A$1:$C$501,2,FALSE),"No")</f>
        <v>44771</v>
      </c>
      <c r="M55" s="58">
        <f t="shared" si="0"/>
        <v>6</v>
      </c>
      <c r="N55" s="57">
        <f t="shared" si="1"/>
        <v>66.95</v>
      </c>
      <c r="O55" s="7" t="str">
        <f>VLOOKUP(N55,Helper!$B$30:$C$35,2,TRUE)</f>
        <v>C</v>
      </c>
      <c r="P55" s="56">
        <f>INDEX(Detail!$A$1:$A$1001,MATCH(B55,Detail!$G$1:$G$1001,0))</f>
        <v>37907</v>
      </c>
      <c r="Q55" s="33" t="str">
        <f>INDEX(Detail!$F$1:$F$1001,MATCH(Main!B55,Detail!$G$1:$G$1001,0))</f>
        <v>Tebingtinggi</v>
      </c>
      <c r="R55" s="7">
        <f>INDEX(Detail!$C$1:$C$1001,MATCH(B55,Detail!$G$1:$G$1001,0),1)</f>
        <v>175</v>
      </c>
      <c r="S55" s="7">
        <f>INDEX(Detail!$D$1:$D$1001,MATCH(B55,Detail!$G$1:$G$1001,0),1)</f>
        <v>47</v>
      </c>
      <c r="T55" s="7" t="str">
        <f>INDEX(Detail!$E$1:$E$1001,MATCH(Main!B55,Detail!$G$1:$G$1001,0))</f>
        <v>Gang Jend. Sudirman No. 69</v>
      </c>
      <c r="U55" s="7" t="str">
        <f>INDEX(Detail!$B$1:$B$1001,MATCH(B55,Detail!$G$1:$G$1001,0),1)</f>
        <v>AB+</v>
      </c>
      <c r="V55" s="7" t="str" cm="1">
        <f t="array" ref="V55">INDEX(Dosen!$B$3:$E$8,MATCH(Main!C55,Dosen!$A$3:$A$8,0),IF(AND(Main!A55&gt;=1,Main!A55&lt;=250),1,IF(AND(Main!A55&gt;=251,Main!A55&lt;=500),2,IF(AND(Main!A55&gt;=501,Main!A55&lt;=750),3,4))))</f>
        <v>Pak Budi</v>
      </c>
      <c r="W55" s="7" t="str">
        <f>_xlfn.XLOOKUP(B55,Detail!$G$1:$G$1001,Detail!$B$1:$B$1001)</f>
        <v>AB+</v>
      </c>
    </row>
    <row r="56" spans="1:23" ht="15.75" x14ac:dyDescent="0.25">
      <c r="A56" s="7">
        <v>373</v>
      </c>
      <c r="B56" s="33" t="str">
        <f>CONCATENATE("A",TEXT(Main!A56,"0000"))</f>
        <v>A0373</v>
      </c>
      <c r="C56" s="7" t="s">
        <v>1015</v>
      </c>
      <c r="D56" s="33" t="str">
        <f>VLOOKUP(B56,Detail!$G$1:$H$1001,2,FALSE)</f>
        <v>Cawisadi Suartini</v>
      </c>
      <c r="E56" s="7">
        <v>57</v>
      </c>
      <c r="F56" s="7">
        <v>55</v>
      </c>
      <c r="G56" s="57">
        <v>59</v>
      </c>
      <c r="H56" s="7">
        <v>64</v>
      </c>
      <c r="I56" s="7">
        <v>58</v>
      </c>
      <c r="J56" s="7">
        <v>85</v>
      </c>
      <c r="K56" s="7">
        <v>67</v>
      </c>
      <c r="L56" s="56">
        <f>IFERROR(VLOOKUP(B56,Absen!$A$1:$C$501,2,FALSE),"No")</f>
        <v>44863</v>
      </c>
      <c r="M56" s="58">
        <f t="shared" si="0"/>
        <v>5.7</v>
      </c>
      <c r="N56" s="57">
        <f t="shared" si="1"/>
        <v>63.75</v>
      </c>
      <c r="O56" s="7" t="str">
        <f>VLOOKUP(N56,Helper!$B$30:$C$35,2,TRUE)</f>
        <v>C</v>
      </c>
      <c r="P56" s="56">
        <f>INDEX(Detail!$A$1:$A$1001,MATCH(B56,Detail!$G$1:$G$1001,0))</f>
        <v>38347</v>
      </c>
      <c r="Q56" s="33" t="str">
        <f>INDEX(Detail!$F$1:$F$1001,MATCH(Main!B56,Detail!$G$1:$G$1001,0))</f>
        <v>Pangkalpinang</v>
      </c>
      <c r="R56" s="7">
        <f>INDEX(Detail!$C$1:$C$1001,MATCH(B56,Detail!$G$1:$G$1001,0),1)</f>
        <v>177</v>
      </c>
      <c r="S56" s="7">
        <f>INDEX(Detail!$D$1:$D$1001,MATCH(B56,Detail!$G$1:$G$1001,0),1)</f>
        <v>61</v>
      </c>
      <c r="T56" s="7" t="str">
        <f>INDEX(Detail!$E$1:$E$1001,MATCH(Main!B56,Detail!$G$1:$G$1001,0))</f>
        <v xml:space="preserve">Gang Ciwastra No. 6
</v>
      </c>
      <c r="U56" s="7" t="str">
        <f>INDEX(Detail!$B$1:$B$1001,MATCH(B56,Detail!$G$1:$G$1001,0),1)</f>
        <v>AB-</v>
      </c>
      <c r="V56" s="7" t="str" cm="1">
        <f t="array" ref="V56">INDEX(Dosen!$B$3:$E$8,MATCH(Main!C56,Dosen!$A$3:$A$8,0),IF(AND(Main!A56&gt;=1,Main!A56&lt;=250),1,IF(AND(Main!A56&gt;=251,Main!A56&lt;=500),2,IF(AND(Main!A56&gt;=501,Main!A56&lt;=750),3,4))))</f>
        <v>Pak Budi</v>
      </c>
      <c r="W56" s="7" t="str">
        <f>_xlfn.XLOOKUP(B56,Detail!$G$1:$G$1001,Detail!$B$1:$B$1001)</f>
        <v>AB-</v>
      </c>
    </row>
    <row r="57" spans="1:23" ht="15.75" x14ac:dyDescent="0.25">
      <c r="A57" s="7">
        <v>394</v>
      </c>
      <c r="B57" s="33" t="str">
        <f>CONCATENATE("A",TEXT(Main!A57,"0000"))</f>
        <v>A0394</v>
      </c>
      <c r="C57" s="7" t="s">
        <v>1015</v>
      </c>
      <c r="D57" s="33" t="str">
        <f>VLOOKUP(B57,Detail!$G$1:$H$1001,2,FALSE)</f>
        <v>Anita Tamba</v>
      </c>
      <c r="E57" s="7">
        <v>57</v>
      </c>
      <c r="F57" s="7">
        <v>43</v>
      </c>
      <c r="G57" s="57">
        <v>39</v>
      </c>
      <c r="H57" s="7">
        <v>55</v>
      </c>
      <c r="I57" s="7">
        <v>67</v>
      </c>
      <c r="J57" s="7">
        <v>92</v>
      </c>
      <c r="K57" s="7">
        <v>79</v>
      </c>
      <c r="L57" s="56" t="str">
        <f>IFERROR(VLOOKUP(B57,Absen!$A$1:$C$501,2,FALSE),"No")</f>
        <v>No</v>
      </c>
      <c r="M57" s="58">
        <f t="shared" si="0"/>
        <v>7.9</v>
      </c>
      <c r="N57" s="57">
        <f t="shared" si="1"/>
        <v>61.85</v>
      </c>
      <c r="O57" s="7" t="str">
        <f>VLOOKUP(N57,Helper!$B$30:$C$35,2,TRUE)</f>
        <v>C</v>
      </c>
      <c r="P57" s="56">
        <f>INDEX(Detail!$A$1:$A$1001,MATCH(B57,Detail!$G$1:$G$1001,0))</f>
        <v>38197</v>
      </c>
      <c r="Q57" s="33" t="str">
        <f>INDEX(Detail!$F$1:$F$1001,MATCH(Main!B57,Detail!$G$1:$G$1001,0))</f>
        <v>Depok</v>
      </c>
      <c r="R57" s="7">
        <f>INDEX(Detail!$C$1:$C$1001,MATCH(B57,Detail!$G$1:$G$1001,0),1)</f>
        <v>176</v>
      </c>
      <c r="S57" s="7">
        <f>INDEX(Detail!$D$1:$D$1001,MATCH(B57,Detail!$G$1:$G$1001,0),1)</f>
        <v>47</v>
      </c>
      <c r="T57" s="7" t="str">
        <f>INDEX(Detail!$E$1:$E$1001,MATCH(Main!B57,Detail!$G$1:$G$1001,0))</f>
        <v>Gang K.H. Wahid Hasyim No. 25</v>
      </c>
      <c r="U57" s="7" t="str">
        <f>INDEX(Detail!$B$1:$B$1001,MATCH(B57,Detail!$G$1:$G$1001,0),1)</f>
        <v>A-</v>
      </c>
      <c r="V57" s="7" t="str" cm="1">
        <f t="array" ref="V57">INDEX(Dosen!$B$3:$E$8,MATCH(Main!C57,Dosen!$A$3:$A$8,0),IF(AND(Main!A57&gt;=1,Main!A57&lt;=250),1,IF(AND(Main!A57&gt;=251,Main!A57&lt;=500),2,IF(AND(Main!A57&gt;=501,Main!A57&lt;=750),3,4))))</f>
        <v>Pak Budi</v>
      </c>
      <c r="W57" s="7" t="str">
        <f>_xlfn.XLOOKUP(B57,Detail!$G$1:$G$1001,Detail!$B$1:$B$1001)</f>
        <v>A-</v>
      </c>
    </row>
    <row r="58" spans="1:23" ht="15.75" x14ac:dyDescent="0.25">
      <c r="A58" s="7">
        <v>399</v>
      </c>
      <c r="B58" s="33" t="str">
        <f>CONCATENATE("A",TEXT(Main!A58,"0000"))</f>
        <v>A0399</v>
      </c>
      <c r="C58" s="7" t="s">
        <v>1015</v>
      </c>
      <c r="D58" s="33" t="str">
        <f>VLOOKUP(B58,Detail!$G$1:$H$1001,2,FALSE)</f>
        <v>Hadi Pudjiastuti</v>
      </c>
      <c r="E58" s="7">
        <v>80</v>
      </c>
      <c r="F58" s="7">
        <v>57</v>
      </c>
      <c r="G58" s="57">
        <v>41</v>
      </c>
      <c r="H58" s="7">
        <v>63</v>
      </c>
      <c r="I58" s="7">
        <v>55</v>
      </c>
      <c r="J58" s="7">
        <v>67</v>
      </c>
      <c r="K58" s="7">
        <v>61</v>
      </c>
      <c r="L58" s="56" t="str">
        <f>IFERROR(VLOOKUP(B58,Absen!$A$1:$C$501,2,FALSE),"No")</f>
        <v>No</v>
      </c>
      <c r="M58" s="58">
        <f t="shared" si="0"/>
        <v>6.1000000000000005</v>
      </c>
      <c r="N58" s="57">
        <f t="shared" si="1"/>
        <v>59.575000000000003</v>
      </c>
      <c r="O58" s="7" t="str">
        <f>VLOOKUP(N58,Helper!$B$30:$C$35,2,TRUE)</f>
        <v>D</v>
      </c>
      <c r="P58" s="56">
        <f>INDEX(Detail!$A$1:$A$1001,MATCH(B58,Detail!$G$1:$G$1001,0))</f>
        <v>38171</v>
      </c>
      <c r="Q58" s="33" t="str">
        <f>INDEX(Detail!$F$1:$F$1001,MATCH(Main!B58,Detail!$G$1:$G$1001,0))</f>
        <v>Banda Aceh</v>
      </c>
      <c r="R58" s="7">
        <f>INDEX(Detail!$C$1:$C$1001,MATCH(B58,Detail!$G$1:$G$1001,0),1)</f>
        <v>176</v>
      </c>
      <c r="S58" s="7">
        <f>INDEX(Detail!$D$1:$D$1001,MATCH(B58,Detail!$G$1:$G$1001,0),1)</f>
        <v>87</v>
      </c>
      <c r="T58" s="7" t="str">
        <f>INDEX(Detail!$E$1:$E$1001,MATCH(Main!B58,Detail!$G$1:$G$1001,0))</f>
        <v>Jl. Raya Ujungberung No. 00</v>
      </c>
      <c r="U58" s="7" t="str">
        <f>INDEX(Detail!$B$1:$B$1001,MATCH(B58,Detail!$G$1:$G$1001,0),1)</f>
        <v>B-</v>
      </c>
      <c r="V58" s="7" t="str" cm="1">
        <f t="array" ref="V58">INDEX(Dosen!$B$3:$E$8,MATCH(Main!C58,Dosen!$A$3:$A$8,0),IF(AND(Main!A58&gt;=1,Main!A58&lt;=250),1,IF(AND(Main!A58&gt;=251,Main!A58&lt;=500),2,IF(AND(Main!A58&gt;=501,Main!A58&lt;=750),3,4))))</f>
        <v>Pak Budi</v>
      </c>
      <c r="W58" s="7" t="str">
        <f>_xlfn.XLOOKUP(B58,Detail!$G$1:$G$1001,Detail!$B$1:$B$1001)</f>
        <v>B-</v>
      </c>
    </row>
    <row r="59" spans="1:23" ht="15.75" x14ac:dyDescent="0.25">
      <c r="A59" s="7">
        <v>405</v>
      </c>
      <c r="B59" s="33" t="str">
        <f>CONCATENATE("A",TEXT(Main!A59,"0000"))</f>
        <v>A0405</v>
      </c>
      <c r="C59" s="7" t="s">
        <v>1015</v>
      </c>
      <c r="D59" s="33" t="str">
        <f>VLOOKUP(B59,Detail!$G$1:$H$1001,2,FALSE)</f>
        <v>Aisyah Nashiruddin</v>
      </c>
      <c r="E59" s="7">
        <v>57</v>
      </c>
      <c r="F59" s="7">
        <v>55</v>
      </c>
      <c r="G59" s="57">
        <v>48</v>
      </c>
      <c r="H59" s="7">
        <v>65</v>
      </c>
      <c r="I59" s="7">
        <v>77</v>
      </c>
      <c r="J59" s="7">
        <v>58</v>
      </c>
      <c r="K59" s="7">
        <v>71</v>
      </c>
      <c r="L59" s="56">
        <f>IFERROR(VLOOKUP(B59,Absen!$A$1:$C$501,2,FALSE),"No")</f>
        <v>44880</v>
      </c>
      <c r="M59" s="58">
        <f t="shared" si="0"/>
        <v>6.1000000000000005</v>
      </c>
      <c r="N59" s="57">
        <f t="shared" si="1"/>
        <v>59.050000000000004</v>
      </c>
      <c r="O59" s="7" t="str">
        <f>VLOOKUP(N59,Helper!$B$30:$C$35,2,TRUE)</f>
        <v>D</v>
      </c>
      <c r="P59" s="56">
        <f>INDEX(Detail!$A$1:$A$1001,MATCH(B59,Detail!$G$1:$G$1001,0))</f>
        <v>37887</v>
      </c>
      <c r="Q59" s="33" t="str">
        <f>INDEX(Detail!$F$1:$F$1001,MATCH(Main!B59,Detail!$G$1:$G$1001,0))</f>
        <v>Bekasi</v>
      </c>
      <c r="R59" s="7">
        <f>INDEX(Detail!$C$1:$C$1001,MATCH(B59,Detail!$G$1:$G$1001,0),1)</f>
        <v>153</v>
      </c>
      <c r="S59" s="7">
        <f>INDEX(Detail!$D$1:$D$1001,MATCH(B59,Detail!$G$1:$G$1001,0),1)</f>
        <v>60</v>
      </c>
      <c r="T59" s="7" t="str">
        <f>INDEX(Detail!$E$1:$E$1001,MATCH(Main!B59,Detail!$G$1:$G$1001,0))</f>
        <v>Gang Medokan Ayu No. 80</v>
      </c>
      <c r="U59" s="7" t="str">
        <f>INDEX(Detail!$B$1:$B$1001,MATCH(B59,Detail!$G$1:$G$1001,0),1)</f>
        <v>O-</v>
      </c>
      <c r="V59" s="7" t="str" cm="1">
        <f t="array" ref="V59">INDEX(Dosen!$B$3:$E$8,MATCH(Main!C59,Dosen!$A$3:$A$8,0),IF(AND(Main!A59&gt;=1,Main!A59&lt;=250),1,IF(AND(Main!A59&gt;=251,Main!A59&lt;=500),2,IF(AND(Main!A59&gt;=501,Main!A59&lt;=750),3,4))))</f>
        <v>Pak Budi</v>
      </c>
      <c r="W59" s="7" t="str">
        <f>_xlfn.XLOOKUP(B59,Detail!$G$1:$G$1001,Detail!$B$1:$B$1001)</f>
        <v>O-</v>
      </c>
    </row>
    <row r="60" spans="1:23" ht="15.75" x14ac:dyDescent="0.25">
      <c r="A60" s="7">
        <v>407</v>
      </c>
      <c r="B60" s="33" t="str">
        <f>CONCATENATE("A",TEXT(Main!A60,"0000"))</f>
        <v>A0407</v>
      </c>
      <c r="C60" s="7" t="s">
        <v>1015</v>
      </c>
      <c r="D60" s="33" t="str">
        <f>VLOOKUP(B60,Detail!$G$1:$H$1001,2,FALSE)</f>
        <v>Janet Pradana</v>
      </c>
      <c r="E60" s="7">
        <v>58</v>
      </c>
      <c r="F60" s="7">
        <v>73</v>
      </c>
      <c r="G60" s="57">
        <v>95</v>
      </c>
      <c r="H60" s="7">
        <v>66</v>
      </c>
      <c r="I60" s="7">
        <v>93</v>
      </c>
      <c r="J60" s="7">
        <v>76</v>
      </c>
      <c r="K60" s="7">
        <v>63</v>
      </c>
      <c r="L60" s="56">
        <f>IFERROR(VLOOKUP(B60,Absen!$A$1:$C$501,2,FALSE),"No")</f>
        <v>44914</v>
      </c>
      <c r="M60" s="58">
        <f t="shared" si="0"/>
        <v>5.3000000000000007</v>
      </c>
      <c r="N60" s="57">
        <f t="shared" si="1"/>
        <v>75.75</v>
      </c>
      <c r="O60" s="7" t="str">
        <f>VLOOKUP(N60,Helper!$B$30:$C$35,2,TRUE)</f>
        <v>B</v>
      </c>
      <c r="P60" s="56">
        <f>INDEX(Detail!$A$1:$A$1001,MATCH(B60,Detail!$G$1:$G$1001,0))</f>
        <v>37702</v>
      </c>
      <c r="Q60" s="33" t="str">
        <f>INDEX(Detail!$F$1:$F$1001,MATCH(Main!B60,Detail!$G$1:$G$1001,0))</f>
        <v>Binjai</v>
      </c>
      <c r="R60" s="7">
        <f>INDEX(Detail!$C$1:$C$1001,MATCH(B60,Detail!$G$1:$G$1001,0),1)</f>
        <v>180</v>
      </c>
      <c r="S60" s="7">
        <f>INDEX(Detail!$D$1:$D$1001,MATCH(B60,Detail!$G$1:$G$1001,0),1)</f>
        <v>94</v>
      </c>
      <c r="T60" s="7" t="str">
        <f>INDEX(Detail!$E$1:$E$1001,MATCH(Main!B60,Detail!$G$1:$G$1001,0))</f>
        <v>Gang Merdeka No. 47</v>
      </c>
      <c r="U60" s="7" t="str">
        <f>INDEX(Detail!$B$1:$B$1001,MATCH(B60,Detail!$G$1:$G$1001,0),1)</f>
        <v>A+</v>
      </c>
      <c r="V60" s="7" t="str" cm="1">
        <f t="array" ref="V60">INDEX(Dosen!$B$3:$E$8,MATCH(Main!C60,Dosen!$A$3:$A$8,0),IF(AND(Main!A60&gt;=1,Main!A60&lt;=250),1,IF(AND(Main!A60&gt;=251,Main!A60&lt;=500),2,IF(AND(Main!A60&gt;=501,Main!A60&lt;=750),3,4))))</f>
        <v>Pak Budi</v>
      </c>
      <c r="W60" s="7" t="str">
        <f>_xlfn.XLOOKUP(B60,Detail!$G$1:$G$1001,Detail!$B$1:$B$1001)</f>
        <v>A+</v>
      </c>
    </row>
    <row r="61" spans="1:23" ht="15.75" x14ac:dyDescent="0.25">
      <c r="A61" s="7">
        <v>415</v>
      </c>
      <c r="B61" s="33" t="str">
        <f>CONCATENATE("A",TEXT(Main!A61,"0000"))</f>
        <v>A0415</v>
      </c>
      <c r="C61" s="7" t="s">
        <v>1015</v>
      </c>
      <c r="D61" s="33" t="str">
        <f>VLOOKUP(B61,Detail!$G$1:$H$1001,2,FALSE)</f>
        <v>Martana Rajasa</v>
      </c>
      <c r="E61" s="7">
        <v>64</v>
      </c>
      <c r="F61" s="7">
        <v>44</v>
      </c>
      <c r="G61" s="57">
        <v>33</v>
      </c>
      <c r="H61" s="7">
        <v>68</v>
      </c>
      <c r="I61" s="7">
        <v>79</v>
      </c>
      <c r="J61" s="7">
        <v>54</v>
      </c>
      <c r="K61" s="7">
        <v>98</v>
      </c>
      <c r="L61" s="56">
        <f>IFERROR(VLOOKUP(B61,Absen!$A$1:$C$501,2,FALSE),"No")</f>
        <v>44830</v>
      </c>
      <c r="M61" s="58">
        <f t="shared" si="0"/>
        <v>8.8000000000000007</v>
      </c>
      <c r="N61" s="57">
        <f t="shared" si="1"/>
        <v>58.075000000000003</v>
      </c>
      <c r="O61" s="7" t="str">
        <f>VLOOKUP(N61,Helper!$B$30:$C$35,2,TRUE)</f>
        <v>D</v>
      </c>
      <c r="P61" s="56">
        <f>INDEX(Detail!$A$1:$A$1001,MATCH(B61,Detail!$G$1:$G$1001,0))</f>
        <v>38148</v>
      </c>
      <c r="Q61" s="33" t="str">
        <f>INDEX(Detail!$F$1:$F$1001,MATCH(Main!B61,Detail!$G$1:$G$1001,0))</f>
        <v>Pangkalpinang</v>
      </c>
      <c r="R61" s="7">
        <f>INDEX(Detail!$C$1:$C$1001,MATCH(B61,Detail!$G$1:$G$1001,0),1)</f>
        <v>172</v>
      </c>
      <c r="S61" s="7">
        <f>INDEX(Detail!$D$1:$D$1001,MATCH(B61,Detail!$G$1:$G$1001,0),1)</f>
        <v>71</v>
      </c>
      <c r="T61" s="7" t="str">
        <f>INDEX(Detail!$E$1:$E$1001,MATCH(Main!B61,Detail!$G$1:$G$1001,0))</f>
        <v xml:space="preserve">Jalan Kutai No. 7
</v>
      </c>
      <c r="U61" s="7" t="str">
        <f>INDEX(Detail!$B$1:$B$1001,MATCH(B61,Detail!$G$1:$G$1001,0),1)</f>
        <v>AB-</v>
      </c>
      <c r="V61" s="7" t="str" cm="1">
        <f t="array" ref="V61">INDEX(Dosen!$B$3:$E$8,MATCH(Main!C61,Dosen!$A$3:$A$8,0),IF(AND(Main!A61&gt;=1,Main!A61&lt;=250),1,IF(AND(Main!A61&gt;=251,Main!A61&lt;=500),2,IF(AND(Main!A61&gt;=501,Main!A61&lt;=750),3,4))))</f>
        <v>Pak Budi</v>
      </c>
      <c r="W61" s="7" t="str">
        <f>_xlfn.XLOOKUP(B61,Detail!$G$1:$G$1001,Detail!$B$1:$B$1001)</f>
        <v>AB-</v>
      </c>
    </row>
    <row r="62" spans="1:23" ht="15.75" x14ac:dyDescent="0.25">
      <c r="A62" s="7">
        <v>432</v>
      </c>
      <c r="B62" s="33" t="str">
        <f>CONCATENATE("A",TEXT(Main!A62,"0000"))</f>
        <v>A0432</v>
      </c>
      <c r="C62" s="7" t="s">
        <v>1015</v>
      </c>
      <c r="D62" s="33" t="str">
        <f>VLOOKUP(B62,Detail!$G$1:$H$1001,2,FALSE)</f>
        <v>Ivan Manullang</v>
      </c>
      <c r="E62" s="7">
        <v>85</v>
      </c>
      <c r="F62" s="7">
        <v>66</v>
      </c>
      <c r="G62" s="57">
        <v>46</v>
      </c>
      <c r="H62" s="7">
        <v>51</v>
      </c>
      <c r="I62" s="7">
        <v>92</v>
      </c>
      <c r="J62" s="7">
        <v>99</v>
      </c>
      <c r="K62" s="7">
        <v>100</v>
      </c>
      <c r="L62" s="56">
        <f>IFERROR(VLOOKUP(B62,Absen!$A$1:$C$501,2,FALSE),"No")</f>
        <v>44867</v>
      </c>
      <c r="M62" s="58">
        <f t="shared" si="0"/>
        <v>9</v>
      </c>
      <c r="N62" s="57">
        <f t="shared" si="1"/>
        <v>74.75</v>
      </c>
      <c r="O62" s="7" t="str">
        <f>VLOOKUP(N62,Helper!$B$30:$C$35,2,TRUE)</f>
        <v>B</v>
      </c>
      <c r="P62" s="56">
        <f>INDEX(Detail!$A$1:$A$1001,MATCH(B62,Detail!$G$1:$G$1001,0))</f>
        <v>38017</v>
      </c>
      <c r="Q62" s="33" t="str">
        <f>INDEX(Detail!$F$1:$F$1001,MATCH(Main!B62,Detail!$G$1:$G$1001,0))</f>
        <v>Meulaboh</v>
      </c>
      <c r="R62" s="7">
        <f>INDEX(Detail!$C$1:$C$1001,MATCH(B62,Detail!$G$1:$G$1001,0),1)</f>
        <v>173</v>
      </c>
      <c r="S62" s="7">
        <f>INDEX(Detail!$D$1:$D$1001,MATCH(B62,Detail!$G$1:$G$1001,0),1)</f>
        <v>88</v>
      </c>
      <c r="T62" s="7" t="str">
        <f>INDEX(Detail!$E$1:$E$1001,MATCH(Main!B62,Detail!$G$1:$G$1001,0))</f>
        <v>Gg. BKR No. 46</v>
      </c>
      <c r="U62" s="7" t="str">
        <f>INDEX(Detail!$B$1:$B$1001,MATCH(B62,Detail!$G$1:$G$1001,0),1)</f>
        <v>B-</v>
      </c>
      <c r="V62" s="7" t="str" cm="1">
        <f t="array" ref="V62">INDEX(Dosen!$B$3:$E$8,MATCH(Main!C62,Dosen!$A$3:$A$8,0),IF(AND(Main!A62&gt;=1,Main!A62&lt;=250),1,IF(AND(Main!A62&gt;=251,Main!A62&lt;=500),2,IF(AND(Main!A62&gt;=501,Main!A62&lt;=750),3,4))))</f>
        <v>Pak Budi</v>
      </c>
      <c r="W62" s="7" t="str">
        <f>_xlfn.XLOOKUP(B62,Detail!$G$1:$G$1001,Detail!$B$1:$B$1001)</f>
        <v>B-</v>
      </c>
    </row>
    <row r="63" spans="1:23" ht="15.75" x14ac:dyDescent="0.25">
      <c r="A63" s="7">
        <v>438</v>
      </c>
      <c r="B63" s="33" t="str">
        <f>CONCATENATE("A",TEXT(Main!A63,"0000"))</f>
        <v>A0438</v>
      </c>
      <c r="C63" s="7" t="s">
        <v>1015</v>
      </c>
      <c r="D63" s="33" t="str">
        <f>VLOOKUP(B63,Detail!$G$1:$H$1001,2,FALSE)</f>
        <v>Daniswara Damanik</v>
      </c>
      <c r="E63" s="7">
        <v>95</v>
      </c>
      <c r="F63" s="7">
        <v>60</v>
      </c>
      <c r="G63" s="57">
        <v>91</v>
      </c>
      <c r="H63" s="7">
        <v>53</v>
      </c>
      <c r="I63" s="7">
        <v>94</v>
      </c>
      <c r="J63" s="7">
        <v>76</v>
      </c>
      <c r="K63" s="7">
        <v>86</v>
      </c>
      <c r="L63" s="56">
        <f>IFERROR(VLOOKUP(B63,Absen!$A$1:$C$501,2,FALSE),"No")</f>
        <v>44797</v>
      </c>
      <c r="M63" s="58">
        <f t="shared" si="0"/>
        <v>7.6000000000000005</v>
      </c>
      <c r="N63" s="57">
        <f t="shared" si="1"/>
        <v>78.75</v>
      </c>
      <c r="O63" s="7" t="str">
        <f>VLOOKUP(N63,Helper!$B$30:$C$35,2,TRUE)</f>
        <v>B</v>
      </c>
      <c r="P63" s="56">
        <f>INDEX(Detail!$A$1:$A$1001,MATCH(B63,Detail!$G$1:$G$1001,0))</f>
        <v>37024</v>
      </c>
      <c r="Q63" s="33" t="str">
        <f>INDEX(Detail!$F$1:$F$1001,MATCH(Main!B63,Detail!$G$1:$G$1001,0))</f>
        <v>Banjarmasin</v>
      </c>
      <c r="R63" s="7">
        <f>INDEX(Detail!$C$1:$C$1001,MATCH(B63,Detail!$G$1:$G$1001,0),1)</f>
        <v>163</v>
      </c>
      <c r="S63" s="7">
        <f>INDEX(Detail!$D$1:$D$1001,MATCH(B63,Detail!$G$1:$G$1001,0),1)</f>
        <v>53</v>
      </c>
      <c r="T63" s="7" t="str">
        <f>INDEX(Detail!$E$1:$E$1001,MATCH(Main!B63,Detail!$G$1:$G$1001,0))</f>
        <v>Gg. Soekarno Hatta No. 12</v>
      </c>
      <c r="U63" s="7" t="str">
        <f>INDEX(Detail!$B$1:$B$1001,MATCH(B63,Detail!$G$1:$G$1001,0),1)</f>
        <v>AB-</v>
      </c>
      <c r="V63" s="7" t="str" cm="1">
        <f t="array" ref="V63">INDEX(Dosen!$B$3:$E$8,MATCH(Main!C63,Dosen!$A$3:$A$8,0),IF(AND(Main!A63&gt;=1,Main!A63&lt;=250),1,IF(AND(Main!A63&gt;=251,Main!A63&lt;=500),2,IF(AND(Main!A63&gt;=501,Main!A63&lt;=750),3,4))))</f>
        <v>Pak Budi</v>
      </c>
      <c r="W63" s="7" t="str">
        <f>_xlfn.XLOOKUP(B63,Detail!$G$1:$G$1001,Detail!$B$1:$B$1001)</f>
        <v>AB-</v>
      </c>
    </row>
    <row r="64" spans="1:23" ht="15.75" x14ac:dyDescent="0.25">
      <c r="A64" s="7">
        <v>470</v>
      </c>
      <c r="B64" s="33" t="str">
        <f>CONCATENATE("A",TEXT(Main!A64,"0000"))</f>
        <v>A0470</v>
      </c>
      <c r="C64" s="7" t="s">
        <v>1015</v>
      </c>
      <c r="D64" s="33" t="str">
        <f>VLOOKUP(B64,Detail!$G$1:$H$1001,2,FALSE)</f>
        <v>Lantar Haryanti</v>
      </c>
      <c r="E64" s="7">
        <v>84</v>
      </c>
      <c r="F64" s="7">
        <v>61</v>
      </c>
      <c r="G64" s="57">
        <v>59</v>
      </c>
      <c r="H64" s="7">
        <v>56</v>
      </c>
      <c r="I64" s="7">
        <v>82</v>
      </c>
      <c r="J64" s="7">
        <v>64</v>
      </c>
      <c r="K64" s="7">
        <v>84</v>
      </c>
      <c r="L64" s="56" t="str">
        <f>IFERROR(VLOOKUP(B64,Absen!$A$1:$C$501,2,FALSE),"No")</f>
        <v>No</v>
      </c>
      <c r="M64" s="58">
        <f t="shared" si="0"/>
        <v>8.4</v>
      </c>
      <c r="N64" s="57">
        <f t="shared" si="1"/>
        <v>68.375</v>
      </c>
      <c r="O64" s="7" t="str">
        <f>VLOOKUP(N64,Helper!$B$30:$C$35,2,TRUE)</f>
        <v>C</v>
      </c>
      <c r="P64" s="56">
        <f>INDEX(Detail!$A$1:$A$1001,MATCH(B64,Detail!$G$1:$G$1001,0))</f>
        <v>38049</v>
      </c>
      <c r="Q64" s="33" t="str">
        <f>INDEX(Detail!$F$1:$F$1001,MATCH(Main!B64,Detail!$G$1:$G$1001,0))</f>
        <v>Yogyakarta</v>
      </c>
      <c r="R64" s="7">
        <f>INDEX(Detail!$C$1:$C$1001,MATCH(B64,Detail!$G$1:$G$1001,0),1)</f>
        <v>171</v>
      </c>
      <c r="S64" s="7">
        <f>INDEX(Detail!$D$1:$D$1001,MATCH(B64,Detail!$G$1:$G$1001,0),1)</f>
        <v>53</v>
      </c>
      <c r="T64" s="7" t="str">
        <f>INDEX(Detail!$E$1:$E$1001,MATCH(Main!B64,Detail!$G$1:$G$1001,0))</f>
        <v xml:space="preserve">Gang Ahmad Yani No. 0
</v>
      </c>
      <c r="U64" s="7" t="str">
        <f>INDEX(Detail!$B$1:$B$1001,MATCH(B64,Detail!$G$1:$G$1001,0),1)</f>
        <v>O+</v>
      </c>
      <c r="V64" s="7" t="str" cm="1">
        <f t="array" ref="V64">INDEX(Dosen!$B$3:$E$8,MATCH(Main!C64,Dosen!$A$3:$A$8,0),IF(AND(Main!A64&gt;=1,Main!A64&lt;=250),1,IF(AND(Main!A64&gt;=251,Main!A64&lt;=500),2,IF(AND(Main!A64&gt;=501,Main!A64&lt;=750),3,4))))</f>
        <v>Pak Budi</v>
      </c>
      <c r="W64" s="7" t="str">
        <f>_xlfn.XLOOKUP(B64,Detail!$G$1:$G$1001,Detail!$B$1:$B$1001)</f>
        <v>O+</v>
      </c>
    </row>
    <row r="65" spans="1:23" ht="15.75" x14ac:dyDescent="0.25">
      <c r="A65" s="7">
        <v>475</v>
      </c>
      <c r="B65" s="33" t="str">
        <f>CONCATENATE("A",TEXT(Main!A65,"0000"))</f>
        <v>A0475</v>
      </c>
      <c r="C65" s="7" t="s">
        <v>1015</v>
      </c>
      <c r="D65" s="33" t="str">
        <f>VLOOKUP(B65,Detail!$G$1:$H$1001,2,FALSE)</f>
        <v>Mahfud Melani</v>
      </c>
      <c r="E65" s="7">
        <v>68</v>
      </c>
      <c r="F65" s="7">
        <v>67</v>
      </c>
      <c r="G65" s="57">
        <v>81</v>
      </c>
      <c r="H65" s="7">
        <v>70</v>
      </c>
      <c r="I65" s="7">
        <v>91</v>
      </c>
      <c r="J65" s="7">
        <v>40</v>
      </c>
      <c r="K65" s="7">
        <v>70</v>
      </c>
      <c r="L65" s="56">
        <f>IFERROR(VLOOKUP(B65,Absen!$A$1:$C$501,2,FALSE),"No")</f>
        <v>44870</v>
      </c>
      <c r="M65" s="58">
        <f t="shared" si="0"/>
        <v>6</v>
      </c>
      <c r="N65" s="57">
        <f t="shared" si="1"/>
        <v>67.2</v>
      </c>
      <c r="O65" s="7" t="str">
        <f>VLOOKUP(N65,Helper!$B$30:$C$35,2,TRUE)</f>
        <v>C</v>
      </c>
      <c r="P65" s="56">
        <f>INDEX(Detail!$A$1:$A$1001,MATCH(B65,Detail!$G$1:$G$1001,0))</f>
        <v>37772</v>
      </c>
      <c r="Q65" s="33" t="str">
        <f>INDEX(Detail!$F$1:$F$1001,MATCH(Main!B65,Detail!$G$1:$G$1001,0))</f>
        <v>Depok</v>
      </c>
      <c r="R65" s="7">
        <f>INDEX(Detail!$C$1:$C$1001,MATCH(B65,Detail!$G$1:$G$1001,0),1)</f>
        <v>164</v>
      </c>
      <c r="S65" s="7">
        <f>INDEX(Detail!$D$1:$D$1001,MATCH(B65,Detail!$G$1:$G$1001,0),1)</f>
        <v>47</v>
      </c>
      <c r="T65" s="7" t="str">
        <f>INDEX(Detail!$E$1:$E$1001,MATCH(Main!B65,Detail!$G$1:$G$1001,0))</f>
        <v xml:space="preserve">Gg. KH Amin Jasuta No. 8
</v>
      </c>
      <c r="U65" s="7" t="str">
        <f>INDEX(Detail!$B$1:$B$1001,MATCH(B65,Detail!$G$1:$G$1001,0),1)</f>
        <v>A-</v>
      </c>
      <c r="V65" s="7" t="str" cm="1">
        <f t="array" ref="V65">INDEX(Dosen!$B$3:$E$8,MATCH(Main!C65,Dosen!$A$3:$A$8,0),IF(AND(Main!A65&gt;=1,Main!A65&lt;=250),1,IF(AND(Main!A65&gt;=251,Main!A65&lt;=500),2,IF(AND(Main!A65&gt;=501,Main!A65&lt;=750),3,4))))</f>
        <v>Pak Budi</v>
      </c>
      <c r="W65" s="7" t="str">
        <f>_xlfn.XLOOKUP(B65,Detail!$G$1:$G$1001,Detail!$B$1:$B$1001)</f>
        <v>A-</v>
      </c>
    </row>
    <row r="66" spans="1:23" ht="15.75" x14ac:dyDescent="0.25">
      <c r="A66" s="7">
        <v>482</v>
      </c>
      <c r="B66" s="33" t="str">
        <f>CONCATENATE("A",TEXT(Main!A66,"0000"))</f>
        <v>A0482</v>
      </c>
      <c r="C66" s="7" t="s">
        <v>1015</v>
      </c>
      <c r="D66" s="33" t="str">
        <f>VLOOKUP(B66,Detail!$G$1:$H$1001,2,FALSE)</f>
        <v>Harto Tarihoran</v>
      </c>
      <c r="E66" s="7">
        <v>76</v>
      </c>
      <c r="F66" s="7">
        <v>51</v>
      </c>
      <c r="G66" s="57">
        <v>54</v>
      </c>
      <c r="H66" s="7">
        <v>69</v>
      </c>
      <c r="I66" s="7">
        <v>67</v>
      </c>
      <c r="J66" s="7">
        <v>70</v>
      </c>
      <c r="K66" s="7">
        <v>61</v>
      </c>
      <c r="L66" s="56" t="str">
        <f>IFERROR(VLOOKUP(B66,Absen!$A$1:$C$501,2,FALSE),"No")</f>
        <v>No</v>
      </c>
      <c r="M66" s="58">
        <f t="shared" ref="M66:M129" si="2">IF(L66="no",K66,K66-10)*10%</f>
        <v>6.1000000000000005</v>
      </c>
      <c r="N66" s="57">
        <f t="shared" ref="N66:N129" si="3">SUM(E66*12.5%,F66*12.5%,H66*12.5%,I66*12.5%,G66*20%,J66*20%,M66)</f>
        <v>63.774999999999999</v>
      </c>
      <c r="O66" s="7" t="str">
        <f>VLOOKUP(N66,Helper!$B$30:$C$35,2,TRUE)</f>
        <v>C</v>
      </c>
      <c r="P66" s="56">
        <f>INDEX(Detail!$A$1:$A$1001,MATCH(B66,Detail!$G$1:$G$1001,0))</f>
        <v>38450</v>
      </c>
      <c r="Q66" s="33" t="str">
        <f>INDEX(Detail!$F$1:$F$1001,MATCH(Main!B66,Detail!$G$1:$G$1001,0))</f>
        <v>Blitar</v>
      </c>
      <c r="R66" s="7">
        <f>INDEX(Detail!$C$1:$C$1001,MATCH(B66,Detail!$G$1:$G$1001,0),1)</f>
        <v>177</v>
      </c>
      <c r="S66" s="7">
        <f>INDEX(Detail!$D$1:$D$1001,MATCH(B66,Detail!$G$1:$G$1001,0),1)</f>
        <v>76</v>
      </c>
      <c r="T66" s="7" t="str">
        <f>INDEX(Detail!$E$1:$E$1001,MATCH(Main!B66,Detail!$G$1:$G$1001,0))</f>
        <v xml:space="preserve">Jalan K.H. Wahid Hasyim No. 4
</v>
      </c>
      <c r="U66" s="7" t="str">
        <f>INDEX(Detail!$B$1:$B$1001,MATCH(B66,Detail!$G$1:$G$1001,0),1)</f>
        <v>AB-</v>
      </c>
      <c r="V66" s="7" t="str" cm="1">
        <f t="array" ref="V66">INDEX(Dosen!$B$3:$E$8,MATCH(Main!C66,Dosen!$A$3:$A$8,0),IF(AND(Main!A66&gt;=1,Main!A66&lt;=250),1,IF(AND(Main!A66&gt;=251,Main!A66&lt;=500),2,IF(AND(Main!A66&gt;=501,Main!A66&lt;=750),3,4))))</f>
        <v>Pak Budi</v>
      </c>
      <c r="W66" s="7" t="str">
        <f>_xlfn.XLOOKUP(B66,Detail!$G$1:$G$1001,Detail!$B$1:$B$1001)</f>
        <v>AB-</v>
      </c>
    </row>
    <row r="67" spans="1:23" ht="15.75" x14ac:dyDescent="0.25">
      <c r="A67" s="7">
        <v>485</v>
      </c>
      <c r="B67" s="33" t="str">
        <f>CONCATENATE("A",TEXT(Main!A67,"0000"))</f>
        <v>A0485</v>
      </c>
      <c r="C67" s="7" t="s">
        <v>1015</v>
      </c>
      <c r="D67" s="33" t="str">
        <f>VLOOKUP(B67,Detail!$G$1:$H$1001,2,FALSE)</f>
        <v>Dina Marbun</v>
      </c>
      <c r="E67" s="7">
        <v>58</v>
      </c>
      <c r="F67" s="7">
        <v>57</v>
      </c>
      <c r="G67" s="57">
        <v>49</v>
      </c>
      <c r="H67" s="7">
        <v>53</v>
      </c>
      <c r="I67" s="7">
        <v>79</v>
      </c>
      <c r="J67" s="7">
        <v>91</v>
      </c>
      <c r="K67" s="7">
        <v>67</v>
      </c>
      <c r="L67" s="56" t="str">
        <f>IFERROR(VLOOKUP(B67,Absen!$A$1:$C$501,2,FALSE),"No")</f>
        <v>No</v>
      </c>
      <c r="M67" s="58">
        <f t="shared" si="2"/>
        <v>6.7</v>
      </c>
      <c r="N67" s="57">
        <f t="shared" si="3"/>
        <v>65.575000000000003</v>
      </c>
      <c r="O67" s="7" t="str">
        <f>VLOOKUP(N67,Helper!$B$30:$C$35,2,TRUE)</f>
        <v>C</v>
      </c>
      <c r="P67" s="56">
        <f>INDEX(Detail!$A$1:$A$1001,MATCH(B67,Detail!$G$1:$G$1001,0))</f>
        <v>37563</v>
      </c>
      <c r="Q67" s="33" t="str">
        <f>INDEX(Detail!$F$1:$F$1001,MATCH(Main!B67,Detail!$G$1:$G$1001,0))</f>
        <v>Bontang</v>
      </c>
      <c r="R67" s="7">
        <f>INDEX(Detail!$C$1:$C$1001,MATCH(B67,Detail!$G$1:$G$1001,0),1)</f>
        <v>179</v>
      </c>
      <c r="S67" s="7">
        <f>INDEX(Detail!$D$1:$D$1001,MATCH(B67,Detail!$G$1:$G$1001,0),1)</f>
        <v>54</v>
      </c>
      <c r="T67" s="7" t="str">
        <f>INDEX(Detail!$E$1:$E$1001,MATCH(Main!B67,Detail!$G$1:$G$1001,0))</f>
        <v xml:space="preserve">Gg. Kiaracondong No. 6
</v>
      </c>
      <c r="U67" s="7" t="str">
        <f>INDEX(Detail!$B$1:$B$1001,MATCH(B67,Detail!$G$1:$G$1001,0),1)</f>
        <v>AB-</v>
      </c>
      <c r="V67" s="7" t="str" cm="1">
        <f t="array" ref="V67">INDEX(Dosen!$B$3:$E$8,MATCH(Main!C67,Dosen!$A$3:$A$8,0),IF(AND(Main!A67&gt;=1,Main!A67&lt;=250),1,IF(AND(Main!A67&gt;=251,Main!A67&lt;=500),2,IF(AND(Main!A67&gt;=501,Main!A67&lt;=750),3,4))))</f>
        <v>Pak Budi</v>
      </c>
      <c r="W67" s="7" t="str">
        <f>_xlfn.XLOOKUP(B67,Detail!$G$1:$G$1001,Detail!$B$1:$B$1001)</f>
        <v>AB-</v>
      </c>
    </row>
    <row r="68" spans="1:23" ht="15.75" x14ac:dyDescent="0.25">
      <c r="A68" s="7">
        <v>488</v>
      </c>
      <c r="B68" s="33" t="str">
        <f>CONCATENATE("A",TEXT(Main!A68,"0000"))</f>
        <v>A0488</v>
      </c>
      <c r="C68" s="7" t="s">
        <v>1015</v>
      </c>
      <c r="D68" s="33" t="str">
        <f>VLOOKUP(B68,Detail!$G$1:$H$1001,2,FALSE)</f>
        <v>Setya Uyainah</v>
      </c>
      <c r="E68" s="7">
        <v>67</v>
      </c>
      <c r="F68" s="7">
        <v>70</v>
      </c>
      <c r="G68" s="57">
        <v>67</v>
      </c>
      <c r="H68" s="7">
        <v>68</v>
      </c>
      <c r="I68" s="7">
        <v>71</v>
      </c>
      <c r="J68" s="7">
        <v>42</v>
      </c>
      <c r="K68" s="7">
        <v>73</v>
      </c>
      <c r="L68" s="56">
        <f>IFERROR(VLOOKUP(B68,Absen!$A$1:$C$501,2,FALSE),"No")</f>
        <v>44796</v>
      </c>
      <c r="M68" s="58">
        <f t="shared" si="2"/>
        <v>6.3000000000000007</v>
      </c>
      <c r="N68" s="57">
        <f t="shared" si="3"/>
        <v>62.599999999999994</v>
      </c>
      <c r="O68" s="7" t="str">
        <f>VLOOKUP(N68,Helper!$B$30:$C$35,2,TRUE)</f>
        <v>C</v>
      </c>
      <c r="P68" s="56">
        <f>INDEX(Detail!$A$1:$A$1001,MATCH(B68,Detail!$G$1:$G$1001,0))</f>
        <v>37197</v>
      </c>
      <c r="Q68" s="33" t="str">
        <f>INDEX(Detail!$F$1:$F$1001,MATCH(Main!B68,Detail!$G$1:$G$1001,0))</f>
        <v>Kota Administrasi Jakarta Selatan</v>
      </c>
      <c r="R68" s="7">
        <f>INDEX(Detail!$C$1:$C$1001,MATCH(B68,Detail!$G$1:$G$1001,0),1)</f>
        <v>162</v>
      </c>
      <c r="S68" s="7">
        <f>INDEX(Detail!$D$1:$D$1001,MATCH(B68,Detail!$G$1:$G$1001,0),1)</f>
        <v>72</v>
      </c>
      <c r="T68" s="7" t="str">
        <f>INDEX(Detail!$E$1:$E$1001,MATCH(Main!B68,Detail!$G$1:$G$1001,0))</f>
        <v>Jalan Tubagus Ismail No. 73</v>
      </c>
      <c r="U68" s="7" t="str">
        <f>INDEX(Detail!$B$1:$B$1001,MATCH(B68,Detail!$G$1:$G$1001,0),1)</f>
        <v>AB-</v>
      </c>
      <c r="V68" s="7" t="str" cm="1">
        <f t="array" ref="V68">INDEX(Dosen!$B$3:$E$8,MATCH(Main!C68,Dosen!$A$3:$A$8,0),IF(AND(Main!A68&gt;=1,Main!A68&lt;=250),1,IF(AND(Main!A68&gt;=251,Main!A68&lt;=500),2,IF(AND(Main!A68&gt;=501,Main!A68&lt;=750),3,4))))</f>
        <v>Pak Budi</v>
      </c>
      <c r="W68" s="7" t="str">
        <f>_xlfn.XLOOKUP(B68,Detail!$G$1:$G$1001,Detail!$B$1:$B$1001)</f>
        <v>AB-</v>
      </c>
    </row>
    <row r="69" spans="1:23" ht="15.75" x14ac:dyDescent="0.25">
      <c r="A69" s="7">
        <v>493</v>
      </c>
      <c r="B69" s="33" t="str">
        <f>CONCATENATE("A",TEXT(Main!A69,"0000"))</f>
        <v>A0493</v>
      </c>
      <c r="C69" s="7" t="s">
        <v>1015</v>
      </c>
      <c r="D69" s="33" t="str">
        <f>VLOOKUP(B69,Detail!$G$1:$H$1001,2,FALSE)</f>
        <v>Nyana Lestari</v>
      </c>
      <c r="E69" s="7">
        <v>57</v>
      </c>
      <c r="F69" s="7">
        <v>59</v>
      </c>
      <c r="G69" s="57">
        <v>78</v>
      </c>
      <c r="H69" s="7">
        <v>63</v>
      </c>
      <c r="I69" s="7">
        <v>93</v>
      </c>
      <c r="J69" s="7">
        <v>64</v>
      </c>
      <c r="K69" s="7">
        <v>94</v>
      </c>
      <c r="L69" s="56" t="str">
        <f>IFERROR(VLOOKUP(B69,Absen!$A$1:$C$501,2,FALSE),"No")</f>
        <v>No</v>
      </c>
      <c r="M69" s="58">
        <f t="shared" si="2"/>
        <v>9.4</v>
      </c>
      <c r="N69" s="57">
        <f t="shared" si="3"/>
        <v>71.800000000000011</v>
      </c>
      <c r="O69" s="7" t="str">
        <f>VLOOKUP(N69,Helper!$B$30:$C$35,2,TRUE)</f>
        <v>B</v>
      </c>
      <c r="P69" s="56">
        <f>INDEX(Detail!$A$1:$A$1001,MATCH(B69,Detail!$G$1:$G$1001,0))</f>
        <v>37572</v>
      </c>
      <c r="Q69" s="33" t="str">
        <f>INDEX(Detail!$F$1:$F$1001,MATCH(Main!B69,Detail!$G$1:$G$1001,0))</f>
        <v>Balikpapan</v>
      </c>
      <c r="R69" s="7">
        <f>INDEX(Detail!$C$1:$C$1001,MATCH(B69,Detail!$G$1:$G$1001,0),1)</f>
        <v>157</v>
      </c>
      <c r="S69" s="7">
        <f>INDEX(Detail!$D$1:$D$1001,MATCH(B69,Detail!$G$1:$G$1001,0),1)</f>
        <v>93</v>
      </c>
      <c r="T69" s="7" t="str">
        <f>INDEX(Detail!$E$1:$E$1001,MATCH(Main!B69,Detail!$G$1:$G$1001,0))</f>
        <v>Jalan Kendalsari No. 53</v>
      </c>
      <c r="U69" s="7" t="str">
        <f>INDEX(Detail!$B$1:$B$1001,MATCH(B69,Detail!$G$1:$G$1001,0),1)</f>
        <v>O+</v>
      </c>
      <c r="V69" s="7" t="str" cm="1">
        <f t="array" ref="V69">INDEX(Dosen!$B$3:$E$8,MATCH(Main!C69,Dosen!$A$3:$A$8,0),IF(AND(Main!A69&gt;=1,Main!A69&lt;=250),1,IF(AND(Main!A69&gt;=251,Main!A69&lt;=500),2,IF(AND(Main!A69&gt;=501,Main!A69&lt;=750),3,4))))</f>
        <v>Pak Budi</v>
      </c>
      <c r="W69" s="7" t="str">
        <f>_xlfn.XLOOKUP(B69,Detail!$G$1:$G$1001,Detail!$B$1:$B$1001)</f>
        <v>O+</v>
      </c>
    </row>
    <row r="70" spans="1:23" ht="15.75" x14ac:dyDescent="0.25">
      <c r="A70" s="7">
        <v>497</v>
      </c>
      <c r="B70" s="33" t="str">
        <f>CONCATENATE("A",TEXT(Main!A70,"0000"))</f>
        <v>A0497</v>
      </c>
      <c r="C70" s="7" t="s">
        <v>1015</v>
      </c>
      <c r="D70" s="33" t="str">
        <f>VLOOKUP(B70,Detail!$G$1:$H$1001,2,FALSE)</f>
        <v>Ibun Hutapea</v>
      </c>
      <c r="E70" s="7">
        <v>94</v>
      </c>
      <c r="F70" s="7">
        <v>47</v>
      </c>
      <c r="G70" s="57">
        <v>30</v>
      </c>
      <c r="H70" s="7">
        <v>75</v>
      </c>
      <c r="I70" s="7">
        <v>90</v>
      </c>
      <c r="J70" s="7">
        <v>67</v>
      </c>
      <c r="K70" s="7">
        <v>85</v>
      </c>
      <c r="L70" s="56" t="str">
        <f>IFERROR(VLOOKUP(B70,Absen!$A$1:$C$501,2,FALSE),"No")</f>
        <v>No</v>
      </c>
      <c r="M70" s="58">
        <f t="shared" si="2"/>
        <v>8.5</v>
      </c>
      <c r="N70" s="57">
        <f t="shared" si="3"/>
        <v>66.150000000000006</v>
      </c>
      <c r="O70" s="7" t="str">
        <f>VLOOKUP(N70,Helper!$B$30:$C$35,2,TRUE)</f>
        <v>C</v>
      </c>
      <c r="P70" s="56">
        <f>INDEX(Detail!$A$1:$A$1001,MATCH(B70,Detail!$G$1:$G$1001,0))</f>
        <v>37781</v>
      </c>
      <c r="Q70" s="33" t="str">
        <f>INDEX(Detail!$F$1:$F$1001,MATCH(Main!B70,Detail!$G$1:$G$1001,0))</f>
        <v>Bitung</v>
      </c>
      <c r="R70" s="7">
        <f>INDEX(Detail!$C$1:$C$1001,MATCH(B70,Detail!$G$1:$G$1001,0),1)</f>
        <v>165</v>
      </c>
      <c r="S70" s="7">
        <f>INDEX(Detail!$D$1:$D$1001,MATCH(B70,Detail!$G$1:$G$1001,0),1)</f>
        <v>61</v>
      </c>
      <c r="T70" s="7" t="str">
        <f>INDEX(Detail!$E$1:$E$1001,MATCH(Main!B70,Detail!$G$1:$G$1001,0))</f>
        <v>Jl. Medokan Ayu No. 42</v>
      </c>
      <c r="U70" s="7" t="str">
        <f>INDEX(Detail!$B$1:$B$1001,MATCH(B70,Detail!$G$1:$G$1001,0),1)</f>
        <v>A+</v>
      </c>
      <c r="V70" s="7" t="str" cm="1">
        <f t="array" ref="V70">INDEX(Dosen!$B$3:$E$8,MATCH(Main!C70,Dosen!$A$3:$A$8,0),IF(AND(Main!A70&gt;=1,Main!A70&lt;=250),1,IF(AND(Main!A70&gt;=251,Main!A70&lt;=500),2,IF(AND(Main!A70&gt;=501,Main!A70&lt;=750),3,4))))</f>
        <v>Pak Budi</v>
      </c>
      <c r="W70" s="7" t="str">
        <f>_xlfn.XLOOKUP(B70,Detail!$G$1:$G$1001,Detail!$B$1:$B$1001)</f>
        <v>A+</v>
      </c>
    </row>
    <row r="71" spans="1:23" ht="15.75" x14ac:dyDescent="0.25">
      <c r="A71" s="7">
        <v>500</v>
      </c>
      <c r="B71" s="33" t="str">
        <f>CONCATENATE("A",TEXT(Main!A71,"0000"))</f>
        <v>A0500</v>
      </c>
      <c r="C71" s="7" t="s">
        <v>1015</v>
      </c>
      <c r="D71" s="33" t="str">
        <f>VLOOKUP(B71,Detail!$G$1:$H$1001,2,FALSE)</f>
        <v>Arsipatra Prasetya</v>
      </c>
      <c r="E71" s="7">
        <v>79</v>
      </c>
      <c r="F71" s="7">
        <v>47</v>
      </c>
      <c r="G71" s="57">
        <v>47</v>
      </c>
      <c r="H71" s="7">
        <v>68</v>
      </c>
      <c r="I71" s="7">
        <v>73</v>
      </c>
      <c r="J71" s="7">
        <v>43</v>
      </c>
      <c r="K71" s="7">
        <v>64</v>
      </c>
      <c r="L71" s="56" t="str">
        <f>IFERROR(VLOOKUP(B71,Absen!$A$1:$C$501,2,FALSE),"No")</f>
        <v>No</v>
      </c>
      <c r="M71" s="58">
        <f t="shared" si="2"/>
        <v>6.4</v>
      </c>
      <c r="N71" s="57">
        <f t="shared" si="3"/>
        <v>57.774999999999999</v>
      </c>
      <c r="O71" s="7" t="str">
        <f>VLOOKUP(N71,Helper!$B$30:$C$35,2,TRUE)</f>
        <v>D</v>
      </c>
      <c r="P71" s="56">
        <f>INDEX(Detail!$A$1:$A$1001,MATCH(B71,Detail!$G$1:$G$1001,0))</f>
        <v>37102</v>
      </c>
      <c r="Q71" s="33" t="str">
        <f>INDEX(Detail!$F$1:$F$1001,MATCH(Main!B71,Detail!$G$1:$G$1001,0))</f>
        <v>Surabaya</v>
      </c>
      <c r="R71" s="7">
        <f>INDEX(Detail!$C$1:$C$1001,MATCH(B71,Detail!$G$1:$G$1001,0),1)</f>
        <v>176</v>
      </c>
      <c r="S71" s="7">
        <f>INDEX(Detail!$D$1:$D$1001,MATCH(B71,Detail!$G$1:$G$1001,0),1)</f>
        <v>60</v>
      </c>
      <c r="T71" s="7" t="str">
        <f>INDEX(Detail!$E$1:$E$1001,MATCH(Main!B71,Detail!$G$1:$G$1001,0))</f>
        <v>Jl. Wonoayu No. 03</v>
      </c>
      <c r="U71" s="7" t="str">
        <f>INDEX(Detail!$B$1:$B$1001,MATCH(B71,Detail!$G$1:$G$1001,0),1)</f>
        <v>A-</v>
      </c>
      <c r="V71" s="7" t="str" cm="1">
        <f t="array" ref="V71">INDEX(Dosen!$B$3:$E$8,MATCH(Main!C71,Dosen!$A$3:$A$8,0),IF(AND(Main!A71&gt;=1,Main!A71&lt;=250),1,IF(AND(Main!A71&gt;=251,Main!A71&lt;=500),2,IF(AND(Main!A71&gt;=501,Main!A71&lt;=750),3,4))))</f>
        <v>Pak Budi</v>
      </c>
      <c r="W71" s="7" t="str">
        <f>_xlfn.XLOOKUP(B71,Detail!$G$1:$G$1001,Detail!$B$1:$B$1001)</f>
        <v>A-</v>
      </c>
    </row>
    <row r="72" spans="1:23" ht="15.75" x14ac:dyDescent="0.25">
      <c r="A72" s="7">
        <v>503</v>
      </c>
      <c r="B72" s="33" t="str">
        <f>CONCATENATE("A",TEXT(Main!A72,"0000"))</f>
        <v>A0503</v>
      </c>
      <c r="C72" s="7" t="s">
        <v>1015</v>
      </c>
      <c r="D72" s="33" t="str">
        <f>VLOOKUP(B72,Detail!$G$1:$H$1001,2,FALSE)</f>
        <v>Kala Uwais</v>
      </c>
      <c r="E72" s="7">
        <v>59</v>
      </c>
      <c r="F72" s="7">
        <v>45</v>
      </c>
      <c r="G72" s="57">
        <v>85</v>
      </c>
      <c r="H72" s="7">
        <v>50</v>
      </c>
      <c r="I72" s="7">
        <v>73</v>
      </c>
      <c r="J72" s="7">
        <v>77</v>
      </c>
      <c r="K72" s="7">
        <v>71</v>
      </c>
      <c r="L72" s="56" t="str">
        <f>IFERROR(VLOOKUP(B72,Absen!$A$1:$C$501,2,FALSE),"No")</f>
        <v>No</v>
      </c>
      <c r="M72" s="58">
        <f t="shared" si="2"/>
        <v>7.1000000000000005</v>
      </c>
      <c r="N72" s="57">
        <f t="shared" si="3"/>
        <v>67.875</v>
      </c>
      <c r="O72" s="7" t="str">
        <f>VLOOKUP(N72,Helper!$B$30:$C$35,2,TRUE)</f>
        <v>C</v>
      </c>
      <c r="P72" s="56">
        <f>INDEX(Detail!$A$1:$A$1001,MATCH(B72,Detail!$G$1:$G$1001,0))</f>
        <v>37513</v>
      </c>
      <c r="Q72" s="33" t="str">
        <f>INDEX(Detail!$F$1:$F$1001,MATCH(Main!B72,Detail!$G$1:$G$1001,0))</f>
        <v>Banjar</v>
      </c>
      <c r="R72" s="7">
        <f>INDEX(Detail!$C$1:$C$1001,MATCH(B72,Detail!$G$1:$G$1001,0),1)</f>
        <v>153</v>
      </c>
      <c r="S72" s="7">
        <f>INDEX(Detail!$D$1:$D$1001,MATCH(B72,Detail!$G$1:$G$1001,0),1)</f>
        <v>84</v>
      </c>
      <c r="T72" s="7" t="str">
        <f>INDEX(Detail!$E$1:$E$1001,MATCH(Main!B72,Detail!$G$1:$G$1001,0))</f>
        <v xml:space="preserve">Gg. Rungkut Industri No. 2
</v>
      </c>
      <c r="U72" s="7" t="str">
        <f>INDEX(Detail!$B$1:$B$1001,MATCH(B72,Detail!$G$1:$G$1001,0),1)</f>
        <v>AB+</v>
      </c>
      <c r="V72" s="7" t="str" cm="1">
        <f t="array" ref="V72">INDEX(Dosen!$B$3:$E$8,MATCH(Main!C72,Dosen!$A$3:$A$8,0),IF(AND(Main!A72&gt;=1,Main!A72&lt;=250),1,IF(AND(Main!A72&gt;=251,Main!A72&lt;=500),2,IF(AND(Main!A72&gt;=501,Main!A72&lt;=750),3,4))))</f>
        <v>Bu Made</v>
      </c>
      <c r="W72" s="7" t="str">
        <f>_xlfn.XLOOKUP(B72,Detail!$G$1:$G$1001,Detail!$B$1:$B$1001)</f>
        <v>AB+</v>
      </c>
    </row>
    <row r="73" spans="1:23" ht="15.75" x14ac:dyDescent="0.25">
      <c r="A73" s="7">
        <v>525</v>
      </c>
      <c r="B73" s="33" t="str">
        <f>CONCATENATE("A",TEXT(Main!A73,"0000"))</f>
        <v>A0525</v>
      </c>
      <c r="C73" s="7" t="s">
        <v>1015</v>
      </c>
      <c r="D73" s="33" t="str">
        <f>VLOOKUP(B73,Detail!$G$1:$H$1001,2,FALSE)</f>
        <v>Harjo Pertiwi</v>
      </c>
      <c r="E73" s="7">
        <v>87</v>
      </c>
      <c r="F73" s="7">
        <v>58</v>
      </c>
      <c r="G73" s="57">
        <v>61</v>
      </c>
      <c r="H73" s="7">
        <v>54</v>
      </c>
      <c r="I73" s="7">
        <v>57</v>
      </c>
      <c r="J73" s="7">
        <v>67</v>
      </c>
      <c r="K73" s="7">
        <v>78</v>
      </c>
      <c r="L73" s="56" t="str">
        <f>IFERROR(VLOOKUP(B73,Absen!$A$1:$C$501,2,FALSE),"No")</f>
        <v>No</v>
      </c>
      <c r="M73" s="58">
        <f t="shared" si="2"/>
        <v>7.8000000000000007</v>
      </c>
      <c r="N73" s="57">
        <f t="shared" si="3"/>
        <v>65.400000000000006</v>
      </c>
      <c r="O73" s="7" t="str">
        <f>VLOOKUP(N73,Helper!$B$30:$C$35,2,TRUE)</f>
        <v>C</v>
      </c>
      <c r="P73" s="56">
        <f>INDEX(Detail!$A$1:$A$1001,MATCH(B73,Detail!$G$1:$G$1001,0))</f>
        <v>37728</v>
      </c>
      <c r="Q73" s="33" t="str">
        <f>INDEX(Detail!$F$1:$F$1001,MATCH(Main!B73,Detail!$G$1:$G$1001,0))</f>
        <v>Tanjungpinang</v>
      </c>
      <c r="R73" s="7">
        <f>INDEX(Detail!$C$1:$C$1001,MATCH(B73,Detail!$G$1:$G$1001,0),1)</f>
        <v>164</v>
      </c>
      <c r="S73" s="7">
        <f>INDEX(Detail!$D$1:$D$1001,MATCH(B73,Detail!$G$1:$G$1001,0),1)</f>
        <v>92</v>
      </c>
      <c r="T73" s="7" t="str">
        <f>INDEX(Detail!$E$1:$E$1001,MATCH(Main!B73,Detail!$G$1:$G$1001,0))</f>
        <v>Gg. Cempaka No. 15</v>
      </c>
      <c r="U73" s="7" t="str">
        <f>INDEX(Detail!$B$1:$B$1001,MATCH(B73,Detail!$G$1:$G$1001,0),1)</f>
        <v>B-</v>
      </c>
      <c r="V73" s="7" t="str" cm="1">
        <f t="array" ref="V73">INDEX(Dosen!$B$3:$E$8,MATCH(Main!C73,Dosen!$A$3:$A$8,0),IF(AND(Main!A73&gt;=1,Main!A73&lt;=250),1,IF(AND(Main!A73&gt;=251,Main!A73&lt;=500),2,IF(AND(Main!A73&gt;=501,Main!A73&lt;=750),3,4))))</f>
        <v>Bu Made</v>
      </c>
      <c r="W73" s="7" t="str">
        <f>_xlfn.XLOOKUP(B73,Detail!$G$1:$G$1001,Detail!$B$1:$B$1001)</f>
        <v>B-</v>
      </c>
    </row>
    <row r="74" spans="1:23" ht="15.75" x14ac:dyDescent="0.25">
      <c r="A74" s="7">
        <v>526</v>
      </c>
      <c r="B74" s="33" t="str">
        <f>CONCATENATE("A",TEXT(Main!A74,"0000"))</f>
        <v>A0526</v>
      </c>
      <c r="C74" s="7" t="s">
        <v>1015</v>
      </c>
      <c r="D74" s="33" t="str">
        <f>VLOOKUP(B74,Detail!$G$1:$H$1001,2,FALSE)</f>
        <v>Hartana Hassanah</v>
      </c>
      <c r="E74" s="7">
        <v>78</v>
      </c>
      <c r="F74" s="7">
        <v>60</v>
      </c>
      <c r="G74" s="57">
        <v>39</v>
      </c>
      <c r="H74" s="7">
        <v>73</v>
      </c>
      <c r="I74" s="7">
        <v>51</v>
      </c>
      <c r="J74" s="7">
        <v>92</v>
      </c>
      <c r="K74" s="7">
        <v>75</v>
      </c>
      <c r="L74" s="56">
        <f>IFERROR(VLOOKUP(B74,Absen!$A$1:$C$501,2,FALSE),"No")</f>
        <v>44830</v>
      </c>
      <c r="M74" s="58">
        <f t="shared" si="2"/>
        <v>6.5</v>
      </c>
      <c r="N74" s="57">
        <f t="shared" si="3"/>
        <v>65.45</v>
      </c>
      <c r="O74" s="7" t="str">
        <f>VLOOKUP(N74,Helper!$B$30:$C$35,2,TRUE)</f>
        <v>C</v>
      </c>
      <c r="P74" s="56">
        <f>INDEX(Detail!$A$1:$A$1001,MATCH(B74,Detail!$G$1:$G$1001,0))</f>
        <v>37413</v>
      </c>
      <c r="Q74" s="33" t="str">
        <f>INDEX(Detail!$F$1:$F$1001,MATCH(Main!B74,Detail!$G$1:$G$1001,0))</f>
        <v>Pontianak</v>
      </c>
      <c r="R74" s="7">
        <f>INDEX(Detail!$C$1:$C$1001,MATCH(B74,Detail!$G$1:$G$1001,0),1)</f>
        <v>156</v>
      </c>
      <c r="S74" s="7">
        <f>INDEX(Detail!$D$1:$D$1001,MATCH(B74,Detail!$G$1:$G$1001,0),1)</f>
        <v>53</v>
      </c>
      <c r="T74" s="7" t="str">
        <f>INDEX(Detail!$E$1:$E$1001,MATCH(Main!B74,Detail!$G$1:$G$1001,0))</f>
        <v>Gg. Pasir Koja No. 65</v>
      </c>
      <c r="U74" s="7" t="str">
        <f>INDEX(Detail!$B$1:$B$1001,MATCH(B74,Detail!$G$1:$G$1001,0),1)</f>
        <v>B-</v>
      </c>
      <c r="V74" s="7" t="str" cm="1">
        <f t="array" ref="V74">INDEX(Dosen!$B$3:$E$8,MATCH(Main!C74,Dosen!$A$3:$A$8,0),IF(AND(Main!A74&gt;=1,Main!A74&lt;=250),1,IF(AND(Main!A74&gt;=251,Main!A74&lt;=500),2,IF(AND(Main!A74&gt;=501,Main!A74&lt;=750),3,4))))</f>
        <v>Bu Made</v>
      </c>
      <c r="W74" s="7" t="str">
        <f>_xlfn.XLOOKUP(B74,Detail!$G$1:$G$1001,Detail!$B$1:$B$1001)</f>
        <v>B-</v>
      </c>
    </row>
    <row r="75" spans="1:23" ht="15.75" x14ac:dyDescent="0.25">
      <c r="A75" s="7">
        <v>529</v>
      </c>
      <c r="B75" s="33" t="str">
        <f>CONCATENATE("A",TEXT(Main!A75,"0000"))</f>
        <v>A0529</v>
      </c>
      <c r="C75" s="7" t="s">
        <v>1015</v>
      </c>
      <c r="D75" s="33" t="str">
        <f>VLOOKUP(B75,Detail!$G$1:$H$1001,2,FALSE)</f>
        <v>Belinda Widiastuti</v>
      </c>
      <c r="E75" s="7">
        <v>86</v>
      </c>
      <c r="F75" s="7">
        <v>71</v>
      </c>
      <c r="G75" s="57">
        <v>72</v>
      </c>
      <c r="H75" s="7">
        <v>69</v>
      </c>
      <c r="I75" s="7">
        <v>88</v>
      </c>
      <c r="J75" s="7">
        <v>82</v>
      </c>
      <c r="K75" s="7">
        <v>88</v>
      </c>
      <c r="L75" s="56" t="str">
        <f>IFERROR(VLOOKUP(B75,Absen!$A$1:$C$501,2,FALSE),"No")</f>
        <v>No</v>
      </c>
      <c r="M75" s="58">
        <f t="shared" si="2"/>
        <v>8.8000000000000007</v>
      </c>
      <c r="N75" s="57">
        <f t="shared" si="3"/>
        <v>78.849999999999994</v>
      </c>
      <c r="O75" s="7" t="str">
        <f>VLOOKUP(N75,Helper!$B$30:$C$35,2,TRUE)</f>
        <v>B</v>
      </c>
      <c r="P75" s="56">
        <f>INDEX(Detail!$A$1:$A$1001,MATCH(B75,Detail!$G$1:$G$1001,0))</f>
        <v>37407</v>
      </c>
      <c r="Q75" s="33" t="str">
        <f>INDEX(Detail!$F$1:$F$1001,MATCH(Main!B75,Detail!$G$1:$G$1001,0))</f>
        <v>Tasikmalaya</v>
      </c>
      <c r="R75" s="7">
        <f>INDEX(Detail!$C$1:$C$1001,MATCH(B75,Detail!$G$1:$G$1001,0),1)</f>
        <v>175</v>
      </c>
      <c r="S75" s="7">
        <f>INDEX(Detail!$D$1:$D$1001,MATCH(B75,Detail!$G$1:$G$1001,0),1)</f>
        <v>87</v>
      </c>
      <c r="T75" s="7" t="str">
        <f>INDEX(Detail!$E$1:$E$1001,MATCH(Main!B75,Detail!$G$1:$G$1001,0))</f>
        <v>Jalan Raya Setiabudhi No. 92</v>
      </c>
      <c r="U75" s="7" t="str">
        <f>INDEX(Detail!$B$1:$B$1001,MATCH(B75,Detail!$G$1:$G$1001,0),1)</f>
        <v>O-</v>
      </c>
      <c r="V75" s="7" t="str" cm="1">
        <f t="array" ref="V75">INDEX(Dosen!$B$3:$E$8,MATCH(Main!C75,Dosen!$A$3:$A$8,0),IF(AND(Main!A75&gt;=1,Main!A75&lt;=250),1,IF(AND(Main!A75&gt;=251,Main!A75&lt;=500),2,IF(AND(Main!A75&gt;=501,Main!A75&lt;=750),3,4))))</f>
        <v>Bu Made</v>
      </c>
      <c r="W75" s="7" t="str">
        <f>_xlfn.XLOOKUP(B75,Detail!$G$1:$G$1001,Detail!$B$1:$B$1001)</f>
        <v>O-</v>
      </c>
    </row>
    <row r="76" spans="1:23" ht="15.75" x14ac:dyDescent="0.25">
      <c r="A76" s="7">
        <v>534</v>
      </c>
      <c r="B76" s="33" t="str">
        <f>CONCATENATE("A",TEXT(Main!A76,"0000"))</f>
        <v>A0534</v>
      </c>
      <c r="C76" s="7" t="s">
        <v>1015</v>
      </c>
      <c r="D76" s="33" t="str">
        <f>VLOOKUP(B76,Detail!$G$1:$H$1001,2,FALSE)</f>
        <v>Reksa Wulandari</v>
      </c>
      <c r="E76" s="7">
        <v>88</v>
      </c>
      <c r="F76" s="7">
        <v>73</v>
      </c>
      <c r="G76" s="57">
        <v>72</v>
      </c>
      <c r="H76" s="7">
        <v>59</v>
      </c>
      <c r="I76" s="7">
        <v>81</v>
      </c>
      <c r="J76" s="7">
        <v>80</v>
      </c>
      <c r="K76" s="7">
        <v>91</v>
      </c>
      <c r="L76" s="56">
        <f>IFERROR(VLOOKUP(B76,Absen!$A$1:$C$501,2,FALSE),"No")</f>
        <v>44881</v>
      </c>
      <c r="M76" s="58">
        <f t="shared" si="2"/>
        <v>8.1</v>
      </c>
      <c r="N76" s="57">
        <f t="shared" si="3"/>
        <v>76.125</v>
      </c>
      <c r="O76" s="7" t="str">
        <f>VLOOKUP(N76,Helper!$B$30:$C$35,2,TRUE)</f>
        <v>B</v>
      </c>
      <c r="P76" s="56">
        <f>INDEX(Detail!$A$1:$A$1001,MATCH(B76,Detail!$G$1:$G$1001,0))</f>
        <v>37129</v>
      </c>
      <c r="Q76" s="33" t="str">
        <f>INDEX(Detail!$F$1:$F$1001,MATCH(Main!B76,Detail!$G$1:$G$1001,0))</f>
        <v>Ambon</v>
      </c>
      <c r="R76" s="7">
        <f>INDEX(Detail!$C$1:$C$1001,MATCH(B76,Detail!$G$1:$G$1001,0),1)</f>
        <v>173</v>
      </c>
      <c r="S76" s="7">
        <f>INDEX(Detail!$D$1:$D$1001,MATCH(B76,Detail!$G$1:$G$1001,0),1)</f>
        <v>59</v>
      </c>
      <c r="T76" s="7" t="str">
        <f>INDEX(Detail!$E$1:$E$1001,MATCH(Main!B76,Detail!$G$1:$G$1001,0))</f>
        <v>Jalan Jamika No. 77</v>
      </c>
      <c r="U76" s="7" t="str">
        <f>INDEX(Detail!$B$1:$B$1001,MATCH(B76,Detail!$G$1:$G$1001,0),1)</f>
        <v>A+</v>
      </c>
      <c r="V76" s="7" t="str" cm="1">
        <f t="array" ref="V76">INDEX(Dosen!$B$3:$E$8,MATCH(Main!C76,Dosen!$A$3:$A$8,0),IF(AND(Main!A76&gt;=1,Main!A76&lt;=250),1,IF(AND(Main!A76&gt;=251,Main!A76&lt;=500),2,IF(AND(Main!A76&gt;=501,Main!A76&lt;=750),3,4))))</f>
        <v>Bu Made</v>
      </c>
      <c r="W76" s="7" t="str">
        <f>_xlfn.XLOOKUP(B76,Detail!$G$1:$G$1001,Detail!$B$1:$B$1001)</f>
        <v>A+</v>
      </c>
    </row>
    <row r="77" spans="1:23" ht="15.75" x14ac:dyDescent="0.25">
      <c r="A77" s="7">
        <v>536</v>
      </c>
      <c r="B77" s="33" t="str">
        <f>CONCATENATE("A",TEXT(Main!A77,"0000"))</f>
        <v>A0536</v>
      </c>
      <c r="C77" s="7" t="s">
        <v>1015</v>
      </c>
      <c r="D77" s="33" t="str">
        <f>VLOOKUP(B77,Detail!$G$1:$H$1001,2,FALSE)</f>
        <v>Gabriella Pratiwi</v>
      </c>
      <c r="E77" s="7">
        <v>53</v>
      </c>
      <c r="F77" s="7">
        <v>42</v>
      </c>
      <c r="G77" s="57">
        <v>37</v>
      </c>
      <c r="H77" s="7">
        <v>50</v>
      </c>
      <c r="I77" s="7">
        <v>71</v>
      </c>
      <c r="J77" s="7">
        <v>45</v>
      </c>
      <c r="K77" s="7">
        <v>82</v>
      </c>
      <c r="L77" s="56">
        <f>IFERROR(VLOOKUP(B77,Absen!$A$1:$C$501,2,FALSE),"No")</f>
        <v>44807</v>
      </c>
      <c r="M77" s="58">
        <f t="shared" si="2"/>
        <v>7.2</v>
      </c>
      <c r="N77" s="57">
        <f t="shared" si="3"/>
        <v>50.6</v>
      </c>
      <c r="O77" s="7" t="str">
        <f>VLOOKUP(N77,Helper!$B$30:$C$35,2,TRUE)</f>
        <v>D</v>
      </c>
      <c r="P77" s="56">
        <f>INDEX(Detail!$A$1:$A$1001,MATCH(B77,Detail!$G$1:$G$1001,0))</f>
        <v>37515</v>
      </c>
      <c r="Q77" s="33" t="str">
        <f>INDEX(Detail!$F$1:$F$1001,MATCH(Main!B77,Detail!$G$1:$G$1001,0))</f>
        <v>Mataram</v>
      </c>
      <c r="R77" s="7">
        <f>INDEX(Detail!$C$1:$C$1001,MATCH(B77,Detail!$G$1:$G$1001,0),1)</f>
        <v>179</v>
      </c>
      <c r="S77" s="7">
        <f>INDEX(Detail!$D$1:$D$1001,MATCH(B77,Detail!$G$1:$G$1001,0),1)</f>
        <v>95</v>
      </c>
      <c r="T77" s="7" t="str">
        <f>INDEX(Detail!$E$1:$E$1001,MATCH(Main!B77,Detail!$G$1:$G$1001,0))</f>
        <v>Jl. Soekarno Hatta No. 88</v>
      </c>
      <c r="U77" s="7" t="str">
        <f>INDEX(Detail!$B$1:$B$1001,MATCH(B77,Detail!$G$1:$G$1001,0),1)</f>
        <v>AB+</v>
      </c>
      <c r="V77" s="7" t="str" cm="1">
        <f t="array" ref="V77">INDEX(Dosen!$B$3:$E$8,MATCH(Main!C77,Dosen!$A$3:$A$8,0),IF(AND(Main!A77&gt;=1,Main!A77&lt;=250),1,IF(AND(Main!A77&gt;=251,Main!A77&lt;=500),2,IF(AND(Main!A77&gt;=501,Main!A77&lt;=750),3,4))))</f>
        <v>Bu Made</v>
      </c>
      <c r="W77" s="7" t="str">
        <f>_xlfn.XLOOKUP(B77,Detail!$G$1:$G$1001,Detail!$B$1:$B$1001)</f>
        <v>AB+</v>
      </c>
    </row>
    <row r="78" spans="1:23" ht="15.75" x14ac:dyDescent="0.25">
      <c r="A78" s="7">
        <v>561</v>
      </c>
      <c r="B78" s="33" t="str">
        <f>CONCATENATE("A",TEXT(Main!A78,"0000"))</f>
        <v>A0561</v>
      </c>
      <c r="C78" s="7" t="s">
        <v>1015</v>
      </c>
      <c r="D78" s="33" t="str">
        <f>VLOOKUP(B78,Detail!$G$1:$H$1001,2,FALSE)</f>
        <v>Hafshah Utama</v>
      </c>
      <c r="E78" s="7">
        <v>84</v>
      </c>
      <c r="F78" s="7">
        <v>60</v>
      </c>
      <c r="G78" s="57">
        <v>55</v>
      </c>
      <c r="H78" s="7">
        <v>63</v>
      </c>
      <c r="I78" s="7">
        <v>94</v>
      </c>
      <c r="J78" s="7">
        <v>79</v>
      </c>
      <c r="K78" s="7">
        <v>85</v>
      </c>
      <c r="L78" s="56">
        <f>IFERROR(VLOOKUP(B78,Absen!$A$1:$C$501,2,FALSE),"No")</f>
        <v>44832</v>
      </c>
      <c r="M78" s="58">
        <f t="shared" si="2"/>
        <v>7.5</v>
      </c>
      <c r="N78" s="57">
        <f t="shared" si="3"/>
        <v>71.924999999999997</v>
      </c>
      <c r="O78" s="7" t="str">
        <f>VLOOKUP(N78,Helper!$B$30:$C$35,2,TRUE)</f>
        <v>B</v>
      </c>
      <c r="P78" s="56">
        <f>INDEX(Detail!$A$1:$A$1001,MATCH(B78,Detail!$G$1:$G$1001,0))</f>
        <v>37333</v>
      </c>
      <c r="Q78" s="33" t="str">
        <f>INDEX(Detail!$F$1:$F$1001,MATCH(Main!B78,Detail!$G$1:$G$1001,0))</f>
        <v>Palembang</v>
      </c>
      <c r="R78" s="7">
        <f>INDEX(Detail!$C$1:$C$1001,MATCH(B78,Detail!$G$1:$G$1001,0),1)</f>
        <v>180</v>
      </c>
      <c r="S78" s="7">
        <f>INDEX(Detail!$D$1:$D$1001,MATCH(B78,Detail!$G$1:$G$1001,0),1)</f>
        <v>55</v>
      </c>
      <c r="T78" s="7" t="str">
        <f>INDEX(Detail!$E$1:$E$1001,MATCH(Main!B78,Detail!$G$1:$G$1001,0))</f>
        <v>Jl. Rajawali Timur No. 25</v>
      </c>
      <c r="U78" s="7" t="str">
        <f>INDEX(Detail!$B$1:$B$1001,MATCH(B78,Detail!$G$1:$G$1001,0),1)</f>
        <v>AB-</v>
      </c>
      <c r="V78" s="7" t="str" cm="1">
        <f t="array" ref="V78">INDEX(Dosen!$B$3:$E$8,MATCH(Main!C78,Dosen!$A$3:$A$8,0),IF(AND(Main!A78&gt;=1,Main!A78&lt;=250),1,IF(AND(Main!A78&gt;=251,Main!A78&lt;=500),2,IF(AND(Main!A78&gt;=501,Main!A78&lt;=750),3,4))))</f>
        <v>Bu Made</v>
      </c>
      <c r="W78" s="7" t="str">
        <f>_xlfn.XLOOKUP(B78,Detail!$G$1:$G$1001,Detail!$B$1:$B$1001)</f>
        <v>AB-</v>
      </c>
    </row>
    <row r="79" spans="1:23" ht="15.75" x14ac:dyDescent="0.25">
      <c r="A79" s="7">
        <v>563</v>
      </c>
      <c r="B79" s="33" t="str">
        <f>CONCATENATE("A",TEXT(Main!A79,"0000"))</f>
        <v>A0563</v>
      </c>
      <c r="C79" s="7" t="s">
        <v>1015</v>
      </c>
      <c r="D79" s="33" t="str">
        <f>VLOOKUP(B79,Detail!$G$1:$H$1001,2,FALSE)</f>
        <v>Tirta Saputra</v>
      </c>
      <c r="E79" s="7">
        <v>54</v>
      </c>
      <c r="F79" s="7">
        <v>42</v>
      </c>
      <c r="G79" s="57">
        <v>38</v>
      </c>
      <c r="H79" s="7">
        <v>54</v>
      </c>
      <c r="I79" s="7">
        <v>82</v>
      </c>
      <c r="J79" s="7">
        <v>86</v>
      </c>
      <c r="K79" s="7">
        <v>77</v>
      </c>
      <c r="L79" s="56" t="str">
        <f>IFERROR(VLOOKUP(B79,Absen!$A$1:$C$501,2,FALSE),"No")</f>
        <v>No</v>
      </c>
      <c r="M79" s="58">
        <f t="shared" si="2"/>
        <v>7.7</v>
      </c>
      <c r="N79" s="57">
        <f t="shared" si="3"/>
        <v>61.5</v>
      </c>
      <c r="O79" s="7" t="str">
        <f>VLOOKUP(N79,Helper!$B$30:$C$35,2,TRUE)</f>
        <v>C</v>
      </c>
      <c r="P79" s="56">
        <f>INDEX(Detail!$A$1:$A$1001,MATCH(B79,Detail!$G$1:$G$1001,0))</f>
        <v>37463</v>
      </c>
      <c r="Q79" s="33" t="str">
        <f>INDEX(Detail!$F$1:$F$1001,MATCH(Main!B79,Detail!$G$1:$G$1001,0))</f>
        <v>Langsa</v>
      </c>
      <c r="R79" s="7">
        <f>INDEX(Detail!$C$1:$C$1001,MATCH(B79,Detail!$G$1:$G$1001,0),1)</f>
        <v>167</v>
      </c>
      <c r="S79" s="7">
        <f>INDEX(Detail!$D$1:$D$1001,MATCH(B79,Detail!$G$1:$G$1001,0),1)</f>
        <v>78</v>
      </c>
      <c r="T79" s="7" t="str">
        <f>INDEX(Detail!$E$1:$E$1001,MATCH(Main!B79,Detail!$G$1:$G$1001,0))</f>
        <v>Jl. Rumah Sakit No. 75</v>
      </c>
      <c r="U79" s="7" t="str">
        <f>INDEX(Detail!$B$1:$B$1001,MATCH(B79,Detail!$G$1:$G$1001,0),1)</f>
        <v>B+</v>
      </c>
      <c r="V79" s="7" t="str" cm="1">
        <f t="array" ref="V79">INDEX(Dosen!$B$3:$E$8,MATCH(Main!C79,Dosen!$A$3:$A$8,0),IF(AND(Main!A79&gt;=1,Main!A79&lt;=250),1,IF(AND(Main!A79&gt;=251,Main!A79&lt;=500),2,IF(AND(Main!A79&gt;=501,Main!A79&lt;=750),3,4))))</f>
        <v>Bu Made</v>
      </c>
      <c r="W79" s="7" t="str">
        <f>_xlfn.XLOOKUP(B79,Detail!$G$1:$G$1001,Detail!$B$1:$B$1001)</f>
        <v>B+</v>
      </c>
    </row>
    <row r="80" spans="1:23" ht="15.75" x14ac:dyDescent="0.25">
      <c r="A80" s="7">
        <v>566</v>
      </c>
      <c r="B80" s="33" t="str">
        <f>CONCATENATE("A",TEXT(Main!A80,"0000"))</f>
        <v>A0566</v>
      </c>
      <c r="C80" s="7" t="s">
        <v>1015</v>
      </c>
      <c r="D80" s="33" t="str">
        <f>VLOOKUP(B80,Detail!$G$1:$H$1001,2,FALSE)</f>
        <v>Perkasa Handayani</v>
      </c>
      <c r="E80" s="7">
        <v>75</v>
      </c>
      <c r="F80" s="7">
        <v>52</v>
      </c>
      <c r="G80" s="57">
        <v>32</v>
      </c>
      <c r="H80" s="7">
        <v>72</v>
      </c>
      <c r="I80" s="7">
        <v>52</v>
      </c>
      <c r="J80" s="7">
        <v>61</v>
      </c>
      <c r="K80" s="7">
        <v>100</v>
      </c>
      <c r="L80" s="56">
        <f>IFERROR(VLOOKUP(B80,Absen!$A$1:$C$501,2,FALSE),"No")</f>
        <v>44777</v>
      </c>
      <c r="M80" s="58">
        <f t="shared" si="2"/>
        <v>9</v>
      </c>
      <c r="N80" s="57">
        <f t="shared" si="3"/>
        <v>58.975000000000001</v>
      </c>
      <c r="O80" s="7" t="str">
        <f>VLOOKUP(N80,Helper!$B$30:$C$35,2,TRUE)</f>
        <v>D</v>
      </c>
      <c r="P80" s="56">
        <f>INDEX(Detail!$A$1:$A$1001,MATCH(B80,Detail!$G$1:$G$1001,0))</f>
        <v>37924</v>
      </c>
      <c r="Q80" s="33" t="str">
        <f>INDEX(Detail!$F$1:$F$1001,MATCH(Main!B80,Detail!$G$1:$G$1001,0))</f>
        <v>Prabumulih</v>
      </c>
      <c r="R80" s="7">
        <f>INDEX(Detail!$C$1:$C$1001,MATCH(B80,Detail!$G$1:$G$1001,0),1)</f>
        <v>173</v>
      </c>
      <c r="S80" s="7">
        <f>INDEX(Detail!$D$1:$D$1001,MATCH(B80,Detail!$G$1:$G$1001,0),1)</f>
        <v>81</v>
      </c>
      <c r="T80" s="7" t="str">
        <f>INDEX(Detail!$E$1:$E$1001,MATCH(Main!B80,Detail!$G$1:$G$1001,0))</f>
        <v xml:space="preserve">Jalan M.H Thamrin No. 4
</v>
      </c>
      <c r="U80" s="7" t="str">
        <f>INDEX(Detail!$B$1:$B$1001,MATCH(B80,Detail!$G$1:$G$1001,0),1)</f>
        <v>A+</v>
      </c>
      <c r="V80" s="7" t="str" cm="1">
        <f t="array" ref="V80">INDEX(Dosen!$B$3:$E$8,MATCH(Main!C80,Dosen!$A$3:$A$8,0),IF(AND(Main!A80&gt;=1,Main!A80&lt;=250),1,IF(AND(Main!A80&gt;=251,Main!A80&lt;=500),2,IF(AND(Main!A80&gt;=501,Main!A80&lt;=750),3,4))))</f>
        <v>Bu Made</v>
      </c>
      <c r="W80" s="7" t="str">
        <f>_xlfn.XLOOKUP(B80,Detail!$G$1:$G$1001,Detail!$B$1:$B$1001)</f>
        <v>A+</v>
      </c>
    </row>
    <row r="81" spans="1:23" ht="15.75" x14ac:dyDescent="0.25">
      <c r="A81" s="7">
        <v>582</v>
      </c>
      <c r="B81" s="33" t="str">
        <f>CONCATENATE("A",TEXT(Main!A81,"0000"))</f>
        <v>A0582</v>
      </c>
      <c r="C81" s="7" t="s">
        <v>1015</v>
      </c>
      <c r="D81" s="33" t="str">
        <f>VLOOKUP(B81,Detail!$G$1:$H$1001,2,FALSE)</f>
        <v>Lega Nababan</v>
      </c>
      <c r="E81" s="7">
        <v>94</v>
      </c>
      <c r="F81" s="7">
        <v>45</v>
      </c>
      <c r="G81" s="57">
        <v>54</v>
      </c>
      <c r="H81" s="7">
        <v>51</v>
      </c>
      <c r="I81" s="7">
        <v>57</v>
      </c>
      <c r="J81" s="7">
        <v>41</v>
      </c>
      <c r="K81" s="7">
        <v>75</v>
      </c>
      <c r="L81" s="56" t="str">
        <f>IFERROR(VLOOKUP(B81,Absen!$A$1:$C$501,2,FALSE),"No")</f>
        <v>No</v>
      </c>
      <c r="M81" s="58">
        <f t="shared" si="2"/>
        <v>7.5</v>
      </c>
      <c r="N81" s="57">
        <f t="shared" si="3"/>
        <v>57.375</v>
      </c>
      <c r="O81" s="7" t="str">
        <f>VLOOKUP(N81,Helper!$B$30:$C$35,2,TRUE)</f>
        <v>D</v>
      </c>
      <c r="P81" s="56">
        <f>INDEX(Detail!$A$1:$A$1001,MATCH(B81,Detail!$G$1:$G$1001,0))</f>
        <v>38051</v>
      </c>
      <c r="Q81" s="33" t="str">
        <f>INDEX(Detail!$F$1:$F$1001,MATCH(Main!B81,Detail!$G$1:$G$1001,0))</f>
        <v>Depok</v>
      </c>
      <c r="R81" s="7">
        <f>INDEX(Detail!$C$1:$C$1001,MATCH(B81,Detail!$G$1:$G$1001,0),1)</f>
        <v>155</v>
      </c>
      <c r="S81" s="7">
        <f>INDEX(Detail!$D$1:$D$1001,MATCH(B81,Detail!$G$1:$G$1001,0),1)</f>
        <v>59</v>
      </c>
      <c r="T81" s="7" t="str">
        <f>INDEX(Detail!$E$1:$E$1001,MATCH(Main!B81,Detail!$G$1:$G$1001,0))</f>
        <v>Jl. Jend. A. Yani No. 23</v>
      </c>
      <c r="U81" s="7" t="str">
        <f>INDEX(Detail!$B$1:$B$1001,MATCH(B81,Detail!$G$1:$G$1001,0),1)</f>
        <v>O+</v>
      </c>
      <c r="V81" s="7" t="str" cm="1">
        <f t="array" ref="V81">INDEX(Dosen!$B$3:$E$8,MATCH(Main!C81,Dosen!$A$3:$A$8,0),IF(AND(Main!A81&gt;=1,Main!A81&lt;=250),1,IF(AND(Main!A81&gt;=251,Main!A81&lt;=500),2,IF(AND(Main!A81&gt;=501,Main!A81&lt;=750),3,4))))</f>
        <v>Bu Made</v>
      </c>
      <c r="W81" s="7" t="str">
        <f>_xlfn.XLOOKUP(B81,Detail!$G$1:$G$1001,Detail!$B$1:$B$1001)</f>
        <v>O+</v>
      </c>
    </row>
    <row r="82" spans="1:23" ht="15.75" x14ac:dyDescent="0.25">
      <c r="A82" s="7">
        <v>584</v>
      </c>
      <c r="B82" s="33" t="str">
        <f>CONCATENATE("A",TEXT(Main!A82,"0000"))</f>
        <v>A0584</v>
      </c>
      <c r="C82" s="7" t="s">
        <v>1015</v>
      </c>
      <c r="D82" s="33" t="str">
        <f>VLOOKUP(B82,Detail!$G$1:$H$1001,2,FALSE)</f>
        <v>Muni Aryani</v>
      </c>
      <c r="E82" s="7">
        <v>89</v>
      </c>
      <c r="F82" s="7">
        <v>65</v>
      </c>
      <c r="G82" s="57">
        <v>76</v>
      </c>
      <c r="H82" s="7">
        <v>74</v>
      </c>
      <c r="I82" s="7">
        <v>58</v>
      </c>
      <c r="J82" s="7">
        <v>62</v>
      </c>
      <c r="K82" s="7">
        <v>89</v>
      </c>
      <c r="L82" s="56">
        <f>IFERROR(VLOOKUP(B82,Absen!$A$1:$C$501,2,FALSE),"No")</f>
        <v>44848</v>
      </c>
      <c r="M82" s="58">
        <f t="shared" si="2"/>
        <v>7.9</v>
      </c>
      <c r="N82" s="57">
        <f t="shared" si="3"/>
        <v>71.25</v>
      </c>
      <c r="O82" s="7" t="str">
        <f>VLOOKUP(N82,Helper!$B$30:$C$35,2,TRUE)</f>
        <v>B</v>
      </c>
      <c r="P82" s="56">
        <f>INDEX(Detail!$A$1:$A$1001,MATCH(B82,Detail!$G$1:$G$1001,0))</f>
        <v>37710</v>
      </c>
      <c r="Q82" s="33" t="str">
        <f>INDEX(Detail!$F$1:$F$1001,MATCH(Main!B82,Detail!$G$1:$G$1001,0))</f>
        <v>Mojokerto</v>
      </c>
      <c r="R82" s="7">
        <f>INDEX(Detail!$C$1:$C$1001,MATCH(B82,Detail!$G$1:$G$1001,0),1)</f>
        <v>180</v>
      </c>
      <c r="S82" s="7">
        <f>INDEX(Detail!$D$1:$D$1001,MATCH(B82,Detail!$G$1:$G$1001,0),1)</f>
        <v>67</v>
      </c>
      <c r="T82" s="7" t="str">
        <f>INDEX(Detail!$E$1:$E$1001,MATCH(Main!B82,Detail!$G$1:$G$1001,0))</f>
        <v xml:space="preserve">Jalan Erlangga No. 8
</v>
      </c>
      <c r="U82" s="7" t="str">
        <f>INDEX(Detail!$B$1:$B$1001,MATCH(B82,Detail!$G$1:$G$1001,0),1)</f>
        <v>A-</v>
      </c>
      <c r="V82" s="7" t="str" cm="1">
        <f t="array" ref="V82">INDEX(Dosen!$B$3:$E$8,MATCH(Main!C82,Dosen!$A$3:$A$8,0),IF(AND(Main!A82&gt;=1,Main!A82&lt;=250),1,IF(AND(Main!A82&gt;=251,Main!A82&lt;=500),2,IF(AND(Main!A82&gt;=501,Main!A82&lt;=750),3,4))))</f>
        <v>Bu Made</v>
      </c>
      <c r="W82" s="7" t="str">
        <f>_xlfn.XLOOKUP(B82,Detail!$G$1:$G$1001,Detail!$B$1:$B$1001)</f>
        <v>A-</v>
      </c>
    </row>
    <row r="83" spans="1:23" ht="15.75" x14ac:dyDescent="0.25">
      <c r="A83" s="7">
        <v>588</v>
      </c>
      <c r="B83" s="33" t="str">
        <f>CONCATENATE("A",TEXT(Main!A83,"0000"))</f>
        <v>A0588</v>
      </c>
      <c r="C83" s="7" t="s">
        <v>1015</v>
      </c>
      <c r="D83" s="33" t="str">
        <f>VLOOKUP(B83,Detail!$G$1:$H$1001,2,FALSE)</f>
        <v>Yani Santoso</v>
      </c>
      <c r="E83" s="7">
        <v>53</v>
      </c>
      <c r="F83" s="7">
        <v>59</v>
      </c>
      <c r="G83" s="57">
        <v>90</v>
      </c>
      <c r="H83" s="7">
        <v>67</v>
      </c>
      <c r="I83" s="7">
        <v>88</v>
      </c>
      <c r="J83" s="7">
        <v>72</v>
      </c>
      <c r="K83" s="7">
        <v>79</v>
      </c>
      <c r="L83" s="56" t="str">
        <f>IFERROR(VLOOKUP(B83,Absen!$A$1:$C$501,2,FALSE),"No")</f>
        <v>No</v>
      </c>
      <c r="M83" s="58">
        <f t="shared" si="2"/>
        <v>7.9</v>
      </c>
      <c r="N83" s="57">
        <f t="shared" si="3"/>
        <v>73.675000000000011</v>
      </c>
      <c r="O83" s="7" t="str">
        <f>VLOOKUP(N83,Helper!$B$30:$C$35,2,TRUE)</f>
        <v>B</v>
      </c>
      <c r="P83" s="56">
        <f>INDEX(Detail!$A$1:$A$1001,MATCH(B83,Detail!$G$1:$G$1001,0))</f>
        <v>37474</v>
      </c>
      <c r="Q83" s="33" t="str">
        <f>INDEX(Detail!$F$1:$F$1001,MATCH(Main!B83,Detail!$G$1:$G$1001,0))</f>
        <v>Padang</v>
      </c>
      <c r="R83" s="7">
        <f>INDEX(Detail!$C$1:$C$1001,MATCH(B83,Detail!$G$1:$G$1001,0),1)</f>
        <v>172</v>
      </c>
      <c r="S83" s="7">
        <f>INDEX(Detail!$D$1:$D$1001,MATCH(B83,Detail!$G$1:$G$1001,0),1)</f>
        <v>66</v>
      </c>
      <c r="T83" s="7" t="str">
        <f>INDEX(Detail!$E$1:$E$1001,MATCH(Main!B83,Detail!$G$1:$G$1001,0))</f>
        <v xml:space="preserve">Gang Kendalsari No. 7
</v>
      </c>
      <c r="U83" s="7" t="str">
        <f>INDEX(Detail!$B$1:$B$1001,MATCH(B83,Detail!$G$1:$G$1001,0),1)</f>
        <v>A-</v>
      </c>
      <c r="V83" s="7" t="str" cm="1">
        <f t="array" ref="V83">INDEX(Dosen!$B$3:$E$8,MATCH(Main!C83,Dosen!$A$3:$A$8,0),IF(AND(Main!A83&gt;=1,Main!A83&lt;=250),1,IF(AND(Main!A83&gt;=251,Main!A83&lt;=500),2,IF(AND(Main!A83&gt;=501,Main!A83&lt;=750),3,4))))</f>
        <v>Bu Made</v>
      </c>
      <c r="W83" s="7" t="str">
        <f>_xlfn.XLOOKUP(B83,Detail!$G$1:$G$1001,Detail!$B$1:$B$1001)</f>
        <v>A-</v>
      </c>
    </row>
    <row r="84" spans="1:23" ht="15.75" x14ac:dyDescent="0.25">
      <c r="A84" s="7">
        <v>596</v>
      </c>
      <c r="B84" s="33" t="str">
        <f>CONCATENATE("A",TEXT(Main!A84,"0000"))</f>
        <v>A0596</v>
      </c>
      <c r="C84" s="7" t="s">
        <v>1015</v>
      </c>
      <c r="D84" s="33" t="str">
        <f>VLOOKUP(B84,Detail!$G$1:$H$1001,2,FALSE)</f>
        <v>Gada Mardhiyah</v>
      </c>
      <c r="E84" s="7">
        <v>76</v>
      </c>
      <c r="F84" s="7">
        <v>40</v>
      </c>
      <c r="G84" s="57">
        <v>48</v>
      </c>
      <c r="H84" s="7">
        <v>53</v>
      </c>
      <c r="I84" s="7">
        <v>53</v>
      </c>
      <c r="J84" s="7">
        <v>69</v>
      </c>
      <c r="K84" s="7">
        <v>70</v>
      </c>
      <c r="L84" s="56">
        <f>IFERROR(VLOOKUP(B84,Absen!$A$1:$C$501,2,FALSE),"No")</f>
        <v>44753</v>
      </c>
      <c r="M84" s="58">
        <f t="shared" si="2"/>
        <v>6</v>
      </c>
      <c r="N84" s="57">
        <f t="shared" si="3"/>
        <v>57.150000000000006</v>
      </c>
      <c r="O84" s="7" t="str">
        <f>VLOOKUP(N84,Helper!$B$30:$C$35,2,TRUE)</f>
        <v>D</v>
      </c>
      <c r="P84" s="56">
        <f>INDEX(Detail!$A$1:$A$1001,MATCH(B84,Detail!$G$1:$G$1001,0))</f>
        <v>37953</v>
      </c>
      <c r="Q84" s="33" t="str">
        <f>INDEX(Detail!$F$1:$F$1001,MATCH(Main!B84,Detail!$G$1:$G$1001,0))</f>
        <v>Samarinda</v>
      </c>
      <c r="R84" s="7">
        <f>INDEX(Detail!$C$1:$C$1001,MATCH(B84,Detail!$G$1:$G$1001,0),1)</f>
        <v>155</v>
      </c>
      <c r="S84" s="7">
        <f>INDEX(Detail!$D$1:$D$1001,MATCH(B84,Detail!$G$1:$G$1001,0),1)</f>
        <v>77</v>
      </c>
      <c r="T84" s="7" t="str">
        <f>INDEX(Detail!$E$1:$E$1001,MATCH(Main!B84,Detail!$G$1:$G$1001,0))</f>
        <v>Jalan Gardujati No. 82</v>
      </c>
      <c r="U84" s="7" t="str">
        <f>INDEX(Detail!$B$1:$B$1001,MATCH(B84,Detail!$G$1:$G$1001,0),1)</f>
        <v>A+</v>
      </c>
      <c r="V84" s="7" t="str" cm="1">
        <f t="array" ref="V84">INDEX(Dosen!$B$3:$E$8,MATCH(Main!C84,Dosen!$A$3:$A$8,0),IF(AND(Main!A84&gt;=1,Main!A84&lt;=250),1,IF(AND(Main!A84&gt;=251,Main!A84&lt;=500),2,IF(AND(Main!A84&gt;=501,Main!A84&lt;=750),3,4))))</f>
        <v>Bu Made</v>
      </c>
      <c r="W84" s="7" t="str">
        <f>_xlfn.XLOOKUP(B84,Detail!$G$1:$G$1001,Detail!$B$1:$B$1001)</f>
        <v>A+</v>
      </c>
    </row>
    <row r="85" spans="1:23" ht="15.75" x14ac:dyDescent="0.25">
      <c r="A85" s="7">
        <v>601</v>
      </c>
      <c r="B85" s="33" t="str">
        <f>CONCATENATE("A",TEXT(Main!A85,"0000"))</f>
        <v>A0601</v>
      </c>
      <c r="C85" s="7" t="s">
        <v>1015</v>
      </c>
      <c r="D85" s="33" t="str">
        <f>VLOOKUP(B85,Detail!$G$1:$H$1001,2,FALSE)</f>
        <v>Chelsea Adriansyah</v>
      </c>
      <c r="E85" s="7">
        <v>94</v>
      </c>
      <c r="F85" s="7">
        <v>60</v>
      </c>
      <c r="G85" s="57">
        <v>55</v>
      </c>
      <c r="H85" s="7">
        <v>60</v>
      </c>
      <c r="I85" s="7">
        <v>54</v>
      </c>
      <c r="J85" s="7">
        <v>61</v>
      </c>
      <c r="K85" s="7">
        <v>100</v>
      </c>
      <c r="L85" s="56">
        <f>IFERROR(VLOOKUP(B85,Absen!$A$1:$C$501,2,FALSE),"No")</f>
        <v>44820</v>
      </c>
      <c r="M85" s="58">
        <f t="shared" si="2"/>
        <v>9</v>
      </c>
      <c r="N85" s="57">
        <f t="shared" si="3"/>
        <v>65.7</v>
      </c>
      <c r="O85" s="7" t="str">
        <f>VLOOKUP(N85,Helper!$B$30:$C$35,2,TRUE)</f>
        <v>C</v>
      </c>
      <c r="P85" s="56">
        <f>INDEX(Detail!$A$1:$A$1001,MATCH(B85,Detail!$G$1:$G$1001,0))</f>
        <v>38437</v>
      </c>
      <c r="Q85" s="33" t="str">
        <f>INDEX(Detail!$F$1:$F$1001,MATCH(Main!B85,Detail!$G$1:$G$1001,0))</f>
        <v>Blitar</v>
      </c>
      <c r="R85" s="7">
        <f>INDEX(Detail!$C$1:$C$1001,MATCH(B85,Detail!$G$1:$G$1001,0),1)</f>
        <v>156</v>
      </c>
      <c r="S85" s="7">
        <f>INDEX(Detail!$D$1:$D$1001,MATCH(B85,Detail!$G$1:$G$1001,0),1)</f>
        <v>48</v>
      </c>
      <c r="T85" s="7" t="str">
        <f>INDEX(Detail!$E$1:$E$1001,MATCH(Main!B85,Detail!$G$1:$G$1001,0))</f>
        <v xml:space="preserve">Gg. Kutisari Selatan No. 0
</v>
      </c>
      <c r="U85" s="7" t="str">
        <f>INDEX(Detail!$B$1:$B$1001,MATCH(B85,Detail!$G$1:$G$1001,0),1)</f>
        <v>A-</v>
      </c>
      <c r="V85" s="7" t="str" cm="1">
        <f t="array" ref="V85">INDEX(Dosen!$B$3:$E$8,MATCH(Main!C85,Dosen!$A$3:$A$8,0),IF(AND(Main!A85&gt;=1,Main!A85&lt;=250),1,IF(AND(Main!A85&gt;=251,Main!A85&lt;=500),2,IF(AND(Main!A85&gt;=501,Main!A85&lt;=750),3,4))))</f>
        <v>Bu Made</v>
      </c>
      <c r="W85" s="7" t="str">
        <f>_xlfn.XLOOKUP(B85,Detail!$G$1:$G$1001,Detail!$B$1:$B$1001)</f>
        <v>A-</v>
      </c>
    </row>
    <row r="86" spans="1:23" ht="15.75" x14ac:dyDescent="0.25">
      <c r="A86" s="7">
        <v>604</v>
      </c>
      <c r="B86" s="33" t="str">
        <f>CONCATENATE("A",TEXT(Main!A86,"0000"))</f>
        <v>A0604</v>
      </c>
      <c r="C86" s="7" t="s">
        <v>1015</v>
      </c>
      <c r="D86" s="33" t="str">
        <f>VLOOKUP(B86,Detail!$G$1:$H$1001,2,FALSE)</f>
        <v>Diana Zulaika</v>
      </c>
      <c r="E86" s="7">
        <v>93</v>
      </c>
      <c r="F86" s="7">
        <v>57</v>
      </c>
      <c r="G86" s="57">
        <v>61</v>
      </c>
      <c r="H86" s="7">
        <v>68</v>
      </c>
      <c r="I86" s="7">
        <v>75</v>
      </c>
      <c r="J86" s="7">
        <v>42</v>
      </c>
      <c r="K86" s="7">
        <v>100</v>
      </c>
      <c r="L86" s="56">
        <f>IFERROR(VLOOKUP(B86,Absen!$A$1:$C$501,2,FALSE),"No")</f>
        <v>44799</v>
      </c>
      <c r="M86" s="58">
        <f t="shared" si="2"/>
        <v>9</v>
      </c>
      <c r="N86" s="57">
        <f t="shared" si="3"/>
        <v>66.224999999999994</v>
      </c>
      <c r="O86" s="7" t="str">
        <f>VLOOKUP(N86,Helper!$B$30:$C$35,2,TRUE)</f>
        <v>C</v>
      </c>
      <c r="P86" s="56">
        <f>INDEX(Detail!$A$1:$A$1001,MATCH(B86,Detail!$G$1:$G$1001,0))</f>
        <v>37780</v>
      </c>
      <c r="Q86" s="33" t="str">
        <f>INDEX(Detail!$F$1:$F$1001,MATCH(Main!B86,Detail!$G$1:$G$1001,0))</f>
        <v>Lubuklinggau</v>
      </c>
      <c r="R86" s="7">
        <f>INDEX(Detail!$C$1:$C$1001,MATCH(B86,Detail!$G$1:$G$1001,0),1)</f>
        <v>178</v>
      </c>
      <c r="S86" s="7">
        <f>INDEX(Detail!$D$1:$D$1001,MATCH(B86,Detail!$G$1:$G$1001,0),1)</f>
        <v>77</v>
      </c>
      <c r="T86" s="7" t="str">
        <f>INDEX(Detail!$E$1:$E$1001,MATCH(Main!B86,Detail!$G$1:$G$1001,0))</f>
        <v>Gang Otto Iskandardinata No. 69</v>
      </c>
      <c r="U86" s="7" t="str">
        <f>INDEX(Detail!$B$1:$B$1001,MATCH(B86,Detail!$G$1:$G$1001,0),1)</f>
        <v>O-</v>
      </c>
      <c r="V86" s="7" t="str" cm="1">
        <f t="array" ref="V86">INDEX(Dosen!$B$3:$E$8,MATCH(Main!C86,Dosen!$A$3:$A$8,0),IF(AND(Main!A86&gt;=1,Main!A86&lt;=250),1,IF(AND(Main!A86&gt;=251,Main!A86&lt;=500),2,IF(AND(Main!A86&gt;=501,Main!A86&lt;=750),3,4))))</f>
        <v>Bu Made</v>
      </c>
      <c r="W86" s="7" t="str">
        <f>_xlfn.XLOOKUP(B86,Detail!$G$1:$G$1001,Detail!$B$1:$B$1001)</f>
        <v>O-</v>
      </c>
    </row>
    <row r="87" spans="1:23" ht="15.75" x14ac:dyDescent="0.25">
      <c r="A87" s="7">
        <v>607</v>
      </c>
      <c r="B87" s="33" t="str">
        <f>CONCATENATE("A",TEXT(Main!A87,"0000"))</f>
        <v>A0607</v>
      </c>
      <c r="C87" s="7" t="s">
        <v>1015</v>
      </c>
      <c r="D87" s="33" t="str">
        <f>VLOOKUP(B87,Detail!$G$1:$H$1001,2,FALSE)</f>
        <v>Leo Tarihoran</v>
      </c>
      <c r="E87" s="7">
        <v>78</v>
      </c>
      <c r="F87" s="7">
        <v>42</v>
      </c>
      <c r="G87" s="57">
        <v>39</v>
      </c>
      <c r="H87" s="7">
        <v>61</v>
      </c>
      <c r="I87" s="7">
        <v>51</v>
      </c>
      <c r="J87" s="7">
        <v>42</v>
      </c>
      <c r="K87" s="7">
        <v>96</v>
      </c>
      <c r="L87" s="56" t="str">
        <f>IFERROR(VLOOKUP(B87,Absen!$A$1:$C$501,2,FALSE),"No")</f>
        <v>No</v>
      </c>
      <c r="M87" s="58">
        <f t="shared" si="2"/>
        <v>9.6000000000000014</v>
      </c>
      <c r="N87" s="57">
        <f t="shared" si="3"/>
        <v>54.8</v>
      </c>
      <c r="O87" s="7" t="str">
        <f>VLOOKUP(N87,Helper!$B$30:$C$35,2,TRUE)</f>
        <v>D</v>
      </c>
      <c r="P87" s="56">
        <f>INDEX(Detail!$A$1:$A$1001,MATCH(B87,Detail!$G$1:$G$1001,0))</f>
        <v>37112</v>
      </c>
      <c r="Q87" s="33" t="str">
        <f>INDEX(Detail!$F$1:$F$1001,MATCH(Main!B87,Detail!$G$1:$G$1001,0))</f>
        <v>Kupang</v>
      </c>
      <c r="R87" s="7">
        <f>INDEX(Detail!$C$1:$C$1001,MATCH(B87,Detail!$G$1:$G$1001,0),1)</f>
        <v>158</v>
      </c>
      <c r="S87" s="7">
        <f>INDEX(Detail!$D$1:$D$1001,MATCH(B87,Detail!$G$1:$G$1001,0),1)</f>
        <v>50</v>
      </c>
      <c r="T87" s="7" t="str">
        <f>INDEX(Detail!$E$1:$E$1001,MATCH(Main!B87,Detail!$G$1:$G$1001,0))</f>
        <v>Jalan M.H Thamrin No. 28</v>
      </c>
      <c r="U87" s="7" t="str">
        <f>INDEX(Detail!$B$1:$B$1001,MATCH(B87,Detail!$G$1:$G$1001,0),1)</f>
        <v>O+</v>
      </c>
      <c r="V87" s="7" t="str" cm="1">
        <f t="array" ref="V87">INDEX(Dosen!$B$3:$E$8,MATCH(Main!C87,Dosen!$A$3:$A$8,0),IF(AND(Main!A87&gt;=1,Main!A87&lt;=250),1,IF(AND(Main!A87&gt;=251,Main!A87&lt;=500),2,IF(AND(Main!A87&gt;=501,Main!A87&lt;=750),3,4))))</f>
        <v>Bu Made</v>
      </c>
      <c r="W87" s="7" t="str">
        <f>_xlfn.XLOOKUP(B87,Detail!$G$1:$G$1001,Detail!$B$1:$B$1001)</f>
        <v>O+</v>
      </c>
    </row>
    <row r="88" spans="1:23" ht="15.75" x14ac:dyDescent="0.25">
      <c r="A88" s="7">
        <v>609</v>
      </c>
      <c r="B88" s="33" t="str">
        <f>CONCATENATE("A",TEXT(Main!A88,"0000"))</f>
        <v>A0609</v>
      </c>
      <c r="C88" s="7" t="s">
        <v>1015</v>
      </c>
      <c r="D88" s="33" t="str">
        <f>VLOOKUP(B88,Detail!$G$1:$H$1001,2,FALSE)</f>
        <v>Ganda Setiawan</v>
      </c>
      <c r="E88" s="7">
        <v>92</v>
      </c>
      <c r="F88" s="7">
        <v>65</v>
      </c>
      <c r="G88" s="57">
        <v>54</v>
      </c>
      <c r="H88" s="7">
        <v>70</v>
      </c>
      <c r="I88" s="7">
        <v>93</v>
      </c>
      <c r="J88" s="7">
        <v>77</v>
      </c>
      <c r="K88" s="7">
        <v>66</v>
      </c>
      <c r="L88" s="56">
        <f>IFERROR(VLOOKUP(B88,Absen!$A$1:$C$501,2,FALSE),"No")</f>
        <v>44897</v>
      </c>
      <c r="M88" s="58">
        <f t="shared" si="2"/>
        <v>5.6000000000000005</v>
      </c>
      <c r="N88" s="57">
        <f t="shared" si="3"/>
        <v>71.8</v>
      </c>
      <c r="O88" s="7" t="str">
        <f>VLOOKUP(N88,Helper!$B$30:$C$35,2,TRUE)</f>
        <v>B</v>
      </c>
      <c r="P88" s="56">
        <f>INDEX(Detail!$A$1:$A$1001,MATCH(B88,Detail!$G$1:$G$1001,0))</f>
        <v>37283</v>
      </c>
      <c r="Q88" s="33" t="str">
        <f>INDEX(Detail!$F$1:$F$1001,MATCH(Main!B88,Detail!$G$1:$G$1001,0))</f>
        <v>Solok</v>
      </c>
      <c r="R88" s="7">
        <f>INDEX(Detail!$C$1:$C$1001,MATCH(B88,Detail!$G$1:$G$1001,0),1)</f>
        <v>180</v>
      </c>
      <c r="S88" s="7">
        <f>INDEX(Detail!$D$1:$D$1001,MATCH(B88,Detail!$G$1:$G$1001,0),1)</f>
        <v>46</v>
      </c>
      <c r="T88" s="7" t="str">
        <f>INDEX(Detail!$E$1:$E$1001,MATCH(Main!B88,Detail!$G$1:$G$1001,0))</f>
        <v>Jalan Bangka Raya No. 36</v>
      </c>
      <c r="U88" s="7" t="str">
        <f>INDEX(Detail!$B$1:$B$1001,MATCH(B88,Detail!$G$1:$G$1001,0),1)</f>
        <v>A+</v>
      </c>
      <c r="V88" s="7" t="str" cm="1">
        <f t="array" ref="V88">INDEX(Dosen!$B$3:$E$8,MATCH(Main!C88,Dosen!$A$3:$A$8,0),IF(AND(Main!A88&gt;=1,Main!A88&lt;=250),1,IF(AND(Main!A88&gt;=251,Main!A88&lt;=500),2,IF(AND(Main!A88&gt;=501,Main!A88&lt;=750),3,4))))</f>
        <v>Bu Made</v>
      </c>
      <c r="W88" s="7" t="str">
        <f>_xlfn.XLOOKUP(B88,Detail!$G$1:$G$1001,Detail!$B$1:$B$1001)</f>
        <v>A+</v>
      </c>
    </row>
    <row r="89" spans="1:23" ht="15.75" x14ac:dyDescent="0.25">
      <c r="A89" s="7">
        <v>633</v>
      </c>
      <c r="B89" s="33" t="str">
        <f>CONCATENATE("A",TEXT(Main!A89,"0000"))</f>
        <v>A0633</v>
      </c>
      <c r="C89" s="7" t="s">
        <v>1015</v>
      </c>
      <c r="D89" s="33" t="str">
        <f>VLOOKUP(B89,Detail!$G$1:$H$1001,2,FALSE)</f>
        <v>Mursita Palastri</v>
      </c>
      <c r="E89" s="7">
        <v>79</v>
      </c>
      <c r="F89" s="7">
        <v>46</v>
      </c>
      <c r="G89" s="57">
        <v>54</v>
      </c>
      <c r="H89" s="7">
        <v>53</v>
      </c>
      <c r="I89" s="7">
        <v>60</v>
      </c>
      <c r="J89" s="7">
        <v>99</v>
      </c>
      <c r="K89" s="7">
        <v>71</v>
      </c>
      <c r="L89" s="56" t="str">
        <f>IFERROR(VLOOKUP(B89,Absen!$A$1:$C$501,2,FALSE),"No")</f>
        <v>No</v>
      </c>
      <c r="M89" s="58">
        <f t="shared" si="2"/>
        <v>7.1000000000000005</v>
      </c>
      <c r="N89" s="57">
        <f t="shared" si="3"/>
        <v>67.449999999999989</v>
      </c>
      <c r="O89" s="7" t="str">
        <f>VLOOKUP(N89,Helper!$B$30:$C$35,2,TRUE)</f>
        <v>C</v>
      </c>
      <c r="P89" s="56">
        <f>INDEX(Detail!$A$1:$A$1001,MATCH(B89,Detail!$G$1:$G$1001,0))</f>
        <v>37605</v>
      </c>
      <c r="Q89" s="33" t="str">
        <f>INDEX(Detail!$F$1:$F$1001,MATCH(Main!B89,Detail!$G$1:$G$1001,0))</f>
        <v>Probolinggo</v>
      </c>
      <c r="R89" s="7">
        <f>INDEX(Detail!$C$1:$C$1001,MATCH(B89,Detail!$G$1:$G$1001,0),1)</f>
        <v>159</v>
      </c>
      <c r="S89" s="7">
        <f>INDEX(Detail!$D$1:$D$1001,MATCH(B89,Detail!$G$1:$G$1001,0),1)</f>
        <v>88</v>
      </c>
      <c r="T89" s="7" t="str">
        <f>INDEX(Detail!$E$1:$E$1001,MATCH(Main!B89,Detail!$G$1:$G$1001,0))</f>
        <v>Jalan H.J Maemunah No. 82</v>
      </c>
      <c r="U89" s="7" t="str">
        <f>INDEX(Detail!$B$1:$B$1001,MATCH(B89,Detail!$G$1:$G$1001,0),1)</f>
        <v>O+</v>
      </c>
      <c r="V89" s="7" t="str" cm="1">
        <f t="array" ref="V89">INDEX(Dosen!$B$3:$E$8,MATCH(Main!C89,Dosen!$A$3:$A$8,0),IF(AND(Main!A89&gt;=1,Main!A89&lt;=250),1,IF(AND(Main!A89&gt;=251,Main!A89&lt;=500),2,IF(AND(Main!A89&gt;=501,Main!A89&lt;=750),3,4))))</f>
        <v>Bu Made</v>
      </c>
      <c r="W89" s="7" t="str">
        <f>_xlfn.XLOOKUP(B89,Detail!$G$1:$G$1001,Detail!$B$1:$B$1001)</f>
        <v>O+</v>
      </c>
    </row>
    <row r="90" spans="1:23" ht="15.75" x14ac:dyDescent="0.25">
      <c r="A90" s="7">
        <v>638</v>
      </c>
      <c r="B90" s="33" t="str">
        <f>CONCATENATE("A",TEXT(Main!A90,"0000"))</f>
        <v>A0638</v>
      </c>
      <c r="C90" s="7" t="s">
        <v>1015</v>
      </c>
      <c r="D90" s="33" t="str">
        <f>VLOOKUP(B90,Detail!$G$1:$H$1001,2,FALSE)</f>
        <v>Puspa Laksita</v>
      </c>
      <c r="E90" s="7">
        <v>71</v>
      </c>
      <c r="F90" s="7">
        <v>68</v>
      </c>
      <c r="G90" s="57">
        <v>82</v>
      </c>
      <c r="H90" s="7">
        <v>67</v>
      </c>
      <c r="I90" s="7">
        <v>51</v>
      </c>
      <c r="J90" s="7">
        <v>71</v>
      </c>
      <c r="K90" s="7">
        <v>100</v>
      </c>
      <c r="L90" s="56" t="str">
        <f>IFERROR(VLOOKUP(B90,Absen!$A$1:$C$501,2,FALSE),"No")</f>
        <v>No</v>
      </c>
      <c r="M90" s="58">
        <f t="shared" si="2"/>
        <v>10</v>
      </c>
      <c r="N90" s="57">
        <f t="shared" si="3"/>
        <v>72.725000000000009</v>
      </c>
      <c r="O90" s="7" t="str">
        <f>VLOOKUP(N90,Helper!$B$30:$C$35,2,TRUE)</f>
        <v>B</v>
      </c>
      <c r="P90" s="56">
        <f>INDEX(Detail!$A$1:$A$1001,MATCH(B90,Detail!$G$1:$G$1001,0))</f>
        <v>38163</v>
      </c>
      <c r="Q90" s="33" t="str">
        <f>INDEX(Detail!$F$1:$F$1001,MATCH(Main!B90,Detail!$G$1:$G$1001,0))</f>
        <v>Cirebon</v>
      </c>
      <c r="R90" s="7">
        <f>INDEX(Detail!$C$1:$C$1001,MATCH(B90,Detail!$G$1:$G$1001,0),1)</f>
        <v>172</v>
      </c>
      <c r="S90" s="7">
        <f>INDEX(Detail!$D$1:$D$1001,MATCH(B90,Detail!$G$1:$G$1001,0),1)</f>
        <v>54</v>
      </c>
      <c r="T90" s="7" t="str">
        <f>INDEX(Detail!$E$1:$E$1001,MATCH(Main!B90,Detail!$G$1:$G$1001,0))</f>
        <v xml:space="preserve">Jl. Wonoayu No. 1
</v>
      </c>
      <c r="U90" s="7" t="str">
        <f>INDEX(Detail!$B$1:$B$1001,MATCH(B90,Detail!$G$1:$G$1001,0),1)</f>
        <v>B+</v>
      </c>
      <c r="V90" s="7" t="str" cm="1">
        <f t="array" ref="V90">INDEX(Dosen!$B$3:$E$8,MATCH(Main!C90,Dosen!$A$3:$A$8,0),IF(AND(Main!A90&gt;=1,Main!A90&lt;=250),1,IF(AND(Main!A90&gt;=251,Main!A90&lt;=500),2,IF(AND(Main!A90&gt;=501,Main!A90&lt;=750),3,4))))</f>
        <v>Bu Made</v>
      </c>
      <c r="W90" s="7" t="str">
        <f>_xlfn.XLOOKUP(B90,Detail!$G$1:$G$1001,Detail!$B$1:$B$1001)</f>
        <v>B+</v>
      </c>
    </row>
    <row r="91" spans="1:23" ht="15.75" x14ac:dyDescent="0.25">
      <c r="A91" s="7">
        <v>653</v>
      </c>
      <c r="B91" s="33" t="str">
        <f>CONCATENATE("A",TEXT(Main!A91,"0000"))</f>
        <v>A0653</v>
      </c>
      <c r="C91" s="7" t="s">
        <v>1015</v>
      </c>
      <c r="D91" s="33" t="str">
        <f>VLOOKUP(B91,Detail!$G$1:$H$1001,2,FALSE)</f>
        <v>Rafi Halimah</v>
      </c>
      <c r="E91" s="7">
        <v>69</v>
      </c>
      <c r="F91" s="7">
        <v>40</v>
      </c>
      <c r="G91" s="57">
        <v>57</v>
      </c>
      <c r="H91" s="7">
        <v>75</v>
      </c>
      <c r="I91" s="7">
        <v>68</v>
      </c>
      <c r="J91" s="7">
        <v>84</v>
      </c>
      <c r="K91" s="7">
        <v>85</v>
      </c>
      <c r="L91" s="56" t="str">
        <f>IFERROR(VLOOKUP(B91,Absen!$A$1:$C$501,2,FALSE),"No")</f>
        <v>No</v>
      </c>
      <c r="M91" s="58">
        <f t="shared" si="2"/>
        <v>8.5</v>
      </c>
      <c r="N91" s="57">
        <f t="shared" si="3"/>
        <v>68.2</v>
      </c>
      <c r="O91" s="7" t="str">
        <f>VLOOKUP(N91,Helper!$B$30:$C$35,2,TRUE)</f>
        <v>C</v>
      </c>
      <c r="P91" s="56">
        <f>INDEX(Detail!$A$1:$A$1001,MATCH(B91,Detail!$G$1:$G$1001,0))</f>
        <v>37263</v>
      </c>
      <c r="Q91" s="33" t="str">
        <f>INDEX(Detail!$F$1:$F$1001,MATCH(Main!B91,Detail!$G$1:$G$1001,0))</f>
        <v>Purwokerto</v>
      </c>
      <c r="R91" s="7">
        <f>INDEX(Detail!$C$1:$C$1001,MATCH(B91,Detail!$G$1:$G$1001,0),1)</f>
        <v>180</v>
      </c>
      <c r="S91" s="7">
        <f>INDEX(Detail!$D$1:$D$1001,MATCH(B91,Detail!$G$1:$G$1001,0),1)</f>
        <v>89</v>
      </c>
      <c r="T91" s="7" t="str">
        <f>INDEX(Detail!$E$1:$E$1001,MATCH(Main!B91,Detail!$G$1:$G$1001,0))</f>
        <v>Gg. Astana Anyar No. 10</v>
      </c>
      <c r="U91" s="7" t="str">
        <f>INDEX(Detail!$B$1:$B$1001,MATCH(B91,Detail!$G$1:$G$1001,0),1)</f>
        <v>O+</v>
      </c>
      <c r="V91" s="7" t="str" cm="1">
        <f t="array" ref="V91">INDEX(Dosen!$B$3:$E$8,MATCH(Main!C91,Dosen!$A$3:$A$8,0),IF(AND(Main!A91&gt;=1,Main!A91&lt;=250),1,IF(AND(Main!A91&gt;=251,Main!A91&lt;=500),2,IF(AND(Main!A91&gt;=501,Main!A91&lt;=750),3,4))))</f>
        <v>Bu Made</v>
      </c>
      <c r="W91" s="7" t="str">
        <f>_xlfn.XLOOKUP(B91,Detail!$G$1:$G$1001,Detail!$B$1:$B$1001)</f>
        <v>O+</v>
      </c>
    </row>
    <row r="92" spans="1:23" ht="15.75" x14ac:dyDescent="0.25">
      <c r="A92" s="7">
        <v>659</v>
      </c>
      <c r="B92" s="33" t="str">
        <f>CONCATENATE("A",TEXT(Main!A92,"0000"))</f>
        <v>A0659</v>
      </c>
      <c r="C92" s="7" t="s">
        <v>1015</v>
      </c>
      <c r="D92" s="33" t="str">
        <f>VLOOKUP(B92,Detail!$G$1:$H$1001,2,FALSE)</f>
        <v>Jarwadi Lailasari</v>
      </c>
      <c r="E92" s="7">
        <v>67</v>
      </c>
      <c r="F92" s="7">
        <v>51</v>
      </c>
      <c r="G92" s="57">
        <v>75</v>
      </c>
      <c r="H92" s="7">
        <v>56</v>
      </c>
      <c r="I92" s="7">
        <v>82</v>
      </c>
      <c r="J92" s="7">
        <v>70</v>
      </c>
      <c r="K92" s="7">
        <v>100</v>
      </c>
      <c r="L92" s="56" t="str">
        <f>IFERROR(VLOOKUP(B92,Absen!$A$1:$C$501,2,FALSE),"No")</f>
        <v>No</v>
      </c>
      <c r="M92" s="58">
        <f t="shared" si="2"/>
        <v>10</v>
      </c>
      <c r="N92" s="57">
        <f t="shared" si="3"/>
        <v>71</v>
      </c>
      <c r="O92" s="7" t="str">
        <f>VLOOKUP(N92,Helper!$B$30:$C$35,2,TRUE)</f>
        <v>B</v>
      </c>
      <c r="P92" s="56">
        <f>INDEX(Detail!$A$1:$A$1001,MATCH(B92,Detail!$G$1:$G$1001,0))</f>
        <v>38382</v>
      </c>
      <c r="Q92" s="33" t="str">
        <f>INDEX(Detail!$F$1:$F$1001,MATCH(Main!B92,Detail!$G$1:$G$1001,0))</f>
        <v>Banjar</v>
      </c>
      <c r="R92" s="7">
        <f>INDEX(Detail!$C$1:$C$1001,MATCH(B92,Detail!$G$1:$G$1001,0),1)</f>
        <v>174</v>
      </c>
      <c r="S92" s="7">
        <f>INDEX(Detail!$D$1:$D$1001,MATCH(B92,Detail!$G$1:$G$1001,0),1)</f>
        <v>72</v>
      </c>
      <c r="T92" s="7" t="str">
        <f>INDEX(Detail!$E$1:$E$1001,MATCH(Main!B92,Detail!$G$1:$G$1001,0))</f>
        <v>Gang H.J Maemunah No. 43</v>
      </c>
      <c r="U92" s="7" t="str">
        <f>INDEX(Detail!$B$1:$B$1001,MATCH(B92,Detail!$G$1:$G$1001,0),1)</f>
        <v>AB+</v>
      </c>
      <c r="V92" s="7" t="str" cm="1">
        <f t="array" ref="V92">INDEX(Dosen!$B$3:$E$8,MATCH(Main!C92,Dosen!$A$3:$A$8,0),IF(AND(Main!A92&gt;=1,Main!A92&lt;=250),1,IF(AND(Main!A92&gt;=251,Main!A92&lt;=500),2,IF(AND(Main!A92&gt;=501,Main!A92&lt;=750),3,4))))</f>
        <v>Bu Made</v>
      </c>
      <c r="W92" s="7" t="str">
        <f>_xlfn.XLOOKUP(B92,Detail!$G$1:$G$1001,Detail!$B$1:$B$1001)</f>
        <v>AB+</v>
      </c>
    </row>
    <row r="93" spans="1:23" ht="15.75" x14ac:dyDescent="0.25">
      <c r="A93" s="7">
        <v>664</v>
      </c>
      <c r="B93" s="33" t="str">
        <f>CONCATENATE("A",TEXT(Main!A93,"0000"))</f>
        <v>A0664</v>
      </c>
      <c r="C93" s="7" t="s">
        <v>1015</v>
      </c>
      <c r="D93" s="33" t="str">
        <f>VLOOKUP(B93,Detail!$G$1:$H$1001,2,FALSE)</f>
        <v>Maryadi Nainggolan</v>
      </c>
      <c r="E93" s="7">
        <v>64</v>
      </c>
      <c r="F93" s="7">
        <v>65</v>
      </c>
      <c r="G93" s="57">
        <v>48</v>
      </c>
      <c r="H93" s="7">
        <v>60</v>
      </c>
      <c r="I93" s="7">
        <v>56</v>
      </c>
      <c r="J93" s="7">
        <v>96</v>
      </c>
      <c r="K93" s="7">
        <v>65</v>
      </c>
      <c r="L93" s="56">
        <f>IFERROR(VLOOKUP(B93,Absen!$A$1:$C$501,2,FALSE),"No")</f>
        <v>44795</v>
      </c>
      <c r="M93" s="58">
        <f t="shared" si="2"/>
        <v>5.5</v>
      </c>
      <c r="N93" s="57">
        <f t="shared" si="3"/>
        <v>64.925000000000011</v>
      </c>
      <c r="O93" s="7" t="str">
        <f>VLOOKUP(N93,Helper!$B$30:$C$35,2,TRUE)</f>
        <v>C</v>
      </c>
      <c r="P93" s="56">
        <f>INDEX(Detail!$A$1:$A$1001,MATCH(B93,Detail!$G$1:$G$1001,0))</f>
        <v>37878</v>
      </c>
      <c r="Q93" s="33" t="str">
        <f>INDEX(Detail!$F$1:$F$1001,MATCH(Main!B93,Detail!$G$1:$G$1001,0))</f>
        <v>Kotamobagu</v>
      </c>
      <c r="R93" s="7">
        <f>INDEX(Detail!$C$1:$C$1001,MATCH(B93,Detail!$G$1:$G$1001,0),1)</f>
        <v>179</v>
      </c>
      <c r="S93" s="7">
        <f>INDEX(Detail!$D$1:$D$1001,MATCH(B93,Detail!$G$1:$G$1001,0),1)</f>
        <v>55</v>
      </c>
      <c r="T93" s="7" t="str">
        <f>INDEX(Detail!$E$1:$E$1001,MATCH(Main!B93,Detail!$G$1:$G$1001,0))</f>
        <v xml:space="preserve">Jl. Rajawali Timur No. 7
</v>
      </c>
      <c r="U93" s="7" t="str">
        <f>INDEX(Detail!$B$1:$B$1001,MATCH(B93,Detail!$G$1:$G$1001,0),1)</f>
        <v>B-</v>
      </c>
      <c r="V93" s="7" t="str" cm="1">
        <f t="array" ref="V93">INDEX(Dosen!$B$3:$E$8,MATCH(Main!C93,Dosen!$A$3:$A$8,0),IF(AND(Main!A93&gt;=1,Main!A93&lt;=250),1,IF(AND(Main!A93&gt;=251,Main!A93&lt;=500),2,IF(AND(Main!A93&gt;=501,Main!A93&lt;=750),3,4))))</f>
        <v>Bu Made</v>
      </c>
      <c r="W93" s="7" t="str">
        <f>_xlfn.XLOOKUP(B93,Detail!$G$1:$G$1001,Detail!$B$1:$B$1001)</f>
        <v>B-</v>
      </c>
    </row>
    <row r="94" spans="1:23" ht="15.75" x14ac:dyDescent="0.25">
      <c r="A94" s="7">
        <v>671</v>
      </c>
      <c r="B94" s="33" t="str">
        <f>CONCATENATE("A",TEXT(Main!A94,"0000"))</f>
        <v>A0671</v>
      </c>
      <c r="C94" s="7" t="s">
        <v>1015</v>
      </c>
      <c r="D94" s="33" t="str">
        <f>VLOOKUP(B94,Detail!$G$1:$H$1001,2,FALSE)</f>
        <v>Hartana Dongoran</v>
      </c>
      <c r="E94" s="7">
        <v>55</v>
      </c>
      <c r="F94" s="7">
        <v>49</v>
      </c>
      <c r="G94" s="57">
        <v>75</v>
      </c>
      <c r="H94" s="7">
        <v>70</v>
      </c>
      <c r="I94" s="7">
        <v>77</v>
      </c>
      <c r="J94" s="7">
        <v>85</v>
      </c>
      <c r="K94" s="7">
        <v>97</v>
      </c>
      <c r="L94" s="56" t="str">
        <f>IFERROR(VLOOKUP(B94,Absen!$A$1:$C$501,2,FALSE),"No")</f>
        <v>No</v>
      </c>
      <c r="M94" s="58">
        <f t="shared" si="2"/>
        <v>9.7000000000000011</v>
      </c>
      <c r="N94" s="57">
        <f t="shared" si="3"/>
        <v>73.075000000000003</v>
      </c>
      <c r="O94" s="7" t="str">
        <f>VLOOKUP(N94,Helper!$B$30:$C$35,2,TRUE)</f>
        <v>B</v>
      </c>
      <c r="P94" s="56">
        <f>INDEX(Detail!$A$1:$A$1001,MATCH(B94,Detail!$G$1:$G$1001,0))</f>
        <v>37082</v>
      </c>
      <c r="Q94" s="33" t="str">
        <f>INDEX(Detail!$F$1:$F$1001,MATCH(Main!B94,Detail!$G$1:$G$1001,0))</f>
        <v>Palembang</v>
      </c>
      <c r="R94" s="7">
        <f>INDEX(Detail!$C$1:$C$1001,MATCH(B94,Detail!$G$1:$G$1001,0),1)</f>
        <v>168</v>
      </c>
      <c r="S94" s="7">
        <f>INDEX(Detail!$D$1:$D$1001,MATCH(B94,Detail!$G$1:$G$1001,0),1)</f>
        <v>64</v>
      </c>
      <c r="T94" s="7" t="str">
        <f>INDEX(Detail!$E$1:$E$1001,MATCH(Main!B94,Detail!$G$1:$G$1001,0))</f>
        <v xml:space="preserve">Gg. Joyoboyo No. 5
</v>
      </c>
      <c r="U94" s="7" t="str">
        <f>INDEX(Detail!$B$1:$B$1001,MATCH(B94,Detail!$G$1:$G$1001,0),1)</f>
        <v>A-</v>
      </c>
      <c r="V94" s="7" t="str" cm="1">
        <f t="array" ref="V94">INDEX(Dosen!$B$3:$E$8,MATCH(Main!C94,Dosen!$A$3:$A$8,0),IF(AND(Main!A94&gt;=1,Main!A94&lt;=250),1,IF(AND(Main!A94&gt;=251,Main!A94&lt;=500),2,IF(AND(Main!A94&gt;=501,Main!A94&lt;=750),3,4))))</f>
        <v>Bu Made</v>
      </c>
      <c r="W94" s="7" t="str">
        <f>_xlfn.XLOOKUP(B94,Detail!$G$1:$G$1001,Detail!$B$1:$B$1001)</f>
        <v>A-</v>
      </c>
    </row>
    <row r="95" spans="1:23" ht="15.75" x14ac:dyDescent="0.25">
      <c r="A95" s="7">
        <v>674</v>
      </c>
      <c r="B95" s="33" t="str">
        <f>CONCATENATE("A",TEXT(Main!A95,"0000"))</f>
        <v>A0674</v>
      </c>
      <c r="C95" s="7" t="s">
        <v>1015</v>
      </c>
      <c r="D95" s="33" t="str">
        <f>VLOOKUP(B95,Detail!$G$1:$H$1001,2,FALSE)</f>
        <v>Zalindra Widodo</v>
      </c>
      <c r="E95" s="7">
        <v>71</v>
      </c>
      <c r="F95" s="7">
        <v>43</v>
      </c>
      <c r="G95" s="57">
        <v>59</v>
      </c>
      <c r="H95" s="7">
        <v>51</v>
      </c>
      <c r="I95" s="7">
        <v>73</v>
      </c>
      <c r="J95" s="7">
        <v>87</v>
      </c>
      <c r="K95" s="7">
        <v>94</v>
      </c>
      <c r="L95" s="56" t="str">
        <f>IFERROR(VLOOKUP(B95,Absen!$A$1:$C$501,2,FALSE),"No")</f>
        <v>No</v>
      </c>
      <c r="M95" s="58">
        <f t="shared" si="2"/>
        <v>9.4</v>
      </c>
      <c r="N95" s="57">
        <f t="shared" si="3"/>
        <v>68.350000000000009</v>
      </c>
      <c r="O95" s="7" t="str">
        <f>VLOOKUP(N95,Helper!$B$30:$C$35,2,TRUE)</f>
        <v>C</v>
      </c>
      <c r="P95" s="56">
        <f>INDEX(Detail!$A$1:$A$1001,MATCH(B95,Detail!$G$1:$G$1001,0))</f>
        <v>37983</v>
      </c>
      <c r="Q95" s="33" t="str">
        <f>INDEX(Detail!$F$1:$F$1001,MATCH(Main!B95,Detail!$G$1:$G$1001,0))</f>
        <v>Surabaya</v>
      </c>
      <c r="R95" s="7">
        <f>INDEX(Detail!$C$1:$C$1001,MATCH(B95,Detail!$G$1:$G$1001,0),1)</f>
        <v>152</v>
      </c>
      <c r="S95" s="7">
        <f>INDEX(Detail!$D$1:$D$1001,MATCH(B95,Detail!$G$1:$G$1001,0),1)</f>
        <v>89</v>
      </c>
      <c r="T95" s="7" t="str">
        <f>INDEX(Detail!$E$1:$E$1001,MATCH(Main!B95,Detail!$G$1:$G$1001,0))</f>
        <v>Jl. H.J Maemunah No. 28</v>
      </c>
      <c r="U95" s="7" t="str">
        <f>INDEX(Detail!$B$1:$B$1001,MATCH(B95,Detail!$G$1:$G$1001,0),1)</f>
        <v>O-</v>
      </c>
      <c r="V95" s="7" t="str" cm="1">
        <f t="array" ref="V95">INDEX(Dosen!$B$3:$E$8,MATCH(Main!C95,Dosen!$A$3:$A$8,0),IF(AND(Main!A95&gt;=1,Main!A95&lt;=250),1,IF(AND(Main!A95&gt;=251,Main!A95&lt;=500),2,IF(AND(Main!A95&gt;=501,Main!A95&lt;=750),3,4))))</f>
        <v>Bu Made</v>
      </c>
      <c r="W95" s="7" t="str">
        <f>_xlfn.XLOOKUP(B95,Detail!$G$1:$G$1001,Detail!$B$1:$B$1001)</f>
        <v>O-</v>
      </c>
    </row>
    <row r="96" spans="1:23" ht="15.75" x14ac:dyDescent="0.25">
      <c r="A96" s="7">
        <v>678</v>
      </c>
      <c r="B96" s="33" t="str">
        <f>CONCATENATE("A",TEXT(Main!A96,"0000"))</f>
        <v>A0678</v>
      </c>
      <c r="C96" s="7" t="s">
        <v>1015</v>
      </c>
      <c r="D96" s="33" t="str">
        <f>VLOOKUP(B96,Detail!$G$1:$H$1001,2,FALSE)</f>
        <v>Darsirah Gunarto</v>
      </c>
      <c r="E96" s="7">
        <v>65</v>
      </c>
      <c r="F96" s="7">
        <v>64</v>
      </c>
      <c r="G96" s="57">
        <v>68</v>
      </c>
      <c r="H96" s="7">
        <v>64</v>
      </c>
      <c r="I96" s="7">
        <v>91</v>
      </c>
      <c r="J96" s="7">
        <v>58</v>
      </c>
      <c r="K96" s="7">
        <v>72</v>
      </c>
      <c r="L96" s="56" t="str">
        <f>IFERROR(VLOOKUP(B96,Absen!$A$1:$C$501,2,FALSE),"No")</f>
        <v>No</v>
      </c>
      <c r="M96" s="58">
        <f t="shared" si="2"/>
        <v>7.2</v>
      </c>
      <c r="N96" s="57">
        <f t="shared" si="3"/>
        <v>67.900000000000006</v>
      </c>
      <c r="O96" s="7" t="str">
        <f>VLOOKUP(N96,Helper!$B$30:$C$35,2,TRUE)</f>
        <v>C</v>
      </c>
      <c r="P96" s="56">
        <f>INDEX(Detail!$A$1:$A$1001,MATCH(B96,Detail!$G$1:$G$1001,0))</f>
        <v>38115</v>
      </c>
      <c r="Q96" s="33" t="str">
        <f>INDEX(Detail!$F$1:$F$1001,MATCH(Main!B96,Detail!$G$1:$G$1001,0))</f>
        <v>Ternate</v>
      </c>
      <c r="R96" s="7">
        <f>INDEX(Detail!$C$1:$C$1001,MATCH(B96,Detail!$G$1:$G$1001,0),1)</f>
        <v>161</v>
      </c>
      <c r="S96" s="7">
        <f>INDEX(Detail!$D$1:$D$1001,MATCH(B96,Detail!$G$1:$G$1001,0),1)</f>
        <v>78</v>
      </c>
      <c r="T96" s="7" t="str">
        <f>INDEX(Detail!$E$1:$E$1001,MATCH(Main!B96,Detail!$G$1:$G$1001,0))</f>
        <v xml:space="preserve">Gang Jamika No. 2
</v>
      </c>
      <c r="U96" s="7" t="str">
        <f>INDEX(Detail!$B$1:$B$1001,MATCH(B96,Detail!$G$1:$G$1001,0),1)</f>
        <v>B+</v>
      </c>
      <c r="V96" s="7" t="str" cm="1">
        <f t="array" ref="V96">INDEX(Dosen!$B$3:$E$8,MATCH(Main!C96,Dosen!$A$3:$A$8,0),IF(AND(Main!A96&gt;=1,Main!A96&lt;=250),1,IF(AND(Main!A96&gt;=251,Main!A96&lt;=500),2,IF(AND(Main!A96&gt;=501,Main!A96&lt;=750),3,4))))</f>
        <v>Bu Made</v>
      </c>
      <c r="W96" s="7" t="str">
        <f>_xlfn.XLOOKUP(B96,Detail!$G$1:$G$1001,Detail!$B$1:$B$1001)</f>
        <v>B+</v>
      </c>
    </row>
    <row r="97" spans="1:23" ht="15.75" x14ac:dyDescent="0.25">
      <c r="A97" s="7">
        <v>680</v>
      </c>
      <c r="B97" s="33" t="str">
        <f>CONCATENATE("A",TEXT(Main!A97,"0000"))</f>
        <v>A0680</v>
      </c>
      <c r="C97" s="7" t="s">
        <v>1015</v>
      </c>
      <c r="D97" s="33" t="str">
        <f>VLOOKUP(B97,Detail!$G$1:$H$1001,2,FALSE)</f>
        <v>Gangsar Widiastuti</v>
      </c>
      <c r="E97" s="7">
        <v>65</v>
      </c>
      <c r="F97" s="7">
        <v>47</v>
      </c>
      <c r="G97" s="57">
        <v>61</v>
      </c>
      <c r="H97" s="7">
        <v>66</v>
      </c>
      <c r="I97" s="7">
        <v>65</v>
      </c>
      <c r="J97" s="7">
        <v>52</v>
      </c>
      <c r="K97" s="7">
        <v>65</v>
      </c>
      <c r="L97" s="56">
        <f>IFERROR(VLOOKUP(B97,Absen!$A$1:$C$501,2,FALSE),"No")</f>
        <v>44768</v>
      </c>
      <c r="M97" s="58">
        <f t="shared" si="2"/>
        <v>5.5</v>
      </c>
      <c r="N97" s="57">
        <f t="shared" si="3"/>
        <v>58.475000000000001</v>
      </c>
      <c r="O97" s="7" t="str">
        <f>VLOOKUP(N97,Helper!$B$30:$C$35,2,TRUE)</f>
        <v>D</v>
      </c>
      <c r="P97" s="56">
        <f>INDEX(Detail!$A$1:$A$1001,MATCH(B97,Detail!$G$1:$G$1001,0))</f>
        <v>37815</v>
      </c>
      <c r="Q97" s="33" t="str">
        <f>INDEX(Detail!$F$1:$F$1001,MATCH(Main!B97,Detail!$G$1:$G$1001,0))</f>
        <v>Banjarmasin</v>
      </c>
      <c r="R97" s="7">
        <f>INDEX(Detail!$C$1:$C$1001,MATCH(B97,Detail!$G$1:$G$1001,0),1)</f>
        <v>165</v>
      </c>
      <c r="S97" s="7">
        <f>INDEX(Detail!$D$1:$D$1001,MATCH(B97,Detail!$G$1:$G$1001,0),1)</f>
        <v>82</v>
      </c>
      <c r="T97" s="7" t="str">
        <f>INDEX(Detail!$E$1:$E$1001,MATCH(Main!B97,Detail!$G$1:$G$1001,0))</f>
        <v>Jl. Rajiman No. 51</v>
      </c>
      <c r="U97" s="7" t="str">
        <f>INDEX(Detail!$B$1:$B$1001,MATCH(B97,Detail!$G$1:$G$1001,0),1)</f>
        <v>AB-</v>
      </c>
      <c r="V97" s="7" t="str" cm="1">
        <f t="array" ref="V97">INDEX(Dosen!$B$3:$E$8,MATCH(Main!C97,Dosen!$A$3:$A$8,0),IF(AND(Main!A97&gt;=1,Main!A97&lt;=250),1,IF(AND(Main!A97&gt;=251,Main!A97&lt;=500),2,IF(AND(Main!A97&gt;=501,Main!A97&lt;=750),3,4))))</f>
        <v>Bu Made</v>
      </c>
      <c r="W97" s="7" t="str">
        <f>_xlfn.XLOOKUP(B97,Detail!$G$1:$G$1001,Detail!$B$1:$B$1001)</f>
        <v>AB-</v>
      </c>
    </row>
    <row r="98" spans="1:23" ht="15.75" x14ac:dyDescent="0.25">
      <c r="A98" s="7">
        <v>681</v>
      </c>
      <c r="B98" s="33" t="str">
        <f>CONCATENATE("A",TEXT(Main!A98,"0000"))</f>
        <v>A0681</v>
      </c>
      <c r="C98" s="7" t="s">
        <v>1015</v>
      </c>
      <c r="D98" s="33" t="str">
        <f>VLOOKUP(B98,Detail!$G$1:$H$1001,2,FALSE)</f>
        <v>Salsabila Utama</v>
      </c>
      <c r="E98" s="7">
        <v>53</v>
      </c>
      <c r="F98" s="7">
        <v>45</v>
      </c>
      <c r="G98" s="57">
        <v>71</v>
      </c>
      <c r="H98" s="7">
        <v>60</v>
      </c>
      <c r="I98" s="7">
        <v>58</v>
      </c>
      <c r="J98" s="7">
        <v>65</v>
      </c>
      <c r="K98" s="7">
        <v>91</v>
      </c>
      <c r="L98" s="56">
        <f>IFERROR(VLOOKUP(B98,Absen!$A$1:$C$501,2,FALSE),"No")</f>
        <v>44831</v>
      </c>
      <c r="M98" s="58">
        <f t="shared" si="2"/>
        <v>8.1</v>
      </c>
      <c r="N98" s="57">
        <f t="shared" si="3"/>
        <v>62.300000000000004</v>
      </c>
      <c r="O98" s="7" t="str">
        <f>VLOOKUP(N98,Helper!$B$30:$C$35,2,TRUE)</f>
        <v>C</v>
      </c>
      <c r="P98" s="56">
        <f>INDEX(Detail!$A$1:$A$1001,MATCH(B98,Detail!$G$1:$G$1001,0))</f>
        <v>38294</v>
      </c>
      <c r="Q98" s="33" t="str">
        <f>INDEX(Detail!$F$1:$F$1001,MATCH(Main!B98,Detail!$G$1:$G$1001,0))</f>
        <v>Kota Administrasi Jakarta Utara</v>
      </c>
      <c r="R98" s="7">
        <f>INDEX(Detail!$C$1:$C$1001,MATCH(B98,Detail!$G$1:$G$1001,0),1)</f>
        <v>174</v>
      </c>
      <c r="S98" s="7">
        <f>INDEX(Detail!$D$1:$D$1001,MATCH(B98,Detail!$G$1:$G$1001,0),1)</f>
        <v>94</v>
      </c>
      <c r="T98" s="7" t="str">
        <f>INDEX(Detail!$E$1:$E$1001,MATCH(Main!B98,Detail!$G$1:$G$1001,0))</f>
        <v xml:space="preserve">Gg. Pacuan Kuda No. 1
</v>
      </c>
      <c r="U98" s="7" t="str">
        <f>INDEX(Detail!$B$1:$B$1001,MATCH(B98,Detail!$G$1:$G$1001,0),1)</f>
        <v>AB+</v>
      </c>
      <c r="V98" s="7" t="str" cm="1">
        <f t="array" ref="V98">INDEX(Dosen!$B$3:$E$8,MATCH(Main!C98,Dosen!$A$3:$A$8,0),IF(AND(Main!A98&gt;=1,Main!A98&lt;=250),1,IF(AND(Main!A98&gt;=251,Main!A98&lt;=500),2,IF(AND(Main!A98&gt;=501,Main!A98&lt;=750),3,4))))</f>
        <v>Bu Made</v>
      </c>
      <c r="W98" s="7" t="str">
        <f>_xlfn.XLOOKUP(B98,Detail!$G$1:$G$1001,Detail!$B$1:$B$1001)</f>
        <v>AB+</v>
      </c>
    </row>
    <row r="99" spans="1:23" ht="15.75" x14ac:dyDescent="0.25">
      <c r="A99" s="7">
        <v>682</v>
      </c>
      <c r="B99" s="33" t="str">
        <f>CONCATENATE("A",TEXT(Main!A99,"0000"))</f>
        <v>A0682</v>
      </c>
      <c r="C99" s="7" t="s">
        <v>1015</v>
      </c>
      <c r="D99" s="33" t="str">
        <f>VLOOKUP(B99,Detail!$G$1:$H$1001,2,FALSE)</f>
        <v>Wira Novitasari</v>
      </c>
      <c r="E99" s="7">
        <v>75</v>
      </c>
      <c r="F99" s="7">
        <v>40</v>
      </c>
      <c r="G99" s="57">
        <v>57</v>
      </c>
      <c r="H99" s="7">
        <v>63</v>
      </c>
      <c r="I99" s="7">
        <v>63</v>
      </c>
      <c r="J99" s="7">
        <v>86</v>
      </c>
      <c r="K99" s="7">
        <v>87</v>
      </c>
      <c r="L99" s="56">
        <f>IFERROR(VLOOKUP(B99,Absen!$A$1:$C$501,2,FALSE),"No")</f>
        <v>44917</v>
      </c>
      <c r="M99" s="58">
        <f t="shared" si="2"/>
        <v>7.7</v>
      </c>
      <c r="N99" s="57">
        <f t="shared" si="3"/>
        <v>66.424999999999997</v>
      </c>
      <c r="O99" s="7" t="str">
        <f>VLOOKUP(N99,Helper!$B$30:$C$35,2,TRUE)</f>
        <v>C</v>
      </c>
      <c r="P99" s="56">
        <f>INDEX(Detail!$A$1:$A$1001,MATCH(B99,Detail!$G$1:$G$1001,0))</f>
        <v>37245</v>
      </c>
      <c r="Q99" s="33" t="str">
        <f>INDEX(Detail!$F$1:$F$1001,MATCH(Main!B99,Detail!$G$1:$G$1001,0))</f>
        <v>Surakarta</v>
      </c>
      <c r="R99" s="7">
        <f>INDEX(Detail!$C$1:$C$1001,MATCH(B99,Detail!$G$1:$G$1001,0),1)</f>
        <v>161</v>
      </c>
      <c r="S99" s="7">
        <f>INDEX(Detail!$D$1:$D$1001,MATCH(B99,Detail!$G$1:$G$1001,0),1)</f>
        <v>53</v>
      </c>
      <c r="T99" s="7" t="str">
        <f>INDEX(Detail!$E$1:$E$1001,MATCH(Main!B99,Detail!$G$1:$G$1001,0))</f>
        <v>Gg. Cikutra Barat No. 24</v>
      </c>
      <c r="U99" s="7" t="str">
        <f>INDEX(Detail!$B$1:$B$1001,MATCH(B99,Detail!$G$1:$G$1001,0),1)</f>
        <v>B+</v>
      </c>
      <c r="V99" s="7" t="str" cm="1">
        <f t="array" ref="V99">INDEX(Dosen!$B$3:$E$8,MATCH(Main!C99,Dosen!$A$3:$A$8,0),IF(AND(Main!A99&gt;=1,Main!A99&lt;=250),1,IF(AND(Main!A99&gt;=251,Main!A99&lt;=500),2,IF(AND(Main!A99&gt;=501,Main!A99&lt;=750),3,4))))</f>
        <v>Bu Made</v>
      </c>
      <c r="W99" s="7" t="str">
        <f>_xlfn.XLOOKUP(B99,Detail!$G$1:$G$1001,Detail!$B$1:$B$1001)</f>
        <v>B+</v>
      </c>
    </row>
    <row r="100" spans="1:23" ht="15.75" x14ac:dyDescent="0.25">
      <c r="A100" s="7">
        <v>688</v>
      </c>
      <c r="B100" s="33" t="str">
        <f>CONCATENATE("A",TEXT(Main!A100,"0000"))</f>
        <v>A0688</v>
      </c>
      <c r="C100" s="7" t="s">
        <v>1015</v>
      </c>
      <c r="D100" s="33" t="str">
        <f>VLOOKUP(B100,Detail!$G$1:$H$1001,2,FALSE)</f>
        <v>Kenzie Wibowo</v>
      </c>
      <c r="E100" s="7">
        <v>88</v>
      </c>
      <c r="F100" s="7">
        <v>55</v>
      </c>
      <c r="G100" s="57">
        <v>76</v>
      </c>
      <c r="H100" s="7">
        <v>61</v>
      </c>
      <c r="I100" s="7">
        <v>55</v>
      </c>
      <c r="J100" s="7">
        <v>46</v>
      </c>
      <c r="K100" s="7">
        <v>92</v>
      </c>
      <c r="L100" s="56" t="str">
        <f>IFERROR(VLOOKUP(B100,Absen!$A$1:$C$501,2,FALSE),"No")</f>
        <v>No</v>
      </c>
      <c r="M100" s="58">
        <f t="shared" si="2"/>
        <v>9.2000000000000011</v>
      </c>
      <c r="N100" s="57">
        <f t="shared" si="3"/>
        <v>65.975000000000009</v>
      </c>
      <c r="O100" s="7" t="str">
        <f>VLOOKUP(N100,Helper!$B$30:$C$35,2,TRUE)</f>
        <v>C</v>
      </c>
      <c r="P100" s="56">
        <f>INDEX(Detail!$A$1:$A$1001,MATCH(B100,Detail!$G$1:$G$1001,0))</f>
        <v>37449</v>
      </c>
      <c r="Q100" s="33" t="str">
        <f>INDEX(Detail!$F$1:$F$1001,MATCH(Main!B100,Detail!$G$1:$G$1001,0))</f>
        <v>Solok</v>
      </c>
      <c r="R100" s="7">
        <f>INDEX(Detail!$C$1:$C$1001,MATCH(B100,Detail!$G$1:$G$1001,0),1)</f>
        <v>179</v>
      </c>
      <c r="S100" s="7">
        <f>INDEX(Detail!$D$1:$D$1001,MATCH(B100,Detail!$G$1:$G$1001,0),1)</f>
        <v>91</v>
      </c>
      <c r="T100" s="7" t="str">
        <f>INDEX(Detail!$E$1:$E$1001,MATCH(Main!B100,Detail!$G$1:$G$1001,0))</f>
        <v xml:space="preserve">Jalan Kiaracondong No. 9
</v>
      </c>
      <c r="U100" s="7" t="str">
        <f>INDEX(Detail!$B$1:$B$1001,MATCH(B100,Detail!$G$1:$G$1001,0),1)</f>
        <v>AB+</v>
      </c>
      <c r="V100" s="7" t="str" cm="1">
        <f t="array" ref="V100">INDEX(Dosen!$B$3:$E$8,MATCH(Main!C100,Dosen!$A$3:$A$8,0),IF(AND(Main!A100&gt;=1,Main!A100&lt;=250),1,IF(AND(Main!A100&gt;=251,Main!A100&lt;=500),2,IF(AND(Main!A100&gt;=501,Main!A100&lt;=750),3,4))))</f>
        <v>Bu Made</v>
      </c>
      <c r="W100" s="7" t="str">
        <f>_xlfn.XLOOKUP(B100,Detail!$G$1:$G$1001,Detail!$B$1:$B$1001)</f>
        <v>AB+</v>
      </c>
    </row>
    <row r="101" spans="1:23" ht="15.75" x14ac:dyDescent="0.25">
      <c r="A101" s="7">
        <v>691</v>
      </c>
      <c r="B101" s="33" t="str">
        <f>CONCATENATE("A",TEXT(Main!A101,"0000"))</f>
        <v>A0691</v>
      </c>
      <c r="C101" s="7" t="s">
        <v>1015</v>
      </c>
      <c r="D101" s="33" t="str">
        <f>VLOOKUP(B101,Detail!$G$1:$H$1001,2,FALSE)</f>
        <v>Zulaikha Permadi</v>
      </c>
      <c r="E101" s="7">
        <v>59</v>
      </c>
      <c r="F101" s="7">
        <v>70</v>
      </c>
      <c r="G101" s="57">
        <v>60</v>
      </c>
      <c r="H101" s="7">
        <v>55</v>
      </c>
      <c r="I101" s="7">
        <v>76</v>
      </c>
      <c r="J101" s="7">
        <v>95</v>
      </c>
      <c r="K101" s="7">
        <v>96</v>
      </c>
      <c r="L101" s="56" t="str">
        <f>IFERROR(VLOOKUP(B101,Absen!$A$1:$C$501,2,FALSE),"No")</f>
        <v>No</v>
      </c>
      <c r="M101" s="58">
        <f t="shared" si="2"/>
        <v>9.6000000000000014</v>
      </c>
      <c r="N101" s="57">
        <f t="shared" si="3"/>
        <v>73.099999999999994</v>
      </c>
      <c r="O101" s="7" t="str">
        <f>VLOOKUP(N101,Helper!$B$30:$C$35,2,TRUE)</f>
        <v>B</v>
      </c>
      <c r="P101" s="56">
        <f>INDEX(Detail!$A$1:$A$1001,MATCH(B101,Detail!$G$1:$G$1001,0))</f>
        <v>37254</v>
      </c>
      <c r="Q101" s="33" t="str">
        <f>INDEX(Detail!$F$1:$F$1001,MATCH(Main!B101,Detail!$G$1:$G$1001,0))</f>
        <v>Bekasi</v>
      </c>
      <c r="R101" s="7">
        <f>INDEX(Detail!$C$1:$C$1001,MATCH(B101,Detail!$G$1:$G$1001,0),1)</f>
        <v>166</v>
      </c>
      <c r="S101" s="7">
        <f>INDEX(Detail!$D$1:$D$1001,MATCH(B101,Detail!$G$1:$G$1001,0),1)</f>
        <v>82</v>
      </c>
      <c r="T101" s="7" t="str">
        <f>INDEX(Detail!$E$1:$E$1001,MATCH(Main!B101,Detail!$G$1:$G$1001,0))</f>
        <v xml:space="preserve">Gg. Cikutra Barat No. 1
</v>
      </c>
      <c r="U101" s="7" t="str">
        <f>INDEX(Detail!$B$1:$B$1001,MATCH(B101,Detail!$G$1:$G$1001,0),1)</f>
        <v>AB+</v>
      </c>
      <c r="V101" s="7" t="str" cm="1">
        <f t="array" ref="V101">INDEX(Dosen!$B$3:$E$8,MATCH(Main!C101,Dosen!$A$3:$A$8,0),IF(AND(Main!A101&gt;=1,Main!A101&lt;=250),1,IF(AND(Main!A101&gt;=251,Main!A101&lt;=500),2,IF(AND(Main!A101&gt;=501,Main!A101&lt;=750),3,4))))</f>
        <v>Bu Made</v>
      </c>
      <c r="W101" s="7" t="str">
        <f>_xlfn.XLOOKUP(B101,Detail!$G$1:$G$1001,Detail!$B$1:$B$1001)</f>
        <v>AB+</v>
      </c>
    </row>
    <row r="102" spans="1:23" ht="15.75" x14ac:dyDescent="0.25">
      <c r="A102" s="7">
        <v>692</v>
      </c>
      <c r="B102" s="33" t="str">
        <f>CONCATENATE("A",TEXT(Main!A102,"0000"))</f>
        <v>A0692</v>
      </c>
      <c r="C102" s="7" t="s">
        <v>1015</v>
      </c>
      <c r="D102" s="33" t="str">
        <f>VLOOKUP(B102,Detail!$G$1:$H$1001,2,FALSE)</f>
        <v>Taufik Oktaviani</v>
      </c>
      <c r="E102" s="7">
        <v>67</v>
      </c>
      <c r="F102" s="7">
        <v>51</v>
      </c>
      <c r="G102" s="57">
        <v>78</v>
      </c>
      <c r="H102" s="7">
        <v>70</v>
      </c>
      <c r="I102" s="7">
        <v>54</v>
      </c>
      <c r="J102" s="7">
        <v>72</v>
      </c>
      <c r="K102" s="7">
        <v>73</v>
      </c>
      <c r="L102" s="56" t="str">
        <f>IFERROR(VLOOKUP(B102,Absen!$A$1:$C$501,2,FALSE),"No")</f>
        <v>No</v>
      </c>
      <c r="M102" s="58">
        <f t="shared" si="2"/>
        <v>7.3000000000000007</v>
      </c>
      <c r="N102" s="57">
        <f t="shared" si="3"/>
        <v>67.55</v>
      </c>
      <c r="O102" s="7" t="str">
        <f>VLOOKUP(N102,Helper!$B$30:$C$35,2,TRUE)</f>
        <v>C</v>
      </c>
      <c r="P102" s="56">
        <f>INDEX(Detail!$A$1:$A$1001,MATCH(B102,Detail!$G$1:$G$1001,0))</f>
        <v>38234</v>
      </c>
      <c r="Q102" s="33" t="str">
        <f>INDEX(Detail!$F$1:$F$1001,MATCH(Main!B102,Detail!$G$1:$G$1001,0))</f>
        <v>Kota Administrasi Jakarta Timur</v>
      </c>
      <c r="R102" s="7">
        <f>INDEX(Detail!$C$1:$C$1001,MATCH(B102,Detail!$G$1:$G$1001,0),1)</f>
        <v>177</v>
      </c>
      <c r="S102" s="7">
        <f>INDEX(Detail!$D$1:$D$1001,MATCH(B102,Detail!$G$1:$G$1001,0),1)</f>
        <v>63</v>
      </c>
      <c r="T102" s="7" t="str">
        <f>INDEX(Detail!$E$1:$E$1001,MATCH(Main!B102,Detail!$G$1:$G$1001,0))</f>
        <v>Jalan Erlangga No. 87</v>
      </c>
      <c r="U102" s="7" t="str">
        <f>INDEX(Detail!$B$1:$B$1001,MATCH(B102,Detail!$G$1:$G$1001,0),1)</f>
        <v>A+</v>
      </c>
      <c r="V102" s="7" t="str" cm="1">
        <f t="array" ref="V102">INDEX(Dosen!$B$3:$E$8,MATCH(Main!C102,Dosen!$A$3:$A$8,0),IF(AND(Main!A102&gt;=1,Main!A102&lt;=250),1,IF(AND(Main!A102&gt;=251,Main!A102&lt;=500),2,IF(AND(Main!A102&gt;=501,Main!A102&lt;=750),3,4))))</f>
        <v>Bu Made</v>
      </c>
      <c r="W102" s="7" t="str">
        <f>_xlfn.XLOOKUP(B102,Detail!$G$1:$G$1001,Detail!$B$1:$B$1001)</f>
        <v>A+</v>
      </c>
    </row>
    <row r="103" spans="1:23" ht="15.75" x14ac:dyDescent="0.25">
      <c r="A103" s="7">
        <v>693</v>
      </c>
      <c r="B103" s="33" t="str">
        <f>CONCATENATE("A",TEXT(Main!A103,"0000"))</f>
        <v>A0693</v>
      </c>
      <c r="C103" s="7" t="s">
        <v>1015</v>
      </c>
      <c r="D103" s="33" t="str">
        <f>VLOOKUP(B103,Detail!$G$1:$H$1001,2,FALSE)</f>
        <v>Jais Iswahyudi</v>
      </c>
      <c r="E103" s="7">
        <v>63</v>
      </c>
      <c r="F103" s="7">
        <v>46</v>
      </c>
      <c r="G103" s="57">
        <v>84</v>
      </c>
      <c r="H103" s="7">
        <v>75</v>
      </c>
      <c r="I103" s="7">
        <v>95</v>
      </c>
      <c r="J103" s="7">
        <v>51</v>
      </c>
      <c r="K103" s="7">
        <v>85</v>
      </c>
      <c r="L103" s="56">
        <f>IFERROR(VLOOKUP(B103,Absen!$A$1:$C$501,2,FALSE),"No")</f>
        <v>44789</v>
      </c>
      <c r="M103" s="58">
        <f t="shared" si="2"/>
        <v>7.5</v>
      </c>
      <c r="N103" s="57">
        <f t="shared" si="3"/>
        <v>69.375</v>
      </c>
      <c r="O103" s="7" t="str">
        <f>VLOOKUP(N103,Helper!$B$30:$C$35,2,TRUE)</f>
        <v>C</v>
      </c>
      <c r="P103" s="56">
        <f>INDEX(Detail!$A$1:$A$1001,MATCH(B103,Detail!$G$1:$G$1001,0))</f>
        <v>37316</v>
      </c>
      <c r="Q103" s="33" t="str">
        <f>INDEX(Detail!$F$1:$F$1001,MATCH(Main!B103,Detail!$G$1:$G$1001,0))</f>
        <v>Ambon</v>
      </c>
      <c r="R103" s="7">
        <f>INDEX(Detail!$C$1:$C$1001,MATCH(B103,Detail!$G$1:$G$1001,0),1)</f>
        <v>179</v>
      </c>
      <c r="S103" s="7">
        <f>INDEX(Detail!$D$1:$D$1001,MATCH(B103,Detail!$G$1:$G$1001,0),1)</f>
        <v>66</v>
      </c>
      <c r="T103" s="7" t="str">
        <f>INDEX(Detail!$E$1:$E$1001,MATCH(Main!B103,Detail!$G$1:$G$1001,0))</f>
        <v xml:space="preserve">Gg. Sukabumi No. 4
</v>
      </c>
      <c r="U103" s="7" t="str">
        <f>INDEX(Detail!$B$1:$B$1001,MATCH(B103,Detail!$G$1:$G$1001,0),1)</f>
        <v>B-</v>
      </c>
      <c r="V103" s="7" t="str" cm="1">
        <f t="array" ref="V103">INDEX(Dosen!$B$3:$E$8,MATCH(Main!C103,Dosen!$A$3:$A$8,0),IF(AND(Main!A103&gt;=1,Main!A103&lt;=250),1,IF(AND(Main!A103&gt;=251,Main!A103&lt;=500),2,IF(AND(Main!A103&gt;=501,Main!A103&lt;=750),3,4))))</f>
        <v>Bu Made</v>
      </c>
      <c r="W103" s="7" t="str">
        <f>_xlfn.XLOOKUP(B103,Detail!$G$1:$G$1001,Detail!$B$1:$B$1001)</f>
        <v>B-</v>
      </c>
    </row>
    <row r="104" spans="1:23" ht="15.75" x14ac:dyDescent="0.25">
      <c r="A104" s="7">
        <v>694</v>
      </c>
      <c r="B104" s="33" t="str">
        <f>CONCATENATE("A",TEXT(Main!A104,"0000"))</f>
        <v>A0694</v>
      </c>
      <c r="C104" s="7" t="s">
        <v>1015</v>
      </c>
      <c r="D104" s="33" t="str">
        <f>VLOOKUP(B104,Detail!$G$1:$H$1001,2,FALSE)</f>
        <v>Kajen Narpati</v>
      </c>
      <c r="E104" s="7">
        <v>94</v>
      </c>
      <c r="F104" s="7">
        <v>69</v>
      </c>
      <c r="G104" s="57">
        <v>88</v>
      </c>
      <c r="H104" s="7">
        <v>73</v>
      </c>
      <c r="I104" s="7">
        <v>88</v>
      </c>
      <c r="J104" s="7">
        <v>93</v>
      </c>
      <c r="K104" s="7">
        <v>64</v>
      </c>
      <c r="L104" s="56" t="str">
        <f>IFERROR(VLOOKUP(B104,Absen!$A$1:$C$501,2,FALSE),"No")</f>
        <v>No</v>
      </c>
      <c r="M104" s="58">
        <f t="shared" si="2"/>
        <v>6.4</v>
      </c>
      <c r="N104" s="57">
        <f t="shared" si="3"/>
        <v>83.100000000000009</v>
      </c>
      <c r="O104" s="7" t="str">
        <f>VLOOKUP(N104,Helper!$B$30:$C$35,2,TRUE)</f>
        <v>A</v>
      </c>
      <c r="P104" s="56">
        <f>INDEX(Detail!$A$1:$A$1001,MATCH(B104,Detail!$G$1:$G$1001,0))</f>
        <v>38157</v>
      </c>
      <c r="Q104" s="33" t="str">
        <f>INDEX(Detail!$F$1:$F$1001,MATCH(Main!B104,Detail!$G$1:$G$1001,0))</f>
        <v>Lhokseumawe</v>
      </c>
      <c r="R104" s="7">
        <f>INDEX(Detail!$C$1:$C$1001,MATCH(B104,Detail!$G$1:$G$1001,0),1)</f>
        <v>173</v>
      </c>
      <c r="S104" s="7">
        <f>INDEX(Detail!$D$1:$D$1001,MATCH(B104,Detail!$G$1:$G$1001,0),1)</f>
        <v>63</v>
      </c>
      <c r="T104" s="7" t="str">
        <f>INDEX(Detail!$E$1:$E$1001,MATCH(Main!B104,Detail!$G$1:$G$1001,0))</f>
        <v xml:space="preserve">Gg. S. Parman No. 5
</v>
      </c>
      <c r="U104" s="7" t="str">
        <f>INDEX(Detail!$B$1:$B$1001,MATCH(B104,Detail!$G$1:$G$1001,0),1)</f>
        <v>O-</v>
      </c>
      <c r="V104" s="7" t="str" cm="1">
        <f t="array" ref="V104">INDEX(Dosen!$B$3:$E$8,MATCH(Main!C104,Dosen!$A$3:$A$8,0),IF(AND(Main!A104&gt;=1,Main!A104&lt;=250),1,IF(AND(Main!A104&gt;=251,Main!A104&lt;=500),2,IF(AND(Main!A104&gt;=501,Main!A104&lt;=750),3,4))))</f>
        <v>Bu Made</v>
      </c>
      <c r="W104" s="7" t="str">
        <f>_xlfn.XLOOKUP(B104,Detail!$G$1:$G$1001,Detail!$B$1:$B$1001)</f>
        <v>O-</v>
      </c>
    </row>
    <row r="105" spans="1:23" ht="15.75" x14ac:dyDescent="0.25">
      <c r="A105" s="7">
        <v>695</v>
      </c>
      <c r="B105" s="33" t="str">
        <f>CONCATENATE("A",TEXT(Main!A105,"0000"))</f>
        <v>A0695</v>
      </c>
      <c r="C105" s="7" t="s">
        <v>1015</v>
      </c>
      <c r="D105" s="33" t="str">
        <f>VLOOKUP(B105,Detail!$G$1:$H$1001,2,FALSE)</f>
        <v>Jamalia Wastuti</v>
      </c>
      <c r="E105" s="7">
        <v>74</v>
      </c>
      <c r="F105" s="7">
        <v>72</v>
      </c>
      <c r="G105" s="57">
        <v>66</v>
      </c>
      <c r="H105" s="7">
        <v>52</v>
      </c>
      <c r="I105" s="7">
        <v>93</v>
      </c>
      <c r="J105" s="7">
        <v>91</v>
      </c>
      <c r="K105" s="7">
        <v>88</v>
      </c>
      <c r="L105" s="56" t="str">
        <f>IFERROR(VLOOKUP(B105,Absen!$A$1:$C$501,2,FALSE),"No")</f>
        <v>No</v>
      </c>
      <c r="M105" s="58">
        <f t="shared" si="2"/>
        <v>8.8000000000000007</v>
      </c>
      <c r="N105" s="57">
        <f t="shared" si="3"/>
        <v>76.575000000000003</v>
      </c>
      <c r="O105" s="7" t="str">
        <f>VLOOKUP(N105,Helper!$B$30:$C$35,2,TRUE)</f>
        <v>B</v>
      </c>
      <c r="P105" s="56">
        <f>INDEX(Detail!$A$1:$A$1001,MATCH(B105,Detail!$G$1:$G$1001,0))</f>
        <v>37254</v>
      </c>
      <c r="Q105" s="33" t="str">
        <f>INDEX(Detail!$F$1:$F$1001,MATCH(Main!B105,Detail!$G$1:$G$1001,0))</f>
        <v>Sibolga</v>
      </c>
      <c r="R105" s="7">
        <f>INDEX(Detail!$C$1:$C$1001,MATCH(B105,Detail!$G$1:$G$1001,0),1)</f>
        <v>180</v>
      </c>
      <c r="S105" s="7">
        <f>INDEX(Detail!$D$1:$D$1001,MATCH(B105,Detail!$G$1:$G$1001,0),1)</f>
        <v>76</v>
      </c>
      <c r="T105" s="7" t="str">
        <f>INDEX(Detail!$E$1:$E$1001,MATCH(Main!B105,Detail!$G$1:$G$1001,0))</f>
        <v>Jalan Dipenogoro No. 63</v>
      </c>
      <c r="U105" s="7" t="str">
        <f>INDEX(Detail!$B$1:$B$1001,MATCH(B105,Detail!$G$1:$G$1001,0),1)</f>
        <v>A+</v>
      </c>
      <c r="V105" s="7" t="str" cm="1">
        <f t="array" ref="V105">INDEX(Dosen!$B$3:$E$8,MATCH(Main!C105,Dosen!$A$3:$A$8,0),IF(AND(Main!A105&gt;=1,Main!A105&lt;=250),1,IF(AND(Main!A105&gt;=251,Main!A105&lt;=500),2,IF(AND(Main!A105&gt;=501,Main!A105&lt;=750),3,4))))</f>
        <v>Bu Made</v>
      </c>
      <c r="W105" s="7" t="str">
        <f>_xlfn.XLOOKUP(B105,Detail!$G$1:$G$1001,Detail!$B$1:$B$1001)</f>
        <v>A+</v>
      </c>
    </row>
    <row r="106" spans="1:23" ht="15.75" x14ac:dyDescent="0.25">
      <c r="A106" s="7">
        <v>696</v>
      </c>
      <c r="B106" s="33" t="str">
        <f>CONCATENATE("A",TEXT(Main!A106,"0000"))</f>
        <v>A0696</v>
      </c>
      <c r="C106" s="7" t="s">
        <v>1015</v>
      </c>
      <c r="D106" s="33" t="str">
        <f>VLOOKUP(B106,Detail!$G$1:$H$1001,2,FALSE)</f>
        <v>Saadat Iswahyudi</v>
      </c>
      <c r="E106" s="7">
        <v>81</v>
      </c>
      <c r="F106" s="7">
        <v>63</v>
      </c>
      <c r="G106" s="57">
        <v>37</v>
      </c>
      <c r="H106" s="7">
        <v>60</v>
      </c>
      <c r="I106" s="7">
        <v>95</v>
      </c>
      <c r="J106" s="7">
        <v>93</v>
      </c>
      <c r="K106" s="7">
        <v>75</v>
      </c>
      <c r="L106" s="56" t="str">
        <f>IFERROR(VLOOKUP(B106,Absen!$A$1:$C$501,2,FALSE),"No")</f>
        <v>No</v>
      </c>
      <c r="M106" s="58">
        <f t="shared" si="2"/>
        <v>7.5</v>
      </c>
      <c r="N106" s="57">
        <f t="shared" si="3"/>
        <v>70.875</v>
      </c>
      <c r="O106" s="7" t="str">
        <f>VLOOKUP(N106,Helper!$B$30:$C$35,2,TRUE)</f>
        <v>B</v>
      </c>
      <c r="P106" s="56">
        <f>INDEX(Detail!$A$1:$A$1001,MATCH(B106,Detail!$G$1:$G$1001,0))</f>
        <v>37402</v>
      </c>
      <c r="Q106" s="33" t="str">
        <f>INDEX(Detail!$F$1:$F$1001,MATCH(Main!B106,Detail!$G$1:$G$1001,0))</f>
        <v>Padang</v>
      </c>
      <c r="R106" s="7">
        <f>INDEX(Detail!$C$1:$C$1001,MATCH(B106,Detail!$G$1:$G$1001,0),1)</f>
        <v>175</v>
      </c>
      <c r="S106" s="7">
        <f>INDEX(Detail!$D$1:$D$1001,MATCH(B106,Detail!$G$1:$G$1001,0),1)</f>
        <v>81</v>
      </c>
      <c r="T106" s="7" t="str">
        <f>INDEX(Detail!$E$1:$E$1001,MATCH(Main!B106,Detail!$G$1:$G$1001,0))</f>
        <v xml:space="preserve">Gg. BKR No. 3
</v>
      </c>
      <c r="U106" s="7" t="str">
        <f>INDEX(Detail!$B$1:$B$1001,MATCH(B106,Detail!$G$1:$G$1001,0),1)</f>
        <v>A-</v>
      </c>
      <c r="V106" s="7" t="str" cm="1">
        <f t="array" ref="V106">INDEX(Dosen!$B$3:$E$8,MATCH(Main!C106,Dosen!$A$3:$A$8,0),IF(AND(Main!A106&gt;=1,Main!A106&lt;=250),1,IF(AND(Main!A106&gt;=251,Main!A106&lt;=500),2,IF(AND(Main!A106&gt;=501,Main!A106&lt;=750),3,4))))</f>
        <v>Bu Made</v>
      </c>
      <c r="W106" s="7" t="str">
        <f>_xlfn.XLOOKUP(B106,Detail!$G$1:$G$1001,Detail!$B$1:$B$1001)</f>
        <v>A-</v>
      </c>
    </row>
    <row r="107" spans="1:23" ht="15.75" x14ac:dyDescent="0.25">
      <c r="A107" s="7">
        <v>710</v>
      </c>
      <c r="B107" s="33" t="str">
        <f>CONCATENATE("A",TEXT(Main!A107,"0000"))</f>
        <v>A0710</v>
      </c>
      <c r="C107" s="7" t="s">
        <v>1015</v>
      </c>
      <c r="D107" s="33" t="str">
        <f>VLOOKUP(B107,Detail!$G$1:$H$1001,2,FALSE)</f>
        <v>Dalimin Pranowo</v>
      </c>
      <c r="E107" s="7">
        <v>65</v>
      </c>
      <c r="F107" s="7">
        <v>64</v>
      </c>
      <c r="G107" s="57">
        <v>91</v>
      </c>
      <c r="H107" s="7">
        <v>53</v>
      </c>
      <c r="I107" s="7">
        <v>65</v>
      </c>
      <c r="J107" s="7">
        <v>89</v>
      </c>
      <c r="K107" s="7">
        <v>65</v>
      </c>
      <c r="L107" s="56" t="str">
        <f>IFERROR(VLOOKUP(B107,Absen!$A$1:$C$501,2,FALSE),"No")</f>
        <v>No</v>
      </c>
      <c r="M107" s="58">
        <f t="shared" si="2"/>
        <v>6.5</v>
      </c>
      <c r="N107" s="57">
        <f t="shared" si="3"/>
        <v>73.375</v>
      </c>
      <c r="O107" s="7" t="str">
        <f>VLOOKUP(N107,Helper!$B$30:$C$35,2,TRUE)</f>
        <v>B</v>
      </c>
      <c r="P107" s="56">
        <f>INDEX(Detail!$A$1:$A$1001,MATCH(B107,Detail!$G$1:$G$1001,0))</f>
        <v>37203</v>
      </c>
      <c r="Q107" s="33" t="str">
        <f>INDEX(Detail!$F$1:$F$1001,MATCH(Main!B107,Detail!$G$1:$G$1001,0))</f>
        <v>Kota Administrasi Jakarta Timur</v>
      </c>
      <c r="R107" s="7">
        <f>INDEX(Detail!$C$1:$C$1001,MATCH(B107,Detail!$G$1:$G$1001,0),1)</f>
        <v>168</v>
      </c>
      <c r="S107" s="7">
        <f>INDEX(Detail!$D$1:$D$1001,MATCH(B107,Detail!$G$1:$G$1001,0),1)</f>
        <v>58</v>
      </c>
      <c r="T107" s="7" t="str">
        <f>INDEX(Detail!$E$1:$E$1001,MATCH(Main!B107,Detail!$G$1:$G$1001,0))</f>
        <v>Gg. Moch. Toha No. 99</v>
      </c>
      <c r="U107" s="7" t="str">
        <f>INDEX(Detail!$B$1:$B$1001,MATCH(B107,Detail!$G$1:$G$1001,0),1)</f>
        <v>AB+</v>
      </c>
      <c r="V107" s="7" t="str" cm="1">
        <f t="array" ref="V107">INDEX(Dosen!$B$3:$E$8,MATCH(Main!C107,Dosen!$A$3:$A$8,0),IF(AND(Main!A107&gt;=1,Main!A107&lt;=250),1,IF(AND(Main!A107&gt;=251,Main!A107&lt;=500),2,IF(AND(Main!A107&gt;=501,Main!A107&lt;=750),3,4))))</f>
        <v>Bu Made</v>
      </c>
      <c r="W107" s="7" t="str">
        <f>_xlfn.XLOOKUP(B107,Detail!$G$1:$G$1001,Detail!$B$1:$B$1001)</f>
        <v>AB+</v>
      </c>
    </row>
    <row r="108" spans="1:23" ht="15.75" x14ac:dyDescent="0.25">
      <c r="A108" s="7">
        <v>712</v>
      </c>
      <c r="B108" s="33" t="str">
        <f>CONCATENATE("A",TEXT(Main!A108,"0000"))</f>
        <v>A0712</v>
      </c>
      <c r="C108" s="7" t="s">
        <v>1015</v>
      </c>
      <c r="D108" s="33" t="str">
        <f>VLOOKUP(B108,Detail!$G$1:$H$1001,2,FALSE)</f>
        <v>Laksana Irawan</v>
      </c>
      <c r="E108" s="7">
        <v>77</v>
      </c>
      <c r="F108" s="7">
        <v>55</v>
      </c>
      <c r="G108" s="57">
        <v>46</v>
      </c>
      <c r="H108" s="7">
        <v>68</v>
      </c>
      <c r="I108" s="7">
        <v>85</v>
      </c>
      <c r="J108" s="7">
        <v>65</v>
      </c>
      <c r="K108" s="7">
        <v>75</v>
      </c>
      <c r="L108" s="56">
        <f>IFERROR(VLOOKUP(B108,Absen!$A$1:$C$501,2,FALSE),"No")</f>
        <v>44906</v>
      </c>
      <c r="M108" s="58">
        <f t="shared" si="2"/>
        <v>6.5</v>
      </c>
      <c r="N108" s="57">
        <f t="shared" si="3"/>
        <v>64.325000000000003</v>
      </c>
      <c r="O108" s="7" t="str">
        <f>VLOOKUP(N108,Helper!$B$30:$C$35,2,TRUE)</f>
        <v>C</v>
      </c>
      <c r="P108" s="56">
        <f>INDEX(Detail!$A$1:$A$1001,MATCH(B108,Detail!$G$1:$G$1001,0))</f>
        <v>38375</v>
      </c>
      <c r="Q108" s="33" t="str">
        <f>INDEX(Detail!$F$1:$F$1001,MATCH(Main!B108,Detail!$G$1:$G$1001,0))</f>
        <v>Palu</v>
      </c>
      <c r="R108" s="7">
        <f>INDEX(Detail!$C$1:$C$1001,MATCH(B108,Detail!$G$1:$G$1001,0),1)</f>
        <v>177</v>
      </c>
      <c r="S108" s="7">
        <f>INDEX(Detail!$D$1:$D$1001,MATCH(B108,Detail!$G$1:$G$1001,0),1)</f>
        <v>69</v>
      </c>
      <c r="T108" s="7" t="str">
        <f>INDEX(Detail!$E$1:$E$1001,MATCH(Main!B108,Detail!$G$1:$G$1001,0))</f>
        <v xml:space="preserve">Jl. Ahmad Dahlan No. 1
</v>
      </c>
      <c r="U108" s="7" t="str">
        <f>INDEX(Detail!$B$1:$B$1001,MATCH(B108,Detail!$G$1:$G$1001,0),1)</f>
        <v>AB-</v>
      </c>
      <c r="V108" s="7" t="str" cm="1">
        <f t="array" ref="V108">INDEX(Dosen!$B$3:$E$8,MATCH(Main!C108,Dosen!$A$3:$A$8,0),IF(AND(Main!A108&gt;=1,Main!A108&lt;=250),1,IF(AND(Main!A108&gt;=251,Main!A108&lt;=500),2,IF(AND(Main!A108&gt;=501,Main!A108&lt;=750),3,4))))</f>
        <v>Bu Made</v>
      </c>
      <c r="W108" s="7" t="str">
        <f>_xlfn.XLOOKUP(B108,Detail!$G$1:$G$1001,Detail!$B$1:$B$1001)</f>
        <v>AB-</v>
      </c>
    </row>
    <row r="109" spans="1:23" ht="15.75" x14ac:dyDescent="0.25">
      <c r="A109" s="7">
        <v>722</v>
      </c>
      <c r="B109" s="33" t="str">
        <f>CONCATENATE("A",TEXT(Main!A109,"0000"))</f>
        <v>A0722</v>
      </c>
      <c r="C109" s="7" t="s">
        <v>1015</v>
      </c>
      <c r="D109" s="33" t="str">
        <f>VLOOKUP(B109,Detail!$G$1:$H$1001,2,FALSE)</f>
        <v>Kanda Nugroho</v>
      </c>
      <c r="E109" s="7">
        <v>87</v>
      </c>
      <c r="F109" s="7">
        <v>57</v>
      </c>
      <c r="G109" s="57">
        <v>41</v>
      </c>
      <c r="H109" s="7">
        <v>67</v>
      </c>
      <c r="I109" s="7">
        <v>76</v>
      </c>
      <c r="J109" s="7">
        <v>58</v>
      </c>
      <c r="K109" s="7">
        <v>88</v>
      </c>
      <c r="L109" s="56" t="str">
        <f>IFERROR(VLOOKUP(B109,Absen!$A$1:$C$501,2,FALSE),"No")</f>
        <v>No</v>
      </c>
      <c r="M109" s="58">
        <f t="shared" si="2"/>
        <v>8.8000000000000007</v>
      </c>
      <c r="N109" s="57">
        <f t="shared" si="3"/>
        <v>64.475000000000009</v>
      </c>
      <c r="O109" s="7" t="str">
        <f>VLOOKUP(N109,Helper!$B$30:$C$35,2,TRUE)</f>
        <v>C</v>
      </c>
      <c r="P109" s="56">
        <f>INDEX(Detail!$A$1:$A$1001,MATCH(B109,Detail!$G$1:$G$1001,0))</f>
        <v>37415</v>
      </c>
      <c r="Q109" s="33" t="str">
        <f>INDEX(Detail!$F$1:$F$1001,MATCH(Main!B109,Detail!$G$1:$G$1001,0))</f>
        <v>Salatiga</v>
      </c>
      <c r="R109" s="7">
        <f>INDEX(Detail!$C$1:$C$1001,MATCH(B109,Detail!$G$1:$G$1001,0),1)</f>
        <v>156</v>
      </c>
      <c r="S109" s="7">
        <f>INDEX(Detail!$D$1:$D$1001,MATCH(B109,Detail!$G$1:$G$1001,0),1)</f>
        <v>68</v>
      </c>
      <c r="T109" s="7" t="str">
        <f>INDEX(Detail!$E$1:$E$1001,MATCH(Main!B109,Detail!$G$1:$G$1001,0))</f>
        <v>Jalan Ir. H. Djuanda No. 25</v>
      </c>
      <c r="U109" s="7" t="str">
        <f>INDEX(Detail!$B$1:$B$1001,MATCH(B109,Detail!$G$1:$G$1001,0),1)</f>
        <v>A-</v>
      </c>
      <c r="V109" s="7" t="str" cm="1">
        <f t="array" ref="V109">INDEX(Dosen!$B$3:$E$8,MATCH(Main!C109,Dosen!$A$3:$A$8,0),IF(AND(Main!A109&gt;=1,Main!A109&lt;=250),1,IF(AND(Main!A109&gt;=251,Main!A109&lt;=500),2,IF(AND(Main!A109&gt;=501,Main!A109&lt;=750),3,4))))</f>
        <v>Bu Made</v>
      </c>
      <c r="W109" s="7" t="str">
        <f>_xlfn.XLOOKUP(B109,Detail!$G$1:$G$1001,Detail!$B$1:$B$1001)</f>
        <v>A-</v>
      </c>
    </row>
    <row r="110" spans="1:23" ht="15.75" x14ac:dyDescent="0.25">
      <c r="A110" s="7">
        <v>725</v>
      </c>
      <c r="B110" s="33" t="str">
        <f>CONCATENATE("A",TEXT(Main!A110,"0000"))</f>
        <v>A0725</v>
      </c>
      <c r="C110" s="7" t="s">
        <v>1015</v>
      </c>
      <c r="D110" s="33" t="str">
        <f>VLOOKUP(B110,Detail!$G$1:$H$1001,2,FALSE)</f>
        <v>Labuh Permadi</v>
      </c>
      <c r="E110" s="7">
        <v>87</v>
      </c>
      <c r="F110" s="7">
        <v>49</v>
      </c>
      <c r="G110" s="57">
        <v>82</v>
      </c>
      <c r="H110" s="7">
        <v>62</v>
      </c>
      <c r="I110" s="7">
        <v>93</v>
      </c>
      <c r="J110" s="7">
        <v>58</v>
      </c>
      <c r="K110" s="7">
        <v>71</v>
      </c>
      <c r="L110" s="56" t="str">
        <f>IFERROR(VLOOKUP(B110,Absen!$A$1:$C$501,2,FALSE),"No")</f>
        <v>No</v>
      </c>
      <c r="M110" s="58">
        <f t="shared" si="2"/>
        <v>7.1000000000000005</v>
      </c>
      <c r="N110" s="57">
        <f t="shared" si="3"/>
        <v>71.474999999999994</v>
      </c>
      <c r="O110" s="7" t="str">
        <f>VLOOKUP(N110,Helper!$B$30:$C$35,2,TRUE)</f>
        <v>B</v>
      </c>
      <c r="P110" s="56">
        <f>INDEX(Detail!$A$1:$A$1001,MATCH(B110,Detail!$G$1:$G$1001,0))</f>
        <v>38319</v>
      </c>
      <c r="Q110" s="33" t="str">
        <f>INDEX(Detail!$F$1:$F$1001,MATCH(Main!B110,Detail!$G$1:$G$1001,0))</f>
        <v>Pangkalpinang</v>
      </c>
      <c r="R110" s="7">
        <f>INDEX(Detail!$C$1:$C$1001,MATCH(B110,Detail!$G$1:$G$1001,0),1)</f>
        <v>150</v>
      </c>
      <c r="S110" s="7">
        <f>INDEX(Detail!$D$1:$D$1001,MATCH(B110,Detail!$G$1:$G$1001,0),1)</f>
        <v>85</v>
      </c>
      <c r="T110" s="7" t="str">
        <f>INDEX(Detail!$E$1:$E$1001,MATCH(Main!B110,Detail!$G$1:$G$1001,0))</f>
        <v xml:space="preserve">Jalan Jend. A. Yani No. 2
</v>
      </c>
      <c r="U110" s="7" t="str">
        <f>INDEX(Detail!$B$1:$B$1001,MATCH(B110,Detail!$G$1:$G$1001,0),1)</f>
        <v>B-</v>
      </c>
      <c r="V110" s="7" t="str" cm="1">
        <f t="array" ref="V110">INDEX(Dosen!$B$3:$E$8,MATCH(Main!C110,Dosen!$A$3:$A$8,0),IF(AND(Main!A110&gt;=1,Main!A110&lt;=250),1,IF(AND(Main!A110&gt;=251,Main!A110&lt;=500),2,IF(AND(Main!A110&gt;=501,Main!A110&lt;=750),3,4))))</f>
        <v>Bu Made</v>
      </c>
      <c r="W110" s="7" t="str">
        <f>_xlfn.XLOOKUP(B110,Detail!$G$1:$G$1001,Detail!$B$1:$B$1001)</f>
        <v>B-</v>
      </c>
    </row>
    <row r="111" spans="1:23" ht="15.75" x14ac:dyDescent="0.25">
      <c r="A111" s="7">
        <v>728</v>
      </c>
      <c r="B111" s="33" t="str">
        <f>CONCATENATE("A",TEXT(Main!A111,"0000"))</f>
        <v>A0728</v>
      </c>
      <c r="C111" s="7" t="s">
        <v>1015</v>
      </c>
      <c r="D111" s="33" t="str">
        <f>VLOOKUP(B111,Detail!$G$1:$H$1001,2,FALSE)</f>
        <v>Kenzie Pratama</v>
      </c>
      <c r="E111" s="7">
        <v>67</v>
      </c>
      <c r="F111" s="7">
        <v>47</v>
      </c>
      <c r="G111" s="57">
        <v>36</v>
      </c>
      <c r="H111" s="7">
        <v>68</v>
      </c>
      <c r="I111" s="7">
        <v>80</v>
      </c>
      <c r="J111" s="7">
        <v>99</v>
      </c>
      <c r="K111" s="7">
        <v>60</v>
      </c>
      <c r="L111" s="56" t="str">
        <f>IFERROR(VLOOKUP(B111,Absen!$A$1:$C$501,2,FALSE),"No")</f>
        <v>No</v>
      </c>
      <c r="M111" s="58">
        <f t="shared" si="2"/>
        <v>6</v>
      </c>
      <c r="N111" s="57">
        <f t="shared" si="3"/>
        <v>65.75</v>
      </c>
      <c r="O111" s="7" t="str">
        <f>VLOOKUP(N111,Helper!$B$30:$C$35,2,TRUE)</f>
        <v>C</v>
      </c>
      <c r="P111" s="56">
        <f>INDEX(Detail!$A$1:$A$1001,MATCH(B111,Detail!$G$1:$G$1001,0))</f>
        <v>38260</v>
      </c>
      <c r="Q111" s="33" t="str">
        <f>INDEX(Detail!$F$1:$F$1001,MATCH(Main!B111,Detail!$G$1:$G$1001,0))</f>
        <v>Kupang</v>
      </c>
      <c r="R111" s="7">
        <f>INDEX(Detail!$C$1:$C$1001,MATCH(B111,Detail!$G$1:$G$1001,0),1)</f>
        <v>167</v>
      </c>
      <c r="S111" s="7">
        <f>INDEX(Detail!$D$1:$D$1001,MATCH(B111,Detail!$G$1:$G$1001,0),1)</f>
        <v>72</v>
      </c>
      <c r="T111" s="7" t="str">
        <f>INDEX(Detail!$E$1:$E$1001,MATCH(Main!B111,Detail!$G$1:$G$1001,0))</f>
        <v xml:space="preserve">Jl. Gegerkalong Hilir No. 8
</v>
      </c>
      <c r="U111" s="7" t="str">
        <f>INDEX(Detail!$B$1:$B$1001,MATCH(B111,Detail!$G$1:$G$1001,0),1)</f>
        <v>AB+</v>
      </c>
      <c r="V111" s="7" t="str" cm="1">
        <f t="array" ref="V111">INDEX(Dosen!$B$3:$E$8,MATCH(Main!C111,Dosen!$A$3:$A$8,0),IF(AND(Main!A111&gt;=1,Main!A111&lt;=250),1,IF(AND(Main!A111&gt;=251,Main!A111&lt;=500),2,IF(AND(Main!A111&gt;=501,Main!A111&lt;=750),3,4))))</f>
        <v>Bu Made</v>
      </c>
      <c r="W111" s="7" t="str">
        <f>_xlfn.XLOOKUP(B111,Detail!$G$1:$G$1001,Detail!$B$1:$B$1001)</f>
        <v>AB+</v>
      </c>
    </row>
    <row r="112" spans="1:23" ht="15.75" x14ac:dyDescent="0.25">
      <c r="A112" s="7">
        <v>737</v>
      </c>
      <c r="B112" s="33" t="str">
        <f>CONCATENATE("A",TEXT(Main!A112,"0000"))</f>
        <v>A0737</v>
      </c>
      <c r="C112" s="7" t="s">
        <v>1015</v>
      </c>
      <c r="D112" s="33" t="str">
        <f>VLOOKUP(B112,Detail!$G$1:$H$1001,2,FALSE)</f>
        <v>Himawan Ardianto</v>
      </c>
      <c r="E112" s="7">
        <v>80</v>
      </c>
      <c r="F112" s="7">
        <v>66</v>
      </c>
      <c r="G112" s="57">
        <v>89</v>
      </c>
      <c r="H112" s="7">
        <v>60</v>
      </c>
      <c r="I112" s="7">
        <v>86</v>
      </c>
      <c r="J112" s="7">
        <v>75</v>
      </c>
      <c r="K112" s="7">
        <v>89</v>
      </c>
      <c r="L112" s="56" t="str">
        <f>IFERROR(VLOOKUP(B112,Absen!$A$1:$C$501,2,FALSE),"No")</f>
        <v>No</v>
      </c>
      <c r="M112" s="58">
        <f t="shared" si="2"/>
        <v>8.9</v>
      </c>
      <c r="N112" s="57">
        <f t="shared" si="3"/>
        <v>78.2</v>
      </c>
      <c r="O112" s="7" t="str">
        <f>VLOOKUP(N112,Helper!$B$30:$C$35,2,TRUE)</f>
        <v>B</v>
      </c>
      <c r="P112" s="56">
        <f>INDEX(Detail!$A$1:$A$1001,MATCH(B112,Detail!$G$1:$G$1001,0))</f>
        <v>37134</v>
      </c>
      <c r="Q112" s="33" t="str">
        <f>INDEX(Detail!$F$1:$F$1001,MATCH(Main!B112,Detail!$G$1:$G$1001,0))</f>
        <v>Kota Administrasi Jakarta Pusat</v>
      </c>
      <c r="R112" s="7">
        <f>INDEX(Detail!$C$1:$C$1001,MATCH(B112,Detail!$G$1:$G$1001,0),1)</f>
        <v>154</v>
      </c>
      <c r="S112" s="7">
        <f>INDEX(Detail!$D$1:$D$1001,MATCH(B112,Detail!$G$1:$G$1001,0),1)</f>
        <v>52</v>
      </c>
      <c r="T112" s="7" t="str">
        <f>INDEX(Detail!$E$1:$E$1001,MATCH(Main!B112,Detail!$G$1:$G$1001,0))</f>
        <v xml:space="preserve">Gang Medokan Ayu No. 4
</v>
      </c>
      <c r="U112" s="7" t="str">
        <f>INDEX(Detail!$B$1:$B$1001,MATCH(B112,Detail!$G$1:$G$1001,0),1)</f>
        <v>AB-</v>
      </c>
      <c r="V112" s="7" t="str" cm="1">
        <f t="array" ref="V112">INDEX(Dosen!$B$3:$E$8,MATCH(Main!C112,Dosen!$A$3:$A$8,0),IF(AND(Main!A112&gt;=1,Main!A112&lt;=250),1,IF(AND(Main!A112&gt;=251,Main!A112&lt;=500),2,IF(AND(Main!A112&gt;=501,Main!A112&lt;=750),3,4))))</f>
        <v>Bu Made</v>
      </c>
      <c r="W112" s="7" t="str">
        <f>_xlfn.XLOOKUP(B112,Detail!$G$1:$G$1001,Detail!$B$1:$B$1001)</f>
        <v>AB-</v>
      </c>
    </row>
    <row r="113" spans="1:23" ht="15.75" x14ac:dyDescent="0.25">
      <c r="A113" s="7">
        <v>741</v>
      </c>
      <c r="B113" s="33" t="str">
        <f>CONCATENATE("A",TEXT(Main!A113,"0000"))</f>
        <v>A0741</v>
      </c>
      <c r="C113" s="7" t="s">
        <v>1015</v>
      </c>
      <c r="D113" s="33" t="str">
        <f>VLOOKUP(B113,Detail!$G$1:$H$1001,2,FALSE)</f>
        <v>Kawaya Firgantoro</v>
      </c>
      <c r="E113" s="7">
        <v>60</v>
      </c>
      <c r="F113" s="7">
        <v>44</v>
      </c>
      <c r="G113" s="57">
        <v>85</v>
      </c>
      <c r="H113" s="7">
        <v>56</v>
      </c>
      <c r="I113" s="7">
        <v>76</v>
      </c>
      <c r="J113" s="7">
        <v>92</v>
      </c>
      <c r="K113" s="7">
        <v>70</v>
      </c>
      <c r="L113" s="56" t="str">
        <f>IFERROR(VLOOKUP(B113,Absen!$A$1:$C$501,2,FALSE),"No")</f>
        <v>No</v>
      </c>
      <c r="M113" s="58">
        <f t="shared" si="2"/>
        <v>7</v>
      </c>
      <c r="N113" s="57">
        <f t="shared" si="3"/>
        <v>71.900000000000006</v>
      </c>
      <c r="O113" s="7" t="str">
        <f>VLOOKUP(N113,Helper!$B$30:$C$35,2,TRUE)</f>
        <v>B</v>
      </c>
      <c r="P113" s="56">
        <f>INDEX(Detail!$A$1:$A$1001,MATCH(B113,Detail!$G$1:$G$1001,0))</f>
        <v>38035</v>
      </c>
      <c r="Q113" s="33" t="str">
        <f>INDEX(Detail!$F$1:$F$1001,MATCH(Main!B113,Detail!$G$1:$G$1001,0))</f>
        <v>Palangkaraya</v>
      </c>
      <c r="R113" s="7">
        <f>INDEX(Detail!$C$1:$C$1001,MATCH(B113,Detail!$G$1:$G$1001,0),1)</f>
        <v>152</v>
      </c>
      <c r="S113" s="7">
        <f>INDEX(Detail!$D$1:$D$1001,MATCH(B113,Detail!$G$1:$G$1001,0),1)</f>
        <v>82</v>
      </c>
      <c r="T113" s="7" t="str">
        <f>INDEX(Detail!$E$1:$E$1001,MATCH(Main!B113,Detail!$G$1:$G$1001,0))</f>
        <v>Jl. Bangka Raya No. 76</v>
      </c>
      <c r="U113" s="7" t="str">
        <f>INDEX(Detail!$B$1:$B$1001,MATCH(B113,Detail!$G$1:$G$1001,0),1)</f>
        <v>AB-</v>
      </c>
      <c r="V113" s="7" t="str" cm="1">
        <f t="array" ref="V113">INDEX(Dosen!$B$3:$E$8,MATCH(Main!C113,Dosen!$A$3:$A$8,0),IF(AND(Main!A113&gt;=1,Main!A113&lt;=250),1,IF(AND(Main!A113&gt;=251,Main!A113&lt;=500),2,IF(AND(Main!A113&gt;=501,Main!A113&lt;=750),3,4))))</f>
        <v>Bu Made</v>
      </c>
      <c r="W113" s="7" t="str">
        <f>_xlfn.XLOOKUP(B113,Detail!$G$1:$G$1001,Detail!$B$1:$B$1001)</f>
        <v>AB-</v>
      </c>
    </row>
    <row r="114" spans="1:23" ht="15.75" x14ac:dyDescent="0.25">
      <c r="A114" s="7">
        <v>746</v>
      </c>
      <c r="B114" s="33" t="str">
        <f>CONCATENATE("A",TEXT(Main!A114,"0000"))</f>
        <v>A0746</v>
      </c>
      <c r="C114" s="7" t="s">
        <v>1015</v>
      </c>
      <c r="D114" s="33" t="str">
        <f>VLOOKUP(B114,Detail!$G$1:$H$1001,2,FALSE)</f>
        <v>Citra Sudiati</v>
      </c>
      <c r="E114" s="7">
        <v>94</v>
      </c>
      <c r="F114" s="7">
        <v>62</v>
      </c>
      <c r="G114" s="57">
        <v>55</v>
      </c>
      <c r="H114" s="7">
        <v>54</v>
      </c>
      <c r="I114" s="7">
        <v>66</v>
      </c>
      <c r="J114" s="7">
        <v>45</v>
      </c>
      <c r="K114" s="7">
        <v>86</v>
      </c>
      <c r="L114" s="56">
        <f>IFERROR(VLOOKUP(B114,Absen!$A$1:$C$501,2,FALSE),"No")</f>
        <v>44748</v>
      </c>
      <c r="M114" s="58">
        <f t="shared" si="2"/>
        <v>7.6000000000000005</v>
      </c>
      <c r="N114" s="57">
        <f t="shared" si="3"/>
        <v>62.1</v>
      </c>
      <c r="O114" s="7" t="str">
        <f>VLOOKUP(N114,Helper!$B$30:$C$35,2,TRUE)</f>
        <v>C</v>
      </c>
      <c r="P114" s="56">
        <f>INDEX(Detail!$A$1:$A$1001,MATCH(B114,Detail!$G$1:$G$1001,0))</f>
        <v>37101</v>
      </c>
      <c r="Q114" s="33" t="str">
        <f>INDEX(Detail!$F$1:$F$1001,MATCH(Main!B114,Detail!$G$1:$G$1001,0))</f>
        <v>Tomohon</v>
      </c>
      <c r="R114" s="7">
        <f>INDEX(Detail!$C$1:$C$1001,MATCH(B114,Detail!$G$1:$G$1001,0),1)</f>
        <v>150</v>
      </c>
      <c r="S114" s="7">
        <f>INDEX(Detail!$D$1:$D$1001,MATCH(B114,Detail!$G$1:$G$1001,0),1)</f>
        <v>84</v>
      </c>
      <c r="T114" s="7" t="str">
        <f>INDEX(Detail!$E$1:$E$1001,MATCH(Main!B114,Detail!$G$1:$G$1001,0))</f>
        <v>Jl. Soekarno Hatta No. 42</v>
      </c>
      <c r="U114" s="7" t="str">
        <f>INDEX(Detail!$B$1:$B$1001,MATCH(B114,Detail!$G$1:$G$1001,0),1)</f>
        <v>B-</v>
      </c>
      <c r="V114" s="7" t="str" cm="1">
        <f t="array" ref="V114">INDEX(Dosen!$B$3:$E$8,MATCH(Main!C114,Dosen!$A$3:$A$8,0),IF(AND(Main!A114&gt;=1,Main!A114&lt;=250),1,IF(AND(Main!A114&gt;=251,Main!A114&lt;=500),2,IF(AND(Main!A114&gt;=501,Main!A114&lt;=750),3,4))))</f>
        <v>Bu Made</v>
      </c>
      <c r="W114" s="7" t="str">
        <f>_xlfn.XLOOKUP(B114,Detail!$G$1:$G$1001,Detail!$B$1:$B$1001)</f>
        <v>B-</v>
      </c>
    </row>
    <row r="115" spans="1:23" ht="15.75" x14ac:dyDescent="0.25">
      <c r="A115" s="7">
        <v>753</v>
      </c>
      <c r="B115" s="33" t="str">
        <f>CONCATENATE("A",TEXT(Main!A115,"0000"))</f>
        <v>A0753</v>
      </c>
      <c r="C115" s="7" t="s">
        <v>1015</v>
      </c>
      <c r="D115" s="33" t="str">
        <f>VLOOKUP(B115,Detail!$G$1:$H$1001,2,FALSE)</f>
        <v>Maras Salahudin</v>
      </c>
      <c r="E115" s="7">
        <v>92</v>
      </c>
      <c r="F115" s="7">
        <v>71</v>
      </c>
      <c r="G115" s="57">
        <v>67</v>
      </c>
      <c r="H115" s="7">
        <v>68</v>
      </c>
      <c r="I115" s="7">
        <v>58</v>
      </c>
      <c r="J115" s="7">
        <v>58</v>
      </c>
      <c r="K115" s="7">
        <v>74</v>
      </c>
      <c r="L115" s="56" t="str">
        <f>IFERROR(VLOOKUP(B115,Absen!$A$1:$C$501,2,FALSE),"No")</f>
        <v>No</v>
      </c>
      <c r="M115" s="58">
        <f t="shared" si="2"/>
        <v>7.4</v>
      </c>
      <c r="N115" s="57">
        <f t="shared" si="3"/>
        <v>68.525000000000006</v>
      </c>
      <c r="O115" s="7" t="str">
        <f>VLOOKUP(N115,Helper!$B$30:$C$35,2,TRUE)</f>
        <v>C</v>
      </c>
      <c r="P115" s="56">
        <f>INDEX(Detail!$A$1:$A$1001,MATCH(B115,Detail!$G$1:$G$1001,0))</f>
        <v>37409</v>
      </c>
      <c r="Q115" s="33" t="str">
        <f>INDEX(Detail!$F$1:$F$1001,MATCH(Main!B115,Detail!$G$1:$G$1001,0))</f>
        <v>Purwokerto</v>
      </c>
      <c r="R115" s="7">
        <f>INDEX(Detail!$C$1:$C$1001,MATCH(B115,Detail!$G$1:$G$1001,0),1)</f>
        <v>154</v>
      </c>
      <c r="S115" s="7">
        <f>INDEX(Detail!$D$1:$D$1001,MATCH(B115,Detail!$G$1:$G$1001,0),1)</f>
        <v>75</v>
      </c>
      <c r="T115" s="7" t="str">
        <f>INDEX(Detail!$E$1:$E$1001,MATCH(Main!B115,Detail!$G$1:$G$1001,0))</f>
        <v>Jl. Dr. Djunjunan No. 75</v>
      </c>
      <c r="U115" s="7" t="str">
        <f>INDEX(Detail!$B$1:$B$1001,MATCH(B115,Detail!$G$1:$G$1001,0),1)</f>
        <v>A+</v>
      </c>
      <c r="V115" s="7" t="str" cm="1">
        <f t="array" ref="V115">INDEX(Dosen!$B$3:$E$8,MATCH(Main!C115,Dosen!$A$3:$A$8,0),IF(AND(Main!A115&gt;=1,Main!A115&lt;=250),1,IF(AND(Main!A115&gt;=251,Main!A115&lt;=500),2,IF(AND(Main!A115&gt;=501,Main!A115&lt;=750),3,4))))</f>
        <v>Pak Krisna</v>
      </c>
      <c r="W115" s="7" t="str">
        <f>_xlfn.XLOOKUP(B115,Detail!$G$1:$G$1001,Detail!$B$1:$B$1001)</f>
        <v>A+</v>
      </c>
    </row>
    <row r="116" spans="1:23" ht="15.75" x14ac:dyDescent="0.25">
      <c r="A116" s="7">
        <v>758</v>
      </c>
      <c r="B116" s="33" t="str">
        <f>CONCATENATE("A",TEXT(Main!A116,"0000"))</f>
        <v>A0758</v>
      </c>
      <c r="C116" s="7" t="s">
        <v>1015</v>
      </c>
      <c r="D116" s="33" t="str">
        <f>VLOOKUP(B116,Detail!$G$1:$H$1001,2,FALSE)</f>
        <v>Wani Kuswandari</v>
      </c>
      <c r="E116" s="7">
        <v>69</v>
      </c>
      <c r="F116" s="7">
        <v>67</v>
      </c>
      <c r="G116" s="57">
        <v>35</v>
      </c>
      <c r="H116" s="7">
        <v>66</v>
      </c>
      <c r="I116" s="7">
        <v>83</v>
      </c>
      <c r="J116" s="7">
        <v>64</v>
      </c>
      <c r="K116" s="7">
        <v>80</v>
      </c>
      <c r="L116" s="56">
        <f>IFERROR(VLOOKUP(B116,Absen!$A$1:$C$501,2,FALSE),"No")</f>
        <v>44800</v>
      </c>
      <c r="M116" s="58">
        <f t="shared" si="2"/>
        <v>7</v>
      </c>
      <c r="N116" s="57">
        <f t="shared" si="3"/>
        <v>62.424999999999997</v>
      </c>
      <c r="O116" s="7" t="str">
        <f>VLOOKUP(N116,Helper!$B$30:$C$35,2,TRUE)</f>
        <v>C</v>
      </c>
      <c r="P116" s="56">
        <f>INDEX(Detail!$A$1:$A$1001,MATCH(B116,Detail!$G$1:$G$1001,0))</f>
        <v>37085</v>
      </c>
      <c r="Q116" s="33" t="str">
        <f>INDEX(Detail!$F$1:$F$1001,MATCH(Main!B116,Detail!$G$1:$G$1001,0))</f>
        <v>Bontang</v>
      </c>
      <c r="R116" s="7">
        <f>INDEX(Detail!$C$1:$C$1001,MATCH(B116,Detail!$G$1:$G$1001,0),1)</f>
        <v>153</v>
      </c>
      <c r="S116" s="7">
        <f>INDEX(Detail!$D$1:$D$1001,MATCH(B116,Detail!$G$1:$G$1001,0),1)</f>
        <v>76</v>
      </c>
      <c r="T116" s="7" t="str">
        <f>INDEX(Detail!$E$1:$E$1001,MATCH(Main!B116,Detail!$G$1:$G$1001,0))</f>
        <v>Jl. Rungkut Industri No. 62</v>
      </c>
      <c r="U116" s="7" t="str">
        <f>INDEX(Detail!$B$1:$B$1001,MATCH(B116,Detail!$G$1:$G$1001,0),1)</f>
        <v>A+</v>
      </c>
      <c r="V116" s="7" t="str" cm="1">
        <f t="array" ref="V116">INDEX(Dosen!$B$3:$E$8,MATCH(Main!C116,Dosen!$A$3:$A$8,0),IF(AND(Main!A116&gt;=1,Main!A116&lt;=250),1,IF(AND(Main!A116&gt;=251,Main!A116&lt;=500),2,IF(AND(Main!A116&gt;=501,Main!A116&lt;=750),3,4))))</f>
        <v>Pak Krisna</v>
      </c>
      <c r="W116" s="7" t="str">
        <f>_xlfn.XLOOKUP(B116,Detail!$G$1:$G$1001,Detail!$B$1:$B$1001)</f>
        <v>A+</v>
      </c>
    </row>
    <row r="117" spans="1:23" ht="15.75" x14ac:dyDescent="0.25">
      <c r="A117" s="7">
        <v>759</v>
      </c>
      <c r="B117" s="33" t="str">
        <f>CONCATENATE("A",TEXT(Main!A117,"0000"))</f>
        <v>A0759</v>
      </c>
      <c r="C117" s="7" t="s">
        <v>1015</v>
      </c>
      <c r="D117" s="33" t="str">
        <f>VLOOKUP(B117,Detail!$G$1:$H$1001,2,FALSE)</f>
        <v>Irfan Handayani</v>
      </c>
      <c r="E117" s="7">
        <v>67</v>
      </c>
      <c r="F117" s="7">
        <v>65</v>
      </c>
      <c r="G117" s="57">
        <v>75</v>
      </c>
      <c r="H117" s="7">
        <v>52</v>
      </c>
      <c r="I117" s="7">
        <v>83</v>
      </c>
      <c r="J117" s="7">
        <v>56</v>
      </c>
      <c r="K117" s="7">
        <v>82</v>
      </c>
      <c r="L117" s="56" t="str">
        <f>IFERROR(VLOOKUP(B117,Absen!$A$1:$C$501,2,FALSE),"No")</f>
        <v>No</v>
      </c>
      <c r="M117" s="58">
        <f t="shared" si="2"/>
        <v>8.2000000000000011</v>
      </c>
      <c r="N117" s="57">
        <f t="shared" si="3"/>
        <v>67.775000000000006</v>
      </c>
      <c r="O117" s="7" t="str">
        <f>VLOOKUP(N117,Helper!$B$30:$C$35,2,TRUE)</f>
        <v>C</v>
      </c>
      <c r="P117" s="56">
        <f>INDEX(Detail!$A$1:$A$1001,MATCH(B117,Detail!$G$1:$G$1001,0))</f>
        <v>37888</v>
      </c>
      <c r="Q117" s="33" t="str">
        <f>INDEX(Detail!$F$1:$F$1001,MATCH(Main!B117,Detail!$G$1:$G$1001,0))</f>
        <v>Prabumulih</v>
      </c>
      <c r="R117" s="7">
        <f>INDEX(Detail!$C$1:$C$1001,MATCH(B117,Detail!$G$1:$G$1001,0),1)</f>
        <v>150</v>
      </c>
      <c r="S117" s="7">
        <f>INDEX(Detail!$D$1:$D$1001,MATCH(B117,Detail!$G$1:$G$1001,0),1)</f>
        <v>79</v>
      </c>
      <c r="T117" s="7" t="str">
        <f>INDEX(Detail!$E$1:$E$1001,MATCH(Main!B117,Detail!$G$1:$G$1001,0))</f>
        <v>Gg. Surapati No. 68</v>
      </c>
      <c r="U117" s="7" t="str">
        <f>INDEX(Detail!$B$1:$B$1001,MATCH(B117,Detail!$G$1:$G$1001,0),1)</f>
        <v>AB+</v>
      </c>
      <c r="V117" s="7" t="str" cm="1">
        <f t="array" ref="V117">INDEX(Dosen!$B$3:$E$8,MATCH(Main!C117,Dosen!$A$3:$A$8,0),IF(AND(Main!A117&gt;=1,Main!A117&lt;=250),1,IF(AND(Main!A117&gt;=251,Main!A117&lt;=500),2,IF(AND(Main!A117&gt;=501,Main!A117&lt;=750),3,4))))</f>
        <v>Pak Krisna</v>
      </c>
      <c r="W117" s="7" t="str">
        <f>_xlfn.XLOOKUP(B117,Detail!$G$1:$G$1001,Detail!$B$1:$B$1001)</f>
        <v>AB+</v>
      </c>
    </row>
    <row r="118" spans="1:23" ht="15.75" x14ac:dyDescent="0.25">
      <c r="A118" s="7">
        <v>762</v>
      </c>
      <c r="B118" s="33" t="str">
        <f>CONCATENATE("A",TEXT(Main!A118,"0000"))</f>
        <v>A0762</v>
      </c>
      <c r="C118" s="7" t="s">
        <v>1015</v>
      </c>
      <c r="D118" s="33" t="str">
        <f>VLOOKUP(B118,Detail!$G$1:$H$1001,2,FALSE)</f>
        <v>Argono Padmasari</v>
      </c>
      <c r="E118" s="7">
        <v>78</v>
      </c>
      <c r="F118" s="7">
        <v>73</v>
      </c>
      <c r="G118" s="57">
        <v>93</v>
      </c>
      <c r="H118" s="7">
        <v>75</v>
      </c>
      <c r="I118" s="7">
        <v>54</v>
      </c>
      <c r="J118" s="7">
        <v>54</v>
      </c>
      <c r="K118" s="7">
        <v>82</v>
      </c>
      <c r="L118" s="56" t="str">
        <f>IFERROR(VLOOKUP(B118,Absen!$A$1:$C$501,2,FALSE),"No")</f>
        <v>No</v>
      </c>
      <c r="M118" s="58">
        <f t="shared" si="2"/>
        <v>8.2000000000000011</v>
      </c>
      <c r="N118" s="57">
        <f t="shared" si="3"/>
        <v>72.600000000000009</v>
      </c>
      <c r="O118" s="7" t="str">
        <f>VLOOKUP(N118,Helper!$B$30:$C$35,2,TRUE)</f>
        <v>B</v>
      </c>
      <c r="P118" s="56">
        <f>INDEX(Detail!$A$1:$A$1001,MATCH(B118,Detail!$G$1:$G$1001,0))</f>
        <v>37481</v>
      </c>
      <c r="Q118" s="33" t="str">
        <f>INDEX(Detail!$F$1:$F$1001,MATCH(Main!B118,Detail!$G$1:$G$1001,0))</f>
        <v>Padang</v>
      </c>
      <c r="R118" s="7">
        <f>INDEX(Detail!$C$1:$C$1001,MATCH(B118,Detail!$G$1:$G$1001,0),1)</f>
        <v>164</v>
      </c>
      <c r="S118" s="7">
        <f>INDEX(Detail!$D$1:$D$1001,MATCH(B118,Detail!$G$1:$G$1001,0),1)</f>
        <v>94</v>
      </c>
      <c r="T118" s="7" t="str">
        <f>INDEX(Detail!$E$1:$E$1001,MATCH(Main!B118,Detail!$G$1:$G$1001,0))</f>
        <v>Gg. Ahmad Yani No. 79</v>
      </c>
      <c r="U118" s="7" t="str">
        <f>INDEX(Detail!$B$1:$B$1001,MATCH(B118,Detail!$G$1:$G$1001,0),1)</f>
        <v>O-</v>
      </c>
      <c r="V118" s="7" t="str" cm="1">
        <f t="array" ref="V118">INDEX(Dosen!$B$3:$E$8,MATCH(Main!C118,Dosen!$A$3:$A$8,0),IF(AND(Main!A118&gt;=1,Main!A118&lt;=250),1,IF(AND(Main!A118&gt;=251,Main!A118&lt;=500),2,IF(AND(Main!A118&gt;=501,Main!A118&lt;=750),3,4))))</f>
        <v>Pak Krisna</v>
      </c>
      <c r="W118" s="7" t="str">
        <f>_xlfn.XLOOKUP(B118,Detail!$G$1:$G$1001,Detail!$B$1:$B$1001)</f>
        <v>O-</v>
      </c>
    </row>
    <row r="119" spans="1:23" ht="15.75" x14ac:dyDescent="0.25">
      <c r="A119" s="7">
        <v>763</v>
      </c>
      <c r="B119" s="33" t="str">
        <f>CONCATENATE("A",TEXT(Main!A119,"0000"))</f>
        <v>A0763</v>
      </c>
      <c r="C119" s="7" t="s">
        <v>1015</v>
      </c>
      <c r="D119" s="33" t="str">
        <f>VLOOKUP(B119,Detail!$G$1:$H$1001,2,FALSE)</f>
        <v>Maryadi Hakim</v>
      </c>
      <c r="E119" s="7">
        <v>90</v>
      </c>
      <c r="F119" s="7">
        <v>48</v>
      </c>
      <c r="G119" s="57">
        <v>54</v>
      </c>
      <c r="H119" s="7">
        <v>53</v>
      </c>
      <c r="I119" s="7">
        <v>50</v>
      </c>
      <c r="J119" s="7">
        <v>57</v>
      </c>
      <c r="K119" s="7">
        <v>71</v>
      </c>
      <c r="L119" s="56">
        <f>IFERROR(VLOOKUP(B119,Absen!$A$1:$C$501,2,FALSE),"No")</f>
        <v>44819</v>
      </c>
      <c r="M119" s="58">
        <f t="shared" si="2"/>
        <v>6.1000000000000005</v>
      </c>
      <c r="N119" s="57">
        <f t="shared" si="3"/>
        <v>58.424999999999997</v>
      </c>
      <c r="O119" s="7" t="str">
        <f>VLOOKUP(N119,Helper!$B$30:$C$35,2,TRUE)</f>
        <v>D</v>
      </c>
      <c r="P119" s="56">
        <f>INDEX(Detail!$A$1:$A$1001,MATCH(B119,Detail!$G$1:$G$1001,0))</f>
        <v>37918</v>
      </c>
      <c r="Q119" s="33" t="str">
        <f>INDEX(Detail!$F$1:$F$1001,MATCH(Main!B119,Detail!$G$1:$G$1001,0))</f>
        <v>Bontang</v>
      </c>
      <c r="R119" s="7">
        <f>INDEX(Detail!$C$1:$C$1001,MATCH(B119,Detail!$G$1:$G$1001,0),1)</f>
        <v>155</v>
      </c>
      <c r="S119" s="7">
        <f>INDEX(Detail!$D$1:$D$1001,MATCH(B119,Detail!$G$1:$G$1001,0),1)</f>
        <v>48</v>
      </c>
      <c r="T119" s="7" t="str">
        <f>INDEX(Detail!$E$1:$E$1001,MATCH(Main!B119,Detail!$G$1:$G$1001,0))</f>
        <v>Gg. Pasir Koja No. 91</v>
      </c>
      <c r="U119" s="7" t="str">
        <f>INDEX(Detail!$B$1:$B$1001,MATCH(B119,Detail!$G$1:$G$1001,0),1)</f>
        <v>AB+</v>
      </c>
      <c r="V119" s="7" t="str" cm="1">
        <f t="array" ref="V119">INDEX(Dosen!$B$3:$E$8,MATCH(Main!C119,Dosen!$A$3:$A$8,0),IF(AND(Main!A119&gt;=1,Main!A119&lt;=250),1,IF(AND(Main!A119&gt;=251,Main!A119&lt;=500),2,IF(AND(Main!A119&gt;=501,Main!A119&lt;=750),3,4))))</f>
        <v>Pak Krisna</v>
      </c>
      <c r="W119" s="7" t="str">
        <f>_xlfn.XLOOKUP(B119,Detail!$G$1:$G$1001,Detail!$B$1:$B$1001)</f>
        <v>AB+</v>
      </c>
    </row>
    <row r="120" spans="1:23" ht="15.75" x14ac:dyDescent="0.25">
      <c r="A120" s="7">
        <v>766</v>
      </c>
      <c r="B120" s="33" t="str">
        <f>CONCATENATE("A",TEXT(Main!A120,"0000"))</f>
        <v>A0766</v>
      </c>
      <c r="C120" s="7" t="s">
        <v>1015</v>
      </c>
      <c r="D120" s="33" t="str">
        <f>VLOOKUP(B120,Detail!$G$1:$H$1001,2,FALSE)</f>
        <v>Dariati Wastuti</v>
      </c>
      <c r="E120" s="7">
        <v>81</v>
      </c>
      <c r="F120" s="7">
        <v>74</v>
      </c>
      <c r="G120" s="57">
        <v>94</v>
      </c>
      <c r="H120" s="7">
        <v>59</v>
      </c>
      <c r="I120" s="7">
        <v>66</v>
      </c>
      <c r="J120" s="7">
        <v>49</v>
      </c>
      <c r="K120" s="7">
        <v>88</v>
      </c>
      <c r="L120" s="56">
        <f>IFERROR(VLOOKUP(B120,Absen!$A$1:$C$501,2,FALSE),"No")</f>
        <v>44892</v>
      </c>
      <c r="M120" s="58">
        <f t="shared" si="2"/>
        <v>7.8000000000000007</v>
      </c>
      <c r="N120" s="57">
        <f t="shared" si="3"/>
        <v>71.399999999999991</v>
      </c>
      <c r="O120" s="7" t="str">
        <f>VLOOKUP(N120,Helper!$B$30:$C$35,2,TRUE)</f>
        <v>B</v>
      </c>
      <c r="P120" s="56">
        <f>INDEX(Detail!$A$1:$A$1001,MATCH(B120,Detail!$G$1:$G$1001,0))</f>
        <v>37405</v>
      </c>
      <c r="Q120" s="33" t="str">
        <f>INDEX(Detail!$F$1:$F$1001,MATCH(Main!B120,Detail!$G$1:$G$1001,0))</f>
        <v>Kota Administrasi Jakarta Utara</v>
      </c>
      <c r="R120" s="7">
        <f>INDEX(Detail!$C$1:$C$1001,MATCH(B120,Detail!$G$1:$G$1001,0),1)</f>
        <v>176</v>
      </c>
      <c r="S120" s="7">
        <f>INDEX(Detail!$D$1:$D$1001,MATCH(B120,Detail!$G$1:$G$1001,0),1)</f>
        <v>63</v>
      </c>
      <c r="T120" s="7" t="str">
        <f>INDEX(Detail!$E$1:$E$1001,MATCH(Main!B120,Detail!$G$1:$G$1001,0))</f>
        <v xml:space="preserve">Jalan Rawamangun No. 7
</v>
      </c>
      <c r="U120" s="7" t="str">
        <f>INDEX(Detail!$B$1:$B$1001,MATCH(B120,Detail!$G$1:$G$1001,0),1)</f>
        <v>B+</v>
      </c>
      <c r="V120" s="7" t="str" cm="1">
        <f t="array" ref="V120">INDEX(Dosen!$B$3:$E$8,MATCH(Main!C120,Dosen!$A$3:$A$8,0),IF(AND(Main!A120&gt;=1,Main!A120&lt;=250),1,IF(AND(Main!A120&gt;=251,Main!A120&lt;=500),2,IF(AND(Main!A120&gt;=501,Main!A120&lt;=750),3,4))))</f>
        <v>Pak Krisna</v>
      </c>
      <c r="W120" s="7" t="str">
        <f>_xlfn.XLOOKUP(B120,Detail!$G$1:$G$1001,Detail!$B$1:$B$1001)</f>
        <v>B+</v>
      </c>
    </row>
    <row r="121" spans="1:23" ht="15.75" x14ac:dyDescent="0.25">
      <c r="A121" s="7">
        <v>774</v>
      </c>
      <c r="B121" s="33" t="str">
        <f>CONCATENATE("A",TEXT(Main!A121,"0000"))</f>
        <v>A0774</v>
      </c>
      <c r="C121" s="7" t="s">
        <v>1015</v>
      </c>
      <c r="D121" s="33" t="str">
        <f>VLOOKUP(B121,Detail!$G$1:$H$1001,2,FALSE)</f>
        <v>Dono Mansur</v>
      </c>
      <c r="E121" s="7">
        <v>54</v>
      </c>
      <c r="F121" s="7">
        <v>55</v>
      </c>
      <c r="G121" s="57">
        <v>36</v>
      </c>
      <c r="H121" s="7">
        <v>56</v>
      </c>
      <c r="I121" s="7">
        <v>65</v>
      </c>
      <c r="J121" s="7">
        <v>48</v>
      </c>
      <c r="K121" s="7">
        <v>76</v>
      </c>
      <c r="L121" s="56" t="str">
        <f>IFERROR(VLOOKUP(B121,Absen!$A$1:$C$501,2,FALSE),"No")</f>
        <v>No</v>
      </c>
      <c r="M121" s="58">
        <f t="shared" si="2"/>
        <v>7.6000000000000005</v>
      </c>
      <c r="N121" s="57">
        <f t="shared" si="3"/>
        <v>53.150000000000006</v>
      </c>
      <c r="O121" s="7" t="str">
        <f>VLOOKUP(N121,Helper!$B$30:$C$35,2,TRUE)</f>
        <v>D</v>
      </c>
      <c r="P121" s="56">
        <f>INDEX(Detail!$A$1:$A$1001,MATCH(B121,Detail!$G$1:$G$1001,0))</f>
        <v>37902</v>
      </c>
      <c r="Q121" s="33" t="str">
        <f>INDEX(Detail!$F$1:$F$1001,MATCH(Main!B121,Detail!$G$1:$G$1001,0))</f>
        <v>Bandar Lampung</v>
      </c>
      <c r="R121" s="7">
        <f>INDEX(Detail!$C$1:$C$1001,MATCH(B121,Detail!$G$1:$G$1001,0),1)</f>
        <v>157</v>
      </c>
      <c r="S121" s="7">
        <f>INDEX(Detail!$D$1:$D$1001,MATCH(B121,Detail!$G$1:$G$1001,0),1)</f>
        <v>79</v>
      </c>
      <c r="T121" s="7" t="str">
        <f>INDEX(Detail!$E$1:$E$1001,MATCH(Main!B121,Detail!$G$1:$G$1001,0))</f>
        <v xml:space="preserve">Gg. Pasirkoja No. 2
</v>
      </c>
      <c r="U121" s="7" t="str">
        <f>INDEX(Detail!$B$1:$B$1001,MATCH(B121,Detail!$G$1:$G$1001,0),1)</f>
        <v>O-</v>
      </c>
      <c r="V121" s="7" t="str" cm="1">
        <f t="array" ref="V121">INDEX(Dosen!$B$3:$E$8,MATCH(Main!C121,Dosen!$A$3:$A$8,0),IF(AND(Main!A121&gt;=1,Main!A121&lt;=250),1,IF(AND(Main!A121&gt;=251,Main!A121&lt;=500),2,IF(AND(Main!A121&gt;=501,Main!A121&lt;=750),3,4))))</f>
        <v>Pak Krisna</v>
      </c>
      <c r="W121" s="7" t="str">
        <f>_xlfn.XLOOKUP(B121,Detail!$G$1:$G$1001,Detail!$B$1:$B$1001)</f>
        <v>O-</v>
      </c>
    </row>
    <row r="122" spans="1:23" ht="15.75" x14ac:dyDescent="0.25">
      <c r="A122" s="7">
        <v>775</v>
      </c>
      <c r="B122" s="33" t="str">
        <f>CONCATENATE("A",TEXT(Main!A122,"0000"))</f>
        <v>A0775</v>
      </c>
      <c r="C122" s="7" t="s">
        <v>1015</v>
      </c>
      <c r="D122" s="33" t="str">
        <f>VLOOKUP(B122,Detail!$G$1:$H$1001,2,FALSE)</f>
        <v>Baktiadi Purnawati</v>
      </c>
      <c r="E122" s="7">
        <v>84</v>
      </c>
      <c r="F122" s="7">
        <v>73</v>
      </c>
      <c r="G122" s="57">
        <v>38</v>
      </c>
      <c r="H122" s="7">
        <v>75</v>
      </c>
      <c r="I122" s="7">
        <v>70</v>
      </c>
      <c r="J122" s="7">
        <v>77</v>
      </c>
      <c r="K122" s="7">
        <v>69</v>
      </c>
      <c r="L122" s="56">
        <f>IFERROR(VLOOKUP(B122,Absen!$A$1:$C$501,2,FALSE),"No")</f>
        <v>44834</v>
      </c>
      <c r="M122" s="58">
        <f t="shared" si="2"/>
        <v>5.9</v>
      </c>
      <c r="N122" s="57">
        <f t="shared" si="3"/>
        <v>66.650000000000006</v>
      </c>
      <c r="O122" s="7" t="str">
        <f>VLOOKUP(N122,Helper!$B$30:$C$35,2,TRUE)</f>
        <v>C</v>
      </c>
      <c r="P122" s="56">
        <f>INDEX(Detail!$A$1:$A$1001,MATCH(B122,Detail!$G$1:$G$1001,0))</f>
        <v>37473</v>
      </c>
      <c r="Q122" s="33" t="str">
        <f>INDEX(Detail!$F$1:$F$1001,MATCH(Main!B122,Detail!$G$1:$G$1001,0))</f>
        <v>Cimahi</v>
      </c>
      <c r="R122" s="7">
        <f>INDEX(Detail!$C$1:$C$1001,MATCH(B122,Detail!$G$1:$G$1001,0),1)</f>
        <v>180</v>
      </c>
      <c r="S122" s="7">
        <f>INDEX(Detail!$D$1:$D$1001,MATCH(B122,Detail!$G$1:$G$1001,0),1)</f>
        <v>84</v>
      </c>
      <c r="T122" s="7" t="str">
        <f>INDEX(Detail!$E$1:$E$1001,MATCH(Main!B122,Detail!$G$1:$G$1001,0))</f>
        <v>Jalan Rawamangun No. 49</v>
      </c>
      <c r="U122" s="7" t="str">
        <f>INDEX(Detail!$B$1:$B$1001,MATCH(B122,Detail!$G$1:$G$1001,0),1)</f>
        <v>A+</v>
      </c>
      <c r="V122" s="7" t="str" cm="1">
        <f t="array" ref="V122">INDEX(Dosen!$B$3:$E$8,MATCH(Main!C122,Dosen!$A$3:$A$8,0),IF(AND(Main!A122&gt;=1,Main!A122&lt;=250),1,IF(AND(Main!A122&gt;=251,Main!A122&lt;=500),2,IF(AND(Main!A122&gt;=501,Main!A122&lt;=750),3,4))))</f>
        <v>Pak Krisna</v>
      </c>
      <c r="W122" s="7" t="str">
        <f>_xlfn.XLOOKUP(B122,Detail!$G$1:$G$1001,Detail!$B$1:$B$1001)</f>
        <v>A+</v>
      </c>
    </row>
    <row r="123" spans="1:23" ht="15.75" x14ac:dyDescent="0.25">
      <c r="A123" s="7">
        <v>780</v>
      </c>
      <c r="B123" s="33" t="str">
        <f>CONCATENATE("A",TEXT(Main!A123,"0000"))</f>
        <v>A0780</v>
      </c>
      <c r="C123" s="7" t="s">
        <v>1015</v>
      </c>
      <c r="D123" s="33" t="str">
        <f>VLOOKUP(B123,Detail!$G$1:$H$1001,2,FALSE)</f>
        <v>Dwi Latupono</v>
      </c>
      <c r="E123" s="7">
        <v>65</v>
      </c>
      <c r="F123" s="7">
        <v>54</v>
      </c>
      <c r="G123" s="57">
        <v>79</v>
      </c>
      <c r="H123" s="7">
        <v>64</v>
      </c>
      <c r="I123" s="7">
        <v>58</v>
      </c>
      <c r="J123" s="7">
        <v>54</v>
      </c>
      <c r="K123" s="7">
        <v>69</v>
      </c>
      <c r="L123" s="56" t="str">
        <f>IFERROR(VLOOKUP(B123,Absen!$A$1:$C$501,2,FALSE),"No")</f>
        <v>No</v>
      </c>
      <c r="M123" s="58">
        <f t="shared" si="2"/>
        <v>6.9</v>
      </c>
      <c r="N123" s="57">
        <f t="shared" si="3"/>
        <v>63.624999999999993</v>
      </c>
      <c r="O123" s="7" t="str">
        <f>VLOOKUP(N123,Helper!$B$30:$C$35,2,TRUE)</f>
        <v>C</v>
      </c>
      <c r="P123" s="56">
        <f>INDEX(Detail!$A$1:$A$1001,MATCH(B123,Detail!$G$1:$G$1001,0))</f>
        <v>37453</v>
      </c>
      <c r="Q123" s="33" t="str">
        <f>INDEX(Detail!$F$1:$F$1001,MATCH(Main!B123,Detail!$G$1:$G$1001,0))</f>
        <v>Padang</v>
      </c>
      <c r="R123" s="7">
        <f>INDEX(Detail!$C$1:$C$1001,MATCH(B123,Detail!$G$1:$G$1001,0),1)</f>
        <v>165</v>
      </c>
      <c r="S123" s="7">
        <f>INDEX(Detail!$D$1:$D$1001,MATCH(B123,Detail!$G$1:$G$1001,0),1)</f>
        <v>64</v>
      </c>
      <c r="T123" s="7" t="str">
        <f>INDEX(Detail!$E$1:$E$1001,MATCH(Main!B123,Detail!$G$1:$G$1001,0))</f>
        <v xml:space="preserve">Jl. Jend. A. Yani No. 1
</v>
      </c>
      <c r="U123" s="7" t="str">
        <f>INDEX(Detail!$B$1:$B$1001,MATCH(B123,Detail!$G$1:$G$1001,0),1)</f>
        <v>A-</v>
      </c>
      <c r="V123" s="7" t="str" cm="1">
        <f t="array" ref="V123">INDEX(Dosen!$B$3:$E$8,MATCH(Main!C123,Dosen!$A$3:$A$8,0),IF(AND(Main!A123&gt;=1,Main!A123&lt;=250),1,IF(AND(Main!A123&gt;=251,Main!A123&lt;=500),2,IF(AND(Main!A123&gt;=501,Main!A123&lt;=750),3,4))))</f>
        <v>Pak Krisna</v>
      </c>
      <c r="W123" s="7" t="str">
        <f>_xlfn.XLOOKUP(B123,Detail!$G$1:$G$1001,Detail!$B$1:$B$1001)</f>
        <v>A-</v>
      </c>
    </row>
    <row r="124" spans="1:23" ht="15.75" x14ac:dyDescent="0.25">
      <c r="A124" s="7">
        <v>789</v>
      </c>
      <c r="B124" s="33" t="str">
        <f>CONCATENATE("A",TEXT(Main!A124,"0000"))</f>
        <v>A0789</v>
      </c>
      <c r="C124" s="7" t="s">
        <v>1015</v>
      </c>
      <c r="D124" s="33" t="str">
        <f>VLOOKUP(B124,Detail!$G$1:$H$1001,2,FALSE)</f>
        <v>Bahuwirya Rajasa</v>
      </c>
      <c r="E124" s="7">
        <v>53</v>
      </c>
      <c r="F124" s="7">
        <v>50</v>
      </c>
      <c r="G124" s="57">
        <v>68</v>
      </c>
      <c r="H124" s="7">
        <v>51</v>
      </c>
      <c r="I124" s="7">
        <v>91</v>
      </c>
      <c r="J124" s="7">
        <v>69</v>
      </c>
      <c r="K124" s="7">
        <v>100</v>
      </c>
      <c r="L124" s="56">
        <f>IFERROR(VLOOKUP(B124,Absen!$A$1:$C$501,2,FALSE),"No")</f>
        <v>44778</v>
      </c>
      <c r="M124" s="58">
        <f t="shared" si="2"/>
        <v>9</v>
      </c>
      <c r="N124" s="57">
        <f t="shared" si="3"/>
        <v>67.025000000000006</v>
      </c>
      <c r="O124" s="7" t="str">
        <f>VLOOKUP(N124,Helper!$B$30:$C$35,2,TRUE)</f>
        <v>C</v>
      </c>
      <c r="P124" s="56">
        <f>INDEX(Detail!$A$1:$A$1001,MATCH(B124,Detail!$G$1:$G$1001,0))</f>
        <v>37554</v>
      </c>
      <c r="Q124" s="33" t="str">
        <f>INDEX(Detail!$F$1:$F$1001,MATCH(Main!B124,Detail!$G$1:$G$1001,0))</f>
        <v>Kota Administrasi Jakarta Utara</v>
      </c>
      <c r="R124" s="7">
        <f>INDEX(Detail!$C$1:$C$1001,MATCH(B124,Detail!$G$1:$G$1001,0),1)</f>
        <v>166</v>
      </c>
      <c r="S124" s="7">
        <f>INDEX(Detail!$D$1:$D$1001,MATCH(B124,Detail!$G$1:$G$1001,0),1)</f>
        <v>48</v>
      </c>
      <c r="T124" s="7" t="str">
        <f>INDEX(Detail!$E$1:$E$1001,MATCH(Main!B124,Detail!$G$1:$G$1001,0))</f>
        <v>Jalan Cihampelas No. 01</v>
      </c>
      <c r="U124" s="7" t="str">
        <f>INDEX(Detail!$B$1:$B$1001,MATCH(B124,Detail!$G$1:$G$1001,0),1)</f>
        <v>O-</v>
      </c>
      <c r="V124" s="7" t="str" cm="1">
        <f t="array" ref="V124">INDEX(Dosen!$B$3:$E$8,MATCH(Main!C124,Dosen!$A$3:$A$8,0),IF(AND(Main!A124&gt;=1,Main!A124&lt;=250),1,IF(AND(Main!A124&gt;=251,Main!A124&lt;=500),2,IF(AND(Main!A124&gt;=501,Main!A124&lt;=750),3,4))))</f>
        <v>Pak Krisna</v>
      </c>
      <c r="W124" s="7" t="str">
        <f>_xlfn.XLOOKUP(B124,Detail!$G$1:$G$1001,Detail!$B$1:$B$1001)</f>
        <v>O-</v>
      </c>
    </row>
    <row r="125" spans="1:23" ht="15.75" x14ac:dyDescent="0.25">
      <c r="A125" s="7">
        <v>797</v>
      </c>
      <c r="B125" s="33" t="str">
        <f>CONCATENATE("A",TEXT(Main!A125,"0000"))</f>
        <v>A0797</v>
      </c>
      <c r="C125" s="7" t="s">
        <v>1015</v>
      </c>
      <c r="D125" s="33" t="str">
        <f>VLOOKUP(B125,Detail!$G$1:$H$1001,2,FALSE)</f>
        <v>Ghaliyati Rajasa</v>
      </c>
      <c r="E125" s="7">
        <v>89</v>
      </c>
      <c r="F125" s="7">
        <v>54</v>
      </c>
      <c r="G125" s="57">
        <v>91</v>
      </c>
      <c r="H125" s="7">
        <v>62</v>
      </c>
      <c r="I125" s="7">
        <v>80</v>
      </c>
      <c r="J125" s="7">
        <v>77</v>
      </c>
      <c r="K125" s="7">
        <v>90</v>
      </c>
      <c r="L125" s="56" t="str">
        <f>IFERROR(VLOOKUP(B125,Absen!$A$1:$C$501,2,FALSE),"No")</f>
        <v>No</v>
      </c>
      <c r="M125" s="58">
        <f t="shared" si="2"/>
        <v>9</v>
      </c>
      <c r="N125" s="57">
        <f t="shared" si="3"/>
        <v>78.225000000000009</v>
      </c>
      <c r="O125" s="7" t="str">
        <f>VLOOKUP(N125,Helper!$B$30:$C$35,2,TRUE)</f>
        <v>B</v>
      </c>
      <c r="P125" s="56">
        <f>INDEX(Detail!$A$1:$A$1001,MATCH(B125,Detail!$G$1:$G$1001,0))</f>
        <v>38359</v>
      </c>
      <c r="Q125" s="33" t="str">
        <f>INDEX(Detail!$F$1:$F$1001,MATCH(Main!B125,Detail!$G$1:$G$1001,0))</f>
        <v>Tangerang</v>
      </c>
      <c r="R125" s="7">
        <f>INDEX(Detail!$C$1:$C$1001,MATCH(B125,Detail!$G$1:$G$1001,0),1)</f>
        <v>161</v>
      </c>
      <c r="S125" s="7">
        <f>INDEX(Detail!$D$1:$D$1001,MATCH(B125,Detail!$G$1:$G$1001,0),1)</f>
        <v>64</v>
      </c>
      <c r="T125" s="7" t="str">
        <f>INDEX(Detail!$E$1:$E$1001,MATCH(Main!B125,Detail!$G$1:$G$1001,0))</f>
        <v>Jl. Joyoboyo No. 21</v>
      </c>
      <c r="U125" s="7" t="str">
        <f>INDEX(Detail!$B$1:$B$1001,MATCH(B125,Detail!$G$1:$G$1001,0),1)</f>
        <v>A+</v>
      </c>
      <c r="V125" s="7" t="str" cm="1">
        <f t="array" ref="V125">INDEX(Dosen!$B$3:$E$8,MATCH(Main!C125,Dosen!$A$3:$A$8,0),IF(AND(Main!A125&gt;=1,Main!A125&lt;=250),1,IF(AND(Main!A125&gt;=251,Main!A125&lt;=500),2,IF(AND(Main!A125&gt;=501,Main!A125&lt;=750),3,4))))</f>
        <v>Pak Krisna</v>
      </c>
      <c r="W125" s="7" t="str">
        <f>_xlfn.XLOOKUP(B125,Detail!$G$1:$G$1001,Detail!$B$1:$B$1001)</f>
        <v>A+</v>
      </c>
    </row>
    <row r="126" spans="1:23" ht="15.75" x14ac:dyDescent="0.25">
      <c r="A126" s="7">
        <v>803</v>
      </c>
      <c r="B126" s="33" t="str">
        <f>CONCATENATE("A",TEXT(Main!A126,"0000"))</f>
        <v>A0803</v>
      </c>
      <c r="C126" s="7" t="s">
        <v>1015</v>
      </c>
      <c r="D126" s="33" t="str">
        <f>VLOOKUP(B126,Detail!$G$1:$H$1001,2,FALSE)</f>
        <v>Najam Prayoga</v>
      </c>
      <c r="E126" s="7">
        <v>74</v>
      </c>
      <c r="F126" s="7">
        <v>51</v>
      </c>
      <c r="G126" s="57">
        <v>92</v>
      </c>
      <c r="H126" s="7">
        <v>74</v>
      </c>
      <c r="I126" s="7">
        <v>77</v>
      </c>
      <c r="J126" s="7">
        <v>93</v>
      </c>
      <c r="K126" s="7">
        <v>62</v>
      </c>
      <c r="L126" s="56">
        <f>IFERROR(VLOOKUP(B126,Absen!$A$1:$C$501,2,FALSE),"No")</f>
        <v>44768</v>
      </c>
      <c r="M126" s="58">
        <f t="shared" si="2"/>
        <v>5.2</v>
      </c>
      <c r="N126" s="57">
        <f t="shared" si="3"/>
        <v>76.7</v>
      </c>
      <c r="O126" s="7" t="str">
        <f>VLOOKUP(N126,Helper!$B$30:$C$35,2,TRUE)</f>
        <v>B</v>
      </c>
      <c r="P126" s="56">
        <f>INDEX(Detail!$A$1:$A$1001,MATCH(B126,Detail!$G$1:$G$1001,0))</f>
        <v>38251</v>
      </c>
      <c r="Q126" s="33" t="str">
        <f>INDEX(Detail!$F$1:$F$1001,MATCH(Main!B126,Detail!$G$1:$G$1001,0))</f>
        <v>Bau-Bau</v>
      </c>
      <c r="R126" s="7">
        <f>INDEX(Detail!$C$1:$C$1001,MATCH(B126,Detail!$G$1:$G$1001,0),1)</f>
        <v>152</v>
      </c>
      <c r="S126" s="7">
        <f>INDEX(Detail!$D$1:$D$1001,MATCH(B126,Detail!$G$1:$G$1001,0),1)</f>
        <v>78</v>
      </c>
      <c r="T126" s="7" t="str">
        <f>INDEX(Detail!$E$1:$E$1001,MATCH(Main!B126,Detail!$G$1:$G$1001,0))</f>
        <v xml:space="preserve">Gang Gardujati No. 0
</v>
      </c>
      <c r="U126" s="7" t="str">
        <f>INDEX(Detail!$B$1:$B$1001,MATCH(B126,Detail!$G$1:$G$1001,0),1)</f>
        <v>B-</v>
      </c>
      <c r="V126" s="7" t="str" cm="1">
        <f t="array" ref="V126">INDEX(Dosen!$B$3:$E$8,MATCH(Main!C126,Dosen!$A$3:$A$8,0),IF(AND(Main!A126&gt;=1,Main!A126&lt;=250),1,IF(AND(Main!A126&gt;=251,Main!A126&lt;=500),2,IF(AND(Main!A126&gt;=501,Main!A126&lt;=750),3,4))))</f>
        <v>Pak Krisna</v>
      </c>
      <c r="W126" s="7" t="str">
        <f>_xlfn.XLOOKUP(B126,Detail!$G$1:$G$1001,Detail!$B$1:$B$1001)</f>
        <v>B-</v>
      </c>
    </row>
    <row r="127" spans="1:23" ht="15.75" x14ac:dyDescent="0.25">
      <c r="A127" s="7">
        <v>805</v>
      </c>
      <c r="B127" s="33" t="str">
        <f>CONCATENATE("A",TEXT(Main!A127,"0000"))</f>
        <v>A0805</v>
      </c>
      <c r="C127" s="7" t="s">
        <v>1015</v>
      </c>
      <c r="D127" s="33" t="str">
        <f>VLOOKUP(B127,Detail!$G$1:$H$1001,2,FALSE)</f>
        <v>Tari Waskita</v>
      </c>
      <c r="E127" s="7">
        <v>67</v>
      </c>
      <c r="F127" s="7">
        <v>45</v>
      </c>
      <c r="G127" s="57">
        <v>69</v>
      </c>
      <c r="H127" s="7">
        <v>74</v>
      </c>
      <c r="I127" s="7">
        <v>50</v>
      </c>
      <c r="J127" s="7">
        <v>90</v>
      </c>
      <c r="K127" s="7">
        <v>96</v>
      </c>
      <c r="L127" s="56">
        <f>IFERROR(VLOOKUP(B127,Absen!$A$1:$C$501,2,FALSE),"No")</f>
        <v>44802</v>
      </c>
      <c r="M127" s="58">
        <f t="shared" si="2"/>
        <v>8.6</v>
      </c>
      <c r="N127" s="57">
        <f t="shared" si="3"/>
        <v>69.899999999999991</v>
      </c>
      <c r="O127" s="7" t="str">
        <f>VLOOKUP(N127,Helper!$B$30:$C$35,2,TRUE)</f>
        <v>C</v>
      </c>
      <c r="P127" s="56">
        <f>INDEX(Detail!$A$1:$A$1001,MATCH(B127,Detail!$G$1:$G$1001,0))</f>
        <v>37282</v>
      </c>
      <c r="Q127" s="33" t="str">
        <f>INDEX(Detail!$F$1:$F$1001,MATCH(Main!B127,Detail!$G$1:$G$1001,0))</f>
        <v>Tangerang Selatan</v>
      </c>
      <c r="R127" s="7">
        <f>INDEX(Detail!$C$1:$C$1001,MATCH(B127,Detail!$G$1:$G$1001,0),1)</f>
        <v>179</v>
      </c>
      <c r="S127" s="7">
        <f>INDEX(Detail!$D$1:$D$1001,MATCH(B127,Detail!$G$1:$G$1001,0),1)</f>
        <v>48</v>
      </c>
      <c r="T127" s="7" t="str">
        <f>INDEX(Detail!$E$1:$E$1001,MATCH(Main!B127,Detail!$G$1:$G$1001,0))</f>
        <v>Gang Rajawali Timur No. 93</v>
      </c>
      <c r="U127" s="7" t="str">
        <f>INDEX(Detail!$B$1:$B$1001,MATCH(B127,Detail!$G$1:$G$1001,0),1)</f>
        <v>O+</v>
      </c>
      <c r="V127" s="7" t="str" cm="1">
        <f t="array" ref="V127">INDEX(Dosen!$B$3:$E$8,MATCH(Main!C127,Dosen!$A$3:$A$8,0),IF(AND(Main!A127&gt;=1,Main!A127&lt;=250),1,IF(AND(Main!A127&gt;=251,Main!A127&lt;=500),2,IF(AND(Main!A127&gt;=501,Main!A127&lt;=750),3,4))))</f>
        <v>Pak Krisna</v>
      </c>
      <c r="W127" s="7" t="str">
        <f>_xlfn.XLOOKUP(B127,Detail!$G$1:$G$1001,Detail!$B$1:$B$1001)</f>
        <v>O+</v>
      </c>
    </row>
    <row r="128" spans="1:23" ht="15.75" x14ac:dyDescent="0.25">
      <c r="A128" s="7">
        <v>812</v>
      </c>
      <c r="B128" s="33" t="str">
        <f>CONCATENATE("A",TEXT(Main!A128,"0000"))</f>
        <v>A0812</v>
      </c>
      <c r="C128" s="7" t="s">
        <v>1015</v>
      </c>
      <c r="D128" s="33" t="str">
        <f>VLOOKUP(B128,Detail!$G$1:$H$1001,2,FALSE)</f>
        <v>Jasmin Narpati</v>
      </c>
      <c r="E128" s="7">
        <v>93</v>
      </c>
      <c r="F128" s="7">
        <v>73</v>
      </c>
      <c r="G128" s="57">
        <v>57</v>
      </c>
      <c r="H128" s="7">
        <v>71</v>
      </c>
      <c r="I128" s="7">
        <v>86</v>
      </c>
      <c r="J128" s="7">
        <v>59</v>
      </c>
      <c r="K128" s="7">
        <v>60</v>
      </c>
      <c r="L128" s="56" t="str">
        <f>IFERROR(VLOOKUP(B128,Absen!$A$1:$C$501,2,FALSE),"No")</f>
        <v>No</v>
      </c>
      <c r="M128" s="58">
        <f t="shared" si="2"/>
        <v>6</v>
      </c>
      <c r="N128" s="57">
        <f t="shared" si="3"/>
        <v>69.575000000000003</v>
      </c>
      <c r="O128" s="7" t="str">
        <f>VLOOKUP(N128,Helper!$B$30:$C$35,2,TRUE)</f>
        <v>C</v>
      </c>
      <c r="P128" s="56">
        <f>INDEX(Detail!$A$1:$A$1001,MATCH(B128,Detail!$G$1:$G$1001,0))</f>
        <v>38113</v>
      </c>
      <c r="Q128" s="33" t="str">
        <f>INDEX(Detail!$F$1:$F$1001,MATCH(Main!B128,Detail!$G$1:$G$1001,0))</f>
        <v>Bima</v>
      </c>
      <c r="R128" s="7">
        <f>INDEX(Detail!$C$1:$C$1001,MATCH(B128,Detail!$G$1:$G$1001,0),1)</f>
        <v>162</v>
      </c>
      <c r="S128" s="7">
        <f>INDEX(Detail!$D$1:$D$1001,MATCH(B128,Detail!$G$1:$G$1001,0),1)</f>
        <v>65</v>
      </c>
      <c r="T128" s="7" t="str">
        <f>INDEX(Detail!$E$1:$E$1001,MATCH(Main!B128,Detail!$G$1:$G$1001,0))</f>
        <v xml:space="preserve">Gang Suryakencana No. 9
</v>
      </c>
      <c r="U128" s="7" t="str">
        <f>INDEX(Detail!$B$1:$B$1001,MATCH(B128,Detail!$G$1:$G$1001,0),1)</f>
        <v>A+</v>
      </c>
      <c r="V128" s="7" t="str" cm="1">
        <f t="array" ref="V128">INDEX(Dosen!$B$3:$E$8,MATCH(Main!C128,Dosen!$A$3:$A$8,0),IF(AND(Main!A128&gt;=1,Main!A128&lt;=250),1,IF(AND(Main!A128&gt;=251,Main!A128&lt;=500),2,IF(AND(Main!A128&gt;=501,Main!A128&lt;=750),3,4))))</f>
        <v>Pak Krisna</v>
      </c>
      <c r="W128" s="7" t="str">
        <f>_xlfn.XLOOKUP(B128,Detail!$G$1:$G$1001,Detail!$B$1:$B$1001)</f>
        <v>A+</v>
      </c>
    </row>
    <row r="129" spans="1:23" ht="15.75" x14ac:dyDescent="0.25">
      <c r="A129" s="7">
        <v>813</v>
      </c>
      <c r="B129" s="33" t="str">
        <f>CONCATENATE("A",TEXT(Main!A129,"0000"))</f>
        <v>A0813</v>
      </c>
      <c r="C129" s="7" t="s">
        <v>1015</v>
      </c>
      <c r="D129" s="33" t="str">
        <f>VLOOKUP(B129,Detail!$G$1:$H$1001,2,FALSE)</f>
        <v>Jindra Wibowo</v>
      </c>
      <c r="E129" s="7">
        <v>58</v>
      </c>
      <c r="F129" s="7">
        <v>57</v>
      </c>
      <c r="G129" s="57">
        <v>34</v>
      </c>
      <c r="H129" s="7">
        <v>74</v>
      </c>
      <c r="I129" s="7">
        <v>62</v>
      </c>
      <c r="J129" s="7">
        <v>72</v>
      </c>
      <c r="K129" s="7">
        <v>66</v>
      </c>
      <c r="L129" s="56">
        <f>IFERROR(VLOOKUP(B129,Absen!$A$1:$C$501,2,FALSE),"No")</f>
        <v>44783</v>
      </c>
      <c r="M129" s="58">
        <f t="shared" si="2"/>
        <v>5.6000000000000005</v>
      </c>
      <c r="N129" s="57">
        <f t="shared" si="3"/>
        <v>58.174999999999997</v>
      </c>
      <c r="O129" s="7" t="str">
        <f>VLOOKUP(N129,Helper!$B$30:$C$35,2,TRUE)</f>
        <v>D</v>
      </c>
      <c r="P129" s="56">
        <f>INDEX(Detail!$A$1:$A$1001,MATCH(B129,Detail!$G$1:$G$1001,0))</f>
        <v>37629</v>
      </c>
      <c r="Q129" s="33" t="str">
        <f>INDEX(Detail!$F$1:$F$1001,MATCH(Main!B129,Detail!$G$1:$G$1001,0))</f>
        <v>Banjarmasin</v>
      </c>
      <c r="R129" s="7">
        <f>INDEX(Detail!$C$1:$C$1001,MATCH(B129,Detail!$G$1:$G$1001,0),1)</f>
        <v>180</v>
      </c>
      <c r="S129" s="7">
        <f>INDEX(Detail!$D$1:$D$1001,MATCH(B129,Detail!$G$1:$G$1001,0),1)</f>
        <v>53</v>
      </c>
      <c r="T129" s="7" t="str">
        <f>INDEX(Detail!$E$1:$E$1001,MATCH(Main!B129,Detail!$G$1:$G$1001,0))</f>
        <v>Gg. Tebet Barat Dalam No. 45</v>
      </c>
      <c r="U129" s="7" t="str">
        <f>INDEX(Detail!$B$1:$B$1001,MATCH(B129,Detail!$G$1:$G$1001,0),1)</f>
        <v>O-</v>
      </c>
      <c r="V129" s="7" t="str" cm="1">
        <f t="array" ref="V129">INDEX(Dosen!$B$3:$E$8,MATCH(Main!C129,Dosen!$A$3:$A$8,0),IF(AND(Main!A129&gt;=1,Main!A129&lt;=250),1,IF(AND(Main!A129&gt;=251,Main!A129&lt;=500),2,IF(AND(Main!A129&gt;=501,Main!A129&lt;=750),3,4))))</f>
        <v>Pak Krisna</v>
      </c>
      <c r="W129" s="7" t="str">
        <f>_xlfn.XLOOKUP(B129,Detail!$G$1:$G$1001,Detail!$B$1:$B$1001)</f>
        <v>O-</v>
      </c>
    </row>
    <row r="130" spans="1:23" ht="15.75" x14ac:dyDescent="0.25">
      <c r="A130" s="7">
        <v>816</v>
      </c>
      <c r="B130" s="33" t="str">
        <f>CONCATENATE("A",TEXT(Main!A130,"0000"))</f>
        <v>A0816</v>
      </c>
      <c r="C130" s="7" t="s">
        <v>1015</v>
      </c>
      <c r="D130" s="33" t="str">
        <f>VLOOKUP(B130,Detail!$G$1:$H$1001,2,FALSE)</f>
        <v>Banara Suartini</v>
      </c>
      <c r="E130" s="7">
        <v>69</v>
      </c>
      <c r="F130" s="7">
        <v>74</v>
      </c>
      <c r="G130" s="57">
        <v>33</v>
      </c>
      <c r="H130" s="7">
        <v>73</v>
      </c>
      <c r="I130" s="7">
        <v>64</v>
      </c>
      <c r="J130" s="7">
        <v>91</v>
      </c>
      <c r="K130" s="7">
        <v>100</v>
      </c>
      <c r="L130" s="56" t="str">
        <f>IFERROR(VLOOKUP(B130,Absen!$A$1:$C$501,2,FALSE),"No")</f>
        <v>No</v>
      </c>
      <c r="M130" s="58">
        <f t="shared" ref="M130:M193" si="4">IF(L130="no",K130,K130-10)*10%</f>
        <v>10</v>
      </c>
      <c r="N130" s="57">
        <f t="shared" ref="N130:N193" si="5">SUM(E130*12.5%,F130*12.5%,H130*12.5%,I130*12.5%,G130*20%,J130*20%,M130)</f>
        <v>69.8</v>
      </c>
      <c r="O130" s="7" t="str">
        <f>VLOOKUP(N130,Helper!$B$30:$C$35,2,TRUE)</f>
        <v>C</v>
      </c>
      <c r="P130" s="56">
        <f>INDEX(Detail!$A$1:$A$1001,MATCH(B130,Detail!$G$1:$G$1001,0))</f>
        <v>37108</v>
      </c>
      <c r="Q130" s="33" t="str">
        <f>INDEX(Detail!$F$1:$F$1001,MATCH(Main!B130,Detail!$G$1:$G$1001,0))</f>
        <v>Bukittinggi</v>
      </c>
      <c r="R130" s="7">
        <f>INDEX(Detail!$C$1:$C$1001,MATCH(B130,Detail!$G$1:$G$1001,0),1)</f>
        <v>176</v>
      </c>
      <c r="S130" s="7">
        <f>INDEX(Detail!$D$1:$D$1001,MATCH(B130,Detail!$G$1:$G$1001,0),1)</f>
        <v>82</v>
      </c>
      <c r="T130" s="7" t="str">
        <f>INDEX(Detail!$E$1:$E$1001,MATCH(Main!B130,Detail!$G$1:$G$1001,0))</f>
        <v>Gg. Monginsidi No. 16</v>
      </c>
      <c r="U130" s="7" t="str">
        <f>INDEX(Detail!$B$1:$B$1001,MATCH(B130,Detail!$G$1:$G$1001,0),1)</f>
        <v>AB+</v>
      </c>
      <c r="V130" s="7" t="str" cm="1">
        <f t="array" ref="V130">INDEX(Dosen!$B$3:$E$8,MATCH(Main!C130,Dosen!$A$3:$A$8,0),IF(AND(Main!A130&gt;=1,Main!A130&lt;=250),1,IF(AND(Main!A130&gt;=251,Main!A130&lt;=500),2,IF(AND(Main!A130&gt;=501,Main!A130&lt;=750),3,4))))</f>
        <v>Pak Krisna</v>
      </c>
      <c r="W130" s="7" t="str">
        <f>_xlfn.XLOOKUP(B130,Detail!$G$1:$G$1001,Detail!$B$1:$B$1001)</f>
        <v>AB+</v>
      </c>
    </row>
    <row r="131" spans="1:23" ht="15.75" x14ac:dyDescent="0.25">
      <c r="A131" s="7">
        <v>819</v>
      </c>
      <c r="B131" s="33" t="str">
        <f>CONCATENATE("A",TEXT(Main!A131,"0000"))</f>
        <v>A0819</v>
      </c>
      <c r="C131" s="7" t="s">
        <v>1015</v>
      </c>
      <c r="D131" s="33" t="str">
        <f>VLOOKUP(B131,Detail!$G$1:$H$1001,2,FALSE)</f>
        <v>Budi Sihotang</v>
      </c>
      <c r="E131" s="7">
        <v>75</v>
      </c>
      <c r="F131" s="7">
        <v>68</v>
      </c>
      <c r="G131" s="57">
        <v>55</v>
      </c>
      <c r="H131" s="7">
        <v>61</v>
      </c>
      <c r="I131" s="7">
        <v>95</v>
      </c>
      <c r="J131" s="7">
        <v>87</v>
      </c>
      <c r="K131" s="7">
        <v>88</v>
      </c>
      <c r="L131" s="56">
        <f>IFERROR(VLOOKUP(B131,Absen!$A$1:$C$501,2,FALSE),"No")</f>
        <v>44856</v>
      </c>
      <c r="M131" s="58">
        <f t="shared" si="4"/>
        <v>7.8000000000000007</v>
      </c>
      <c r="N131" s="57">
        <f t="shared" si="5"/>
        <v>73.575000000000003</v>
      </c>
      <c r="O131" s="7" t="str">
        <f>VLOOKUP(N131,Helper!$B$30:$C$35,2,TRUE)</f>
        <v>B</v>
      </c>
      <c r="P131" s="56">
        <f>INDEX(Detail!$A$1:$A$1001,MATCH(B131,Detail!$G$1:$G$1001,0))</f>
        <v>37119</v>
      </c>
      <c r="Q131" s="33" t="str">
        <f>INDEX(Detail!$F$1:$F$1001,MATCH(Main!B131,Detail!$G$1:$G$1001,0))</f>
        <v>Blitar</v>
      </c>
      <c r="R131" s="7">
        <f>INDEX(Detail!$C$1:$C$1001,MATCH(B131,Detail!$G$1:$G$1001,0),1)</f>
        <v>174</v>
      </c>
      <c r="S131" s="7">
        <f>INDEX(Detail!$D$1:$D$1001,MATCH(B131,Detail!$G$1:$G$1001,0),1)</f>
        <v>93</v>
      </c>
      <c r="T131" s="7" t="str">
        <f>INDEX(Detail!$E$1:$E$1001,MATCH(Main!B131,Detail!$G$1:$G$1001,0))</f>
        <v xml:space="preserve">Jl. Cikutra Barat No. 9
</v>
      </c>
      <c r="U131" s="7" t="str">
        <f>INDEX(Detail!$B$1:$B$1001,MATCH(B131,Detail!$G$1:$G$1001,0),1)</f>
        <v>AB-</v>
      </c>
      <c r="V131" s="7" t="str" cm="1">
        <f t="array" ref="V131">INDEX(Dosen!$B$3:$E$8,MATCH(Main!C131,Dosen!$A$3:$A$8,0),IF(AND(Main!A131&gt;=1,Main!A131&lt;=250),1,IF(AND(Main!A131&gt;=251,Main!A131&lt;=500),2,IF(AND(Main!A131&gt;=501,Main!A131&lt;=750),3,4))))</f>
        <v>Pak Krisna</v>
      </c>
      <c r="W131" s="7" t="str">
        <f>_xlfn.XLOOKUP(B131,Detail!$G$1:$G$1001,Detail!$B$1:$B$1001)</f>
        <v>AB-</v>
      </c>
    </row>
    <row r="132" spans="1:23" ht="15.75" x14ac:dyDescent="0.25">
      <c r="A132" s="7">
        <v>820</v>
      </c>
      <c r="B132" s="33" t="str">
        <f>CONCATENATE("A",TEXT(Main!A132,"0000"))</f>
        <v>A0820</v>
      </c>
      <c r="C132" s="7" t="s">
        <v>1015</v>
      </c>
      <c r="D132" s="33" t="str">
        <f>VLOOKUP(B132,Detail!$G$1:$H$1001,2,FALSE)</f>
        <v>Carub Ramadan</v>
      </c>
      <c r="E132" s="7">
        <v>93</v>
      </c>
      <c r="F132" s="7">
        <v>61</v>
      </c>
      <c r="G132" s="57">
        <v>40</v>
      </c>
      <c r="H132" s="7">
        <v>71</v>
      </c>
      <c r="I132" s="7">
        <v>82</v>
      </c>
      <c r="J132" s="7">
        <v>52</v>
      </c>
      <c r="K132" s="7">
        <v>99</v>
      </c>
      <c r="L132" s="56">
        <f>IFERROR(VLOOKUP(B132,Absen!$A$1:$C$501,2,FALSE),"No")</f>
        <v>44788</v>
      </c>
      <c r="M132" s="58">
        <f t="shared" si="4"/>
        <v>8.9</v>
      </c>
      <c r="N132" s="57">
        <f t="shared" si="5"/>
        <v>65.674999999999997</v>
      </c>
      <c r="O132" s="7" t="str">
        <f>VLOOKUP(N132,Helper!$B$30:$C$35,2,TRUE)</f>
        <v>C</v>
      </c>
      <c r="P132" s="56">
        <f>INDEX(Detail!$A$1:$A$1001,MATCH(B132,Detail!$G$1:$G$1001,0))</f>
        <v>38274</v>
      </c>
      <c r="Q132" s="33" t="str">
        <f>INDEX(Detail!$F$1:$F$1001,MATCH(Main!B132,Detail!$G$1:$G$1001,0))</f>
        <v>Padang</v>
      </c>
      <c r="R132" s="7">
        <f>INDEX(Detail!$C$1:$C$1001,MATCH(B132,Detail!$G$1:$G$1001,0),1)</f>
        <v>153</v>
      </c>
      <c r="S132" s="7">
        <f>INDEX(Detail!$D$1:$D$1001,MATCH(B132,Detail!$G$1:$G$1001,0),1)</f>
        <v>66</v>
      </c>
      <c r="T132" s="7" t="str">
        <f>INDEX(Detail!$E$1:$E$1001,MATCH(Main!B132,Detail!$G$1:$G$1001,0))</f>
        <v>Jalan Moch. Ramdan No. 63</v>
      </c>
      <c r="U132" s="7" t="str">
        <f>INDEX(Detail!$B$1:$B$1001,MATCH(B132,Detail!$G$1:$G$1001,0),1)</f>
        <v>AB+</v>
      </c>
      <c r="V132" s="7" t="str" cm="1">
        <f t="array" ref="V132">INDEX(Dosen!$B$3:$E$8,MATCH(Main!C132,Dosen!$A$3:$A$8,0),IF(AND(Main!A132&gt;=1,Main!A132&lt;=250),1,IF(AND(Main!A132&gt;=251,Main!A132&lt;=500),2,IF(AND(Main!A132&gt;=501,Main!A132&lt;=750),3,4))))</f>
        <v>Pak Krisna</v>
      </c>
      <c r="W132" s="7" t="str">
        <f>_xlfn.XLOOKUP(B132,Detail!$G$1:$G$1001,Detail!$B$1:$B$1001)</f>
        <v>AB+</v>
      </c>
    </row>
    <row r="133" spans="1:23" ht="15.75" x14ac:dyDescent="0.25">
      <c r="A133" s="7">
        <v>821</v>
      </c>
      <c r="B133" s="33" t="str">
        <f>CONCATENATE("A",TEXT(Main!A133,"0000"))</f>
        <v>A0821</v>
      </c>
      <c r="C133" s="7" t="s">
        <v>1015</v>
      </c>
      <c r="D133" s="33" t="str">
        <f>VLOOKUP(B133,Detail!$G$1:$H$1001,2,FALSE)</f>
        <v>Maman Hutasoit</v>
      </c>
      <c r="E133" s="7">
        <v>95</v>
      </c>
      <c r="F133" s="7">
        <v>52</v>
      </c>
      <c r="G133" s="57">
        <v>92</v>
      </c>
      <c r="H133" s="7">
        <v>58</v>
      </c>
      <c r="I133" s="7">
        <v>62</v>
      </c>
      <c r="J133" s="7">
        <v>80</v>
      </c>
      <c r="K133" s="7">
        <v>79</v>
      </c>
      <c r="L133" s="56" t="str">
        <f>IFERROR(VLOOKUP(B133,Absen!$A$1:$C$501,2,FALSE),"No")</f>
        <v>No</v>
      </c>
      <c r="M133" s="58">
        <f t="shared" si="4"/>
        <v>7.9</v>
      </c>
      <c r="N133" s="57">
        <f t="shared" si="5"/>
        <v>75.675000000000011</v>
      </c>
      <c r="O133" s="7" t="str">
        <f>VLOOKUP(N133,Helper!$B$30:$C$35,2,TRUE)</f>
        <v>B</v>
      </c>
      <c r="P133" s="56">
        <f>INDEX(Detail!$A$1:$A$1001,MATCH(B133,Detail!$G$1:$G$1001,0))</f>
        <v>38406</v>
      </c>
      <c r="Q133" s="33" t="str">
        <f>INDEX(Detail!$F$1:$F$1001,MATCH(Main!B133,Detail!$G$1:$G$1001,0))</f>
        <v>Jambi</v>
      </c>
      <c r="R133" s="7">
        <f>INDEX(Detail!$C$1:$C$1001,MATCH(B133,Detail!$G$1:$G$1001,0),1)</f>
        <v>152</v>
      </c>
      <c r="S133" s="7">
        <f>INDEX(Detail!$D$1:$D$1001,MATCH(B133,Detail!$G$1:$G$1001,0),1)</f>
        <v>80</v>
      </c>
      <c r="T133" s="7" t="str">
        <f>INDEX(Detail!$E$1:$E$1001,MATCH(Main!B133,Detail!$G$1:$G$1001,0))</f>
        <v>Jalan Moch. Toha No. 29</v>
      </c>
      <c r="U133" s="7" t="str">
        <f>INDEX(Detail!$B$1:$B$1001,MATCH(B133,Detail!$G$1:$G$1001,0),1)</f>
        <v>B+</v>
      </c>
      <c r="V133" s="7" t="str" cm="1">
        <f t="array" ref="V133">INDEX(Dosen!$B$3:$E$8,MATCH(Main!C133,Dosen!$A$3:$A$8,0),IF(AND(Main!A133&gt;=1,Main!A133&lt;=250),1,IF(AND(Main!A133&gt;=251,Main!A133&lt;=500),2,IF(AND(Main!A133&gt;=501,Main!A133&lt;=750),3,4))))</f>
        <v>Pak Krisna</v>
      </c>
      <c r="W133" s="7" t="str">
        <f>_xlfn.XLOOKUP(B133,Detail!$G$1:$G$1001,Detail!$B$1:$B$1001)</f>
        <v>B+</v>
      </c>
    </row>
    <row r="134" spans="1:23" ht="15.75" x14ac:dyDescent="0.25">
      <c r="A134" s="7">
        <v>834</v>
      </c>
      <c r="B134" s="33" t="str">
        <f>CONCATENATE("A",TEXT(Main!A134,"0000"))</f>
        <v>A0834</v>
      </c>
      <c r="C134" s="7" t="s">
        <v>1015</v>
      </c>
      <c r="D134" s="33" t="str">
        <f>VLOOKUP(B134,Detail!$G$1:$H$1001,2,FALSE)</f>
        <v>Kuncara Mulyani</v>
      </c>
      <c r="E134" s="7">
        <v>73</v>
      </c>
      <c r="F134" s="7">
        <v>59</v>
      </c>
      <c r="G134" s="57">
        <v>89</v>
      </c>
      <c r="H134" s="7">
        <v>63</v>
      </c>
      <c r="I134" s="7">
        <v>61</v>
      </c>
      <c r="J134" s="7">
        <v>67</v>
      </c>
      <c r="K134" s="7">
        <v>65</v>
      </c>
      <c r="L134" s="56" t="str">
        <f>IFERROR(VLOOKUP(B134,Absen!$A$1:$C$501,2,FALSE),"No")</f>
        <v>No</v>
      </c>
      <c r="M134" s="58">
        <f t="shared" si="4"/>
        <v>6.5</v>
      </c>
      <c r="N134" s="57">
        <f t="shared" si="5"/>
        <v>69.699999999999989</v>
      </c>
      <c r="O134" s="7" t="str">
        <f>VLOOKUP(N134,Helper!$B$30:$C$35,2,TRUE)</f>
        <v>C</v>
      </c>
      <c r="P134" s="56">
        <f>INDEX(Detail!$A$1:$A$1001,MATCH(B134,Detail!$G$1:$G$1001,0))</f>
        <v>37196</v>
      </c>
      <c r="Q134" s="33" t="str">
        <f>INDEX(Detail!$F$1:$F$1001,MATCH(Main!B134,Detail!$G$1:$G$1001,0))</f>
        <v>Prabumulih</v>
      </c>
      <c r="R134" s="7">
        <f>INDEX(Detail!$C$1:$C$1001,MATCH(B134,Detail!$G$1:$G$1001,0),1)</f>
        <v>174</v>
      </c>
      <c r="S134" s="7">
        <f>INDEX(Detail!$D$1:$D$1001,MATCH(B134,Detail!$G$1:$G$1001,0),1)</f>
        <v>45</v>
      </c>
      <c r="T134" s="7" t="str">
        <f>INDEX(Detail!$E$1:$E$1001,MATCH(Main!B134,Detail!$G$1:$G$1001,0))</f>
        <v>Jl. M.H Thamrin No. 58</v>
      </c>
      <c r="U134" s="7" t="str">
        <f>INDEX(Detail!$B$1:$B$1001,MATCH(B134,Detail!$G$1:$G$1001,0),1)</f>
        <v>O-</v>
      </c>
      <c r="V134" s="7" t="str" cm="1">
        <f t="array" ref="V134">INDEX(Dosen!$B$3:$E$8,MATCH(Main!C134,Dosen!$A$3:$A$8,0),IF(AND(Main!A134&gt;=1,Main!A134&lt;=250),1,IF(AND(Main!A134&gt;=251,Main!A134&lt;=500),2,IF(AND(Main!A134&gt;=501,Main!A134&lt;=750),3,4))))</f>
        <v>Pak Krisna</v>
      </c>
      <c r="W134" s="7" t="str">
        <f>_xlfn.XLOOKUP(B134,Detail!$G$1:$G$1001,Detail!$B$1:$B$1001)</f>
        <v>O-</v>
      </c>
    </row>
    <row r="135" spans="1:23" ht="15.75" x14ac:dyDescent="0.25">
      <c r="A135" s="7">
        <v>843</v>
      </c>
      <c r="B135" s="33" t="str">
        <f>CONCATENATE("A",TEXT(Main!A135,"0000"))</f>
        <v>A0843</v>
      </c>
      <c r="C135" s="7" t="s">
        <v>1015</v>
      </c>
      <c r="D135" s="33" t="str">
        <f>VLOOKUP(B135,Detail!$G$1:$H$1001,2,FALSE)</f>
        <v>Devi Lailasari</v>
      </c>
      <c r="E135" s="7">
        <v>85</v>
      </c>
      <c r="F135" s="7">
        <v>45</v>
      </c>
      <c r="G135" s="57">
        <v>61</v>
      </c>
      <c r="H135" s="7">
        <v>52</v>
      </c>
      <c r="I135" s="7">
        <v>79</v>
      </c>
      <c r="J135" s="7">
        <v>79</v>
      </c>
      <c r="K135" s="7">
        <v>94</v>
      </c>
      <c r="L135" s="56">
        <f>IFERROR(VLOOKUP(B135,Absen!$A$1:$C$501,2,FALSE),"No")</f>
        <v>44763</v>
      </c>
      <c r="M135" s="58">
        <f t="shared" si="4"/>
        <v>8.4</v>
      </c>
      <c r="N135" s="57">
        <f t="shared" si="5"/>
        <v>69.025000000000006</v>
      </c>
      <c r="O135" s="7" t="str">
        <f>VLOOKUP(N135,Helper!$B$30:$C$35,2,TRUE)</f>
        <v>C</v>
      </c>
      <c r="P135" s="56">
        <f>INDEX(Detail!$A$1:$A$1001,MATCH(B135,Detail!$G$1:$G$1001,0))</f>
        <v>37488</v>
      </c>
      <c r="Q135" s="33" t="str">
        <f>INDEX(Detail!$F$1:$F$1001,MATCH(Main!B135,Detail!$G$1:$G$1001,0))</f>
        <v>Pekalongan</v>
      </c>
      <c r="R135" s="7">
        <f>INDEX(Detail!$C$1:$C$1001,MATCH(B135,Detail!$G$1:$G$1001,0),1)</f>
        <v>175</v>
      </c>
      <c r="S135" s="7">
        <f>INDEX(Detail!$D$1:$D$1001,MATCH(B135,Detail!$G$1:$G$1001,0),1)</f>
        <v>53</v>
      </c>
      <c r="T135" s="7" t="str">
        <f>INDEX(Detail!$E$1:$E$1001,MATCH(Main!B135,Detail!$G$1:$G$1001,0))</f>
        <v>Jl. Pasir Koja No. 36</v>
      </c>
      <c r="U135" s="7" t="str">
        <f>INDEX(Detail!$B$1:$B$1001,MATCH(B135,Detail!$G$1:$G$1001,0),1)</f>
        <v>AB-</v>
      </c>
      <c r="V135" s="7" t="str" cm="1">
        <f t="array" ref="V135">INDEX(Dosen!$B$3:$E$8,MATCH(Main!C135,Dosen!$A$3:$A$8,0),IF(AND(Main!A135&gt;=1,Main!A135&lt;=250),1,IF(AND(Main!A135&gt;=251,Main!A135&lt;=500),2,IF(AND(Main!A135&gt;=501,Main!A135&lt;=750),3,4))))</f>
        <v>Pak Krisna</v>
      </c>
      <c r="W135" s="7" t="str">
        <f>_xlfn.XLOOKUP(B135,Detail!$G$1:$G$1001,Detail!$B$1:$B$1001)</f>
        <v>AB-</v>
      </c>
    </row>
    <row r="136" spans="1:23" ht="15.75" x14ac:dyDescent="0.25">
      <c r="A136" s="7">
        <v>854</v>
      </c>
      <c r="B136" s="33" t="str">
        <f>CONCATENATE("A",TEXT(Main!A136,"0000"))</f>
        <v>A0854</v>
      </c>
      <c r="C136" s="7" t="s">
        <v>1015</v>
      </c>
      <c r="D136" s="33" t="str">
        <f>VLOOKUP(B136,Detail!$G$1:$H$1001,2,FALSE)</f>
        <v>Diah Saptono</v>
      </c>
      <c r="E136" s="7">
        <v>79</v>
      </c>
      <c r="F136" s="7">
        <v>56</v>
      </c>
      <c r="G136" s="57">
        <v>73</v>
      </c>
      <c r="H136" s="7">
        <v>72</v>
      </c>
      <c r="I136" s="7">
        <v>90</v>
      </c>
      <c r="J136" s="7">
        <v>46</v>
      </c>
      <c r="K136" s="7">
        <v>85</v>
      </c>
      <c r="L136" s="56">
        <f>IFERROR(VLOOKUP(B136,Absen!$A$1:$C$501,2,FALSE),"No")</f>
        <v>44880</v>
      </c>
      <c r="M136" s="58">
        <f t="shared" si="4"/>
        <v>7.5</v>
      </c>
      <c r="N136" s="57">
        <f t="shared" si="5"/>
        <v>68.425000000000011</v>
      </c>
      <c r="O136" s="7" t="str">
        <f>VLOOKUP(N136,Helper!$B$30:$C$35,2,TRUE)</f>
        <v>C</v>
      </c>
      <c r="P136" s="56">
        <f>INDEX(Detail!$A$1:$A$1001,MATCH(B136,Detail!$G$1:$G$1001,0))</f>
        <v>37469</v>
      </c>
      <c r="Q136" s="33" t="str">
        <f>INDEX(Detail!$F$1:$F$1001,MATCH(Main!B136,Detail!$G$1:$G$1001,0))</f>
        <v>Bandar Lampung</v>
      </c>
      <c r="R136" s="7">
        <f>INDEX(Detail!$C$1:$C$1001,MATCH(B136,Detail!$G$1:$G$1001,0),1)</f>
        <v>165</v>
      </c>
      <c r="S136" s="7">
        <f>INDEX(Detail!$D$1:$D$1001,MATCH(B136,Detail!$G$1:$G$1001,0),1)</f>
        <v>71</v>
      </c>
      <c r="T136" s="7" t="str">
        <f>INDEX(Detail!$E$1:$E$1001,MATCH(Main!B136,Detail!$G$1:$G$1001,0))</f>
        <v>Gg. Veteran No. 48</v>
      </c>
      <c r="U136" s="7" t="str">
        <f>INDEX(Detail!$B$1:$B$1001,MATCH(B136,Detail!$G$1:$G$1001,0),1)</f>
        <v>A-</v>
      </c>
      <c r="V136" s="7" t="str" cm="1">
        <f t="array" ref="V136">INDEX(Dosen!$B$3:$E$8,MATCH(Main!C136,Dosen!$A$3:$A$8,0),IF(AND(Main!A136&gt;=1,Main!A136&lt;=250),1,IF(AND(Main!A136&gt;=251,Main!A136&lt;=500),2,IF(AND(Main!A136&gt;=501,Main!A136&lt;=750),3,4))))</f>
        <v>Pak Krisna</v>
      </c>
      <c r="W136" s="7" t="str">
        <f>_xlfn.XLOOKUP(B136,Detail!$G$1:$G$1001,Detail!$B$1:$B$1001)</f>
        <v>A-</v>
      </c>
    </row>
    <row r="137" spans="1:23" ht="15.75" x14ac:dyDescent="0.25">
      <c r="A137" s="7">
        <v>861</v>
      </c>
      <c r="B137" s="33" t="str">
        <f>CONCATENATE("A",TEXT(Main!A137,"0000"))</f>
        <v>A0861</v>
      </c>
      <c r="C137" s="7" t="s">
        <v>1015</v>
      </c>
      <c r="D137" s="33" t="str">
        <f>VLOOKUP(B137,Detail!$G$1:$H$1001,2,FALSE)</f>
        <v>Elvina Usamah</v>
      </c>
      <c r="E137" s="7">
        <v>91</v>
      </c>
      <c r="F137" s="7">
        <v>40</v>
      </c>
      <c r="G137" s="57">
        <v>37</v>
      </c>
      <c r="H137" s="7">
        <v>60</v>
      </c>
      <c r="I137" s="7">
        <v>60</v>
      </c>
      <c r="J137" s="7">
        <v>56</v>
      </c>
      <c r="K137" s="7">
        <v>63</v>
      </c>
      <c r="L137" s="56" t="str">
        <f>IFERROR(VLOOKUP(B137,Absen!$A$1:$C$501,2,FALSE),"No")</f>
        <v>No</v>
      </c>
      <c r="M137" s="58">
        <f t="shared" si="4"/>
        <v>6.3000000000000007</v>
      </c>
      <c r="N137" s="57">
        <f t="shared" si="5"/>
        <v>56.275000000000006</v>
      </c>
      <c r="O137" s="7" t="str">
        <f>VLOOKUP(N137,Helper!$B$30:$C$35,2,TRUE)</f>
        <v>D</v>
      </c>
      <c r="P137" s="56">
        <f>INDEX(Detail!$A$1:$A$1001,MATCH(B137,Detail!$G$1:$G$1001,0))</f>
        <v>37630</v>
      </c>
      <c r="Q137" s="33" t="str">
        <f>INDEX(Detail!$F$1:$F$1001,MATCH(Main!B137,Detail!$G$1:$G$1001,0))</f>
        <v>Binjai</v>
      </c>
      <c r="R137" s="7">
        <f>INDEX(Detail!$C$1:$C$1001,MATCH(B137,Detail!$G$1:$G$1001,0),1)</f>
        <v>152</v>
      </c>
      <c r="S137" s="7">
        <f>INDEX(Detail!$D$1:$D$1001,MATCH(B137,Detail!$G$1:$G$1001,0),1)</f>
        <v>63</v>
      </c>
      <c r="T137" s="7" t="str">
        <f>INDEX(Detail!$E$1:$E$1001,MATCH(Main!B137,Detail!$G$1:$G$1001,0))</f>
        <v>Gg. Rajawali Barat No. 45</v>
      </c>
      <c r="U137" s="7" t="str">
        <f>INDEX(Detail!$B$1:$B$1001,MATCH(B137,Detail!$G$1:$G$1001,0),1)</f>
        <v>AB-</v>
      </c>
      <c r="V137" s="7" t="str" cm="1">
        <f t="array" ref="V137">INDEX(Dosen!$B$3:$E$8,MATCH(Main!C137,Dosen!$A$3:$A$8,0),IF(AND(Main!A137&gt;=1,Main!A137&lt;=250),1,IF(AND(Main!A137&gt;=251,Main!A137&lt;=500),2,IF(AND(Main!A137&gt;=501,Main!A137&lt;=750),3,4))))</f>
        <v>Pak Krisna</v>
      </c>
      <c r="W137" s="7" t="str">
        <f>_xlfn.XLOOKUP(B137,Detail!$G$1:$G$1001,Detail!$B$1:$B$1001)</f>
        <v>AB-</v>
      </c>
    </row>
    <row r="138" spans="1:23" ht="15.75" x14ac:dyDescent="0.25">
      <c r="A138" s="7">
        <v>862</v>
      </c>
      <c r="B138" s="33" t="str">
        <f>CONCATENATE("A",TEXT(Main!A138,"0000"))</f>
        <v>A0862</v>
      </c>
      <c r="C138" s="7" t="s">
        <v>1015</v>
      </c>
      <c r="D138" s="33" t="str">
        <f>VLOOKUP(B138,Detail!$G$1:$H$1001,2,FALSE)</f>
        <v>Arta Ardianto</v>
      </c>
      <c r="E138" s="7">
        <v>87</v>
      </c>
      <c r="F138" s="7">
        <v>74</v>
      </c>
      <c r="G138" s="57">
        <v>72</v>
      </c>
      <c r="H138" s="7">
        <v>54</v>
      </c>
      <c r="I138" s="7">
        <v>82</v>
      </c>
      <c r="J138" s="7">
        <v>84</v>
      </c>
      <c r="K138" s="7">
        <v>85</v>
      </c>
      <c r="L138" s="56" t="str">
        <f>IFERROR(VLOOKUP(B138,Absen!$A$1:$C$501,2,FALSE),"No")</f>
        <v>No</v>
      </c>
      <c r="M138" s="58">
        <f t="shared" si="4"/>
        <v>8.5</v>
      </c>
      <c r="N138" s="57">
        <f t="shared" si="5"/>
        <v>76.825000000000003</v>
      </c>
      <c r="O138" s="7" t="str">
        <f>VLOOKUP(N138,Helper!$B$30:$C$35,2,TRUE)</f>
        <v>B</v>
      </c>
      <c r="P138" s="56">
        <f>INDEX(Detail!$A$1:$A$1001,MATCH(B138,Detail!$G$1:$G$1001,0))</f>
        <v>37896</v>
      </c>
      <c r="Q138" s="33" t="str">
        <f>INDEX(Detail!$F$1:$F$1001,MATCH(Main!B138,Detail!$G$1:$G$1001,0))</f>
        <v>Gorontalo</v>
      </c>
      <c r="R138" s="7">
        <f>INDEX(Detail!$C$1:$C$1001,MATCH(B138,Detail!$G$1:$G$1001,0),1)</f>
        <v>150</v>
      </c>
      <c r="S138" s="7">
        <f>INDEX(Detail!$D$1:$D$1001,MATCH(B138,Detail!$G$1:$G$1001,0),1)</f>
        <v>63</v>
      </c>
      <c r="T138" s="7" t="str">
        <f>INDEX(Detail!$E$1:$E$1001,MATCH(Main!B138,Detail!$G$1:$G$1001,0))</f>
        <v>Jalan Suniaraja No. 30</v>
      </c>
      <c r="U138" s="7" t="str">
        <f>INDEX(Detail!$B$1:$B$1001,MATCH(B138,Detail!$G$1:$G$1001,0),1)</f>
        <v>O-</v>
      </c>
      <c r="V138" s="7" t="str" cm="1">
        <f t="array" ref="V138">INDEX(Dosen!$B$3:$E$8,MATCH(Main!C138,Dosen!$A$3:$A$8,0),IF(AND(Main!A138&gt;=1,Main!A138&lt;=250),1,IF(AND(Main!A138&gt;=251,Main!A138&lt;=500),2,IF(AND(Main!A138&gt;=501,Main!A138&lt;=750),3,4))))</f>
        <v>Pak Krisna</v>
      </c>
      <c r="W138" s="7" t="str">
        <f>_xlfn.XLOOKUP(B138,Detail!$G$1:$G$1001,Detail!$B$1:$B$1001)</f>
        <v>O-</v>
      </c>
    </row>
    <row r="139" spans="1:23" ht="15.75" x14ac:dyDescent="0.25">
      <c r="A139" s="7">
        <v>868</v>
      </c>
      <c r="B139" s="33" t="str">
        <f>CONCATENATE("A",TEXT(Main!A139,"0000"))</f>
        <v>A0868</v>
      </c>
      <c r="C139" s="7" t="s">
        <v>1015</v>
      </c>
      <c r="D139" s="33" t="str">
        <f>VLOOKUP(B139,Detail!$G$1:$H$1001,2,FALSE)</f>
        <v>Tantri Nasyiah</v>
      </c>
      <c r="E139" s="7">
        <v>69</v>
      </c>
      <c r="F139" s="7">
        <v>61</v>
      </c>
      <c r="G139" s="57">
        <v>60</v>
      </c>
      <c r="H139" s="7">
        <v>67</v>
      </c>
      <c r="I139" s="7">
        <v>65</v>
      </c>
      <c r="J139" s="7">
        <v>66</v>
      </c>
      <c r="K139" s="7">
        <v>98</v>
      </c>
      <c r="L139" s="56">
        <f>IFERROR(VLOOKUP(B139,Absen!$A$1:$C$501,2,FALSE),"No")</f>
        <v>44867</v>
      </c>
      <c r="M139" s="58">
        <f t="shared" si="4"/>
        <v>8.8000000000000007</v>
      </c>
      <c r="N139" s="57">
        <f t="shared" si="5"/>
        <v>66.75</v>
      </c>
      <c r="O139" s="7" t="str">
        <f>VLOOKUP(N139,Helper!$B$30:$C$35,2,TRUE)</f>
        <v>C</v>
      </c>
      <c r="P139" s="56">
        <f>INDEX(Detail!$A$1:$A$1001,MATCH(B139,Detail!$G$1:$G$1001,0))</f>
        <v>38462</v>
      </c>
      <c r="Q139" s="33" t="str">
        <f>INDEX(Detail!$F$1:$F$1001,MATCH(Main!B139,Detail!$G$1:$G$1001,0))</f>
        <v>Kupang</v>
      </c>
      <c r="R139" s="7">
        <f>INDEX(Detail!$C$1:$C$1001,MATCH(B139,Detail!$G$1:$G$1001,0),1)</f>
        <v>159</v>
      </c>
      <c r="S139" s="7">
        <f>INDEX(Detail!$D$1:$D$1001,MATCH(B139,Detail!$G$1:$G$1001,0),1)</f>
        <v>63</v>
      </c>
      <c r="T139" s="7" t="str">
        <f>INDEX(Detail!$E$1:$E$1001,MATCH(Main!B139,Detail!$G$1:$G$1001,0))</f>
        <v>Gang Jayawijaya No. 00</v>
      </c>
      <c r="U139" s="7" t="str">
        <f>INDEX(Detail!$B$1:$B$1001,MATCH(B139,Detail!$G$1:$G$1001,0),1)</f>
        <v>O-</v>
      </c>
      <c r="V139" s="7" t="str" cm="1">
        <f t="array" ref="V139">INDEX(Dosen!$B$3:$E$8,MATCH(Main!C139,Dosen!$A$3:$A$8,0),IF(AND(Main!A139&gt;=1,Main!A139&lt;=250),1,IF(AND(Main!A139&gt;=251,Main!A139&lt;=500),2,IF(AND(Main!A139&gt;=501,Main!A139&lt;=750),3,4))))</f>
        <v>Pak Krisna</v>
      </c>
      <c r="W139" s="7" t="str">
        <f>_xlfn.XLOOKUP(B139,Detail!$G$1:$G$1001,Detail!$B$1:$B$1001)</f>
        <v>O-</v>
      </c>
    </row>
    <row r="140" spans="1:23" ht="15.75" x14ac:dyDescent="0.25">
      <c r="A140" s="7">
        <v>871</v>
      </c>
      <c r="B140" s="33" t="str">
        <f>CONCATENATE("A",TEXT(Main!A140,"0000"))</f>
        <v>A0871</v>
      </c>
      <c r="C140" s="7" t="s">
        <v>1015</v>
      </c>
      <c r="D140" s="33" t="str">
        <f>VLOOKUP(B140,Detail!$G$1:$H$1001,2,FALSE)</f>
        <v>Kuncara Kurniawan</v>
      </c>
      <c r="E140" s="7">
        <v>55</v>
      </c>
      <c r="F140" s="7">
        <v>59</v>
      </c>
      <c r="G140" s="57">
        <v>95</v>
      </c>
      <c r="H140" s="7">
        <v>64</v>
      </c>
      <c r="I140" s="7">
        <v>69</v>
      </c>
      <c r="J140" s="7">
        <v>98</v>
      </c>
      <c r="K140" s="7">
        <v>81</v>
      </c>
      <c r="L140" s="56">
        <f>IFERROR(VLOOKUP(B140,Absen!$A$1:$C$501,2,FALSE),"No")</f>
        <v>44834</v>
      </c>
      <c r="M140" s="58">
        <f t="shared" si="4"/>
        <v>7.1000000000000005</v>
      </c>
      <c r="N140" s="57">
        <f t="shared" si="5"/>
        <v>76.574999999999989</v>
      </c>
      <c r="O140" s="7" t="str">
        <f>VLOOKUP(N140,Helper!$B$30:$C$35,2,TRUE)</f>
        <v>B</v>
      </c>
      <c r="P140" s="56">
        <f>INDEX(Detail!$A$1:$A$1001,MATCH(B140,Detail!$G$1:$G$1001,0))</f>
        <v>37650</v>
      </c>
      <c r="Q140" s="33" t="str">
        <f>INDEX(Detail!$F$1:$F$1001,MATCH(Main!B140,Detail!$G$1:$G$1001,0))</f>
        <v>Ambon</v>
      </c>
      <c r="R140" s="7">
        <f>INDEX(Detail!$C$1:$C$1001,MATCH(B140,Detail!$G$1:$G$1001,0),1)</f>
        <v>170</v>
      </c>
      <c r="S140" s="7">
        <f>INDEX(Detail!$D$1:$D$1001,MATCH(B140,Detail!$G$1:$G$1001,0),1)</f>
        <v>73</v>
      </c>
      <c r="T140" s="7" t="str">
        <f>INDEX(Detail!$E$1:$E$1001,MATCH(Main!B140,Detail!$G$1:$G$1001,0))</f>
        <v>Jalan Sukajadi No. 65</v>
      </c>
      <c r="U140" s="7" t="str">
        <f>INDEX(Detail!$B$1:$B$1001,MATCH(B140,Detail!$G$1:$G$1001,0),1)</f>
        <v>AB-</v>
      </c>
      <c r="V140" s="7" t="str" cm="1">
        <f t="array" ref="V140">INDEX(Dosen!$B$3:$E$8,MATCH(Main!C140,Dosen!$A$3:$A$8,0),IF(AND(Main!A140&gt;=1,Main!A140&lt;=250),1,IF(AND(Main!A140&gt;=251,Main!A140&lt;=500),2,IF(AND(Main!A140&gt;=501,Main!A140&lt;=750),3,4))))</f>
        <v>Pak Krisna</v>
      </c>
      <c r="W140" s="7" t="str">
        <f>_xlfn.XLOOKUP(B140,Detail!$G$1:$G$1001,Detail!$B$1:$B$1001)</f>
        <v>AB-</v>
      </c>
    </row>
    <row r="141" spans="1:23" ht="15.75" x14ac:dyDescent="0.25">
      <c r="A141" s="7">
        <v>876</v>
      </c>
      <c r="B141" s="33" t="str">
        <f>CONCATENATE("A",TEXT(Main!A141,"0000"))</f>
        <v>A0876</v>
      </c>
      <c r="C141" s="7" t="s">
        <v>1015</v>
      </c>
      <c r="D141" s="33" t="str">
        <f>VLOOKUP(B141,Detail!$G$1:$H$1001,2,FALSE)</f>
        <v>Citra Sitorus</v>
      </c>
      <c r="E141" s="7">
        <v>51</v>
      </c>
      <c r="F141" s="7">
        <v>65</v>
      </c>
      <c r="G141" s="57">
        <v>42</v>
      </c>
      <c r="H141" s="7">
        <v>55</v>
      </c>
      <c r="I141" s="7">
        <v>66</v>
      </c>
      <c r="J141" s="7">
        <v>52</v>
      </c>
      <c r="K141" s="7">
        <v>75</v>
      </c>
      <c r="L141" s="56">
        <f>IFERROR(VLOOKUP(B141,Absen!$A$1:$C$501,2,FALSE),"No")</f>
        <v>44835</v>
      </c>
      <c r="M141" s="58">
        <f t="shared" si="4"/>
        <v>6.5</v>
      </c>
      <c r="N141" s="57">
        <f t="shared" si="5"/>
        <v>54.924999999999997</v>
      </c>
      <c r="O141" s="7" t="str">
        <f>VLOOKUP(N141,Helper!$B$30:$C$35,2,TRUE)</f>
        <v>D</v>
      </c>
      <c r="P141" s="56">
        <f>INDEX(Detail!$A$1:$A$1001,MATCH(B141,Detail!$G$1:$G$1001,0))</f>
        <v>38426</v>
      </c>
      <c r="Q141" s="33" t="str">
        <f>INDEX(Detail!$F$1:$F$1001,MATCH(Main!B141,Detail!$G$1:$G$1001,0))</f>
        <v>Pontianak</v>
      </c>
      <c r="R141" s="7">
        <f>INDEX(Detail!$C$1:$C$1001,MATCH(B141,Detail!$G$1:$G$1001,0),1)</f>
        <v>154</v>
      </c>
      <c r="S141" s="7">
        <f>INDEX(Detail!$D$1:$D$1001,MATCH(B141,Detail!$G$1:$G$1001,0),1)</f>
        <v>66</v>
      </c>
      <c r="T141" s="7" t="str">
        <f>INDEX(Detail!$E$1:$E$1001,MATCH(Main!B141,Detail!$G$1:$G$1001,0))</f>
        <v xml:space="preserve">Gang Rawamangun No. 3
</v>
      </c>
      <c r="U141" s="7" t="str">
        <f>INDEX(Detail!$B$1:$B$1001,MATCH(B141,Detail!$G$1:$G$1001,0),1)</f>
        <v>A-</v>
      </c>
      <c r="V141" s="7" t="str" cm="1">
        <f t="array" ref="V141">INDEX(Dosen!$B$3:$E$8,MATCH(Main!C141,Dosen!$A$3:$A$8,0),IF(AND(Main!A141&gt;=1,Main!A141&lt;=250),1,IF(AND(Main!A141&gt;=251,Main!A141&lt;=500),2,IF(AND(Main!A141&gt;=501,Main!A141&lt;=750),3,4))))</f>
        <v>Pak Krisna</v>
      </c>
      <c r="W141" s="7" t="str">
        <f>_xlfn.XLOOKUP(B141,Detail!$G$1:$G$1001,Detail!$B$1:$B$1001)</f>
        <v>A-</v>
      </c>
    </row>
    <row r="142" spans="1:23" ht="15.75" x14ac:dyDescent="0.25">
      <c r="A142" s="7">
        <v>879</v>
      </c>
      <c r="B142" s="33" t="str">
        <f>CONCATENATE("A",TEXT(Main!A142,"0000"))</f>
        <v>A0879</v>
      </c>
      <c r="C142" s="7" t="s">
        <v>1015</v>
      </c>
      <c r="D142" s="33" t="str">
        <f>VLOOKUP(B142,Detail!$G$1:$H$1001,2,FALSE)</f>
        <v>Irsad Kusmawati</v>
      </c>
      <c r="E142" s="7">
        <v>70</v>
      </c>
      <c r="F142" s="7">
        <v>58</v>
      </c>
      <c r="G142" s="57">
        <v>84</v>
      </c>
      <c r="H142" s="7">
        <v>50</v>
      </c>
      <c r="I142" s="7">
        <v>87</v>
      </c>
      <c r="J142" s="7">
        <v>65</v>
      </c>
      <c r="K142" s="7">
        <v>74</v>
      </c>
      <c r="L142" s="56" t="str">
        <f>IFERROR(VLOOKUP(B142,Absen!$A$1:$C$501,2,FALSE),"No")</f>
        <v>No</v>
      </c>
      <c r="M142" s="58">
        <f t="shared" si="4"/>
        <v>7.4</v>
      </c>
      <c r="N142" s="57">
        <f t="shared" si="5"/>
        <v>70.325000000000003</v>
      </c>
      <c r="O142" s="7" t="str">
        <f>VLOOKUP(N142,Helper!$B$30:$C$35,2,TRUE)</f>
        <v>B</v>
      </c>
      <c r="P142" s="56">
        <f>INDEX(Detail!$A$1:$A$1001,MATCH(B142,Detail!$G$1:$G$1001,0))</f>
        <v>37995</v>
      </c>
      <c r="Q142" s="33" t="str">
        <f>INDEX(Detail!$F$1:$F$1001,MATCH(Main!B142,Detail!$G$1:$G$1001,0))</f>
        <v>Tegal</v>
      </c>
      <c r="R142" s="7">
        <f>INDEX(Detail!$C$1:$C$1001,MATCH(B142,Detail!$G$1:$G$1001,0),1)</f>
        <v>158</v>
      </c>
      <c r="S142" s="7">
        <f>INDEX(Detail!$D$1:$D$1001,MATCH(B142,Detail!$G$1:$G$1001,0),1)</f>
        <v>68</v>
      </c>
      <c r="T142" s="7" t="str">
        <f>INDEX(Detail!$E$1:$E$1001,MATCH(Main!B142,Detail!$G$1:$G$1001,0))</f>
        <v xml:space="preserve">Gang Jend. A. Yani No. 5
</v>
      </c>
      <c r="U142" s="7" t="str">
        <f>INDEX(Detail!$B$1:$B$1001,MATCH(B142,Detail!$G$1:$G$1001,0),1)</f>
        <v>AB-</v>
      </c>
      <c r="V142" s="7" t="str" cm="1">
        <f t="array" ref="V142">INDEX(Dosen!$B$3:$E$8,MATCH(Main!C142,Dosen!$A$3:$A$8,0),IF(AND(Main!A142&gt;=1,Main!A142&lt;=250),1,IF(AND(Main!A142&gt;=251,Main!A142&lt;=500),2,IF(AND(Main!A142&gt;=501,Main!A142&lt;=750),3,4))))</f>
        <v>Pak Krisna</v>
      </c>
      <c r="W142" s="7" t="str">
        <f>_xlfn.XLOOKUP(B142,Detail!$G$1:$G$1001,Detail!$B$1:$B$1001)</f>
        <v>AB-</v>
      </c>
    </row>
    <row r="143" spans="1:23" ht="15.75" x14ac:dyDescent="0.25">
      <c r="A143" s="7">
        <v>880</v>
      </c>
      <c r="B143" s="33" t="str">
        <f>CONCATENATE("A",TEXT(Main!A143,"0000"))</f>
        <v>A0880</v>
      </c>
      <c r="C143" s="7" t="s">
        <v>1015</v>
      </c>
      <c r="D143" s="33" t="str">
        <f>VLOOKUP(B143,Detail!$G$1:$H$1001,2,FALSE)</f>
        <v>Marsito Nasyiah</v>
      </c>
      <c r="E143" s="7">
        <v>73</v>
      </c>
      <c r="F143" s="7">
        <v>69</v>
      </c>
      <c r="G143" s="57">
        <v>58</v>
      </c>
      <c r="H143" s="7">
        <v>71</v>
      </c>
      <c r="I143" s="7">
        <v>85</v>
      </c>
      <c r="J143" s="7">
        <v>58</v>
      </c>
      <c r="K143" s="7">
        <v>86</v>
      </c>
      <c r="L143" s="56">
        <f>IFERROR(VLOOKUP(B143,Absen!$A$1:$C$501,2,FALSE),"No")</f>
        <v>44858</v>
      </c>
      <c r="M143" s="58">
        <f t="shared" si="4"/>
        <v>7.6000000000000005</v>
      </c>
      <c r="N143" s="57">
        <f t="shared" si="5"/>
        <v>68.05</v>
      </c>
      <c r="O143" s="7" t="str">
        <f>VLOOKUP(N143,Helper!$B$30:$C$35,2,TRUE)</f>
        <v>C</v>
      </c>
      <c r="P143" s="56">
        <f>INDEX(Detail!$A$1:$A$1001,MATCH(B143,Detail!$G$1:$G$1001,0))</f>
        <v>38105</v>
      </c>
      <c r="Q143" s="33" t="str">
        <f>INDEX(Detail!$F$1:$F$1001,MATCH(Main!B143,Detail!$G$1:$G$1001,0))</f>
        <v>Tidore Kepulauan</v>
      </c>
      <c r="R143" s="7">
        <f>INDEX(Detail!$C$1:$C$1001,MATCH(B143,Detail!$G$1:$G$1001,0),1)</f>
        <v>171</v>
      </c>
      <c r="S143" s="7">
        <f>INDEX(Detail!$D$1:$D$1001,MATCH(B143,Detail!$G$1:$G$1001,0),1)</f>
        <v>80</v>
      </c>
      <c r="T143" s="7" t="str">
        <f>INDEX(Detail!$E$1:$E$1001,MATCH(Main!B143,Detail!$G$1:$G$1001,0))</f>
        <v xml:space="preserve">Jl. Yos Sudarso No. 5
</v>
      </c>
      <c r="U143" s="7" t="str">
        <f>INDEX(Detail!$B$1:$B$1001,MATCH(B143,Detail!$G$1:$G$1001,0),1)</f>
        <v>AB+</v>
      </c>
      <c r="V143" s="7" t="str" cm="1">
        <f t="array" ref="V143">INDEX(Dosen!$B$3:$E$8,MATCH(Main!C143,Dosen!$A$3:$A$8,0),IF(AND(Main!A143&gt;=1,Main!A143&lt;=250),1,IF(AND(Main!A143&gt;=251,Main!A143&lt;=500),2,IF(AND(Main!A143&gt;=501,Main!A143&lt;=750),3,4))))</f>
        <v>Pak Krisna</v>
      </c>
      <c r="W143" s="7" t="str">
        <f>_xlfn.XLOOKUP(B143,Detail!$G$1:$G$1001,Detail!$B$1:$B$1001)</f>
        <v>AB+</v>
      </c>
    </row>
    <row r="144" spans="1:23" ht="15.75" x14ac:dyDescent="0.25">
      <c r="A144" s="7">
        <v>904</v>
      </c>
      <c r="B144" s="33" t="str">
        <f>CONCATENATE("A",TEXT(Main!A144,"0000"))</f>
        <v>A0904</v>
      </c>
      <c r="C144" s="7" t="s">
        <v>1015</v>
      </c>
      <c r="D144" s="33" t="str">
        <f>VLOOKUP(B144,Detail!$G$1:$H$1001,2,FALSE)</f>
        <v>Mujur Wibisono</v>
      </c>
      <c r="E144" s="7">
        <v>65</v>
      </c>
      <c r="F144" s="7">
        <v>51</v>
      </c>
      <c r="G144" s="57">
        <v>38</v>
      </c>
      <c r="H144" s="7">
        <v>72</v>
      </c>
      <c r="I144" s="7">
        <v>90</v>
      </c>
      <c r="J144" s="7">
        <v>91</v>
      </c>
      <c r="K144" s="7">
        <v>95</v>
      </c>
      <c r="L144" s="56" t="str">
        <f>IFERROR(VLOOKUP(B144,Absen!$A$1:$C$501,2,FALSE),"No")</f>
        <v>No</v>
      </c>
      <c r="M144" s="58">
        <f t="shared" si="4"/>
        <v>9.5</v>
      </c>
      <c r="N144" s="57">
        <f t="shared" si="5"/>
        <v>70.05</v>
      </c>
      <c r="O144" s="7" t="str">
        <f>VLOOKUP(N144,Helper!$B$30:$C$35,2,TRUE)</f>
        <v>B</v>
      </c>
      <c r="P144" s="56">
        <f>INDEX(Detail!$A$1:$A$1001,MATCH(B144,Detail!$G$1:$G$1001,0))</f>
        <v>37387</v>
      </c>
      <c r="Q144" s="33" t="str">
        <f>INDEX(Detail!$F$1:$F$1001,MATCH(Main!B144,Detail!$G$1:$G$1001,0))</f>
        <v>Bengkulu</v>
      </c>
      <c r="R144" s="7">
        <f>INDEX(Detail!$C$1:$C$1001,MATCH(B144,Detail!$G$1:$G$1001,0),1)</f>
        <v>166</v>
      </c>
      <c r="S144" s="7">
        <f>INDEX(Detail!$D$1:$D$1001,MATCH(B144,Detail!$G$1:$G$1001,0),1)</f>
        <v>74</v>
      </c>
      <c r="T144" s="7" t="str">
        <f>INDEX(Detail!$E$1:$E$1001,MATCH(Main!B144,Detail!$G$1:$G$1001,0))</f>
        <v xml:space="preserve">Jalan H.J Maemunah No. 0
</v>
      </c>
      <c r="U144" s="7" t="str">
        <f>INDEX(Detail!$B$1:$B$1001,MATCH(B144,Detail!$G$1:$G$1001,0),1)</f>
        <v>A-</v>
      </c>
      <c r="V144" s="7" t="str" cm="1">
        <f t="array" ref="V144">INDEX(Dosen!$B$3:$E$8,MATCH(Main!C144,Dosen!$A$3:$A$8,0),IF(AND(Main!A144&gt;=1,Main!A144&lt;=250),1,IF(AND(Main!A144&gt;=251,Main!A144&lt;=500),2,IF(AND(Main!A144&gt;=501,Main!A144&lt;=750),3,4))))</f>
        <v>Pak Krisna</v>
      </c>
      <c r="W144" s="7" t="str">
        <f>_xlfn.XLOOKUP(B144,Detail!$G$1:$G$1001,Detail!$B$1:$B$1001)</f>
        <v>A-</v>
      </c>
    </row>
    <row r="145" spans="1:23" ht="15.75" x14ac:dyDescent="0.25">
      <c r="A145" s="7">
        <v>905</v>
      </c>
      <c r="B145" s="33" t="str">
        <f>CONCATENATE("A",TEXT(Main!A145,"0000"))</f>
        <v>A0905</v>
      </c>
      <c r="C145" s="7" t="s">
        <v>1015</v>
      </c>
      <c r="D145" s="33" t="str">
        <f>VLOOKUP(B145,Detail!$G$1:$H$1001,2,FALSE)</f>
        <v>Bambang Yuniar</v>
      </c>
      <c r="E145" s="7">
        <v>60</v>
      </c>
      <c r="F145" s="7">
        <v>41</v>
      </c>
      <c r="G145" s="57">
        <v>74</v>
      </c>
      <c r="H145" s="7">
        <v>68</v>
      </c>
      <c r="I145" s="7">
        <v>85</v>
      </c>
      <c r="J145" s="7">
        <v>88</v>
      </c>
      <c r="K145" s="7">
        <v>81</v>
      </c>
      <c r="L145" s="56" t="str">
        <f>IFERROR(VLOOKUP(B145,Absen!$A$1:$C$501,2,FALSE),"No")</f>
        <v>No</v>
      </c>
      <c r="M145" s="58">
        <f t="shared" si="4"/>
        <v>8.1</v>
      </c>
      <c r="N145" s="57">
        <f t="shared" si="5"/>
        <v>72.25</v>
      </c>
      <c r="O145" s="7" t="str">
        <f>VLOOKUP(N145,Helper!$B$30:$C$35,2,TRUE)</f>
        <v>B</v>
      </c>
      <c r="P145" s="56">
        <f>INDEX(Detail!$A$1:$A$1001,MATCH(B145,Detail!$G$1:$G$1001,0))</f>
        <v>37464</v>
      </c>
      <c r="Q145" s="33" t="str">
        <f>INDEX(Detail!$F$1:$F$1001,MATCH(Main!B145,Detail!$G$1:$G$1001,0))</f>
        <v>Banjar</v>
      </c>
      <c r="R145" s="7">
        <f>INDEX(Detail!$C$1:$C$1001,MATCH(B145,Detail!$G$1:$G$1001,0),1)</f>
        <v>173</v>
      </c>
      <c r="S145" s="7">
        <f>INDEX(Detail!$D$1:$D$1001,MATCH(B145,Detail!$G$1:$G$1001,0),1)</f>
        <v>77</v>
      </c>
      <c r="T145" s="7" t="str">
        <f>INDEX(Detail!$E$1:$E$1001,MATCH(Main!B145,Detail!$G$1:$G$1001,0))</f>
        <v>Gg. Tubagus Ismail No. 99</v>
      </c>
      <c r="U145" s="7" t="str">
        <f>INDEX(Detail!$B$1:$B$1001,MATCH(B145,Detail!$G$1:$G$1001,0),1)</f>
        <v>AB+</v>
      </c>
      <c r="V145" s="7" t="str" cm="1">
        <f t="array" ref="V145">INDEX(Dosen!$B$3:$E$8,MATCH(Main!C145,Dosen!$A$3:$A$8,0),IF(AND(Main!A145&gt;=1,Main!A145&lt;=250),1,IF(AND(Main!A145&gt;=251,Main!A145&lt;=500),2,IF(AND(Main!A145&gt;=501,Main!A145&lt;=750),3,4))))</f>
        <v>Pak Krisna</v>
      </c>
      <c r="W145" s="7" t="str">
        <f>_xlfn.XLOOKUP(B145,Detail!$G$1:$G$1001,Detail!$B$1:$B$1001)</f>
        <v>AB+</v>
      </c>
    </row>
    <row r="146" spans="1:23" ht="15.75" x14ac:dyDescent="0.25">
      <c r="A146" s="7">
        <v>915</v>
      </c>
      <c r="B146" s="33" t="str">
        <f>CONCATENATE("A",TEXT(Main!A146,"0000"))</f>
        <v>A0915</v>
      </c>
      <c r="C146" s="7" t="s">
        <v>1015</v>
      </c>
      <c r="D146" s="33" t="str">
        <f>VLOOKUP(B146,Detail!$G$1:$H$1001,2,FALSE)</f>
        <v>Limar Mangunsong</v>
      </c>
      <c r="E146" s="7">
        <v>92</v>
      </c>
      <c r="F146" s="7">
        <v>42</v>
      </c>
      <c r="G146" s="57">
        <v>63</v>
      </c>
      <c r="H146" s="7">
        <v>65</v>
      </c>
      <c r="I146" s="7">
        <v>81</v>
      </c>
      <c r="J146" s="7">
        <v>100</v>
      </c>
      <c r="K146" s="7">
        <v>80</v>
      </c>
      <c r="L146" s="56" t="str">
        <f>IFERROR(VLOOKUP(B146,Absen!$A$1:$C$501,2,FALSE),"No")</f>
        <v>No</v>
      </c>
      <c r="M146" s="58">
        <f t="shared" si="4"/>
        <v>8</v>
      </c>
      <c r="N146" s="57">
        <f t="shared" si="5"/>
        <v>75.599999999999994</v>
      </c>
      <c r="O146" s="7" t="str">
        <f>VLOOKUP(N146,Helper!$B$30:$C$35,2,TRUE)</f>
        <v>B</v>
      </c>
      <c r="P146" s="56">
        <f>INDEX(Detail!$A$1:$A$1001,MATCH(B146,Detail!$G$1:$G$1001,0))</f>
        <v>37120</v>
      </c>
      <c r="Q146" s="33" t="str">
        <f>INDEX(Detail!$F$1:$F$1001,MATCH(Main!B146,Detail!$G$1:$G$1001,0))</f>
        <v>Salatiga</v>
      </c>
      <c r="R146" s="7">
        <f>INDEX(Detail!$C$1:$C$1001,MATCH(B146,Detail!$G$1:$G$1001,0),1)</f>
        <v>153</v>
      </c>
      <c r="S146" s="7">
        <f>INDEX(Detail!$D$1:$D$1001,MATCH(B146,Detail!$G$1:$G$1001,0),1)</f>
        <v>61</v>
      </c>
      <c r="T146" s="7" t="str">
        <f>INDEX(Detail!$E$1:$E$1001,MATCH(Main!B146,Detail!$G$1:$G$1001,0))</f>
        <v>Gang PHH. Mustofa No. 71</v>
      </c>
      <c r="U146" s="7" t="str">
        <f>INDEX(Detail!$B$1:$B$1001,MATCH(B146,Detail!$G$1:$G$1001,0),1)</f>
        <v>AB-</v>
      </c>
      <c r="V146" s="7" t="str" cm="1">
        <f t="array" ref="V146">INDEX(Dosen!$B$3:$E$8,MATCH(Main!C146,Dosen!$A$3:$A$8,0),IF(AND(Main!A146&gt;=1,Main!A146&lt;=250),1,IF(AND(Main!A146&gt;=251,Main!A146&lt;=500),2,IF(AND(Main!A146&gt;=501,Main!A146&lt;=750),3,4))))</f>
        <v>Pak Krisna</v>
      </c>
      <c r="W146" s="7" t="str">
        <f>_xlfn.XLOOKUP(B146,Detail!$G$1:$G$1001,Detail!$B$1:$B$1001)</f>
        <v>AB-</v>
      </c>
    </row>
    <row r="147" spans="1:23" ht="15.75" x14ac:dyDescent="0.25">
      <c r="A147" s="7">
        <v>916</v>
      </c>
      <c r="B147" s="33" t="str">
        <f>CONCATENATE("A",TEXT(Main!A147,"0000"))</f>
        <v>A0916</v>
      </c>
      <c r="C147" s="7" t="s">
        <v>1015</v>
      </c>
      <c r="D147" s="33" t="str">
        <f>VLOOKUP(B147,Detail!$G$1:$H$1001,2,FALSE)</f>
        <v>Zulaikha Kusumo</v>
      </c>
      <c r="E147" s="7">
        <v>81</v>
      </c>
      <c r="F147" s="7">
        <v>55</v>
      </c>
      <c r="G147" s="57">
        <v>57</v>
      </c>
      <c r="H147" s="7">
        <v>63</v>
      </c>
      <c r="I147" s="7">
        <v>85</v>
      </c>
      <c r="J147" s="7">
        <v>55</v>
      </c>
      <c r="K147" s="7">
        <v>66</v>
      </c>
      <c r="L147" s="56">
        <f>IFERROR(VLOOKUP(B147,Absen!$A$1:$C$501,2,FALSE),"No")</f>
        <v>44905</v>
      </c>
      <c r="M147" s="58">
        <f t="shared" si="4"/>
        <v>5.6000000000000005</v>
      </c>
      <c r="N147" s="57">
        <f t="shared" si="5"/>
        <v>63.5</v>
      </c>
      <c r="O147" s="7" t="str">
        <f>VLOOKUP(N147,Helper!$B$30:$C$35,2,TRUE)</f>
        <v>C</v>
      </c>
      <c r="P147" s="56">
        <f>INDEX(Detail!$A$1:$A$1001,MATCH(B147,Detail!$G$1:$G$1001,0))</f>
        <v>38253</v>
      </c>
      <c r="Q147" s="33" t="str">
        <f>INDEX(Detail!$F$1:$F$1001,MATCH(Main!B147,Detail!$G$1:$G$1001,0))</f>
        <v>Pontianak</v>
      </c>
      <c r="R147" s="7">
        <f>INDEX(Detail!$C$1:$C$1001,MATCH(B147,Detail!$G$1:$G$1001,0),1)</f>
        <v>178</v>
      </c>
      <c r="S147" s="7">
        <f>INDEX(Detail!$D$1:$D$1001,MATCH(B147,Detail!$G$1:$G$1001,0),1)</f>
        <v>51</v>
      </c>
      <c r="T147" s="7" t="str">
        <f>INDEX(Detail!$E$1:$E$1001,MATCH(Main!B147,Detail!$G$1:$G$1001,0))</f>
        <v>Jl. Jakarta No. 26</v>
      </c>
      <c r="U147" s="7" t="str">
        <f>INDEX(Detail!$B$1:$B$1001,MATCH(B147,Detail!$G$1:$G$1001,0),1)</f>
        <v>A-</v>
      </c>
      <c r="V147" s="7" t="str" cm="1">
        <f t="array" ref="V147">INDEX(Dosen!$B$3:$E$8,MATCH(Main!C147,Dosen!$A$3:$A$8,0),IF(AND(Main!A147&gt;=1,Main!A147&lt;=250),1,IF(AND(Main!A147&gt;=251,Main!A147&lt;=500),2,IF(AND(Main!A147&gt;=501,Main!A147&lt;=750),3,4))))</f>
        <v>Pak Krisna</v>
      </c>
      <c r="W147" s="7" t="str">
        <f>_xlfn.XLOOKUP(B147,Detail!$G$1:$G$1001,Detail!$B$1:$B$1001)</f>
        <v>A-</v>
      </c>
    </row>
    <row r="148" spans="1:23" ht="15.75" x14ac:dyDescent="0.25">
      <c r="A148" s="7">
        <v>922</v>
      </c>
      <c r="B148" s="33" t="str">
        <f>CONCATENATE("A",TEXT(Main!A148,"0000"))</f>
        <v>A0922</v>
      </c>
      <c r="C148" s="7" t="s">
        <v>1015</v>
      </c>
      <c r="D148" s="33" t="str">
        <f>VLOOKUP(B148,Detail!$G$1:$H$1001,2,FALSE)</f>
        <v>Karsana Wijaya</v>
      </c>
      <c r="E148" s="7">
        <v>66</v>
      </c>
      <c r="F148" s="7">
        <v>64</v>
      </c>
      <c r="G148" s="57">
        <v>72</v>
      </c>
      <c r="H148" s="7">
        <v>71</v>
      </c>
      <c r="I148" s="7">
        <v>73</v>
      </c>
      <c r="J148" s="7">
        <v>68</v>
      </c>
      <c r="K148" s="7">
        <v>66</v>
      </c>
      <c r="L148" s="56">
        <f>IFERROR(VLOOKUP(B148,Absen!$A$1:$C$501,2,FALSE),"No")</f>
        <v>44752</v>
      </c>
      <c r="M148" s="58">
        <f t="shared" si="4"/>
        <v>5.6000000000000005</v>
      </c>
      <c r="N148" s="57">
        <f t="shared" si="5"/>
        <v>67.849999999999994</v>
      </c>
      <c r="O148" s="7" t="str">
        <f>VLOOKUP(N148,Helper!$B$30:$C$35,2,TRUE)</f>
        <v>C</v>
      </c>
      <c r="P148" s="56">
        <f>INDEX(Detail!$A$1:$A$1001,MATCH(B148,Detail!$G$1:$G$1001,0))</f>
        <v>37497</v>
      </c>
      <c r="Q148" s="33" t="str">
        <f>INDEX(Detail!$F$1:$F$1001,MATCH(Main!B148,Detail!$G$1:$G$1001,0))</f>
        <v>Palembang</v>
      </c>
      <c r="R148" s="7">
        <f>INDEX(Detail!$C$1:$C$1001,MATCH(B148,Detail!$G$1:$G$1001,0),1)</f>
        <v>151</v>
      </c>
      <c r="S148" s="7">
        <f>INDEX(Detail!$D$1:$D$1001,MATCH(B148,Detail!$G$1:$G$1001,0),1)</f>
        <v>87</v>
      </c>
      <c r="T148" s="7" t="str">
        <f>INDEX(Detail!$E$1:$E$1001,MATCH(Main!B148,Detail!$G$1:$G$1001,0))</f>
        <v xml:space="preserve">Jl. Pasir Koja No. 2
</v>
      </c>
      <c r="U148" s="7" t="str">
        <f>INDEX(Detail!$B$1:$B$1001,MATCH(B148,Detail!$G$1:$G$1001,0),1)</f>
        <v>O+</v>
      </c>
      <c r="V148" s="7" t="str" cm="1">
        <f t="array" ref="V148">INDEX(Dosen!$B$3:$E$8,MATCH(Main!C148,Dosen!$A$3:$A$8,0),IF(AND(Main!A148&gt;=1,Main!A148&lt;=250),1,IF(AND(Main!A148&gt;=251,Main!A148&lt;=500),2,IF(AND(Main!A148&gt;=501,Main!A148&lt;=750),3,4))))</f>
        <v>Pak Krisna</v>
      </c>
      <c r="W148" s="7" t="str">
        <f>_xlfn.XLOOKUP(B148,Detail!$G$1:$G$1001,Detail!$B$1:$B$1001)</f>
        <v>O+</v>
      </c>
    </row>
    <row r="149" spans="1:23" ht="15.75" x14ac:dyDescent="0.25">
      <c r="A149" s="7">
        <v>926</v>
      </c>
      <c r="B149" s="33" t="str">
        <f>CONCATENATE("A",TEXT(Main!A149,"0000"))</f>
        <v>A0926</v>
      </c>
      <c r="C149" s="7" t="s">
        <v>1015</v>
      </c>
      <c r="D149" s="33" t="str">
        <f>VLOOKUP(B149,Detail!$G$1:$H$1001,2,FALSE)</f>
        <v>Putri Thamrin</v>
      </c>
      <c r="E149" s="7">
        <v>83</v>
      </c>
      <c r="F149" s="7">
        <v>48</v>
      </c>
      <c r="G149" s="57">
        <v>43</v>
      </c>
      <c r="H149" s="7">
        <v>55</v>
      </c>
      <c r="I149" s="7">
        <v>63</v>
      </c>
      <c r="J149" s="7">
        <v>97</v>
      </c>
      <c r="K149" s="7">
        <v>87</v>
      </c>
      <c r="L149" s="56">
        <f>IFERROR(VLOOKUP(B149,Absen!$A$1:$C$501,2,FALSE),"No")</f>
        <v>44795</v>
      </c>
      <c r="M149" s="58">
        <f t="shared" si="4"/>
        <v>7.7</v>
      </c>
      <c r="N149" s="57">
        <f t="shared" si="5"/>
        <v>66.825000000000003</v>
      </c>
      <c r="O149" s="7" t="str">
        <f>VLOOKUP(N149,Helper!$B$30:$C$35,2,TRUE)</f>
        <v>C</v>
      </c>
      <c r="P149" s="56">
        <f>INDEX(Detail!$A$1:$A$1001,MATCH(B149,Detail!$G$1:$G$1001,0))</f>
        <v>37335</v>
      </c>
      <c r="Q149" s="33" t="str">
        <f>INDEX(Detail!$F$1:$F$1001,MATCH(Main!B149,Detail!$G$1:$G$1001,0))</f>
        <v>Surabaya</v>
      </c>
      <c r="R149" s="7">
        <f>INDEX(Detail!$C$1:$C$1001,MATCH(B149,Detail!$G$1:$G$1001,0),1)</f>
        <v>153</v>
      </c>
      <c r="S149" s="7">
        <f>INDEX(Detail!$D$1:$D$1001,MATCH(B149,Detail!$G$1:$G$1001,0),1)</f>
        <v>70</v>
      </c>
      <c r="T149" s="7" t="str">
        <f>INDEX(Detail!$E$1:$E$1001,MATCH(Main!B149,Detail!$G$1:$G$1001,0))</f>
        <v>Gg. Rawamangun No. 80</v>
      </c>
      <c r="U149" s="7" t="str">
        <f>INDEX(Detail!$B$1:$B$1001,MATCH(B149,Detail!$G$1:$G$1001,0),1)</f>
        <v>O+</v>
      </c>
      <c r="V149" s="7" t="str" cm="1">
        <f t="array" ref="V149">INDEX(Dosen!$B$3:$E$8,MATCH(Main!C149,Dosen!$A$3:$A$8,0),IF(AND(Main!A149&gt;=1,Main!A149&lt;=250),1,IF(AND(Main!A149&gt;=251,Main!A149&lt;=500),2,IF(AND(Main!A149&gt;=501,Main!A149&lt;=750),3,4))))</f>
        <v>Pak Krisna</v>
      </c>
      <c r="W149" s="7" t="str">
        <f>_xlfn.XLOOKUP(B149,Detail!$G$1:$G$1001,Detail!$B$1:$B$1001)</f>
        <v>O+</v>
      </c>
    </row>
    <row r="150" spans="1:23" ht="15.75" x14ac:dyDescent="0.25">
      <c r="A150" s="7">
        <v>931</v>
      </c>
      <c r="B150" s="33" t="str">
        <f>CONCATENATE("A",TEXT(Main!A150,"0000"))</f>
        <v>A0931</v>
      </c>
      <c r="C150" s="7" t="s">
        <v>1015</v>
      </c>
      <c r="D150" s="33" t="str">
        <f>VLOOKUP(B150,Detail!$G$1:$H$1001,2,FALSE)</f>
        <v>Mustofa Narpati</v>
      </c>
      <c r="E150" s="7">
        <v>60</v>
      </c>
      <c r="F150" s="7">
        <v>41</v>
      </c>
      <c r="G150" s="57">
        <v>72</v>
      </c>
      <c r="H150" s="7">
        <v>58</v>
      </c>
      <c r="I150" s="7">
        <v>92</v>
      </c>
      <c r="J150" s="7">
        <v>58</v>
      </c>
      <c r="K150" s="7">
        <v>100</v>
      </c>
      <c r="L150" s="56">
        <f>IFERROR(VLOOKUP(B150,Absen!$A$1:$C$501,2,FALSE),"No")</f>
        <v>44752</v>
      </c>
      <c r="M150" s="58">
        <f t="shared" si="4"/>
        <v>9</v>
      </c>
      <c r="N150" s="57">
        <f t="shared" si="5"/>
        <v>66.375</v>
      </c>
      <c r="O150" s="7" t="str">
        <f>VLOOKUP(N150,Helper!$B$30:$C$35,2,TRUE)</f>
        <v>C</v>
      </c>
      <c r="P150" s="56">
        <f>INDEX(Detail!$A$1:$A$1001,MATCH(B150,Detail!$G$1:$G$1001,0))</f>
        <v>37900</v>
      </c>
      <c r="Q150" s="33" t="str">
        <f>INDEX(Detail!$F$1:$F$1001,MATCH(Main!B150,Detail!$G$1:$G$1001,0))</f>
        <v>Mojokerto</v>
      </c>
      <c r="R150" s="7">
        <f>INDEX(Detail!$C$1:$C$1001,MATCH(B150,Detail!$G$1:$G$1001,0),1)</f>
        <v>162</v>
      </c>
      <c r="S150" s="7">
        <f>INDEX(Detail!$D$1:$D$1001,MATCH(B150,Detail!$G$1:$G$1001,0),1)</f>
        <v>57</v>
      </c>
      <c r="T150" s="7" t="str">
        <f>INDEX(Detail!$E$1:$E$1001,MATCH(Main!B150,Detail!$G$1:$G$1001,0))</f>
        <v>Jl. Joyoboyo No. 20</v>
      </c>
      <c r="U150" s="7" t="str">
        <f>INDEX(Detail!$B$1:$B$1001,MATCH(B150,Detail!$G$1:$G$1001,0),1)</f>
        <v>O-</v>
      </c>
      <c r="V150" s="7" t="str" cm="1">
        <f t="array" ref="V150">INDEX(Dosen!$B$3:$E$8,MATCH(Main!C150,Dosen!$A$3:$A$8,0),IF(AND(Main!A150&gt;=1,Main!A150&lt;=250),1,IF(AND(Main!A150&gt;=251,Main!A150&lt;=500),2,IF(AND(Main!A150&gt;=501,Main!A150&lt;=750),3,4))))</f>
        <v>Pak Krisna</v>
      </c>
      <c r="W150" s="7" t="str">
        <f>_xlfn.XLOOKUP(B150,Detail!$G$1:$G$1001,Detail!$B$1:$B$1001)</f>
        <v>O-</v>
      </c>
    </row>
    <row r="151" spans="1:23" ht="15.75" x14ac:dyDescent="0.25">
      <c r="A151" s="7">
        <v>938</v>
      </c>
      <c r="B151" s="33" t="str">
        <f>CONCATENATE("A",TEXT(Main!A151,"0000"))</f>
        <v>A0938</v>
      </c>
      <c r="C151" s="7" t="s">
        <v>1015</v>
      </c>
      <c r="D151" s="33" t="str">
        <f>VLOOKUP(B151,Detail!$G$1:$H$1001,2,FALSE)</f>
        <v>Melinda Megantara</v>
      </c>
      <c r="E151" s="7">
        <v>82</v>
      </c>
      <c r="F151" s="7">
        <v>52</v>
      </c>
      <c r="G151" s="57">
        <v>62</v>
      </c>
      <c r="H151" s="7">
        <v>59</v>
      </c>
      <c r="I151" s="7">
        <v>90</v>
      </c>
      <c r="J151" s="7">
        <v>97</v>
      </c>
      <c r="K151" s="7">
        <v>98</v>
      </c>
      <c r="L151" s="56" t="str">
        <f>IFERROR(VLOOKUP(B151,Absen!$A$1:$C$501,2,FALSE),"No")</f>
        <v>No</v>
      </c>
      <c r="M151" s="58">
        <f t="shared" si="4"/>
        <v>9.8000000000000007</v>
      </c>
      <c r="N151" s="57">
        <f t="shared" si="5"/>
        <v>76.974999999999994</v>
      </c>
      <c r="O151" s="7" t="str">
        <f>VLOOKUP(N151,Helper!$B$30:$C$35,2,TRUE)</f>
        <v>B</v>
      </c>
      <c r="P151" s="56">
        <f>INDEX(Detail!$A$1:$A$1001,MATCH(B151,Detail!$G$1:$G$1001,0))</f>
        <v>38262</v>
      </c>
      <c r="Q151" s="33" t="str">
        <f>INDEX(Detail!$F$1:$F$1001,MATCH(Main!B151,Detail!$G$1:$G$1001,0))</f>
        <v>Balikpapan</v>
      </c>
      <c r="R151" s="7">
        <f>INDEX(Detail!$C$1:$C$1001,MATCH(B151,Detail!$G$1:$G$1001,0),1)</f>
        <v>160</v>
      </c>
      <c r="S151" s="7">
        <f>INDEX(Detail!$D$1:$D$1001,MATCH(B151,Detail!$G$1:$G$1001,0),1)</f>
        <v>50</v>
      </c>
      <c r="T151" s="7" t="str">
        <f>INDEX(Detail!$E$1:$E$1001,MATCH(Main!B151,Detail!$G$1:$G$1001,0))</f>
        <v>Jalan Astana Anyar No. 45</v>
      </c>
      <c r="U151" s="7" t="str">
        <f>INDEX(Detail!$B$1:$B$1001,MATCH(B151,Detail!$G$1:$G$1001,0),1)</f>
        <v>AB-</v>
      </c>
      <c r="V151" s="7" t="str" cm="1">
        <f t="array" ref="V151">INDEX(Dosen!$B$3:$E$8,MATCH(Main!C151,Dosen!$A$3:$A$8,0),IF(AND(Main!A151&gt;=1,Main!A151&lt;=250),1,IF(AND(Main!A151&gt;=251,Main!A151&lt;=500),2,IF(AND(Main!A151&gt;=501,Main!A151&lt;=750),3,4))))</f>
        <v>Pak Krisna</v>
      </c>
      <c r="W151" s="7" t="str">
        <f>_xlfn.XLOOKUP(B151,Detail!$G$1:$G$1001,Detail!$B$1:$B$1001)</f>
        <v>AB-</v>
      </c>
    </row>
    <row r="152" spans="1:23" ht="15.75" x14ac:dyDescent="0.25">
      <c r="A152" s="7">
        <v>940</v>
      </c>
      <c r="B152" s="33" t="str">
        <f>CONCATENATE("A",TEXT(Main!A152,"0000"))</f>
        <v>A0940</v>
      </c>
      <c r="C152" s="7" t="s">
        <v>1015</v>
      </c>
      <c r="D152" s="33" t="str">
        <f>VLOOKUP(B152,Detail!$G$1:$H$1001,2,FALSE)</f>
        <v>Sarah Nuraini</v>
      </c>
      <c r="E152" s="7">
        <v>87</v>
      </c>
      <c r="F152" s="7">
        <v>46</v>
      </c>
      <c r="G152" s="57">
        <v>57</v>
      </c>
      <c r="H152" s="7">
        <v>73</v>
      </c>
      <c r="I152" s="7">
        <v>64</v>
      </c>
      <c r="J152" s="7">
        <v>90</v>
      </c>
      <c r="K152" s="7">
        <v>96</v>
      </c>
      <c r="L152" s="56" t="str">
        <f>IFERROR(VLOOKUP(B152,Absen!$A$1:$C$501,2,FALSE),"No")</f>
        <v>No</v>
      </c>
      <c r="M152" s="58">
        <f t="shared" si="4"/>
        <v>9.6000000000000014</v>
      </c>
      <c r="N152" s="57">
        <f t="shared" si="5"/>
        <v>72.75</v>
      </c>
      <c r="O152" s="7" t="str">
        <f>VLOOKUP(N152,Helper!$B$30:$C$35,2,TRUE)</f>
        <v>B</v>
      </c>
      <c r="P152" s="56">
        <f>INDEX(Detail!$A$1:$A$1001,MATCH(B152,Detail!$G$1:$G$1001,0))</f>
        <v>37073</v>
      </c>
      <c r="Q152" s="33" t="str">
        <f>INDEX(Detail!$F$1:$F$1001,MATCH(Main!B152,Detail!$G$1:$G$1001,0))</f>
        <v>Kupang</v>
      </c>
      <c r="R152" s="7">
        <f>INDEX(Detail!$C$1:$C$1001,MATCH(B152,Detail!$G$1:$G$1001,0),1)</f>
        <v>167</v>
      </c>
      <c r="S152" s="7">
        <f>INDEX(Detail!$D$1:$D$1001,MATCH(B152,Detail!$G$1:$G$1001,0),1)</f>
        <v>66</v>
      </c>
      <c r="T152" s="7" t="str">
        <f>INDEX(Detail!$E$1:$E$1001,MATCH(Main!B152,Detail!$G$1:$G$1001,0))</f>
        <v xml:space="preserve">Jalan Yos Sudarso No. 8
</v>
      </c>
      <c r="U152" s="7" t="str">
        <f>INDEX(Detail!$B$1:$B$1001,MATCH(B152,Detail!$G$1:$G$1001,0),1)</f>
        <v>AB-</v>
      </c>
      <c r="V152" s="7" t="str" cm="1">
        <f t="array" ref="V152">INDEX(Dosen!$B$3:$E$8,MATCH(Main!C152,Dosen!$A$3:$A$8,0),IF(AND(Main!A152&gt;=1,Main!A152&lt;=250),1,IF(AND(Main!A152&gt;=251,Main!A152&lt;=500),2,IF(AND(Main!A152&gt;=501,Main!A152&lt;=750),3,4))))</f>
        <v>Pak Krisna</v>
      </c>
      <c r="W152" s="7" t="str">
        <f>_xlfn.XLOOKUP(B152,Detail!$G$1:$G$1001,Detail!$B$1:$B$1001)</f>
        <v>AB-</v>
      </c>
    </row>
    <row r="153" spans="1:23" ht="15.75" x14ac:dyDescent="0.25">
      <c r="A153" s="7">
        <v>964</v>
      </c>
      <c r="B153" s="33" t="str">
        <f>CONCATENATE("A",TEXT(Main!A153,"0000"))</f>
        <v>A0964</v>
      </c>
      <c r="C153" s="7" t="s">
        <v>1015</v>
      </c>
      <c r="D153" s="33" t="str">
        <f>VLOOKUP(B153,Detail!$G$1:$H$1001,2,FALSE)</f>
        <v>Gaman Simbolon</v>
      </c>
      <c r="E153" s="7">
        <v>80</v>
      </c>
      <c r="F153" s="7">
        <v>65</v>
      </c>
      <c r="G153" s="57">
        <v>50</v>
      </c>
      <c r="H153" s="7">
        <v>63</v>
      </c>
      <c r="I153" s="7">
        <v>73</v>
      </c>
      <c r="J153" s="7">
        <v>45</v>
      </c>
      <c r="K153" s="7">
        <v>80</v>
      </c>
      <c r="L153" s="56" t="str">
        <f>IFERROR(VLOOKUP(B153,Absen!$A$1:$C$501,2,FALSE),"No")</f>
        <v>No</v>
      </c>
      <c r="M153" s="58">
        <f t="shared" si="4"/>
        <v>8</v>
      </c>
      <c r="N153" s="57">
        <f t="shared" si="5"/>
        <v>62.125</v>
      </c>
      <c r="O153" s="7" t="str">
        <f>VLOOKUP(N153,Helper!$B$30:$C$35,2,TRUE)</f>
        <v>C</v>
      </c>
      <c r="P153" s="56">
        <f>INDEX(Detail!$A$1:$A$1001,MATCH(B153,Detail!$G$1:$G$1001,0))</f>
        <v>37515</v>
      </c>
      <c r="Q153" s="33" t="str">
        <f>INDEX(Detail!$F$1:$F$1001,MATCH(Main!B153,Detail!$G$1:$G$1001,0))</f>
        <v>Kota Administrasi Jakarta Barat</v>
      </c>
      <c r="R153" s="7">
        <f>INDEX(Detail!$C$1:$C$1001,MATCH(B153,Detail!$G$1:$G$1001,0),1)</f>
        <v>161</v>
      </c>
      <c r="S153" s="7">
        <f>INDEX(Detail!$D$1:$D$1001,MATCH(B153,Detail!$G$1:$G$1001,0),1)</f>
        <v>54</v>
      </c>
      <c r="T153" s="7" t="str">
        <f>INDEX(Detail!$E$1:$E$1001,MATCH(Main!B153,Detail!$G$1:$G$1001,0))</f>
        <v xml:space="preserve">Gang Kutai No. 1
</v>
      </c>
      <c r="U153" s="7" t="str">
        <f>INDEX(Detail!$B$1:$B$1001,MATCH(B153,Detail!$G$1:$G$1001,0),1)</f>
        <v>B-</v>
      </c>
      <c r="V153" s="7" t="str" cm="1">
        <f t="array" ref="V153">INDEX(Dosen!$B$3:$E$8,MATCH(Main!C153,Dosen!$A$3:$A$8,0),IF(AND(Main!A153&gt;=1,Main!A153&lt;=250),1,IF(AND(Main!A153&gt;=251,Main!A153&lt;=500),2,IF(AND(Main!A153&gt;=501,Main!A153&lt;=750),3,4))))</f>
        <v>Pak Krisna</v>
      </c>
      <c r="W153" s="7" t="str">
        <f>_xlfn.XLOOKUP(B153,Detail!$G$1:$G$1001,Detail!$B$1:$B$1001)</f>
        <v>B-</v>
      </c>
    </row>
    <row r="154" spans="1:23" ht="15.75" x14ac:dyDescent="0.25">
      <c r="A154" s="7">
        <v>966</v>
      </c>
      <c r="B154" s="33" t="str">
        <f>CONCATENATE("A",TEXT(Main!A154,"0000"))</f>
        <v>A0966</v>
      </c>
      <c r="C154" s="7" t="s">
        <v>1015</v>
      </c>
      <c r="D154" s="33" t="str">
        <f>VLOOKUP(B154,Detail!$G$1:$H$1001,2,FALSE)</f>
        <v>Bambang Gunarto</v>
      </c>
      <c r="E154" s="7">
        <v>64</v>
      </c>
      <c r="F154" s="7">
        <v>64</v>
      </c>
      <c r="G154" s="57">
        <v>72</v>
      </c>
      <c r="H154" s="7">
        <v>73</v>
      </c>
      <c r="I154" s="7">
        <v>89</v>
      </c>
      <c r="J154" s="7">
        <v>54</v>
      </c>
      <c r="K154" s="7">
        <v>68</v>
      </c>
      <c r="L154" s="56">
        <f>IFERROR(VLOOKUP(B154,Absen!$A$1:$C$501,2,FALSE),"No")</f>
        <v>44907</v>
      </c>
      <c r="M154" s="58">
        <f t="shared" si="4"/>
        <v>5.8000000000000007</v>
      </c>
      <c r="N154" s="57">
        <f t="shared" si="5"/>
        <v>67.25</v>
      </c>
      <c r="O154" s="7" t="str">
        <f>VLOOKUP(N154,Helper!$B$30:$C$35,2,TRUE)</f>
        <v>C</v>
      </c>
      <c r="P154" s="56">
        <f>INDEX(Detail!$A$1:$A$1001,MATCH(B154,Detail!$G$1:$G$1001,0))</f>
        <v>37343</v>
      </c>
      <c r="Q154" s="33" t="str">
        <f>INDEX(Detail!$F$1:$F$1001,MATCH(Main!B154,Detail!$G$1:$G$1001,0))</f>
        <v>Palembang</v>
      </c>
      <c r="R154" s="7">
        <f>INDEX(Detail!$C$1:$C$1001,MATCH(B154,Detail!$G$1:$G$1001,0),1)</f>
        <v>150</v>
      </c>
      <c r="S154" s="7">
        <f>INDEX(Detail!$D$1:$D$1001,MATCH(B154,Detail!$G$1:$G$1001,0),1)</f>
        <v>54</v>
      </c>
      <c r="T154" s="7" t="str">
        <f>INDEX(Detail!$E$1:$E$1001,MATCH(Main!B154,Detail!$G$1:$G$1001,0))</f>
        <v xml:space="preserve">Gang Kiaracondong No. 8
</v>
      </c>
      <c r="U154" s="7" t="str">
        <f>INDEX(Detail!$B$1:$B$1001,MATCH(B154,Detail!$G$1:$G$1001,0),1)</f>
        <v>A+</v>
      </c>
      <c r="V154" s="7" t="str" cm="1">
        <f t="array" ref="V154">INDEX(Dosen!$B$3:$E$8,MATCH(Main!C154,Dosen!$A$3:$A$8,0),IF(AND(Main!A154&gt;=1,Main!A154&lt;=250),1,IF(AND(Main!A154&gt;=251,Main!A154&lt;=500),2,IF(AND(Main!A154&gt;=501,Main!A154&lt;=750),3,4))))</f>
        <v>Pak Krisna</v>
      </c>
      <c r="W154" s="7" t="str">
        <f>_xlfn.XLOOKUP(B154,Detail!$G$1:$G$1001,Detail!$B$1:$B$1001)</f>
        <v>A+</v>
      </c>
    </row>
    <row r="155" spans="1:23" ht="15.75" x14ac:dyDescent="0.25">
      <c r="A155" s="7">
        <v>969</v>
      </c>
      <c r="B155" s="33" t="str">
        <f>CONCATENATE("A",TEXT(Main!A155,"0000"))</f>
        <v>A0969</v>
      </c>
      <c r="C155" s="7" t="s">
        <v>1015</v>
      </c>
      <c r="D155" s="33" t="str">
        <f>VLOOKUP(B155,Detail!$G$1:$H$1001,2,FALSE)</f>
        <v>Fitriani Mulyani</v>
      </c>
      <c r="E155" s="7">
        <v>92</v>
      </c>
      <c r="F155" s="7">
        <v>57</v>
      </c>
      <c r="G155" s="57">
        <v>89</v>
      </c>
      <c r="H155" s="7">
        <v>73</v>
      </c>
      <c r="I155" s="7">
        <v>81</v>
      </c>
      <c r="J155" s="7">
        <v>74</v>
      </c>
      <c r="K155" s="7">
        <v>99</v>
      </c>
      <c r="L155" s="56" t="str">
        <f>IFERROR(VLOOKUP(B155,Absen!$A$1:$C$501,2,FALSE),"No")</f>
        <v>No</v>
      </c>
      <c r="M155" s="58">
        <f t="shared" si="4"/>
        <v>9.9</v>
      </c>
      <c r="N155" s="57">
        <f t="shared" si="5"/>
        <v>80.375</v>
      </c>
      <c r="O155" s="7" t="str">
        <f>VLOOKUP(N155,Helper!$B$30:$C$35,2,TRUE)</f>
        <v>A</v>
      </c>
      <c r="P155" s="56">
        <f>INDEX(Detail!$A$1:$A$1001,MATCH(B155,Detail!$G$1:$G$1001,0))</f>
        <v>37571</v>
      </c>
      <c r="Q155" s="33" t="str">
        <f>INDEX(Detail!$F$1:$F$1001,MATCH(Main!B155,Detail!$G$1:$G$1001,0))</f>
        <v>Bukittinggi</v>
      </c>
      <c r="R155" s="7">
        <f>INDEX(Detail!$C$1:$C$1001,MATCH(B155,Detail!$G$1:$G$1001,0),1)</f>
        <v>161</v>
      </c>
      <c r="S155" s="7">
        <f>INDEX(Detail!$D$1:$D$1001,MATCH(B155,Detail!$G$1:$G$1001,0),1)</f>
        <v>81</v>
      </c>
      <c r="T155" s="7" t="str">
        <f>INDEX(Detail!$E$1:$E$1001,MATCH(Main!B155,Detail!$G$1:$G$1001,0))</f>
        <v>Jl. Laswi No. 87</v>
      </c>
      <c r="U155" s="7" t="str">
        <f>INDEX(Detail!$B$1:$B$1001,MATCH(B155,Detail!$G$1:$G$1001,0),1)</f>
        <v>AB+</v>
      </c>
      <c r="V155" s="7" t="str" cm="1">
        <f t="array" ref="V155">INDEX(Dosen!$B$3:$E$8,MATCH(Main!C155,Dosen!$A$3:$A$8,0),IF(AND(Main!A155&gt;=1,Main!A155&lt;=250),1,IF(AND(Main!A155&gt;=251,Main!A155&lt;=500),2,IF(AND(Main!A155&gt;=501,Main!A155&lt;=750),3,4))))</f>
        <v>Pak Krisna</v>
      </c>
      <c r="W155" s="7" t="str">
        <f>_xlfn.XLOOKUP(B155,Detail!$G$1:$G$1001,Detail!$B$1:$B$1001)</f>
        <v>AB+</v>
      </c>
    </row>
    <row r="156" spans="1:23" ht="15.75" x14ac:dyDescent="0.25">
      <c r="A156" s="7">
        <v>970</v>
      </c>
      <c r="B156" s="33" t="str">
        <f>CONCATENATE("A",TEXT(Main!A156,"0000"))</f>
        <v>A0970</v>
      </c>
      <c r="C156" s="7" t="s">
        <v>1015</v>
      </c>
      <c r="D156" s="33" t="str">
        <f>VLOOKUP(B156,Detail!$G$1:$H$1001,2,FALSE)</f>
        <v>Gangsa Iswahyudi</v>
      </c>
      <c r="E156" s="7">
        <v>69</v>
      </c>
      <c r="F156" s="7">
        <v>59</v>
      </c>
      <c r="G156" s="57">
        <v>61</v>
      </c>
      <c r="H156" s="7">
        <v>72</v>
      </c>
      <c r="I156" s="7">
        <v>73</v>
      </c>
      <c r="J156" s="7">
        <v>70</v>
      </c>
      <c r="K156" s="7">
        <v>80</v>
      </c>
      <c r="L156" s="56" t="str">
        <f>IFERROR(VLOOKUP(B156,Absen!$A$1:$C$501,2,FALSE),"No")</f>
        <v>No</v>
      </c>
      <c r="M156" s="58">
        <f t="shared" si="4"/>
        <v>8</v>
      </c>
      <c r="N156" s="57">
        <f t="shared" si="5"/>
        <v>68.325000000000003</v>
      </c>
      <c r="O156" s="7" t="str">
        <f>VLOOKUP(N156,Helper!$B$30:$C$35,2,TRUE)</f>
        <v>C</v>
      </c>
      <c r="P156" s="56">
        <f>INDEX(Detail!$A$1:$A$1001,MATCH(B156,Detail!$G$1:$G$1001,0))</f>
        <v>37596</v>
      </c>
      <c r="Q156" s="33" t="str">
        <f>INDEX(Detail!$F$1:$F$1001,MATCH(Main!B156,Detail!$G$1:$G$1001,0))</f>
        <v>Sorong</v>
      </c>
      <c r="R156" s="7">
        <f>INDEX(Detail!$C$1:$C$1001,MATCH(B156,Detail!$G$1:$G$1001,0),1)</f>
        <v>156</v>
      </c>
      <c r="S156" s="7">
        <f>INDEX(Detail!$D$1:$D$1001,MATCH(B156,Detail!$G$1:$G$1001,0),1)</f>
        <v>70</v>
      </c>
      <c r="T156" s="7" t="str">
        <f>INDEX(Detail!$E$1:$E$1001,MATCH(Main!B156,Detail!$G$1:$G$1001,0))</f>
        <v>Gang M.T Haryono No. 25</v>
      </c>
      <c r="U156" s="7" t="str">
        <f>INDEX(Detail!$B$1:$B$1001,MATCH(B156,Detail!$G$1:$G$1001,0),1)</f>
        <v>B+</v>
      </c>
      <c r="V156" s="7" t="str" cm="1">
        <f t="array" ref="V156">INDEX(Dosen!$B$3:$E$8,MATCH(Main!C156,Dosen!$A$3:$A$8,0),IF(AND(Main!A156&gt;=1,Main!A156&lt;=250),1,IF(AND(Main!A156&gt;=251,Main!A156&lt;=500),2,IF(AND(Main!A156&gt;=501,Main!A156&lt;=750),3,4))))</f>
        <v>Pak Krisna</v>
      </c>
      <c r="W156" s="7" t="str">
        <f>_xlfn.XLOOKUP(B156,Detail!$G$1:$G$1001,Detail!$B$1:$B$1001)</f>
        <v>B+</v>
      </c>
    </row>
    <row r="157" spans="1:23" ht="15.75" x14ac:dyDescent="0.25">
      <c r="A157" s="7">
        <v>977</v>
      </c>
      <c r="B157" s="33" t="str">
        <f>CONCATENATE("A",TEXT(Main!A157,"0000"))</f>
        <v>A0977</v>
      </c>
      <c r="C157" s="7" t="s">
        <v>1015</v>
      </c>
      <c r="D157" s="33" t="str">
        <f>VLOOKUP(B157,Detail!$G$1:$H$1001,2,FALSE)</f>
        <v>Okta Sitorus</v>
      </c>
      <c r="E157" s="7">
        <v>80</v>
      </c>
      <c r="F157" s="7">
        <v>65</v>
      </c>
      <c r="G157" s="57">
        <v>69</v>
      </c>
      <c r="H157" s="7">
        <v>58</v>
      </c>
      <c r="I157" s="7">
        <v>63</v>
      </c>
      <c r="J157" s="7">
        <v>66</v>
      </c>
      <c r="K157" s="7">
        <v>66</v>
      </c>
      <c r="L157" s="56">
        <f>IFERROR(VLOOKUP(B157,Absen!$A$1:$C$501,2,FALSE),"No")</f>
        <v>44879</v>
      </c>
      <c r="M157" s="58">
        <f t="shared" si="4"/>
        <v>5.6000000000000005</v>
      </c>
      <c r="N157" s="57">
        <f t="shared" si="5"/>
        <v>65.849999999999994</v>
      </c>
      <c r="O157" s="7" t="str">
        <f>VLOOKUP(N157,Helper!$B$30:$C$35,2,TRUE)</f>
        <v>C</v>
      </c>
      <c r="P157" s="56">
        <f>INDEX(Detail!$A$1:$A$1001,MATCH(B157,Detail!$G$1:$G$1001,0))</f>
        <v>37834</v>
      </c>
      <c r="Q157" s="33" t="str">
        <f>INDEX(Detail!$F$1:$F$1001,MATCH(Main!B157,Detail!$G$1:$G$1001,0))</f>
        <v>Sibolga</v>
      </c>
      <c r="R157" s="7">
        <f>INDEX(Detail!$C$1:$C$1001,MATCH(B157,Detail!$G$1:$G$1001,0),1)</f>
        <v>164</v>
      </c>
      <c r="S157" s="7">
        <f>INDEX(Detail!$D$1:$D$1001,MATCH(B157,Detail!$G$1:$G$1001,0),1)</f>
        <v>72</v>
      </c>
      <c r="T157" s="7" t="str">
        <f>INDEX(Detail!$E$1:$E$1001,MATCH(Main!B157,Detail!$G$1:$G$1001,0))</f>
        <v xml:space="preserve">Jl. Antapani Lama No. 3
</v>
      </c>
      <c r="U157" s="7" t="str">
        <f>INDEX(Detail!$B$1:$B$1001,MATCH(B157,Detail!$G$1:$G$1001,0),1)</f>
        <v>A+</v>
      </c>
      <c r="V157" s="7" t="str" cm="1">
        <f t="array" ref="V157">INDEX(Dosen!$B$3:$E$8,MATCH(Main!C157,Dosen!$A$3:$A$8,0),IF(AND(Main!A157&gt;=1,Main!A157&lt;=250),1,IF(AND(Main!A157&gt;=251,Main!A157&lt;=500),2,IF(AND(Main!A157&gt;=501,Main!A157&lt;=750),3,4))))</f>
        <v>Pak Krisna</v>
      </c>
      <c r="W157" s="7" t="str">
        <f>_xlfn.XLOOKUP(B157,Detail!$G$1:$G$1001,Detail!$B$1:$B$1001)</f>
        <v>A+</v>
      </c>
    </row>
    <row r="158" spans="1:23" ht="15.75" x14ac:dyDescent="0.25">
      <c r="A158" s="7">
        <v>978</v>
      </c>
      <c r="B158" s="33" t="str">
        <f>CONCATENATE("A",TEXT(Main!A158,"0000"))</f>
        <v>A0978</v>
      </c>
      <c r="C158" s="7" t="s">
        <v>1015</v>
      </c>
      <c r="D158" s="33" t="str">
        <f>VLOOKUP(B158,Detail!$G$1:$H$1001,2,FALSE)</f>
        <v>Emong Siregar</v>
      </c>
      <c r="E158" s="7">
        <v>83</v>
      </c>
      <c r="F158" s="7">
        <v>67</v>
      </c>
      <c r="G158" s="57">
        <v>93</v>
      </c>
      <c r="H158" s="7">
        <v>68</v>
      </c>
      <c r="I158" s="7">
        <v>61</v>
      </c>
      <c r="J158" s="7">
        <v>84</v>
      </c>
      <c r="K158" s="7">
        <v>91</v>
      </c>
      <c r="L158" s="56">
        <f>IFERROR(VLOOKUP(B158,Absen!$A$1:$C$501,2,FALSE),"No")</f>
        <v>44761</v>
      </c>
      <c r="M158" s="58">
        <f t="shared" si="4"/>
        <v>8.1</v>
      </c>
      <c r="N158" s="57">
        <f t="shared" si="5"/>
        <v>78.375</v>
      </c>
      <c r="O158" s="7" t="str">
        <f>VLOOKUP(N158,Helper!$B$30:$C$35,2,TRUE)</f>
        <v>B</v>
      </c>
      <c r="P158" s="56">
        <f>INDEX(Detail!$A$1:$A$1001,MATCH(B158,Detail!$G$1:$G$1001,0))</f>
        <v>37438</v>
      </c>
      <c r="Q158" s="33" t="str">
        <f>INDEX(Detail!$F$1:$F$1001,MATCH(Main!B158,Detail!$G$1:$G$1001,0))</f>
        <v>Padangpanjang</v>
      </c>
      <c r="R158" s="7">
        <f>INDEX(Detail!$C$1:$C$1001,MATCH(B158,Detail!$G$1:$G$1001,0),1)</f>
        <v>158</v>
      </c>
      <c r="S158" s="7">
        <f>INDEX(Detail!$D$1:$D$1001,MATCH(B158,Detail!$G$1:$G$1001,0),1)</f>
        <v>89</v>
      </c>
      <c r="T158" s="7" t="str">
        <f>INDEX(Detail!$E$1:$E$1001,MATCH(Main!B158,Detail!$G$1:$G$1001,0))</f>
        <v>Gg. Otto Iskandardinata No. 43</v>
      </c>
      <c r="U158" s="7" t="str">
        <f>INDEX(Detail!$B$1:$B$1001,MATCH(B158,Detail!$G$1:$G$1001,0),1)</f>
        <v>O-</v>
      </c>
      <c r="V158" s="7" t="str" cm="1">
        <f t="array" ref="V158">INDEX(Dosen!$B$3:$E$8,MATCH(Main!C158,Dosen!$A$3:$A$8,0),IF(AND(Main!A158&gt;=1,Main!A158&lt;=250),1,IF(AND(Main!A158&gt;=251,Main!A158&lt;=500),2,IF(AND(Main!A158&gt;=501,Main!A158&lt;=750),3,4))))</f>
        <v>Pak Krisna</v>
      </c>
      <c r="W158" s="7" t="str">
        <f>_xlfn.XLOOKUP(B158,Detail!$G$1:$G$1001,Detail!$B$1:$B$1001)</f>
        <v>O-</v>
      </c>
    </row>
    <row r="159" spans="1:23" ht="15.75" x14ac:dyDescent="0.25">
      <c r="A159" s="7">
        <v>980</v>
      </c>
      <c r="B159" s="33" t="str">
        <f>CONCATENATE("A",TEXT(Main!A159,"0000"))</f>
        <v>A0980</v>
      </c>
      <c r="C159" s="7" t="s">
        <v>1015</v>
      </c>
      <c r="D159" s="33" t="str">
        <f>VLOOKUP(B159,Detail!$G$1:$H$1001,2,FALSE)</f>
        <v>Ismail Nugroho</v>
      </c>
      <c r="E159" s="7">
        <v>65</v>
      </c>
      <c r="F159" s="7">
        <v>62</v>
      </c>
      <c r="G159" s="57">
        <v>86</v>
      </c>
      <c r="H159" s="7">
        <v>57</v>
      </c>
      <c r="I159" s="7">
        <v>69</v>
      </c>
      <c r="J159" s="7">
        <v>42</v>
      </c>
      <c r="K159" s="7">
        <v>95</v>
      </c>
      <c r="L159" s="56">
        <f>IFERROR(VLOOKUP(B159,Absen!$A$1:$C$501,2,FALSE),"No")</f>
        <v>44822</v>
      </c>
      <c r="M159" s="58">
        <f t="shared" si="4"/>
        <v>8.5</v>
      </c>
      <c r="N159" s="57">
        <f t="shared" si="5"/>
        <v>65.724999999999994</v>
      </c>
      <c r="O159" s="7" t="str">
        <f>VLOOKUP(N159,Helper!$B$30:$C$35,2,TRUE)</f>
        <v>C</v>
      </c>
      <c r="P159" s="56">
        <f>INDEX(Detail!$A$1:$A$1001,MATCH(B159,Detail!$G$1:$G$1001,0))</f>
        <v>37519</v>
      </c>
      <c r="Q159" s="33" t="str">
        <f>INDEX(Detail!$F$1:$F$1001,MATCH(Main!B159,Detail!$G$1:$G$1001,0))</f>
        <v>Prabumulih</v>
      </c>
      <c r="R159" s="7">
        <f>INDEX(Detail!$C$1:$C$1001,MATCH(B159,Detail!$G$1:$G$1001,0),1)</f>
        <v>159</v>
      </c>
      <c r="S159" s="7">
        <f>INDEX(Detail!$D$1:$D$1001,MATCH(B159,Detail!$G$1:$G$1001,0),1)</f>
        <v>69</v>
      </c>
      <c r="T159" s="7" t="str">
        <f>INDEX(Detail!$E$1:$E$1001,MATCH(Main!B159,Detail!$G$1:$G$1001,0))</f>
        <v xml:space="preserve">Gang Moch. Toha No. 6
</v>
      </c>
      <c r="U159" s="7" t="str">
        <f>INDEX(Detail!$B$1:$B$1001,MATCH(B159,Detail!$G$1:$G$1001,0),1)</f>
        <v>A-</v>
      </c>
      <c r="V159" s="7" t="str" cm="1">
        <f t="array" ref="V159">INDEX(Dosen!$B$3:$E$8,MATCH(Main!C159,Dosen!$A$3:$A$8,0),IF(AND(Main!A159&gt;=1,Main!A159&lt;=250),1,IF(AND(Main!A159&gt;=251,Main!A159&lt;=500),2,IF(AND(Main!A159&gt;=501,Main!A159&lt;=750),3,4))))</f>
        <v>Pak Krisna</v>
      </c>
      <c r="W159" s="7" t="str">
        <f>_xlfn.XLOOKUP(B159,Detail!$G$1:$G$1001,Detail!$B$1:$B$1001)</f>
        <v>A-</v>
      </c>
    </row>
    <row r="160" spans="1:23" ht="15.75" x14ac:dyDescent="0.25">
      <c r="A160" s="7">
        <v>992</v>
      </c>
      <c r="B160" s="33" t="str">
        <f>CONCATENATE("A",TEXT(Main!A160,"0000"))</f>
        <v>A0992</v>
      </c>
      <c r="C160" s="7" t="s">
        <v>1015</v>
      </c>
      <c r="D160" s="33" t="str">
        <f>VLOOKUP(B160,Detail!$G$1:$H$1001,2,FALSE)</f>
        <v>Irfan Nababan</v>
      </c>
      <c r="E160" s="7">
        <v>75</v>
      </c>
      <c r="F160" s="7">
        <v>56</v>
      </c>
      <c r="G160" s="57">
        <v>77</v>
      </c>
      <c r="H160" s="7">
        <v>53</v>
      </c>
      <c r="I160" s="7">
        <v>80</v>
      </c>
      <c r="J160" s="7">
        <v>47</v>
      </c>
      <c r="K160" s="7">
        <v>83</v>
      </c>
      <c r="L160" s="56">
        <f>IFERROR(VLOOKUP(B160,Absen!$A$1:$C$501,2,FALSE),"No")</f>
        <v>44862</v>
      </c>
      <c r="M160" s="58">
        <f t="shared" si="4"/>
        <v>7.3000000000000007</v>
      </c>
      <c r="N160" s="57">
        <f t="shared" si="5"/>
        <v>65.099999999999994</v>
      </c>
      <c r="O160" s="7" t="str">
        <f>VLOOKUP(N160,Helper!$B$30:$C$35,2,TRUE)</f>
        <v>C</v>
      </c>
      <c r="P160" s="56">
        <f>INDEX(Detail!$A$1:$A$1001,MATCH(B160,Detail!$G$1:$G$1001,0))</f>
        <v>37631</v>
      </c>
      <c r="Q160" s="33" t="str">
        <f>INDEX(Detail!$F$1:$F$1001,MATCH(Main!B160,Detail!$G$1:$G$1001,0))</f>
        <v>Denpasar</v>
      </c>
      <c r="R160" s="7">
        <f>INDEX(Detail!$C$1:$C$1001,MATCH(B160,Detail!$G$1:$G$1001,0),1)</f>
        <v>166</v>
      </c>
      <c r="S160" s="7">
        <f>INDEX(Detail!$D$1:$D$1001,MATCH(B160,Detail!$G$1:$G$1001,0),1)</f>
        <v>78</v>
      </c>
      <c r="T160" s="7" t="str">
        <f>INDEX(Detail!$E$1:$E$1001,MATCH(Main!B160,Detail!$G$1:$G$1001,0))</f>
        <v>Gang S. Parman No. 64</v>
      </c>
      <c r="U160" s="7" t="str">
        <f>INDEX(Detail!$B$1:$B$1001,MATCH(B160,Detail!$G$1:$G$1001,0),1)</f>
        <v>B+</v>
      </c>
      <c r="V160" s="7" t="str" cm="1">
        <f t="array" ref="V160">INDEX(Dosen!$B$3:$E$8,MATCH(Main!C160,Dosen!$A$3:$A$8,0),IF(AND(Main!A160&gt;=1,Main!A160&lt;=250),1,IF(AND(Main!A160&gt;=251,Main!A160&lt;=500),2,IF(AND(Main!A160&gt;=501,Main!A160&lt;=750),3,4))))</f>
        <v>Pak Krisna</v>
      </c>
      <c r="W160" s="7" t="str">
        <f>_xlfn.XLOOKUP(B160,Detail!$G$1:$G$1001,Detail!$B$1:$B$1001)</f>
        <v>B+</v>
      </c>
    </row>
    <row r="161" spans="1:23" ht="15.75" x14ac:dyDescent="0.25">
      <c r="A161" s="7">
        <v>9</v>
      </c>
      <c r="B161" s="33" t="str">
        <f t="shared" ref="B161:B192" si="6">CONCATENATE("B",TEXT(A161,"0000"))</f>
        <v>B0009</v>
      </c>
      <c r="C161" s="7" t="s">
        <v>1014</v>
      </c>
      <c r="D161" s="33" t="str">
        <f>VLOOKUP(B161,Detail!$G$1:$H$1001,2,FALSE)</f>
        <v>Dina Wahyudin</v>
      </c>
      <c r="E161" s="7">
        <v>77</v>
      </c>
      <c r="F161" s="7">
        <v>40</v>
      </c>
      <c r="G161" s="57">
        <v>95</v>
      </c>
      <c r="H161" s="7">
        <v>75</v>
      </c>
      <c r="I161" s="7">
        <v>60</v>
      </c>
      <c r="J161" s="7">
        <v>81</v>
      </c>
      <c r="K161" s="7">
        <v>73</v>
      </c>
      <c r="L161" s="56">
        <f>IFERROR(VLOOKUP(B161,Absen!$A$1:$C$501,2,FALSE),"No")</f>
        <v>44807</v>
      </c>
      <c r="M161" s="58">
        <f t="shared" si="4"/>
        <v>6.3000000000000007</v>
      </c>
      <c r="N161" s="57">
        <f t="shared" si="5"/>
        <v>73</v>
      </c>
      <c r="O161" s="7" t="str">
        <f>VLOOKUP(N161,Helper!$B$30:$C$35,2,TRUE)</f>
        <v>B</v>
      </c>
      <c r="P161" s="56">
        <f>INDEX(Detail!$A$1:$A$1001,MATCH(B161,Detail!$G$1:$G$1001,0))</f>
        <v>37544</v>
      </c>
      <c r="Q161" s="33" t="str">
        <f>INDEX(Detail!$F$1:$F$1001,MATCH(Main!B161,Detail!$G$1:$G$1001,0))</f>
        <v>Gorontalo</v>
      </c>
      <c r="R161" s="7">
        <f>INDEX(Detail!$C$1:$C$1001,MATCH(B161,Detail!$G$1:$G$1001,0),1)</f>
        <v>158</v>
      </c>
      <c r="S161" s="7">
        <f>INDEX(Detail!$D$1:$D$1001,MATCH(B161,Detail!$G$1:$G$1001,0),1)</f>
        <v>76</v>
      </c>
      <c r="T161" s="7" t="str">
        <f>INDEX(Detail!$E$1:$E$1001,MATCH(Main!B161,Detail!$G$1:$G$1001,0))</f>
        <v>Gg. Cempaka No. 58</v>
      </c>
      <c r="U161" s="7" t="str">
        <f>INDEX(Detail!$B$1:$B$1001,MATCH(B161,Detail!$G$1:$G$1001,0),1)</f>
        <v>AB+</v>
      </c>
      <c r="V161" s="7" t="str" cm="1">
        <f t="array" ref="V161">INDEX(Dosen!$B$3:$E$8,MATCH(Main!C161,Dosen!$A$3:$A$8,0),IF(AND(Main!A161&gt;=1,Main!A161&lt;=250),1,IF(AND(Main!A161&gt;=251,Main!A161&lt;=500),2,IF(AND(Main!A161&gt;=501,Main!A161&lt;=750),3,4))))</f>
        <v>Pak Krisna</v>
      </c>
      <c r="W161" s="7" t="str">
        <f>_xlfn.XLOOKUP(B161,Detail!$G$1:$G$1001,Detail!$B$1:$B$1001)</f>
        <v>AB+</v>
      </c>
    </row>
    <row r="162" spans="1:23" ht="15.75" x14ac:dyDescent="0.25">
      <c r="A162" s="7">
        <v>11</v>
      </c>
      <c r="B162" s="33" t="str">
        <f t="shared" si="6"/>
        <v>B0011</v>
      </c>
      <c r="C162" s="7" t="s">
        <v>1014</v>
      </c>
      <c r="D162" s="33" t="str">
        <f>VLOOKUP(B162,Detail!$G$1:$H$1001,2,FALSE)</f>
        <v>Lukita Anggriawan</v>
      </c>
      <c r="E162" s="7">
        <v>80</v>
      </c>
      <c r="F162" s="7">
        <v>75</v>
      </c>
      <c r="G162" s="57">
        <v>51</v>
      </c>
      <c r="H162" s="7">
        <v>52</v>
      </c>
      <c r="I162" s="7">
        <v>54</v>
      </c>
      <c r="J162" s="7">
        <v>51</v>
      </c>
      <c r="K162" s="7">
        <v>79</v>
      </c>
      <c r="L162" s="56" t="str">
        <f>IFERROR(VLOOKUP(B162,Absen!$A$1:$C$501,2,FALSE),"No")</f>
        <v>No</v>
      </c>
      <c r="M162" s="58">
        <f t="shared" si="4"/>
        <v>7.9</v>
      </c>
      <c r="N162" s="57">
        <f t="shared" si="5"/>
        <v>60.925000000000004</v>
      </c>
      <c r="O162" s="7" t="str">
        <f>VLOOKUP(N162,Helper!$B$30:$C$35,2,TRUE)</f>
        <v>C</v>
      </c>
      <c r="P162" s="56">
        <f>INDEX(Detail!$A$1:$A$1001,MATCH(B162,Detail!$G$1:$G$1001,0))</f>
        <v>37860</v>
      </c>
      <c r="Q162" s="33" t="str">
        <f>INDEX(Detail!$F$1:$F$1001,MATCH(Main!B162,Detail!$G$1:$G$1001,0))</f>
        <v>Binjai</v>
      </c>
      <c r="R162" s="7">
        <f>INDEX(Detail!$C$1:$C$1001,MATCH(B162,Detail!$G$1:$G$1001,0),1)</f>
        <v>158</v>
      </c>
      <c r="S162" s="7">
        <f>INDEX(Detail!$D$1:$D$1001,MATCH(B162,Detail!$G$1:$G$1001,0),1)</f>
        <v>70</v>
      </c>
      <c r="T162" s="7" t="str">
        <f>INDEX(Detail!$E$1:$E$1001,MATCH(Main!B162,Detail!$G$1:$G$1001,0))</f>
        <v xml:space="preserve">Jalan Waringin No. 1
</v>
      </c>
      <c r="U162" s="7" t="str">
        <f>INDEX(Detail!$B$1:$B$1001,MATCH(B162,Detail!$G$1:$G$1001,0),1)</f>
        <v>A+</v>
      </c>
      <c r="V162" s="7" t="str" cm="1">
        <f t="array" ref="V162">INDEX(Dosen!$B$3:$E$8,MATCH(Main!C162,Dosen!$A$3:$A$8,0),IF(AND(Main!A162&gt;=1,Main!A162&lt;=250),1,IF(AND(Main!A162&gt;=251,Main!A162&lt;=500),2,IF(AND(Main!A162&gt;=501,Main!A162&lt;=750),3,4))))</f>
        <v>Pak Krisna</v>
      </c>
      <c r="W162" s="7" t="str">
        <f>_xlfn.XLOOKUP(B162,Detail!$G$1:$G$1001,Detail!$B$1:$B$1001)</f>
        <v>A+</v>
      </c>
    </row>
    <row r="163" spans="1:23" ht="15.75" x14ac:dyDescent="0.25">
      <c r="A163" s="7">
        <v>12</v>
      </c>
      <c r="B163" s="33" t="str">
        <f t="shared" si="6"/>
        <v>B0012</v>
      </c>
      <c r="C163" s="7" t="s">
        <v>1014</v>
      </c>
      <c r="D163" s="33" t="str">
        <f>VLOOKUP(B163,Detail!$G$1:$H$1001,2,FALSE)</f>
        <v>Jatmiko Halimah</v>
      </c>
      <c r="E163" s="7">
        <v>89</v>
      </c>
      <c r="F163" s="7">
        <v>66</v>
      </c>
      <c r="G163" s="57">
        <v>58</v>
      </c>
      <c r="H163" s="7">
        <v>56</v>
      </c>
      <c r="I163" s="7">
        <v>72</v>
      </c>
      <c r="J163" s="7">
        <v>40</v>
      </c>
      <c r="K163" s="7">
        <v>66</v>
      </c>
      <c r="L163" s="56">
        <f>IFERROR(VLOOKUP(B163,Absen!$A$1:$C$501,2,FALSE),"No")</f>
        <v>44826</v>
      </c>
      <c r="M163" s="58">
        <f t="shared" si="4"/>
        <v>5.6000000000000005</v>
      </c>
      <c r="N163" s="57">
        <f t="shared" si="5"/>
        <v>60.575000000000003</v>
      </c>
      <c r="O163" s="7" t="str">
        <f>VLOOKUP(N163,Helper!$B$30:$C$35,2,TRUE)</f>
        <v>C</v>
      </c>
      <c r="P163" s="56">
        <f>INDEX(Detail!$A$1:$A$1001,MATCH(B163,Detail!$G$1:$G$1001,0))</f>
        <v>37738</v>
      </c>
      <c r="Q163" s="33" t="str">
        <f>INDEX(Detail!$F$1:$F$1001,MATCH(Main!B163,Detail!$G$1:$G$1001,0))</f>
        <v>Pekalongan</v>
      </c>
      <c r="R163" s="7">
        <f>INDEX(Detail!$C$1:$C$1001,MATCH(B163,Detail!$G$1:$G$1001,0),1)</f>
        <v>167</v>
      </c>
      <c r="S163" s="7">
        <f>INDEX(Detail!$D$1:$D$1001,MATCH(B163,Detail!$G$1:$G$1001,0),1)</f>
        <v>78</v>
      </c>
      <c r="T163" s="7" t="str">
        <f>INDEX(Detail!$E$1:$E$1001,MATCH(Main!B163,Detail!$G$1:$G$1001,0))</f>
        <v>Jl. Kutai No. 34</v>
      </c>
      <c r="U163" s="7" t="str">
        <f>INDEX(Detail!$B$1:$B$1001,MATCH(B163,Detail!$G$1:$G$1001,0),1)</f>
        <v>AB-</v>
      </c>
      <c r="V163" s="7" t="str" cm="1">
        <f t="array" ref="V163">INDEX(Dosen!$B$3:$E$8,MATCH(Main!C163,Dosen!$A$3:$A$8,0),IF(AND(Main!A163&gt;=1,Main!A163&lt;=250),1,IF(AND(Main!A163&gt;=251,Main!A163&lt;=500),2,IF(AND(Main!A163&gt;=501,Main!A163&lt;=750),3,4))))</f>
        <v>Pak Krisna</v>
      </c>
      <c r="W163" s="7" t="str">
        <f>_xlfn.XLOOKUP(B163,Detail!$G$1:$G$1001,Detail!$B$1:$B$1001)</f>
        <v>AB-</v>
      </c>
    </row>
    <row r="164" spans="1:23" ht="15.75" x14ac:dyDescent="0.25">
      <c r="A164" s="7">
        <v>23</v>
      </c>
      <c r="B164" s="33" t="str">
        <f t="shared" si="6"/>
        <v>B0023</v>
      </c>
      <c r="C164" s="7" t="s">
        <v>1014</v>
      </c>
      <c r="D164" s="33" t="str">
        <f>VLOOKUP(B164,Detail!$G$1:$H$1001,2,FALSE)</f>
        <v>Wakiman Prastuti</v>
      </c>
      <c r="E164" s="7">
        <v>84</v>
      </c>
      <c r="F164" s="7">
        <v>49</v>
      </c>
      <c r="G164" s="57">
        <v>87</v>
      </c>
      <c r="H164" s="7">
        <v>56</v>
      </c>
      <c r="I164" s="7">
        <v>64</v>
      </c>
      <c r="J164" s="7">
        <v>60</v>
      </c>
      <c r="K164" s="7">
        <v>73</v>
      </c>
      <c r="L164" s="56" t="str">
        <f>IFERROR(VLOOKUP(B164,Absen!$A$1:$C$501,2,FALSE),"No")</f>
        <v>No</v>
      </c>
      <c r="M164" s="58">
        <f t="shared" si="4"/>
        <v>7.3000000000000007</v>
      </c>
      <c r="N164" s="57">
        <f t="shared" si="5"/>
        <v>68.325000000000003</v>
      </c>
      <c r="O164" s="7" t="str">
        <f>VLOOKUP(N164,Helper!$B$30:$C$35,2,TRUE)</f>
        <v>C</v>
      </c>
      <c r="P164" s="56">
        <f>INDEX(Detail!$A$1:$A$1001,MATCH(B164,Detail!$G$1:$G$1001,0))</f>
        <v>38066</v>
      </c>
      <c r="Q164" s="33" t="str">
        <f>INDEX(Detail!$F$1:$F$1001,MATCH(Main!B164,Detail!$G$1:$G$1001,0))</f>
        <v>Batu</v>
      </c>
      <c r="R164" s="7">
        <f>INDEX(Detail!$C$1:$C$1001,MATCH(B164,Detail!$G$1:$G$1001,0),1)</f>
        <v>166</v>
      </c>
      <c r="S164" s="7">
        <f>INDEX(Detail!$D$1:$D$1001,MATCH(B164,Detail!$G$1:$G$1001,0),1)</f>
        <v>50</v>
      </c>
      <c r="T164" s="7" t="str">
        <f>INDEX(Detail!$E$1:$E$1001,MATCH(Main!B164,Detail!$G$1:$G$1001,0))</f>
        <v xml:space="preserve">Jl. PHH. Mustofa No. 9
</v>
      </c>
      <c r="U164" s="7" t="str">
        <f>INDEX(Detail!$B$1:$B$1001,MATCH(B164,Detail!$G$1:$G$1001,0),1)</f>
        <v>O-</v>
      </c>
      <c r="V164" s="7" t="str" cm="1">
        <f t="array" ref="V164">INDEX(Dosen!$B$3:$E$8,MATCH(Main!C164,Dosen!$A$3:$A$8,0),IF(AND(Main!A164&gt;=1,Main!A164&lt;=250),1,IF(AND(Main!A164&gt;=251,Main!A164&lt;=500),2,IF(AND(Main!A164&gt;=501,Main!A164&lt;=750),3,4))))</f>
        <v>Pak Krisna</v>
      </c>
      <c r="W164" s="7" t="str">
        <f>_xlfn.XLOOKUP(B164,Detail!$G$1:$G$1001,Detail!$B$1:$B$1001)</f>
        <v>O-</v>
      </c>
    </row>
    <row r="165" spans="1:23" ht="15.75" x14ac:dyDescent="0.25">
      <c r="A165" s="7">
        <v>35</v>
      </c>
      <c r="B165" s="33" t="str">
        <f t="shared" si="6"/>
        <v>B0035</v>
      </c>
      <c r="C165" s="7" t="s">
        <v>1014</v>
      </c>
      <c r="D165" s="33" t="str">
        <f>VLOOKUP(B165,Detail!$G$1:$H$1001,2,FALSE)</f>
        <v>Embuh Adriansyah</v>
      </c>
      <c r="E165" s="7">
        <v>70</v>
      </c>
      <c r="F165" s="7">
        <v>53</v>
      </c>
      <c r="G165" s="57">
        <v>88</v>
      </c>
      <c r="H165" s="7">
        <v>67</v>
      </c>
      <c r="I165" s="7">
        <v>75</v>
      </c>
      <c r="J165" s="7">
        <v>60</v>
      </c>
      <c r="K165" s="7">
        <v>63</v>
      </c>
      <c r="L165" s="56">
        <f>IFERROR(VLOOKUP(B165,Absen!$A$1:$C$501,2,FALSE),"No")</f>
        <v>44789</v>
      </c>
      <c r="M165" s="58">
        <f t="shared" si="4"/>
        <v>5.3000000000000007</v>
      </c>
      <c r="N165" s="57">
        <f t="shared" si="5"/>
        <v>68.025000000000006</v>
      </c>
      <c r="O165" s="7" t="str">
        <f>VLOOKUP(N165,Helper!$B$30:$C$35,2,TRUE)</f>
        <v>C</v>
      </c>
      <c r="P165" s="56">
        <f>INDEX(Detail!$A$1:$A$1001,MATCH(B165,Detail!$G$1:$G$1001,0))</f>
        <v>37906</v>
      </c>
      <c r="Q165" s="33" t="str">
        <f>INDEX(Detail!$F$1:$F$1001,MATCH(Main!B165,Detail!$G$1:$G$1001,0))</f>
        <v>Bitung</v>
      </c>
      <c r="R165" s="7">
        <f>INDEX(Detail!$C$1:$C$1001,MATCH(B165,Detail!$G$1:$G$1001,0),1)</f>
        <v>171</v>
      </c>
      <c r="S165" s="7">
        <f>INDEX(Detail!$D$1:$D$1001,MATCH(B165,Detail!$G$1:$G$1001,0),1)</f>
        <v>67</v>
      </c>
      <c r="T165" s="7" t="str">
        <f>INDEX(Detail!$E$1:$E$1001,MATCH(Main!B165,Detail!$G$1:$G$1001,0))</f>
        <v>Gang Otto Iskandardinata No. 06</v>
      </c>
      <c r="U165" s="7" t="str">
        <f>INDEX(Detail!$B$1:$B$1001,MATCH(B165,Detail!$G$1:$G$1001,0),1)</f>
        <v>O+</v>
      </c>
      <c r="V165" s="7" t="str" cm="1">
        <f t="array" ref="V165">INDEX(Dosen!$B$3:$E$8,MATCH(Main!C165,Dosen!$A$3:$A$8,0),IF(AND(Main!A165&gt;=1,Main!A165&lt;=250),1,IF(AND(Main!A165&gt;=251,Main!A165&lt;=500),2,IF(AND(Main!A165&gt;=501,Main!A165&lt;=750),3,4))))</f>
        <v>Pak Krisna</v>
      </c>
      <c r="W165" s="7" t="str">
        <f>_xlfn.XLOOKUP(B165,Detail!$G$1:$G$1001,Detail!$B$1:$B$1001)</f>
        <v>O+</v>
      </c>
    </row>
    <row r="166" spans="1:23" ht="15.75" x14ac:dyDescent="0.25">
      <c r="A166" s="7">
        <v>37</v>
      </c>
      <c r="B166" s="33" t="str">
        <f t="shared" si="6"/>
        <v>B0037</v>
      </c>
      <c r="C166" s="7" t="s">
        <v>1014</v>
      </c>
      <c r="D166" s="33" t="str">
        <f>VLOOKUP(B166,Detail!$G$1:$H$1001,2,FALSE)</f>
        <v>Hendra Pratama</v>
      </c>
      <c r="E166" s="7">
        <v>72</v>
      </c>
      <c r="F166" s="7">
        <v>54</v>
      </c>
      <c r="G166" s="57">
        <v>55</v>
      </c>
      <c r="H166" s="7">
        <v>58</v>
      </c>
      <c r="I166" s="7">
        <v>72</v>
      </c>
      <c r="J166" s="7">
        <v>73</v>
      </c>
      <c r="K166" s="7">
        <v>82</v>
      </c>
      <c r="L166" s="56" t="str">
        <f>IFERROR(VLOOKUP(B166,Absen!$A$1:$C$501,2,FALSE),"No")</f>
        <v>No</v>
      </c>
      <c r="M166" s="58">
        <f t="shared" si="4"/>
        <v>8.2000000000000011</v>
      </c>
      <c r="N166" s="57">
        <f t="shared" si="5"/>
        <v>65.8</v>
      </c>
      <c r="O166" s="7" t="str">
        <f>VLOOKUP(N166,Helper!$B$30:$C$35,2,TRUE)</f>
        <v>C</v>
      </c>
      <c r="P166" s="56">
        <f>INDEX(Detail!$A$1:$A$1001,MATCH(B166,Detail!$G$1:$G$1001,0))</f>
        <v>37192</v>
      </c>
      <c r="Q166" s="33" t="str">
        <f>INDEX(Detail!$F$1:$F$1001,MATCH(Main!B166,Detail!$G$1:$G$1001,0))</f>
        <v>Tual</v>
      </c>
      <c r="R166" s="7">
        <f>INDEX(Detail!$C$1:$C$1001,MATCH(B166,Detail!$G$1:$G$1001,0),1)</f>
        <v>174</v>
      </c>
      <c r="S166" s="7">
        <f>INDEX(Detail!$D$1:$D$1001,MATCH(B166,Detail!$G$1:$G$1001,0),1)</f>
        <v>57</v>
      </c>
      <c r="T166" s="7" t="str">
        <f>INDEX(Detail!$E$1:$E$1001,MATCH(Main!B166,Detail!$G$1:$G$1001,0))</f>
        <v>Gg. Ahmad Dahlan No. 15</v>
      </c>
      <c r="U166" s="7" t="str">
        <f>INDEX(Detail!$B$1:$B$1001,MATCH(B166,Detail!$G$1:$G$1001,0),1)</f>
        <v>A+</v>
      </c>
      <c r="V166" s="7" t="str" cm="1">
        <f t="array" ref="V166">INDEX(Dosen!$B$3:$E$8,MATCH(Main!C166,Dosen!$A$3:$A$8,0),IF(AND(Main!A166&gt;=1,Main!A166&lt;=250),1,IF(AND(Main!A166&gt;=251,Main!A166&lt;=500),2,IF(AND(Main!A166&gt;=501,Main!A166&lt;=750),3,4))))</f>
        <v>Pak Krisna</v>
      </c>
      <c r="W166" s="7" t="str">
        <f>_xlfn.XLOOKUP(B166,Detail!$G$1:$G$1001,Detail!$B$1:$B$1001)</f>
        <v>A+</v>
      </c>
    </row>
    <row r="167" spans="1:23" ht="15.75" x14ac:dyDescent="0.25">
      <c r="A167" s="7">
        <v>42</v>
      </c>
      <c r="B167" s="33" t="str">
        <f t="shared" si="6"/>
        <v>B0042</v>
      </c>
      <c r="C167" s="7" t="s">
        <v>1014</v>
      </c>
      <c r="D167" s="33" t="str">
        <f>VLOOKUP(B167,Detail!$G$1:$H$1001,2,FALSE)</f>
        <v>Darijan Zulkarnain</v>
      </c>
      <c r="E167" s="7">
        <v>78</v>
      </c>
      <c r="F167" s="7">
        <v>52</v>
      </c>
      <c r="G167" s="57">
        <v>94</v>
      </c>
      <c r="H167" s="7">
        <v>69</v>
      </c>
      <c r="I167" s="7">
        <v>86</v>
      </c>
      <c r="J167" s="7">
        <v>68</v>
      </c>
      <c r="K167" s="7">
        <v>89</v>
      </c>
      <c r="L167" s="56" t="str">
        <f>IFERROR(VLOOKUP(B167,Absen!$A$1:$C$501,2,FALSE),"No")</f>
        <v>No</v>
      </c>
      <c r="M167" s="58">
        <f t="shared" si="4"/>
        <v>8.9</v>
      </c>
      <c r="N167" s="57">
        <f t="shared" si="5"/>
        <v>76.925000000000011</v>
      </c>
      <c r="O167" s="7" t="str">
        <f>VLOOKUP(N167,Helper!$B$30:$C$35,2,TRUE)</f>
        <v>B</v>
      </c>
      <c r="P167" s="56">
        <f>INDEX(Detail!$A$1:$A$1001,MATCH(B167,Detail!$G$1:$G$1001,0))</f>
        <v>38412</v>
      </c>
      <c r="Q167" s="33" t="str">
        <f>INDEX(Detail!$F$1:$F$1001,MATCH(Main!B167,Detail!$G$1:$G$1001,0))</f>
        <v>Balikpapan</v>
      </c>
      <c r="R167" s="7">
        <f>INDEX(Detail!$C$1:$C$1001,MATCH(B167,Detail!$G$1:$G$1001,0),1)</f>
        <v>150</v>
      </c>
      <c r="S167" s="7">
        <f>INDEX(Detail!$D$1:$D$1001,MATCH(B167,Detail!$G$1:$G$1001,0),1)</f>
        <v>85</v>
      </c>
      <c r="T167" s="7" t="str">
        <f>INDEX(Detail!$E$1:$E$1001,MATCH(Main!B167,Detail!$G$1:$G$1001,0))</f>
        <v>Gang Surapati No. 95</v>
      </c>
      <c r="U167" s="7" t="str">
        <f>INDEX(Detail!$B$1:$B$1001,MATCH(B167,Detail!$G$1:$G$1001,0),1)</f>
        <v>A+</v>
      </c>
      <c r="V167" s="7" t="str" cm="1">
        <f t="array" ref="V167">INDEX(Dosen!$B$3:$E$8,MATCH(Main!C167,Dosen!$A$3:$A$8,0),IF(AND(Main!A167&gt;=1,Main!A167&lt;=250),1,IF(AND(Main!A167&gt;=251,Main!A167&lt;=500),2,IF(AND(Main!A167&gt;=501,Main!A167&lt;=750),3,4))))</f>
        <v>Pak Krisna</v>
      </c>
      <c r="W167" s="7" t="str">
        <f>_xlfn.XLOOKUP(B167,Detail!$G$1:$G$1001,Detail!$B$1:$B$1001)</f>
        <v>A+</v>
      </c>
    </row>
    <row r="168" spans="1:23" ht="15.75" x14ac:dyDescent="0.25">
      <c r="A168" s="7">
        <v>48</v>
      </c>
      <c r="B168" s="33" t="str">
        <f t="shared" si="6"/>
        <v>B0048</v>
      </c>
      <c r="C168" s="7" t="s">
        <v>1014</v>
      </c>
      <c r="D168" s="33" t="str">
        <f>VLOOKUP(B168,Detail!$G$1:$H$1001,2,FALSE)</f>
        <v>Pandu Laksmiwati</v>
      </c>
      <c r="E168" s="7">
        <v>77</v>
      </c>
      <c r="F168" s="7">
        <v>49</v>
      </c>
      <c r="G168" s="57">
        <v>40</v>
      </c>
      <c r="H168" s="7">
        <v>67</v>
      </c>
      <c r="I168" s="7">
        <v>77</v>
      </c>
      <c r="J168" s="7">
        <v>62</v>
      </c>
      <c r="K168" s="7">
        <v>89</v>
      </c>
      <c r="L168" s="56" t="str">
        <f>IFERROR(VLOOKUP(B168,Absen!$A$1:$C$501,2,FALSE),"No")</f>
        <v>No</v>
      </c>
      <c r="M168" s="58">
        <f t="shared" si="4"/>
        <v>8.9</v>
      </c>
      <c r="N168" s="57">
        <f t="shared" si="5"/>
        <v>63.05</v>
      </c>
      <c r="O168" s="7" t="str">
        <f>VLOOKUP(N168,Helper!$B$30:$C$35,2,TRUE)</f>
        <v>C</v>
      </c>
      <c r="P168" s="56">
        <f>INDEX(Detail!$A$1:$A$1001,MATCH(B168,Detail!$G$1:$G$1001,0))</f>
        <v>37255</v>
      </c>
      <c r="Q168" s="33" t="str">
        <f>INDEX(Detail!$F$1:$F$1001,MATCH(Main!B168,Detail!$G$1:$G$1001,0))</f>
        <v>Bau-Bau</v>
      </c>
      <c r="R168" s="7">
        <f>INDEX(Detail!$C$1:$C$1001,MATCH(B168,Detail!$G$1:$G$1001,0),1)</f>
        <v>159</v>
      </c>
      <c r="S168" s="7">
        <f>INDEX(Detail!$D$1:$D$1001,MATCH(B168,Detail!$G$1:$G$1001,0),1)</f>
        <v>56</v>
      </c>
      <c r="T168" s="7" t="str">
        <f>INDEX(Detail!$E$1:$E$1001,MATCH(Main!B168,Detail!$G$1:$G$1001,0))</f>
        <v xml:space="preserve">Gg. Abdul Muis No. 9
</v>
      </c>
      <c r="U168" s="7" t="str">
        <f>INDEX(Detail!$B$1:$B$1001,MATCH(B168,Detail!$G$1:$G$1001,0),1)</f>
        <v>O+</v>
      </c>
      <c r="V168" s="7" t="str" cm="1">
        <f t="array" ref="V168">INDEX(Dosen!$B$3:$E$8,MATCH(Main!C168,Dosen!$A$3:$A$8,0),IF(AND(Main!A168&gt;=1,Main!A168&lt;=250),1,IF(AND(Main!A168&gt;=251,Main!A168&lt;=500),2,IF(AND(Main!A168&gt;=501,Main!A168&lt;=750),3,4))))</f>
        <v>Pak Krisna</v>
      </c>
      <c r="W168" s="7" t="str">
        <f>_xlfn.XLOOKUP(B168,Detail!$G$1:$G$1001,Detail!$B$1:$B$1001)</f>
        <v>O+</v>
      </c>
    </row>
    <row r="169" spans="1:23" ht="15.75" x14ac:dyDescent="0.25">
      <c r="A169" s="7">
        <v>56</v>
      </c>
      <c r="B169" s="33" t="str">
        <f t="shared" si="6"/>
        <v>B0056</v>
      </c>
      <c r="C169" s="7" t="s">
        <v>1014</v>
      </c>
      <c r="D169" s="33" t="str">
        <f>VLOOKUP(B169,Detail!$G$1:$H$1001,2,FALSE)</f>
        <v>Hartana Astuti</v>
      </c>
      <c r="E169" s="7">
        <v>59</v>
      </c>
      <c r="F169" s="7">
        <v>44</v>
      </c>
      <c r="G169" s="57">
        <v>81</v>
      </c>
      <c r="H169" s="7">
        <v>69</v>
      </c>
      <c r="I169" s="7">
        <v>57</v>
      </c>
      <c r="J169" s="7">
        <v>44</v>
      </c>
      <c r="K169" s="7">
        <v>91</v>
      </c>
      <c r="L169" s="56">
        <f>IFERROR(VLOOKUP(B169,Absen!$A$1:$C$501,2,FALSE),"No")</f>
        <v>44767</v>
      </c>
      <c r="M169" s="58">
        <f t="shared" si="4"/>
        <v>8.1</v>
      </c>
      <c r="N169" s="57">
        <f t="shared" si="5"/>
        <v>61.725000000000001</v>
      </c>
      <c r="O169" s="7" t="str">
        <f>VLOOKUP(N169,Helper!$B$30:$C$35,2,TRUE)</f>
        <v>C</v>
      </c>
      <c r="P169" s="56">
        <f>INDEX(Detail!$A$1:$A$1001,MATCH(B169,Detail!$G$1:$G$1001,0))</f>
        <v>37336</v>
      </c>
      <c r="Q169" s="33" t="str">
        <f>INDEX(Detail!$F$1:$F$1001,MATCH(Main!B169,Detail!$G$1:$G$1001,0))</f>
        <v>Tarakan</v>
      </c>
      <c r="R169" s="7">
        <f>INDEX(Detail!$C$1:$C$1001,MATCH(B169,Detail!$G$1:$G$1001,0),1)</f>
        <v>168</v>
      </c>
      <c r="S169" s="7">
        <f>INDEX(Detail!$D$1:$D$1001,MATCH(B169,Detail!$G$1:$G$1001,0),1)</f>
        <v>51</v>
      </c>
      <c r="T169" s="7" t="str">
        <f>INDEX(Detail!$E$1:$E$1001,MATCH(Main!B169,Detail!$G$1:$G$1001,0))</f>
        <v>Gang Ronggowarsito No. 37</v>
      </c>
      <c r="U169" s="7" t="str">
        <f>INDEX(Detail!$B$1:$B$1001,MATCH(B169,Detail!$G$1:$G$1001,0),1)</f>
        <v>A-</v>
      </c>
      <c r="V169" s="7" t="str" cm="1">
        <f t="array" ref="V169">INDEX(Dosen!$B$3:$E$8,MATCH(Main!C169,Dosen!$A$3:$A$8,0),IF(AND(Main!A169&gt;=1,Main!A169&lt;=250),1,IF(AND(Main!A169&gt;=251,Main!A169&lt;=500),2,IF(AND(Main!A169&gt;=501,Main!A169&lt;=750),3,4))))</f>
        <v>Pak Krisna</v>
      </c>
      <c r="W169" s="7" t="str">
        <f>_xlfn.XLOOKUP(B169,Detail!$G$1:$G$1001,Detail!$B$1:$B$1001)</f>
        <v>A-</v>
      </c>
    </row>
    <row r="170" spans="1:23" ht="15.75" x14ac:dyDescent="0.25">
      <c r="A170" s="7">
        <v>66</v>
      </c>
      <c r="B170" s="33" t="str">
        <f t="shared" si="6"/>
        <v>B0066</v>
      </c>
      <c r="C170" s="7" t="s">
        <v>1014</v>
      </c>
      <c r="D170" s="33" t="str">
        <f>VLOOKUP(B170,Detail!$G$1:$H$1001,2,FALSE)</f>
        <v>Arsipatra Lailasari</v>
      </c>
      <c r="E170" s="7">
        <v>57</v>
      </c>
      <c r="F170" s="7">
        <v>46</v>
      </c>
      <c r="G170" s="57">
        <v>44</v>
      </c>
      <c r="H170" s="7">
        <v>70</v>
      </c>
      <c r="I170" s="7">
        <v>57</v>
      </c>
      <c r="J170" s="7">
        <v>88</v>
      </c>
      <c r="K170" s="7">
        <v>88</v>
      </c>
      <c r="L170" s="56">
        <f>IFERROR(VLOOKUP(B170,Absen!$A$1:$C$501,2,FALSE),"No")</f>
        <v>44835</v>
      </c>
      <c r="M170" s="58">
        <f t="shared" si="4"/>
        <v>7.8000000000000007</v>
      </c>
      <c r="N170" s="57">
        <f t="shared" si="5"/>
        <v>62.95</v>
      </c>
      <c r="O170" s="7" t="str">
        <f>VLOOKUP(N170,Helper!$B$30:$C$35,2,TRUE)</f>
        <v>C</v>
      </c>
      <c r="P170" s="56">
        <f>INDEX(Detail!$A$1:$A$1001,MATCH(B170,Detail!$G$1:$G$1001,0))</f>
        <v>38283</v>
      </c>
      <c r="Q170" s="33" t="str">
        <f>INDEX(Detail!$F$1:$F$1001,MATCH(Main!B170,Detail!$G$1:$G$1001,0))</f>
        <v>Batam</v>
      </c>
      <c r="R170" s="7">
        <f>INDEX(Detail!$C$1:$C$1001,MATCH(B170,Detail!$G$1:$G$1001,0),1)</f>
        <v>180</v>
      </c>
      <c r="S170" s="7">
        <f>INDEX(Detail!$D$1:$D$1001,MATCH(B170,Detail!$G$1:$G$1001,0),1)</f>
        <v>76</v>
      </c>
      <c r="T170" s="7" t="str">
        <f>INDEX(Detail!$E$1:$E$1001,MATCH(Main!B170,Detail!$G$1:$G$1001,0))</f>
        <v>Jl. Kutisari Selatan No. 43</v>
      </c>
      <c r="U170" s="7" t="str">
        <f>INDEX(Detail!$B$1:$B$1001,MATCH(B170,Detail!$G$1:$G$1001,0),1)</f>
        <v>A-</v>
      </c>
      <c r="V170" s="7" t="str" cm="1">
        <f t="array" ref="V170">INDEX(Dosen!$B$3:$E$8,MATCH(Main!C170,Dosen!$A$3:$A$8,0),IF(AND(Main!A170&gt;=1,Main!A170&lt;=250),1,IF(AND(Main!A170&gt;=251,Main!A170&lt;=500),2,IF(AND(Main!A170&gt;=501,Main!A170&lt;=750),3,4))))</f>
        <v>Pak Krisna</v>
      </c>
      <c r="W170" s="7" t="str">
        <f>_xlfn.XLOOKUP(B170,Detail!$G$1:$G$1001,Detail!$B$1:$B$1001)</f>
        <v>A-</v>
      </c>
    </row>
    <row r="171" spans="1:23" ht="15.75" x14ac:dyDescent="0.25">
      <c r="A171" s="7">
        <v>76</v>
      </c>
      <c r="B171" s="33" t="str">
        <f t="shared" si="6"/>
        <v>B0076</v>
      </c>
      <c r="C171" s="7" t="s">
        <v>1014</v>
      </c>
      <c r="D171" s="33" t="str">
        <f>VLOOKUP(B171,Detail!$G$1:$H$1001,2,FALSE)</f>
        <v>Paulin Hariyah</v>
      </c>
      <c r="E171" s="7">
        <v>54</v>
      </c>
      <c r="F171" s="7">
        <v>74</v>
      </c>
      <c r="G171" s="57">
        <v>52</v>
      </c>
      <c r="H171" s="7">
        <v>60</v>
      </c>
      <c r="I171" s="7">
        <v>89</v>
      </c>
      <c r="J171" s="7">
        <v>93</v>
      </c>
      <c r="K171" s="7">
        <v>69</v>
      </c>
      <c r="L171" s="56" t="str">
        <f>IFERROR(VLOOKUP(B171,Absen!$A$1:$C$501,2,FALSE),"No")</f>
        <v>No</v>
      </c>
      <c r="M171" s="58">
        <f t="shared" si="4"/>
        <v>6.9</v>
      </c>
      <c r="N171" s="57">
        <f t="shared" si="5"/>
        <v>70.525000000000006</v>
      </c>
      <c r="O171" s="7" t="str">
        <f>VLOOKUP(N171,Helper!$B$30:$C$35,2,TRUE)</f>
        <v>B</v>
      </c>
      <c r="P171" s="56">
        <f>INDEX(Detail!$A$1:$A$1001,MATCH(B171,Detail!$G$1:$G$1001,0))</f>
        <v>38067</v>
      </c>
      <c r="Q171" s="33" t="str">
        <f>INDEX(Detail!$F$1:$F$1001,MATCH(Main!B171,Detail!$G$1:$G$1001,0))</f>
        <v>Tidore Kepulauan</v>
      </c>
      <c r="R171" s="7">
        <f>INDEX(Detail!$C$1:$C$1001,MATCH(B171,Detail!$G$1:$G$1001,0),1)</f>
        <v>151</v>
      </c>
      <c r="S171" s="7">
        <f>INDEX(Detail!$D$1:$D$1001,MATCH(B171,Detail!$G$1:$G$1001,0),1)</f>
        <v>93</v>
      </c>
      <c r="T171" s="7" t="str">
        <f>INDEX(Detail!$E$1:$E$1001,MATCH(Main!B171,Detail!$G$1:$G$1001,0))</f>
        <v>Gg. Peta No. 50</v>
      </c>
      <c r="U171" s="7" t="str">
        <f>INDEX(Detail!$B$1:$B$1001,MATCH(B171,Detail!$G$1:$G$1001,0),1)</f>
        <v>AB+</v>
      </c>
      <c r="V171" s="7" t="str" cm="1">
        <f t="array" ref="V171">INDEX(Dosen!$B$3:$E$8,MATCH(Main!C171,Dosen!$A$3:$A$8,0),IF(AND(Main!A171&gt;=1,Main!A171&lt;=250),1,IF(AND(Main!A171&gt;=251,Main!A171&lt;=500),2,IF(AND(Main!A171&gt;=501,Main!A171&lt;=750),3,4))))</f>
        <v>Pak Krisna</v>
      </c>
      <c r="W171" s="7" t="str">
        <f>_xlfn.XLOOKUP(B171,Detail!$G$1:$G$1001,Detail!$B$1:$B$1001)</f>
        <v>AB+</v>
      </c>
    </row>
    <row r="172" spans="1:23" ht="15.75" x14ac:dyDescent="0.25">
      <c r="A172" s="7">
        <v>79</v>
      </c>
      <c r="B172" s="33" t="str">
        <f t="shared" si="6"/>
        <v>B0079</v>
      </c>
      <c r="C172" s="7" t="s">
        <v>1014</v>
      </c>
      <c r="D172" s="33" t="str">
        <f>VLOOKUP(B172,Detail!$G$1:$H$1001,2,FALSE)</f>
        <v>Edi Nashiruddin</v>
      </c>
      <c r="E172" s="7">
        <v>63</v>
      </c>
      <c r="F172" s="7">
        <v>49</v>
      </c>
      <c r="G172" s="57">
        <v>55</v>
      </c>
      <c r="H172" s="7">
        <v>65</v>
      </c>
      <c r="I172" s="7">
        <v>67</v>
      </c>
      <c r="J172" s="7">
        <v>44</v>
      </c>
      <c r="K172" s="7">
        <v>66</v>
      </c>
      <c r="L172" s="56" t="str">
        <f>IFERROR(VLOOKUP(B172,Absen!$A$1:$C$501,2,FALSE),"No")</f>
        <v>No</v>
      </c>
      <c r="M172" s="58">
        <f t="shared" si="4"/>
        <v>6.6000000000000005</v>
      </c>
      <c r="N172" s="57">
        <f t="shared" si="5"/>
        <v>56.9</v>
      </c>
      <c r="O172" s="7" t="str">
        <f>VLOOKUP(N172,Helper!$B$30:$C$35,2,TRUE)</f>
        <v>D</v>
      </c>
      <c r="P172" s="56">
        <f>INDEX(Detail!$A$1:$A$1001,MATCH(B172,Detail!$G$1:$G$1001,0))</f>
        <v>37433</v>
      </c>
      <c r="Q172" s="33" t="str">
        <f>INDEX(Detail!$F$1:$F$1001,MATCH(Main!B172,Detail!$G$1:$G$1001,0))</f>
        <v>Denpasar</v>
      </c>
      <c r="R172" s="7">
        <f>INDEX(Detail!$C$1:$C$1001,MATCH(B172,Detail!$G$1:$G$1001,0),1)</f>
        <v>166</v>
      </c>
      <c r="S172" s="7">
        <f>INDEX(Detail!$D$1:$D$1001,MATCH(B172,Detail!$G$1:$G$1001,0),1)</f>
        <v>67</v>
      </c>
      <c r="T172" s="7" t="str">
        <f>INDEX(Detail!$E$1:$E$1001,MATCH(Main!B172,Detail!$G$1:$G$1001,0))</f>
        <v xml:space="preserve">Jalan Dr. Djunjunan No. 3
</v>
      </c>
      <c r="U172" s="7" t="str">
        <f>INDEX(Detail!$B$1:$B$1001,MATCH(B172,Detail!$G$1:$G$1001,0),1)</f>
        <v>O+</v>
      </c>
      <c r="V172" s="7" t="str" cm="1">
        <f t="array" ref="V172">INDEX(Dosen!$B$3:$E$8,MATCH(Main!C172,Dosen!$A$3:$A$8,0),IF(AND(Main!A172&gt;=1,Main!A172&lt;=250),1,IF(AND(Main!A172&gt;=251,Main!A172&lt;=500),2,IF(AND(Main!A172&gt;=501,Main!A172&lt;=750),3,4))))</f>
        <v>Pak Krisna</v>
      </c>
      <c r="W172" s="7" t="str">
        <f>_xlfn.XLOOKUP(B172,Detail!$G$1:$G$1001,Detail!$B$1:$B$1001)</f>
        <v>O+</v>
      </c>
    </row>
    <row r="173" spans="1:23" ht="15.75" x14ac:dyDescent="0.25">
      <c r="A173" s="7">
        <v>82</v>
      </c>
      <c r="B173" s="33" t="str">
        <f t="shared" si="6"/>
        <v>B0082</v>
      </c>
      <c r="C173" s="7" t="s">
        <v>1014</v>
      </c>
      <c r="D173" s="33" t="str">
        <f>VLOOKUP(B173,Detail!$G$1:$H$1001,2,FALSE)</f>
        <v>Cengkal Rahayu</v>
      </c>
      <c r="E173" s="7">
        <v>65</v>
      </c>
      <c r="F173" s="7">
        <v>71</v>
      </c>
      <c r="G173" s="57">
        <v>82</v>
      </c>
      <c r="H173" s="7">
        <v>72</v>
      </c>
      <c r="I173" s="7">
        <v>75</v>
      </c>
      <c r="J173" s="7">
        <v>84</v>
      </c>
      <c r="K173" s="7">
        <v>73</v>
      </c>
      <c r="L173" s="56">
        <f>IFERROR(VLOOKUP(B173,Absen!$A$1:$C$501,2,FALSE),"No")</f>
        <v>44867</v>
      </c>
      <c r="M173" s="58">
        <f t="shared" si="4"/>
        <v>6.3000000000000007</v>
      </c>
      <c r="N173" s="57">
        <f t="shared" si="5"/>
        <v>74.875</v>
      </c>
      <c r="O173" s="7" t="str">
        <f>VLOOKUP(N173,Helper!$B$30:$C$35,2,TRUE)</f>
        <v>B</v>
      </c>
      <c r="P173" s="56">
        <f>INDEX(Detail!$A$1:$A$1001,MATCH(B173,Detail!$G$1:$G$1001,0))</f>
        <v>37300</v>
      </c>
      <c r="Q173" s="33" t="str">
        <f>INDEX(Detail!$F$1:$F$1001,MATCH(Main!B173,Detail!$G$1:$G$1001,0))</f>
        <v>Sorong</v>
      </c>
      <c r="R173" s="7">
        <f>INDEX(Detail!$C$1:$C$1001,MATCH(B173,Detail!$G$1:$G$1001,0),1)</f>
        <v>176</v>
      </c>
      <c r="S173" s="7">
        <f>INDEX(Detail!$D$1:$D$1001,MATCH(B173,Detail!$G$1:$G$1001,0),1)</f>
        <v>91</v>
      </c>
      <c r="T173" s="7" t="str">
        <f>INDEX(Detail!$E$1:$E$1001,MATCH(Main!B173,Detail!$G$1:$G$1001,0))</f>
        <v>Jl. Rumah Sakit No. 08</v>
      </c>
      <c r="U173" s="7" t="str">
        <f>INDEX(Detail!$B$1:$B$1001,MATCH(B173,Detail!$G$1:$G$1001,0),1)</f>
        <v>A+</v>
      </c>
      <c r="V173" s="7" t="str" cm="1">
        <f t="array" ref="V173">INDEX(Dosen!$B$3:$E$8,MATCH(Main!C173,Dosen!$A$3:$A$8,0),IF(AND(Main!A173&gt;=1,Main!A173&lt;=250),1,IF(AND(Main!A173&gt;=251,Main!A173&lt;=500),2,IF(AND(Main!A173&gt;=501,Main!A173&lt;=750),3,4))))</f>
        <v>Pak Krisna</v>
      </c>
      <c r="W173" s="7" t="str">
        <f>_xlfn.XLOOKUP(B173,Detail!$G$1:$G$1001,Detail!$B$1:$B$1001)</f>
        <v>A+</v>
      </c>
    </row>
    <row r="174" spans="1:23" ht="15.75" x14ac:dyDescent="0.25">
      <c r="A174" s="7">
        <v>87</v>
      </c>
      <c r="B174" s="33" t="str">
        <f t="shared" si="6"/>
        <v>B0087</v>
      </c>
      <c r="C174" s="7" t="s">
        <v>1014</v>
      </c>
      <c r="D174" s="33" t="str">
        <f>VLOOKUP(B174,Detail!$G$1:$H$1001,2,FALSE)</f>
        <v>Martana Dongoran</v>
      </c>
      <c r="E174" s="7">
        <v>60</v>
      </c>
      <c r="F174" s="7">
        <v>47</v>
      </c>
      <c r="G174" s="57">
        <v>58</v>
      </c>
      <c r="H174" s="7">
        <v>61</v>
      </c>
      <c r="I174" s="7">
        <v>85</v>
      </c>
      <c r="J174" s="7">
        <v>54</v>
      </c>
      <c r="K174" s="7">
        <v>66</v>
      </c>
      <c r="L174" s="56" t="str">
        <f>IFERROR(VLOOKUP(B174,Absen!$A$1:$C$501,2,FALSE),"No")</f>
        <v>No</v>
      </c>
      <c r="M174" s="58">
        <f t="shared" si="4"/>
        <v>6.6000000000000005</v>
      </c>
      <c r="N174" s="57">
        <f t="shared" si="5"/>
        <v>60.625000000000007</v>
      </c>
      <c r="O174" s="7" t="str">
        <f>VLOOKUP(N174,Helper!$B$30:$C$35,2,TRUE)</f>
        <v>C</v>
      </c>
      <c r="P174" s="56">
        <f>INDEX(Detail!$A$1:$A$1001,MATCH(B174,Detail!$G$1:$G$1001,0))</f>
        <v>37166</v>
      </c>
      <c r="Q174" s="33" t="str">
        <f>INDEX(Detail!$F$1:$F$1001,MATCH(Main!B174,Detail!$G$1:$G$1001,0))</f>
        <v>Surabaya</v>
      </c>
      <c r="R174" s="7">
        <f>INDEX(Detail!$C$1:$C$1001,MATCH(B174,Detail!$G$1:$G$1001,0),1)</f>
        <v>170</v>
      </c>
      <c r="S174" s="7">
        <f>INDEX(Detail!$D$1:$D$1001,MATCH(B174,Detail!$G$1:$G$1001,0),1)</f>
        <v>56</v>
      </c>
      <c r="T174" s="7" t="str">
        <f>INDEX(Detail!$E$1:$E$1001,MATCH(Main!B174,Detail!$G$1:$G$1001,0))</f>
        <v>Jl. M.H Thamrin No. 55</v>
      </c>
      <c r="U174" s="7" t="str">
        <f>INDEX(Detail!$B$1:$B$1001,MATCH(B174,Detail!$G$1:$G$1001,0),1)</f>
        <v>B-</v>
      </c>
      <c r="V174" s="7" t="str" cm="1">
        <f t="array" ref="V174">INDEX(Dosen!$B$3:$E$8,MATCH(Main!C174,Dosen!$A$3:$A$8,0),IF(AND(Main!A174&gt;=1,Main!A174&lt;=250),1,IF(AND(Main!A174&gt;=251,Main!A174&lt;=500),2,IF(AND(Main!A174&gt;=501,Main!A174&lt;=750),3,4))))</f>
        <v>Pak Krisna</v>
      </c>
      <c r="W174" s="7" t="str">
        <f>_xlfn.XLOOKUP(B174,Detail!$G$1:$G$1001,Detail!$B$1:$B$1001)</f>
        <v>B-</v>
      </c>
    </row>
    <row r="175" spans="1:23" ht="15.75" x14ac:dyDescent="0.25">
      <c r="A175" s="7">
        <v>92</v>
      </c>
      <c r="B175" s="33" t="str">
        <f t="shared" si="6"/>
        <v>B0092</v>
      </c>
      <c r="C175" s="7" t="s">
        <v>1014</v>
      </c>
      <c r="D175" s="33" t="str">
        <f>VLOOKUP(B175,Detail!$G$1:$H$1001,2,FALSE)</f>
        <v>Warji Yuniar</v>
      </c>
      <c r="E175" s="7">
        <v>95</v>
      </c>
      <c r="F175" s="7">
        <v>64</v>
      </c>
      <c r="G175" s="57">
        <v>33</v>
      </c>
      <c r="H175" s="7">
        <v>60</v>
      </c>
      <c r="I175" s="7">
        <v>61</v>
      </c>
      <c r="J175" s="7">
        <v>63</v>
      </c>
      <c r="K175" s="7">
        <v>60</v>
      </c>
      <c r="L175" s="56" t="str">
        <f>IFERROR(VLOOKUP(B175,Absen!$A$1:$C$501,2,FALSE),"No")</f>
        <v>No</v>
      </c>
      <c r="M175" s="58">
        <f t="shared" si="4"/>
        <v>6</v>
      </c>
      <c r="N175" s="57">
        <f t="shared" si="5"/>
        <v>60.2</v>
      </c>
      <c r="O175" s="7" t="str">
        <f>VLOOKUP(N175,Helper!$B$30:$C$35,2,TRUE)</f>
        <v>C</v>
      </c>
      <c r="P175" s="56">
        <f>INDEX(Detail!$A$1:$A$1001,MATCH(B175,Detail!$G$1:$G$1001,0))</f>
        <v>38019</v>
      </c>
      <c r="Q175" s="33" t="str">
        <f>INDEX(Detail!$F$1:$F$1001,MATCH(Main!B175,Detail!$G$1:$G$1001,0))</f>
        <v>Dumai</v>
      </c>
      <c r="R175" s="7">
        <f>INDEX(Detail!$C$1:$C$1001,MATCH(B175,Detail!$G$1:$G$1001,0),1)</f>
        <v>180</v>
      </c>
      <c r="S175" s="7">
        <f>INDEX(Detail!$D$1:$D$1001,MATCH(B175,Detail!$G$1:$G$1001,0),1)</f>
        <v>78</v>
      </c>
      <c r="T175" s="7" t="str">
        <f>INDEX(Detail!$E$1:$E$1001,MATCH(Main!B175,Detail!$G$1:$G$1001,0))</f>
        <v>Gg. Cihampelas No. 45</v>
      </c>
      <c r="U175" s="7" t="str">
        <f>INDEX(Detail!$B$1:$B$1001,MATCH(B175,Detail!$G$1:$G$1001,0),1)</f>
        <v>AB-</v>
      </c>
      <c r="V175" s="7" t="str" cm="1">
        <f t="array" ref="V175">INDEX(Dosen!$B$3:$E$8,MATCH(Main!C175,Dosen!$A$3:$A$8,0),IF(AND(Main!A175&gt;=1,Main!A175&lt;=250),1,IF(AND(Main!A175&gt;=251,Main!A175&lt;=500),2,IF(AND(Main!A175&gt;=501,Main!A175&lt;=750),3,4))))</f>
        <v>Pak Krisna</v>
      </c>
      <c r="W175" s="7" t="str">
        <f>_xlfn.XLOOKUP(B175,Detail!$G$1:$G$1001,Detail!$B$1:$B$1001)</f>
        <v>AB-</v>
      </c>
    </row>
    <row r="176" spans="1:23" ht="15.75" x14ac:dyDescent="0.25">
      <c r="A176" s="7">
        <v>98</v>
      </c>
      <c r="B176" s="33" t="str">
        <f t="shared" si="6"/>
        <v>B0098</v>
      </c>
      <c r="C176" s="7" t="s">
        <v>1014</v>
      </c>
      <c r="D176" s="33" t="str">
        <f>VLOOKUP(B176,Detail!$G$1:$H$1001,2,FALSE)</f>
        <v>Kasusra Riyanti</v>
      </c>
      <c r="E176" s="7">
        <v>61</v>
      </c>
      <c r="F176" s="7">
        <v>40</v>
      </c>
      <c r="G176" s="57">
        <v>75</v>
      </c>
      <c r="H176" s="7">
        <v>68</v>
      </c>
      <c r="I176" s="7">
        <v>53</v>
      </c>
      <c r="J176" s="7">
        <v>65</v>
      </c>
      <c r="K176" s="7">
        <v>97</v>
      </c>
      <c r="L176" s="56">
        <f>IFERROR(VLOOKUP(B176,Absen!$A$1:$C$501,2,FALSE),"No")</f>
        <v>44913</v>
      </c>
      <c r="M176" s="58">
        <f t="shared" si="4"/>
        <v>8.7000000000000011</v>
      </c>
      <c r="N176" s="57">
        <f t="shared" si="5"/>
        <v>64.45</v>
      </c>
      <c r="O176" s="7" t="str">
        <f>VLOOKUP(N176,Helper!$B$30:$C$35,2,TRUE)</f>
        <v>C</v>
      </c>
      <c r="P176" s="56">
        <f>INDEX(Detail!$A$1:$A$1001,MATCH(B176,Detail!$G$1:$G$1001,0))</f>
        <v>38394</v>
      </c>
      <c r="Q176" s="33" t="str">
        <f>INDEX(Detail!$F$1:$F$1001,MATCH(Main!B176,Detail!$G$1:$G$1001,0))</f>
        <v>Binjai</v>
      </c>
      <c r="R176" s="7">
        <f>INDEX(Detail!$C$1:$C$1001,MATCH(B176,Detail!$G$1:$G$1001,0),1)</f>
        <v>162</v>
      </c>
      <c r="S176" s="7">
        <f>INDEX(Detail!$D$1:$D$1001,MATCH(B176,Detail!$G$1:$G$1001,0),1)</f>
        <v>48</v>
      </c>
      <c r="T176" s="7" t="str">
        <f>INDEX(Detail!$E$1:$E$1001,MATCH(Main!B176,Detail!$G$1:$G$1001,0))</f>
        <v xml:space="preserve">Jalan Ciwastra No. 0
</v>
      </c>
      <c r="U176" s="7" t="str">
        <f>INDEX(Detail!$B$1:$B$1001,MATCH(B176,Detail!$G$1:$G$1001,0),1)</f>
        <v>AB-</v>
      </c>
      <c r="V176" s="7" t="str" cm="1">
        <f t="array" ref="V176">INDEX(Dosen!$B$3:$E$8,MATCH(Main!C176,Dosen!$A$3:$A$8,0),IF(AND(Main!A176&gt;=1,Main!A176&lt;=250),1,IF(AND(Main!A176&gt;=251,Main!A176&lt;=500),2,IF(AND(Main!A176&gt;=501,Main!A176&lt;=750),3,4))))</f>
        <v>Pak Krisna</v>
      </c>
      <c r="W176" s="7" t="str">
        <f>_xlfn.XLOOKUP(B176,Detail!$G$1:$G$1001,Detail!$B$1:$B$1001)</f>
        <v>AB-</v>
      </c>
    </row>
    <row r="177" spans="1:23" ht="15.75" x14ac:dyDescent="0.25">
      <c r="A177" s="7">
        <v>120</v>
      </c>
      <c r="B177" s="33" t="str">
        <f t="shared" si="6"/>
        <v>B0120</v>
      </c>
      <c r="C177" s="7" t="s">
        <v>1014</v>
      </c>
      <c r="D177" s="33" t="str">
        <f>VLOOKUP(B177,Detail!$G$1:$H$1001,2,FALSE)</f>
        <v>Padmi Anggraini</v>
      </c>
      <c r="E177" s="7">
        <v>59</v>
      </c>
      <c r="F177" s="7">
        <v>65</v>
      </c>
      <c r="G177" s="57">
        <v>70</v>
      </c>
      <c r="H177" s="7">
        <v>64</v>
      </c>
      <c r="I177" s="7">
        <v>59</v>
      </c>
      <c r="J177" s="7">
        <v>62</v>
      </c>
      <c r="K177" s="7">
        <v>98</v>
      </c>
      <c r="L177" s="56" t="str">
        <f>IFERROR(VLOOKUP(B177,Absen!$A$1:$C$501,2,FALSE),"No")</f>
        <v>No</v>
      </c>
      <c r="M177" s="58">
        <f t="shared" si="4"/>
        <v>9.8000000000000007</v>
      </c>
      <c r="N177" s="57">
        <f t="shared" si="5"/>
        <v>67.075000000000003</v>
      </c>
      <c r="O177" s="7" t="str">
        <f>VLOOKUP(N177,Helper!$B$30:$C$35,2,TRUE)</f>
        <v>C</v>
      </c>
      <c r="P177" s="56">
        <f>INDEX(Detail!$A$1:$A$1001,MATCH(B177,Detail!$G$1:$G$1001,0))</f>
        <v>37379</v>
      </c>
      <c r="Q177" s="33" t="str">
        <f>INDEX(Detail!$F$1:$F$1001,MATCH(Main!B177,Detail!$G$1:$G$1001,0))</f>
        <v>Tangerang</v>
      </c>
      <c r="R177" s="7">
        <f>INDEX(Detail!$C$1:$C$1001,MATCH(B177,Detail!$G$1:$G$1001,0),1)</f>
        <v>170</v>
      </c>
      <c r="S177" s="7">
        <f>INDEX(Detail!$D$1:$D$1001,MATCH(B177,Detail!$G$1:$G$1001,0),1)</f>
        <v>56</v>
      </c>
      <c r="T177" s="7" t="str">
        <f>INDEX(Detail!$E$1:$E$1001,MATCH(Main!B177,Detail!$G$1:$G$1001,0))</f>
        <v>Gang Raya Setiabudhi No. 61</v>
      </c>
      <c r="U177" s="7" t="str">
        <f>INDEX(Detail!$B$1:$B$1001,MATCH(B177,Detail!$G$1:$G$1001,0),1)</f>
        <v>A+</v>
      </c>
      <c r="V177" s="7" t="str" cm="1">
        <f t="array" ref="V177">INDEX(Dosen!$B$3:$E$8,MATCH(Main!C177,Dosen!$A$3:$A$8,0),IF(AND(Main!A177&gt;=1,Main!A177&lt;=250),1,IF(AND(Main!A177&gt;=251,Main!A177&lt;=500),2,IF(AND(Main!A177&gt;=501,Main!A177&lt;=750),3,4))))</f>
        <v>Pak Krisna</v>
      </c>
      <c r="W177" s="7" t="str">
        <f>_xlfn.XLOOKUP(B177,Detail!$G$1:$G$1001,Detail!$B$1:$B$1001)</f>
        <v>A+</v>
      </c>
    </row>
    <row r="178" spans="1:23" ht="15.75" x14ac:dyDescent="0.25">
      <c r="A178" s="7">
        <v>124</v>
      </c>
      <c r="B178" s="33" t="str">
        <f t="shared" si="6"/>
        <v>B0124</v>
      </c>
      <c r="C178" s="7" t="s">
        <v>1014</v>
      </c>
      <c r="D178" s="33" t="str">
        <f>VLOOKUP(B178,Detail!$G$1:$H$1001,2,FALSE)</f>
        <v>Cindy Simanjuntak</v>
      </c>
      <c r="E178" s="7">
        <v>68</v>
      </c>
      <c r="F178" s="7">
        <v>54</v>
      </c>
      <c r="G178" s="57">
        <v>76</v>
      </c>
      <c r="H178" s="7">
        <v>62</v>
      </c>
      <c r="I178" s="7">
        <v>73</v>
      </c>
      <c r="J178" s="7">
        <v>92</v>
      </c>
      <c r="K178" s="7">
        <v>61</v>
      </c>
      <c r="L178" s="56" t="str">
        <f>IFERROR(VLOOKUP(B178,Absen!$A$1:$C$501,2,FALSE),"No")</f>
        <v>No</v>
      </c>
      <c r="M178" s="58">
        <f t="shared" si="4"/>
        <v>6.1000000000000005</v>
      </c>
      <c r="N178" s="57">
        <f t="shared" si="5"/>
        <v>71.825000000000003</v>
      </c>
      <c r="O178" s="7" t="str">
        <f>VLOOKUP(N178,Helper!$B$30:$C$35,2,TRUE)</f>
        <v>B</v>
      </c>
      <c r="P178" s="56">
        <f>INDEX(Detail!$A$1:$A$1001,MATCH(B178,Detail!$G$1:$G$1001,0))</f>
        <v>37300</v>
      </c>
      <c r="Q178" s="33" t="str">
        <f>INDEX(Detail!$F$1:$F$1001,MATCH(Main!B178,Detail!$G$1:$G$1001,0))</f>
        <v>Bekasi</v>
      </c>
      <c r="R178" s="7">
        <f>INDEX(Detail!$C$1:$C$1001,MATCH(B178,Detail!$G$1:$G$1001,0),1)</f>
        <v>155</v>
      </c>
      <c r="S178" s="7">
        <f>INDEX(Detail!$D$1:$D$1001,MATCH(B178,Detail!$G$1:$G$1001,0),1)</f>
        <v>82</v>
      </c>
      <c r="T178" s="7" t="str">
        <f>INDEX(Detail!$E$1:$E$1001,MATCH(Main!B178,Detail!$G$1:$G$1001,0))</f>
        <v>Gg. Veteran No. 86</v>
      </c>
      <c r="U178" s="7" t="str">
        <f>INDEX(Detail!$B$1:$B$1001,MATCH(B178,Detail!$G$1:$G$1001,0),1)</f>
        <v>A+</v>
      </c>
      <c r="V178" s="7" t="str" cm="1">
        <f t="array" ref="V178">INDEX(Dosen!$B$3:$E$8,MATCH(Main!C178,Dosen!$A$3:$A$8,0),IF(AND(Main!A178&gt;=1,Main!A178&lt;=250),1,IF(AND(Main!A178&gt;=251,Main!A178&lt;=500),2,IF(AND(Main!A178&gt;=501,Main!A178&lt;=750),3,4))))</f>
        <v>Pak Krisna</v>
      </c>
      <c r="W178" s="7" t="str">
        <f>_xlfn.XLOOKUP(B178,Detail!$G$1:$G$1001,Detail!$B$1:$B$1001)</f>
        <v>A+</v>
      </c>
    </row>
    <row r="179" spans="1:23" ht="15.75" x14ac:dyDescent="0.25">
      <c r="A179" s="7">
        <v>125</v>
      </c>
      <c r="B179" s="33" t="str">
        <f t="shared" si="6"/>
        <v>B0125</v>
      </c>
      <c r="C179" s="7" t="s">
        <v>1014</v>
      </c>
      <c r="D179" s="33" t="str">
        <f>VLOOKUP(B179,Detail!$G$1:$H$1001,2,FALSE)</f>
        <v>Harjaya Firmansyah</v>
      </c>
      <c r="E179" s="7">
        <v>73</v>
      </c>
      <c r="F179" s="7">
        <v>56</v>
      </c>
      <c r="G179" s="57">
        <v>61</v>
      </c>
      <c r="H179" s="7">
        <v>73</v>
      </c>
      <c r="I179" s="7">
        <v>85</v>
      </c>
      <c r="J179" s="7">
        <v>97</v>
      </c>
      <c r="K179" s="7">
        <v>73</v>
      </c>
      <c r="L179" s="56" t="str">
        <f>IFERROR(VLOOKUP(B179,Absen!$A$1:$C$501,2,FALSE),"No")</f>
        <v>No</v>
      </c>
      <c r="M179" s="58">
        <f t="shared" si="4"/>
        <v>7.3000000000000007</v>
      </c>
      <c r="N179" s="57">
        <f t="shared" si="5"/>
        <v>74.775000000000006</v>
      </c>
      <c r="O179" s="7" t="str">
        <f>VLOOKUP(N179,Helper!$B$30:$C$35,2,TRUE)</f>
        <v>B</v>
      </c>
      <c r="P179" s="56">
        <f>INDEX(Detail!$A$1:$A$1001,MATCH(B179,Detail!$G$1:$G$1001,0))</f>
        <v>37738</v>
      </c>
      <c r="Q179" s="33" t="str">
        <f>INDEX(Detail!$F$1:$F$1001,MATCH(Main!B179,Detail!$G$1:$G$1001,0))</f>
        <v>Jayapura</v>
      </c>
      <c r="R179" s="7">
        <f>INDEX(Detail!$C$1:$C$1001,MATCH(B179,Detail!$G$1:$G$1001,0),1)</f>
        <v>177</v>
      </c>
      <c r="S179" s="7">
        <f>INDEX(Detail!$D$1:$D$1001,MATCH(B179,Detail!$G$1:$G$1001,0),1)</f>
        <v>91</v>
      </c>
      <c r="T179" s="7" t="str">
        <f>INDEX(Detail!$E$1:$E$1001,MATCH(Main!B179,Detail!$G$1:$G$1001,0))</f>
        <v>Gang KH Amin Jasuta No. 44</v>
      </c>
      <c r="U179" s="7" t="str">
        <f>INDEX(Detail!$B$1:$B$1001,MATCH(B179,Detail!$G$1:$G$1001,0),1)</f>
        <v>AB+</v>
      </c>
      <c r="V179" s="7" t="str" cm="1">
        <f t="array" ref="V179">INDEX(Dosen!$B$3:$E$8,MATCH(Main!C179,Dosen!$A$3:$A$8,0),IF(AND(Main!A179&gt;=1,Main!A179&lt;=250),1,IF(AND(Main!A179&gt;=251,Main!A179&lt;=500),2,IF(AND(Main!A179&gt;=501,Main!A179&lt;=750),3,4))))</f>
        <v>Pak Krisna</v>
      </c>
      <c r="W179" s="7" t="str">
        <f>_xlfn.XLOOKUP(B179,Detail!$G$1:$G$1001,Detail!$B$1:$B$1001)</f>
        <v>AB+</v>
      </c>
    </row>
    <row r="180" spans="1:23" ht="15.75" x14ac:dyDescent="0.25">
      <c r="A180" s="7">
        <v>129</v>
      </c>
      <c r="B180" s="33" t="str">
        <f t="shared" si="6"/>
        <v>B0129</v>
      </c>
      <c r="C180" s="7" t="s">
        <v>1014</v>
      </c>
      <c r="D180" s="33" t="str">
        <f>VLOOKUP(B180,Detail!$G$1:$H$1001,2,FALSE)</f>
        <v>Ajimat Dabukke</v>
      </c>
      <c r="E180" s="7">
        <v>80</v>
      </c>
      <c r="F180" s="7">
        <v>73</v>
      </c>
      <c r="G180" s="57">
        <v>51</v>
      </c>
      <c r="H180" s="7">
        <v>50</v>
      </c>
      <c r="I180" s="7">
        <v>82</v>
      </c>
      <c r="J180" s="7">
        <v>88</v>
      </c>
      <c r="K180" s="7">
        <v>86</v>
      </c>
      <c r="L180" s="56" t="str">
        <f>IFERROR(VLOOKUP(B180,Absen!$A$1:$C$501,2,FALSE),"No")</f>
        <v>No</v>
      </c>
      <c r="M180" s="58">
        <f t="shared" si="4"/>
        <v>8.6</v>
      </c>
      <c r="N180" s="57">
        <f t="shared" si="5"/>
        <v>72.025000000000006</v>
      </c>
      <c r="O180" s="7" t="str">
        <f>VLOOKUP(N180,Helper!$B$30:$C$35,2,TRUE)</f>
        <v>B</v>
      </c>
      <c r="P180" s="56">
        <f>INDEX(Detail!$A$1:$A$1001,MATCH(B180,Detail!$G$1:$G$1001,0))</f>
        <v>37612</v>
      </c>
      <c r="Q180" s="33" t="str">
        <f>INDEX(Detail!$F$1:$F$1001,MATCH(Main!B180,Detail!$G$1:$G$1001,0))</f>
        <v>Sibolga</v>
      </c>
      <c r="R180" s="7">
        <f>INDEX(Detail!$C$1:$C$1001,MATCH(B180,Detail!$G$1:$G$1001,0),1)</f>
        <v>155</v>
      </c>
      <c r="S180" s="7">
        <f>INDEX(Detail!$D$1:$D$1001,MATCH(B180,Detail!$G$1:$G$1001,0),1)</f>
        <v>84</v>
      </c>
      <c r="T180" s="7" t="str">
        <f>INDEX(Detail!$E$1:$E$1001,MATCH(Main!B180,Detail!$G$1:$G$1001,0))</f>
        <v xml:space="preserve">Gang Cikutra Timur No. 8
</v>
      </c>
      <c r="U180" s="7" t="str">
        <f>INDEX(Detail!$B$1:$B$1001,MATCH(B180,Detail!$G$1:$G$1001,0),1)</f>
        <v>B-</v>
      </c>
      <c r="V180" s="7" t="str" cm="1">
        <f t="array" ref="V180">INDEX(Dosen!$B$3:$E$8,MATCH(Main!C180,Dosen!$A$3:$A$8,0),IF(AND(Main!A180&gt;=1,Main!A180&lt;=250),1,IF(AND(Main!A180&gt;=251,Main!A180&lt;=500),2,IF(AND(Main!A180&gt;=501,Main!A180&lt;=750),3,4))))</f>
        <v>Pak Krisna</v>
      </c>
      <c r="W180" s="7" t="str">
        <f>_xlfn.XLOOKUP(B180,Detail!$G$1:$G$1001,Detail!$B$1:$B$1001)</f>
        <v>B-</v>
      </c>
    </row>
    <row r="181" spans="1:23" ht="15.75" x14ac:dyDescent="0.25">
      <c r="A181" s="7">
        <v>132</v>
      </c>
      <c r="B181" s="33" t="str">
        <f t="shared" si="6"/>
        <v>B0132</v>
      </c>
      <c r="C181" s="7" t="s">
        <v>1014</v>
      </c>
      <c r="D181" s="33" t="str">
        <f>VLOOKUP(B181,Detail!$G$1:$H$1001,2,FALSE)</f>
        <v>Jagaraga Aryani</v>
      </c>
      <c r="E181" s="7">
        <v>63</v>
      </c>
      <c r="F181" s="7">
        <v>71</v>
      </c>
      <c r="G181" s="57">
        <v>31</v>
      </c>
      <c r="H181" s="7">
        <v>53</v>
      </c>
      <c r="I181" s="7">
        <v>95</v>
      </c>
      <c r="J181" s="7">
        <v>74</v>
      </c>
      <c r="K181" s="7">
        <v>73</v>
      </c>
      <c r="L181" s="56">
        <f>IFERROR(VLOOKUP(B181,Absen!$A$1:$C$501,2,FALSE),"No")</f>
        <v>44755</v>
      </c>
      <c r="M181" s="58">
        <f t="shared" si="4"/>
        <v>6.3000000000000007</v>
      </c>
      <c r="N181" s="57">
        <f t="shared" si="5"/>
        <v>62.55</v>
      </c>
      <c r="O181" s="7" t="str">
        <f>VLOOKUP(N181,Helper!$B$30:$C$35,2,TRUE)</f>
        <v>C</v>
      </c>
      <c r="P181" s="56">
        <f>INDEX(Detail!$A$1:$A$1001,MATCH(B181,Detail!$G$1:$G$1001,0))</f>
        <v>37053</v>
      </c>
      <c r="Q181" s="33" t="str">
        <f>INDEX(Detail!$F$1:$F$1001,MATCH(Main!B181,Detail!$G$1:$G$1001,0))</f>
        <v>Metro</v>
      </c>
      <c r="R181" s="7">
        <f>INDEX(Detail!$C$1:$C$1001,MATCH(B181,Detail!$G$1:$G$1001,0),1)</f>
        <v>168</v>
      </c>
      <c r="S181" s="7">
        <f>INDEX(Detail!$D$1:$D$1001,MATCH(B181,Detail!$G$1:$G$1001,0),1)</f>
        <v>81</v>
      </c>
      <c r="T181" s="7" t="str">
        <f>INDEX(Detail!$E$1:$E$1001,MATCH(Main!B181,Detail!$G$1:$G$1001,0))</f>
        <v xml:space="preserve">Jalan Pacuan Kuda No. 0
</v>
      </c>
      <c r="U181" s="7" t="str">
        <f>INDEX(Detail!$B$1:$B$1001,MATCH(B181,Detail!$G$1:$G$1001,0),1)</f>
        <v>AB-</v>
      </c>
      <c r="V181" s="7" t="str" cm="1">
        <f t="array" ref="V181">INDEX(Dosen!$B$3:$E$8,MATCH(Main!C181,Dosen!$A$3:$A$8,0),IF(AND(Main!A181&gt;=1,Main!A181&lt;=250),1,IF(AND(Main!A181&gt;=251,Main!A181&lt;=500),2,IF(AND(Main!A181&gt;=501,Main!A181&lt;=750),3,4))))</f>
        <v>Pak Krisna</v>
      </c>
      <c r="W181" s="7" t="str">
        <f>_xlfn.XLOOKUP(B181,Detail!$G$1:$G$1001,Detail!$B$1:$B$1001)</f>
        <v>AB-</v>
      </c>
    </row>
    <row r="182" spans="1:23" ht="15.75" x14ac:dyDescent="0.25">
      <c r="A182" s="7">
        <v>133</v>
      </c>
      <c r="B182" s="33" t="str">
        <f t="shared" si="6"/>
        <v>B0133</v>
      </c>
      <c r="C182" s="7" t="s">
        <v>1014</v>
      </c>
      <c r="D182" s="33" t="str">
        <f>VLOOKUP(B182,Detail!$G$1:$H$1001,2,FALSE)</f>
        <v>Rendy Utama</v>
      </c>
      <c r="E182" s="7">
        <v>79</v>
      </c>
      <c r="F182" s="7">
        <v>41</v>
      </c>
      <c r="G182" s="57">
        <v>89</v>
      </c>
      <c r="H182" s="7">
        <v>75</v>
      </c>
      <c r="I182" s="7">
        <v>52</v>
      </c>
      <c r="J182" s="7">
        <v>71</v>
      </c>
      <c r="K182" s="7">
        <v>92</v>
      </c>
      <c r="L182" s="56" t="str">
        <f>IFERROR(VLOOKUP(B182,Absen!$A$1:$C$501,2,FALSE),"No")</f>
        <v>No</v>
      </c>
      <c r="M182" s="58">
        <f t="shared" si="4"/>
        <v>9.2000000000000011</v>
      </c>
      <c r="N182" s="57">
        <f t="shared" si="5"/>
        <v>72.075000000000003</v>
      </c>
      <c r="O182" s="7" t="str">
        <f>VLOOKUP(N182,Helper!$B$30:$C$35,2,TRUE)</f>
        <v>B</v>
      </c>
      <c r="P182" s="56">
        <f>INDEX(Detail!$A$1:$A$1001,MATCH(B182,Detail!$G$1:$G$1001,0))</f>
        <v>38053</v>
      </c>
      <c r="Q182" s="33" t="str">
        <f>INDEX(Detail!$F$1:$F$1001,MATCH(Main!B182,Detail!$G$1:$G$1001,0))</f>
        <v>Bekasi</v>
      </c>
      <c r="R182" s="7">
        <f>INDEX(Detail!$C$1:$C$1001,MATCH(B182,Detail!$G$1:$G$1001,0),1)</f>
        <v>173</v>
      </c>
      <c r="S182" s="7">
        <f>INDEX(Detail!$D$1:$D$1001,MATCH(B182,Detail!$G$1:$G$1001,0),1)</f>
        <v>65</v>
      </c>
      <c r="T182" s="7" t="str">
        <f>INDEX(Detail!$E$1:$E$1001,MATCH(Main!B182,Detail!$G$1:$G$1001,0))</f>
        <v xml:space="preserve">Jl. Rajawali Timur No. 1
</v>
      </c>
      <c r="U182" s="7" t="str">
        <f>INDEX(Detail!$B$1:$B$1001,MATCH(B182,Detail!$G$1:$G$1001,0),1)</f>
        <v>O+</v>
      </c>
      <c r="V182" s="7" t="str" cm="1">
        <f t="array" ref="V182">INDEX(Dosen!$B$3:$E$8,MATCH(Main!C182,Dosen!$A$3:$A$8,0),IF(AND(Main!A182&gt;=1,Main!A182&lt;=250),1,IF(AND(Main!A182&gt;=251,Main!A182&lt;=500),2,IF(AND(Main!A182&gt;=501,Main!A182&lt;=750),3,4))))</f>
        <v>Pak Krisna</v>
      </c>
      <c r="W182" s="7" t="str">
        <f>_xlfn.XLOOKUP(B182,Detail!$G$1:$G$1001,Detail!$B$1:$B$1001)</f>
        <v>O+</v>
      </c>
    </row>
    <row r="183" spans="1:23" ht="15.75" x14ac:dyDescent="0.25">
      <c r="A183" s="7">
        <v>140</v>
      </c>
      <c r="B183" s="33" t="str">
        <f t="shared" si="6"/>
        <v>B0140</v>
      </c>
      <c r="C183" s="7" t="s">
        <v>1014</v>
      </c>
      <c r="D183" s="33" t="str">
        <f>VLOOKUP(B183,Detail!$G$1:$H$1001,2,FALSE)</f>
        <v>Reksa Prastuti</v>
      </c>
      <c r="E183" s="7">
        <v>80</v>
      </c>
      <c r="F183" s="7">
        <v>74</v>
      </c>
      <c r="G183" s="57">
        <v>36</v>
      </c>
      <c r="H183" s="7">
        <v>52</v>
      </c>
      <c r="I183" s="7">
        <v>72</v>
      </c>
      <c r="J183" s="7">
        <v>45</v>
      </c>
      <c r="K183" s="7">
        <v>78</v>
      </c>
      <c r="L183" s="56">
        <f>IFERROR(VLOOKUP(B183,Absen!$A$1:$C$501,2,FALSE),"No")</f>
        <v>44800</v>
      </c>
      <c r="M183" s="58">
        <f t="shared" si="4"/>
        <v>6.8000000000000007</v>
      </c>
      <c r="N183" s="57">
        <f t="shared" si="5"/>
        <v>57.75</v>
      </c>
      <c r="O183" s="7" t="str">
        <f>VLOOKUP(N183,Helper!$B$30:$C$35,2,TRUE)</f>
        <v>D</v>
      </c>
      <c r="P183" s="56">
        <f>INDEX(Detail!$A$1:$A$1001,MATCH(B183,Detail!$G$1:$G$1001,0))</f>
        <v>37764</v>
      </c>
      <c r="Q183" s="33" t="str">
        <f>INDEX(Detail!$F$1:$F$1001,MATCH(Main!B183,Detail!$G$1:$G$1001,0))</f>
        <v>Makassar</v>
      </c>
      <c r="R183" s="7">
        <f>INDEX(Detail!$C$1:$C$1001,MATCH(B183,Detail!$G$1:$G$1001,0),1)</f>
        <v>164</v>
      </c>
      <c r="S183" s="7">
        <f>INDEX(Detail!$D$1:$D$1001,MATCH(B183,Detail!$G$1:$G$1001,0),1)</f>
        <v>79</v>
      </c>
      <c r="T183" s="7" t="str">
        <f>INDEX(Detail!$E$1:$E$1001,MATCH(Main!B183,Detail!$G$1:$G$1001,0))</f>
        <v>Gang Kiaracondong No. 44</v>
      </c>
      <c r="U183" s="7" t="str">
        <f>INDEX(Detail!$B$1:$B$1001,MATCH(B183,Detail!$G$1:$G$1001,0),1)</f>
        <v>A+</v>
      </c>
      <c r="V183" s="7" t="str" cm="1">
        <f t="array" ref="V183">INDEX(Dosen!$B$3:$E$8,MATCH(Main!C183,Dosen!$A$3:$A$8,0),IF(AND(Main!A183&gt;=1,Main!A183&lt;=250),1,IF(AND(Main!A183&gt;=251,Main!A183&lt;=500),2,IF(AND(Main!A183&gt;=501,Main!A183&lt;=750),3,4))))</f>
        <v>Pak Krisna</v>
      </c>
      <c r="W183" s="7" t="str">
        <f>_xlfn.XLOOKUP(B183,Detail!$G$1:$G$1001,Detail!$B$1:$B$1001)</f>
        <v>A+</v>
      </c>
    </row>
    <row r="184" spans="1:23" ht="15.75" x14ac:dyDescent="0.25">
      <c r="A184" s="7">
        <v>142</v>
      </c>
      <c r="B184" s="33" t="str">
        <f t="shared" si="6"/>
        <v>B0142</v>
      </c>
      <c r="C184" s="7" t="s">
        <v>1014</v>
      </c>
      <c r="D184" s="33" t="str">
        <f>VLOOKUP(B184,Detail!$G$1:$H$1001,2,FALSE)</f>
        <v>Zamira Hutapea</v>
      </c>
      <c r="E184" s="7">
        <v>56</v>
      </c>
      <c r="F184" s="7">
        <v>41</v>
      </c>
      <c r="G184" s="57">
        <v>70</v>
      </c>
      <c r="H184" s="7">
        <v>75</v>
      </c>
      <c r="I184" s="7">
        <v>63</v>
      </c>
      <c r="J184" s="7">
        <v>58</v>
      </c>
      <c r="K184" s="7">
        <v>93</v>
      </c>
      <c r="L184" s="56" t="str">
        <f>IFERROR(VLOOKUP(B184,Absen!$A$1:$C$501,2,FALSE),"No")</f>
        <v>No</v>
      </c>
      <c r="M184" s="58">
        <f t="shared" si="4"/>
        <v>9.3000000000000007</v>
      </c>
      <c r="N184" s="57">
        <f t="shared" si="5"/>
        <v>64.275000000000006</v>
      </c>
      <c r="O184" s="7" t="str">
        <f>VLOOKUP(N184,Helper!$B$30:$C$35,2,TRUE)</f>
        <v>C</v>
      </c>
      <c r="P184" s="56">
        <f>INDEX(Detail!$A$1:$A$1001,MATCH(B184,Detail!$G$1:$G$1001,0))</f>
        <v>38306</v>
      </c>
      <c r="Q184" s="33" t="str">
        <f>INDEX(Detail!$F$1:$F$1001,MATCH(Main!B184,Detail!$G$1:$G$1001,0))</f>
        <v>Sungai Penuh</v>
      </c>
      <c r="R184" s="7">
        <f>INDEX(Detail!$C$1:$C$1001,MATCH(B184,Detail!$G$1:$G$1001,0),1)</f>
        <v>176</v>
      </c>
      <c r="S184" s="7">
        <f>INDEX(Detail!$D$1:$D$1001,MATCH(B184,Detail!$G$1:$G$1001,0),1)</f>
        <v>75</v>
      </c>
      <c r="T184" s="7" t="str">
        <f>INDEX(Detail!$E$1:$E$1001,MATCH(Main!B184,Detail!$G$1:$G$1001,0))</f>
        <v>Jl. Laswi No. 15</v>
      </c>
      <c r="U184" s="7" t="str">
        <f>INDEX(Detail!$B$1:$B$1001,MATCH(B184,Detail!$G$1:$G$1001,0),1)</f>
        <v>B+</v>
      </c>
      <c r="V184" s="7" t="str" cm="1">
        <f t="array" ref="V184">INDEX(Dosen!$B$3:$E$8,MATCH(Main!C184,Dosen!$A$3:$A$8,0),IF(AND(Main!A184&gt;=1,Main!A184&lt;=250),1,IF(AND(Main!A184&gt;=251,Main!A184&lt;=500),2,IF(AND(Main!A184&gt;=501,Main!A184&lt;=750),3,4))))</f>
        <v>Pak Krisna</v>
      </c>
      <c r="W184" s="7" t="str">
        <f>_xlfn.XLOOKUP(B184,Detail!$G$1:$G$1001,Detail!$B$1:$B$1001)</f>
        <v>B+</v>
      </c>
    </row>
    <row r="185" spans="1:23" ht="15.75" x14ac:dyDescent="0.25">
      <c r="A185" s="7">
        <v>155</v>
      </c>
      <c r="B185" s="33" t="str">
        <f t="shared" si="6"/>
        <v>B0155</v>
      </c>
      <c r="C185" s="7" t="s">
        <v>1014</v>
      </c>
      <c r="D185" s="33" t="str">
        <f>VLOOKUP(B185,Detail!$G$1:$H$1001,2,FALSE)</f>
        <v>Mutia Hidayat</v>
      </c>
      <c r="E185" s="7">
        <v>91</v>
      </c>
      <c r="F185" s="7">
        <v>50</v>
      </c>
      <c r="G185" s="57">
        <v>60</v>
      </c>
      <c r="H185" s="7">
        <v>54</v>
      </c>
      <c r="I185" s="7">
        <v>71</v>
      </c>
      <c r="J185" s="7">
        <v>49</v>
      </c>
      <c r="K185" s="7">
        <v>96</v>
      </c>
      <c r="L185" s="56">
        <f>IFERROR(VLOOKUP(B185,Absen!$A$1:$C$501,2,FALSE),"No")</f>
        <v>44865</v>
      </c>
      <c r="M185" s="58">
        <f t="shared" si="4"/>
        <v>8.6</v>
      </c>
      <c r="N185" s="57">
        <f t="shared" si="5"/>
        <v>63.65</v>
      </c>
      <c r="O185" s="7" t="str">
        <f>VLOOKUP(N185,Helper!$B$30:$C$35,2,TRUE)</f>
        <v>C</v>
      </c>
      <c r="P185" s="56">
        <f>INDEX(Detail!$A$1:$A$1001,MATCH(B185,Detail!$G$1:$G$1001,0))</f>
        <v>37749</v>
      </c>
      <c r="Q185" s="33" t="str">
        <f>INDEX(Detail!$F$1:$F$1001,MATCH(Main!B185,Detail!$G$1:$G$1001,0))</f>
        <v>Metro</v>
      </c>
      <c r="R185" s="7">
        <f>INDEX(Detail!$C$1:$C$1001,MATCH(B185,Detail!$G$1:$G$1001,0),1)</f>
        <v>162</v>
      </c>
      <c r="S185" s="7">
        <f>INDEX(Detail!$D$1:$D$1001,MATCH(B185,Detail!$G$1:$G$1001,0),1)</f>
        <v>65</v>
      </c>
      <c r="T185" s="7" t="str">
        <f>INDEX(Detail!$E$1:$E$1001,MATCH(Main!B185,Detail!$G$1:$G$1001,0))</f>
        <v xml:space="preserve">Jalan Monginsidi No. 6
</v>
      </c>
      <c r="U185" s="7" t="str">
        <f>INDEX(Detail!$B$1:$B$1001,MATCH(B185,Detail!$G$1:$G$1001,0),1)</f>
        <v>B-</v>
      </c>
      <c r="V185" s="7" t="str" cm="1">
        <f t="array" ref="V185">INDEX(Dosen!$B$3:$E$8,MATCH(Main!C185,Dosen!$A$3:$A$8,0),IF(AND(Main!A185&gt;=1,Main!A185&lt;=250),1,IF(AND(Main!A185&gt;=251,Main!A185&lt;=500),2,IF(AND(Main!A185&gt;=501,Main!A185&lt;=750),3,4))))</f>
        <v>Pak Krisna</v>
      </c>
      <c r="W185" s="7" t="str">
        <f>_xlfn.XLOOKUP(B185,Detail!$G$1:$G$1001,Detail!$B$1:$B$1001)</f>
        <v>B-</v>
      </c>
    </row>
    <row r="186" spans="1:23" ht="15.75" x14ac:dyDescent="0.25">
      <c r="A186" s="7">
        <v>166</v>
      </c>
      <c r="B186" s="33" t="str">
        <f t="shared" si="6"/>
        <v>B0166</v>
      </c>
      <c r="C186" s="7" t="s">
        <v>1014</v>
      </c>
      <c r="D186" s="33" t="str">
        <f>VLOOKUP(B186,Detail!$G$1:$H$1001,2,FALSE)</f>
        <v>Darman Anggriawan</v>
      </c>
      <c r="E186" s="7">
        <v>70</v>
      </c>
      <c r="F186" s="7">
        <v>56</v>
      </c>
      <c r="G186" s="57">
        <v>78</v>
      </c>
      <c r="H186" s="7">
        <v>64</v>
      </c>
      <c r="I186" s="7">
        <v>57</v>
      </c>
      <c r="J186" s="7">
        <v>45</v>
      </c>
      <c r="K186" s="7">
        <v>77</v>
      </c>
      <c r="L186" s="56" t="str">
        <f>IFERROR(VLOOKUP(B186,Absen!$A$1:$C$501,2,FALSE),"No")</f>
        <v>No</v>
      </c>
      <c r="M186" s="58">
        <f t="shared" si="4"/>
        <v>7.7</v>
      </c>
      <c r="N186" s="57">
        <f t="shared" si="5"/>
        <v>63.175000000000004</v>
      </c>
      <c r="O186" s="7" t="str">
        <f>VLOOKUP(N186,Helper!$B$30:$C$35,2,TRUE)</f>
        <v>C</v>
      </c>
      <c r="P186" s="56">
        <f>INDEX(Detail!$A$1:$A$1001,MATCH(B186,Detail!$G$1:$G$1001,0))</f>
        <v>37883</v>
      </c>
      <c r="Q186" s="33" t="str">
        <f>INDEX(Detail!$F$1:$F$1001,MATCH(Main!B186,Detail!$G$1:$G$1001,0))</f>
        <v>Denpasar</v>
      </c>
      <c r="R186" s="7">
        <f>INDEX(Detail!$C$1:$C$1001,MATCH(B186,Detail!$G$1:$G$1001,0),1)</f>
        <v>169</v>
      </c>
      <c r="S186" s="7">
        <f>INDEX(Detail!$D$1:$D$1001,MATCH(B186,Detail!$G$1:$G$1001,0),1)</f>
        <v>83</v>
      </c>
      <c r="T186" s="7" t="str">
        <f>INDEX(Detail!$E$1:$E$1001,MATCH(Main!B186,Detail!$G$1:$G$1001,0))</f>
        <v>Jl. Monginsidi No. 60</v>
      </c>
      <c r="U186" s="7" t="str">
        <f>INDEX(Detail!$B$1:$B$1001,MATCH(B186,Detail!$G$1:$G$1001,0),1)</f>
        <v>AB+</v>
      </c>
      <c r="V186" s="7" t="str" cm="1">
        <f t="array" ref="V186">INDEX(Dosen!$B$3:$E$8,MATCH(Main!C186,Dosen!$A$3:$A$8,0),IF(AND(Main!A186&gt;=1,Main!A186&lt;=250),1,IF(AND(Main!A186&gt;=251,Main!A186&lt;=500),2,IF(AND(Main!A186&gt;=501,Main!A186&lt;=750),3,4))))</f>
        <v>Pak Krisna</v>
      </c>
      <c r="W186" s="7" t="str">
        <f>_xlfn.XLOOKUP(B186,Detail!$G$1:$G$1001,Detail!$B$1:$B$1001)</f>
        <v>AB+</v>
      </c>
    </row>
    <row r="187" spans="1:23" ht="15.75" x14ac:dyDescent="0.25">
      <c r="A187" s="7">
        <v>193</v>
      </c>
      <c r="B187" s="33" t="str">
        <f t="shared" si="6"/>
        <v>B0193</v>
      </c>
      <c r="C187" s="7" t="s">
        <v>1014</v>
      </c>
      <c r="D187" s="33" t="str">
        <f>VLOOKUP(B187,Detail!$G$1:$H$1001,2,FALSE)</f>
        <v>Carub Mansur</v>
      </c>
      <c r="E187" s="7">
        <v>55</v>
      </c>
      <c r="F187" s="7">
        <v>52</v>
      </c>
      <c r="G187" s="57">
        <v>55</v>
      </c>
      <c r="H187" s="7">
        <v>56</v>
      </c>
      <c r="I187" s="7">
        <v>59</v>
      </c>
      <c r="J187" s="7">
        <v>82</v>
      </c>
      <c r="K187" s="7">
        <v>78</v>
      </c>
      <c r="L187" s="56" t="str">
        <f>IFERROR(VLOOKUP(B187,Absen!$A$1:$C$501,2,FALSE),"No")</f>
        <v>No</v>
      </c>
      <c r="M187" s="58">
        <f t="shared" si="4"/>
        <v>7.8000000000000007</v>
      </c>
      <c r="N187" s="57">
        <f t="shared" si="5"/>
        <v>62.95</v>
      </c>
      <c r="O187" s="7" t="str">
        <f>VLOOKUP(N187,Helper!$B$30:$C$35,2,TRUE)</f>
        <v>C</v>
      </c>
      <c r="P187" s="56">
        <f>INDEX(Detail!$A$1:$A$1001,MATCH(B187,Detail!$G$1:$G$1001,0))</f>
        <v>38077</v>
      </c>
      <c r="Q187" s="33" t="str">
        <f>INDEX(Detail!$F$1:$F$1001,MATCH(Main!B187,Detail!$G$1:$G$1001,0))</f>
        <v>Langsa</v>
      </c>
      <c r="R187" s="7">
        <f>INDEX(Detail!$C$1:$C$1001,MATCH(B187,Detail!$G$1:$G$1001,0),1)</f>
        <v>154</v>
      </c>
      <c r="S187" s="7">
        <f>INDEX(Detail!$D$1:$D$1001,MATCH(B187,Detail!$G$1:$G$1001,0),1)</f>
        <v>61</v>
      </c>
      <c r="T187" s="7" t="str">
        <f>INDEX(Detail!$E$1:$E$1001,MATCH(Main!B187,Detail!$G$1:$G$1001,0))</f>
        <v>Jl. BKR No. 67</v>
      </c>
      <c r="U187" s="7" t="str">
        <f>INDEX(Detail!$B$1:$B$1001,MATCH(B187,Detail!$G$1:$G$1001,0),1)</f>
        <v>A-</v>
      </c>
      <c r="V187" s="7" t="str" cm="1">
        <f t="array" ref="V187">INDEX(Dosen!$B$3:$E$8,MATCH(Main!C187,Dosen!$A$3:$A$8,0),IF(AND(Main!A187&gt;=1,Main!A187&lt;=250),1,IF(AND(Main!A187&gt;=251,Main!A187&lt;=500),2,IF(AND(Main!A187&gt;=501,Main!A187&lt;=750),3,4))))</f>
        <v>Pak Krisna</v>
      </c>
      <c r="W187" s="7" t="str">
        <f>_xlfn.XLOOKUP(B187,Detail!$G$1:$G$1001,Detail!$B$1:$B$1001)</f>
        <v>A-</v>
      </c>
    </row>
    <row r="188" spans="1:23" ht="15.75" x14ac:dyDescent="0.25">
      <c r="A188" s="7">
        <v>206</v>
      </c>
      <c r="B188" s="33" t="str">
        <f t="shared" si="6"/>
        <v>B0206</v>
      </c>
      <c r="C188" s="7" t="s">
        <v>1014</v>
      </c>
      <c r="D188" s="33" t="str">
        <f>VLOOKUP(B188,Detail!$G$1:$H$1001,2,FALSE)</f>
        <v>Paiman Hasanah</v>
      </c>
      <c r="E188" s="7">
        <v>84</v>
      </c>
      <c r="F188" s="7">
        <v>66</v>
      </c>
      <c r="G188" s="57">
        <v>37</v>
      </c>
      <c r="H188" s="7">
        <v>68</v>
      </c>
      <c r="I188" s="7">
        <v>95</v>
      </c>
      <c r="J188" s="7">
        <v>100</v>
      </c>
      <c r="K188" s="7">
        <v>99</v>
      </c>
      <c r="L188" s="56">
        <f>IFERROR(VLOOKUP(B188,Absen!$A$1:$C$501,2,FALSE),"No")</f>
        <v>44846</v>
      </c>
      <c r="M188" s="58">
        <f t="shared" si="4"/>
        <v>8.9</v>
      </c>
      <c r="N188" s="57">
        <f t="shared" si="5"/>
        <v>75.425000000000011</v>
      </c>
      <c r="O188" s="7" t="str">
        <f>VLOOKUP(N188,Helper!$B$30:$C$35,2,TRUE)</f>
        <v>B</v>
      </c>
      <c r="P188" s="56">
        <f>INDEX(Detail!$A$1:$A$1001,MATCH(B188,Detail!$G$1:$G$1001,0))</f>
        <v>38255</v>
      </c>
      <c r="Q188" s="33" t="str">
        <f>INDEX(Detail!$F$1:$F$1001,MATCH(Main!B188,Detail!$G$1:$G$1001,0))</f>
        <v>Balikpapan</v>
      </c>
      <c r="R188" s="7">
        <f>INDEX(Detail!$C$1:$C$1001,MATCH(B188,Detail!$G$1:$G$1001,0),1)</f>
        <v>151</v>
      </c>
      <c r="S188" s="7">
        <f>INDEX(Detail!$D$1:$D$1001,MATCH(B188,Detail!$G$1:$G$1001,0),1)</f>
        <v>90</v>
      </c>
      <c r="T188" s="7" t="str">
        <f>INDEX(Detail!$E$1:$E$1001,MATCH(Main!B188,Detail!$G$1:$G$1001,0))</f>
        <v xml:space="preserve">Gang Peta No. 0
</v>
      </c>
      <c r="U188" s="7" t="str">
        <f>INDEX(Detail!$B$1:$B$1001,MATCH(B188,Detail!$G$1:$G$1001,0),1)</f>
        <v>A-</v>
      </c>
      <c r="V188" s="7" t="str" cm="1">
        <f t="array" ref="V188">INDEX(Dosen!$B$3:$E$8,MATCH(Main!C188,Dosen!$A$3:$A$8,0),IF(AND(Main!A188&gt;=1,Main!A188&lt;=250),1,IF(AND(Main!A188&gt;=251,Main!A188&lt;=500),2,IF(AND(Main!A188&gt;=501,Main!A188&lt;=750),3,4))))</f>
        <v>Pak Krisna</v>
      </c>
      <c r="W188" s="7" t="str">
        <f>_xlfn.XLOOKUP(B188,Detail!$G$1:$G$1001,Detail!$B$1:$B$1001)</f>
        <v>A-</v>
      </c>
    </row>
    <row r="189" spans="1:23" ht="15.75" x14ac:dyDescent="0.25">
      <c r="A189" s="7">
        <v>208</v>
      </c>
      <c r="B189" s="33" t="str">
        <f t="shared" si="6"/>
        <v>B0208</v>
      </c>
      <c r="C189" s="7" t="s">
        <v>1014</v>
      </c>
      <c r="D189" s="33" t="str">
        <f>VLOOKUP(B189,Detail!$G$1:$H$1001,2,FALSE)</f>
        <v>Yuni Marpaung</v>
      </c>
      <c r="E189" s="7">
        <v>90</v>
      </c>
      <c r="F189" s="7">
        <v>41</v>
      </c>
      <c r="G189" s="57">
        <v>49</v>
      </c>
      <c r="H189" s="7">
        <v>60</v>
      </c>
      <c r="I189" s="7">
        <v>65</v>
      </c>
      <c r="J189" s="7">
        <v>86</v>
      </c>
      <c r="K189" s="7">
        <v>89</v>
      </c>
      <c r="L189" s="56" t="str">
        <f>IFERROR(VLOOKUP(B189,Absen!$A$1:$C$501,2,FALSE),"No")</f>
        <v>No</v>
      </c>
      <c r="M189" s="58">
        <f t="shared" si="4"/>
        <v>8.9</v>
      </c>
      <c r="N189" s="57">
        <f t="shared" si="5"/>
        <v>67.900000000000006</v>
      </c>
      <c r="O189" s="7" t="str">
        <f>VLOOKUP(N189,Helper!$B$30:$C$35,2,TRUE)</f>
        <v>C</v>
      </c>
      <c r="P189" s="56">
        <f>INDEX(Detail!$A$1:$A$1001,MATCH(B189,Detail!$G$1:$G$1001,0))</f>
        <v>38423</v>
      </c>
      <c r="Q189" s="33" t="str">
        <f>INDEX(Detail!$F$1:$F$1001,MATCH(Main!B189,Detail!$G$1:$G$1001,0))</f>
        <v>Tomohon</v>
      </c>
      <c r="R189" s="7">
        <f>INDEX(Detail!$C$1:$C$1001,MATCH(B189,Detail!$G$1:$G$1001,0),1)</f>
        <v>159</v>
      </c>
      <c r="S189" s="7">
        <f>INDEX(Detail!$D$1:$D$1001,MATCH(B189,Detail!$G$1:$G$1001,0),1)</f>
        <v>75</v>
      </c>
      <c r="T189" s="7" t="str">
        <f>INDEX(Detail!$E$1:$E$1001,MATCH(Main!B189,Detail!$G$1:$G$1001,0))</f>
        <v>Gg. Moch. Toha No. 61</v>
      </c>
      <c r="U189" s="7" t="str">
        <f>INDEX(Detail!$B$1:$B$1001,MATCH(B189,Detail!$G$1:$G$1001,0),1)</f>
        <v>A+</v>
      </c>
      <c r="V189" s="7" t="str" cm="1">
        <f t="array" ref="V189">INDEX(Dosen!$B$3:$E$8,MATCH(Main!C189,Dosen!$A$3:$A$8,0),IF(AND(Main!A189&gt;=1,Main!A189&lt;=250),1,IF(AND(Main!A189&gt;=251,Main!A189&lt;=500),2,IF(AND(Main!A189&gt;=501,Main!A189&lt;=750),3,4))))</f>
        <v>Pak Krisna</v>
      </c>
      <c r="W189" s="7" t="str">
        <f>_xlfn.XLOOKUP(B189,Detail!$G$1:$G$1001,Detail!$B$1:$B$1001)</f>
        <v>A+</v>
      </c>
    </row>
    <row r="190" spans="1:23" ht="15.75" x14ac:dyDescent="0.25">
      <c r="A190" s="7">
        <v>226</v>
      </c>
      <c r="B190" s="33" t="str">
        <f t="shared" si="6"/>
        <v>B0226</v>
      </c>
      <c r="C190" s="7" t="s">
        <v>1014</v>
      </c>
      <c r="D190" s="33" t="str">
        <f>VLOOKUP(B190,Detail!$G$1:$H$1001,2,FALSE)</f>
        <v>Victoria Mustofa</v>
      </c>
      <c r="E190" s="7">
        <v>65</v>
      </c>
      <c r="F190" s="7">
        <v>65</v>
      </c>
      <c r="G190" s="57">
        <v>50</v>
      </c>
      <c r="H190" s="7">
        <v>71</v>
      </c>
      <c r="I190" s="7">
        <v>70</v>
      </c>
      <c r="J190" s="7">
        <v>62</v>
      </c>
      <c r="K190" s="7">
        <v>63</v>
      </c>
      <c r="L190" s="56">
        <f>IFERROR(VLOOKUP(B190,Absen!$A$1:$C$501,2,FALSE),"No")</f>
        <v>44753</v>
      </c>
      <c r="M190" s="58">
        <f t="shared" si="4"/>
        <v>5.3000000000000007</v>
      </c>
      <c r="N190" s="57">
        <f t="shared" si="5"/>
        <v>61.575000000000003</v>
      </c>
      <c r="O190" s="7" t="str">
        <f>VLOOKUP(N190,Helper!$B$30:$C$35,2,TRUE)</f>
        <v>C</v>
      </c>
      <c r="P190" s="56">
        <f>INDEX(Detail!$A$1:$A$1001,MATCH(B190,Detail!$G$1:$G$1001,0))</f>
        <v>37533</v>
      </c>
      <c r="Q190" s="33" t="str">
        <f>INDEX(Detail!$F$1:$F$1001,MATCH(Main!B190,Detail!$G$1:$G$1001,0))</f>
        <v>Manado</v>
      </c>
      <c r="R190" s="7">
        <f>INDEX(Detail!$C$1:$C$1001,MATCH(B190,Detail!$G$1:$G$1001,0),1)</f>
        <v>170</v>
      </c>
      <c r="S190" s="7">
        <f>INDEX(Detail!$D$1:$D$1001,MATCH(B190,Detail!$G$1:$G$1001,0),1)</f>
        <v>58</v>
      </c>
      <c r="T190" s="7" t="str">
        <f>INDEX(Detail!$E$1:$E$1001,MATCH(Main!B190,Detail!$G$1:$G$1001,0))</f>
        <v>Jalan Indragiri No. 33</v>
      </c>
      <c r="U190" s="7" t="str">
        <f>INDEX(Detail!$B$1:$B$1001,MATCH(B190,Detail!$G$1:$G$1001,0),1)</f>
        <v>A-</v>
      </c>
      <c r="V190" s="7" t="str" cm="1">
        <f t="array" ref="V190">INDEX(Dosen!$B$3:$E$8,MATCH(Main!C190,Dosen!$A$3:$A$8,0),IF(AND(Main!A190&gt;=1,Main!A190&lt;=250),1,IF(AND(Main!A190&gt;=251,Main!A190&lt;=500),2,IF(AND(Main!A190&gt;=501,Main!A190&lt;=750),3,4))))</f>
        <v>Pak Krisna</v>
      </c>
      <c r="W190" s="7" t="str">
        <f>_xlfn.XLOOKUP(B190,Detail!$G$1:$G$1001,Detail!$B$1:$B$1001)</f>
        <v>A-</v>
      </c>
    </row>
    <row r="191" spans="1:23" ht="15.75" x14ac:dyDescent="0.25">
      <c r="A191" s="7">
        <v>229</v>
      </c>
      <c r="B191" s="33" t="str">
        <f t="shared" si="6"/>
        <v>B0229</v>
      </c>
      <c r="C191" s="7" t="s">
        <v>1014</v>
      </c>
      <c r="D191" s="33" t="str">
        <f>VLOOKUP(B191,Detail!$G$1:$H$1001,2,FALSE)</f>
        <v>Putri Simanjuntak</v>
      </c>
      <c r="E191" s="7">
        <v>54</v>
      </c>
      <c r="F191" s="7">
        <v>46</v>
      </c>
      <c r="G191" s="57">
        <v>50</v>
      </c>
      <c r="H191" s="7">
        <v>70</v>
      </c>
      <c r="I191" s="7">
        <v>51</v>
      </c>
      <c r="J191" s="7">
        <v>96</v>
      </c>
      <c r="K191" s="7">
        <v>88</v>
      </c>
      <c r="L191" s="56">
        <f>IFERROR(VLOOKUP(B191,Absen!$A$1:$C$501,2,FALSE),"No")</f>
        <v>44911</v>
      </c>
      <c r="M191" s="58">
        <f t="shared" si="4"/>
        <v>7.8000000000000007</v>
      </c>
      <c r="N191" s="57">
        <f t="shared" si="5"/>
        <v>64.625</v>
      </c>
      <c r="O191" s="7" t="str">
        <f>VLOOKUP(N191,Helper!$B$30:$C$35,2,TRUE)</f>
        <v>C</v>
      </c>
      <c r="P191" s="56">
        <f>INDEX(Detail!$A$1:$A$1001,MATCH(B191,Detail!$G$1:$G$1001,0))</f>
        <v>37248</v>
      </c>
      <c r="Q191" s="33" t="str">
        <f>INDEX(Detail!$F$1:$F$1001,MATCH(Main!B191,Detail!$G$1:$G$1001,0))</f>
        <v>Banjar</v>
      </c>
      <c r="R191" s="7">
        <f>INDEX(Detail!$C$1:$C$1001,MATCH(B191,Detail!$G$1:$G$1001,0),1)</f>
        <v>179</v>
      </c>
      <c r="S191" s="7">
        <f>INDEX(Detail!$D$1:$D$1001,MATCH(B191,Detail!$G$1:$G$1001,0),1)</f>
        <v>78</v>
      </c>
      <c r="T191" s="7" t="str">
        <f>INDEX(Detail!$E$1:$E$1001,MATCH(Main!B191,Detail!$G$1:$G$1001,0))</f>
        <v>Gang Rajawali Timur No. 81</v>
      </c>
      <c r="U191" s="7" t="str">
        <f>INDEX(Detail!$B$1:$B$1001,MATCH(B191,Detail!$G$1:$G$1001,0),1)</f>
        <v>AB+</v>
      </c>
      <c r="V191" s="7" t="str" cm="1">
        <f t="array" ref="V191">INDEX(Dosen!$B$3:$E$8,MATCH(Main!C191,Dosen!$A$3:$A$8,0),IF(AND(Main!A191&gt;=1,Main!A191&lt;=250),1,IF(AND(Main!A191&gt;=251,Main!A191&lt;=500),2,IF(AND(Main!A191&gt;=501,Main!A191&lt;=750),3,4))))</f>
        <v>Pak Krisna</v>
      </c>
      <c r="W191" s="7" t="str">
        <f>_xlfn.XLOOKUP(B191,Detail!$G$1:$G$1001,Detail!$B$1:$B$1001)</f>
        <v>AB+</v>
      </c>
    </row>
    <row r="192" spans="1:23" ht="15.75" x14ac:dyDescent="0.25">
      <c r="A192" s="7">
        <v>231</v>
      </c>
      <c r="B192" s="33" t="str">
        <f t="shared" si="6"/>
        <v>B0231</v>
      </c>
      <c r="C192" s="7" t="s">
        <v>1014</v>
      </c>
      <c r="D192" s="33" t="str">
        <f>VLOOKUP(B192,Detail!$G$1:$H$1001,2,FALSE)</f>
        <v>Ibrani Purnawati</v>
      </c>
      <c r="E192" s="7">
        <v>51</v>
      </c>
      <c r="F192" s="7">
        <v>68</v>
      </c>
      <c r="G192" s="57">
        <v>95</v>
      </c>
      <c r="H192" s="7">
        <v>74</v>
      </c>
      <c r="I192" s="7">
        <v>91</v>
      </c>
      <c r="J192" s="7">
        <v>55</v>
      </c>
      <c r="K192" s="7">
        <v>61</v>
      </c>
      <c r="L192" s="56">
        <f>IFERROR(VLOOKUP(B192,Absen!$A$1:$C$501,2,FALSE),"No")</f>
        <v>44792</v>
      </c>
      <c r="M192" s="58">
        <f t="shared" si="4"/>
        <v>5.1000000000000005</v>
      </c>
      <c r="N192" s="57">
        <f t="shared" si="5"/>
        <v>70.599999999999994</v>
      </c>
      <c r="O192" s="7" t="str">
        <f>VLOOKUP(N192,Helper!$B$30:$C$35,2,TRUE)</f>
        <v>B</v>
      </c>
      <c r="P192" s="56">
        <f>INDEX(Detail!$A$1:$A$1001,MATCH(B192,Detail!$G$1:$G$1001,0))</f>
        <v>37858</v>
      </c>
      <c r="Q192" s="33" t="str">
        <f>INDEX(Detail!$F$1:$F$1001,MATCH(Main!B192,Detail!$G$1:$G$1001,0))</f>
        <v>Tomohon</v>
      </c>
      <c r="R192" s="7">
        <f>INDEX(Detail!$C$1:$C$1001,MATCH(B192,Detail!$G$1:$G$1001,0),1)</f>
        <v>180</v>
      </c>
      <c r="S192" s="7">
        <f>INDEX(Detail!$D$1:$D$1001,MATCH(B192,Detail!$G$1:$G$1001,0),1)</f>
        <v>84</v>
      </c>
      <c r="T192" s="7" t="str">
        <f>INDEX(Detail!$E$1:$E$1001,MATCH(Main!B192,Detail!$G$1:$G$1001,0))</f>
        <v xml:space="preserve">Jalan Surapati No. 2
</v>
      </c>
      <c r="U192" s="7" t="str">
        <f>INDEX(Detail!$B$1:$B$1001,MATCH(B192,Detail!$G$1:$G$1001,0),1)</f>
        <v>A+</v>
      </c>
      <c r="V192" s="7" t="str" cm="1">
        <f t="array" ref="V192">INDEX(Dosen!$B$3:$E$8,MATCH(Main!C192,Dosen!$A$3:$A$8,0),IF(AND(Main!A192&gt;=1,Main!A192&lt;=250),1,IF(AND(Main!A192&gt;=251,Main!A192&lt;=500),2,IF(AND(Main!A192&gt;=501,Main!A192&lt;=750),3,4))))</f>
        <v>Pak Krisna</v>
      </c>
      <c r="W192" s="7" t="str">
        <f>_xlfn.XLOOKUP(B192,Detail!$G$1:$G$1001,Detail!$B$1:$B$1001)</f>
        <v>A+</v>
      </c>
    </row>
    <row r="193" spans="1:23" ht="15.75" x14ac:dyDescent="0.25">
      <c r="A193" s="7">
        <v>233</v>
      </c>
      <c r="B193" s="33" t="str">
        <f t="shared" ref="B193:B224" si="7">CONCATENATE("B",TEXT(A193,"0000"))</f>
        <v>B0233</v>
      </c>
      <c r="C193" s="7" t="s">
        <v>1014</v>
      </c>
      <c r="D193" s="33" t="str">
        <f>VLOOKUP(B193,Detail!$G$1:$H$1001,2,FALSE)</f>
        <v>Bakda Kusmawati</v>
      </c>
      <c r="E193" s="7">
        <v>83</v>
      </c>
      <c r="F193" s="7">
        <v>61</v>
      </c>
      <c r="G193" s="57">
        <v>33</v>
      </c>
      <c r="H193" s="7">
        <v>51</v>
      </c>
      <c r="I193" s="7">
        <v>83</v>
      </c>
      <c r="J193" s="7">
        <v>58</v>
      </c>
      <c r="K193" s="7">
        <v>60</v>
      </c>
      <c r="L193" s="56">
        <f>IFERROR(VLOOKUP(B193,Absen!$A$1:$C$501,2,FALSE),"No")</f>
        <v>44849</v>
      </c>
      <c r="M193" s="58">
        <f t="shared" si="4"/>
        <v>5</v>
      </c>
      <c r="N193" s="57">
        <f t="shared" si="5"/>
        <v>57.95</v>
      </c>
      <c r="O193" s="7" t="str">
        <f>VLOOKUP(N193,Helper!$B$30:$C$35,2,TRUE)</f>
        <v>D</v>
      </c>
      <c r="P193" s="56">
        <f>INDEX(Detail!$A$1:$A$1001,MATCH(B193,Detail!$G$1:$G$1001,0))</f>
        <v>38441</v>
      </c>
      <c r="Q193" s="33" t="str">
        <f>INDEX(Detail!$F$1:$F$1001,MATCH(Main!B193,Detail!$G$1:$G$1001,0))</f>
        <v>Tual</v>
      </c>
      <c r="R193" s="7">
        <f>INDEX(Detail!$C$1:$C$1001,MATCH(B193,Detail!$G$1:$G$1001,0),1)</f>
        <v>169</v>
      </c>
      <c r="S193" s="7">
        <f>INDEX(Detail!$D$1:$D$1001,MATCH(B193,Detail!$G$1:$G$1001,0),1)</f>
        <v>71</v>
      </c>
      <c r="T193" s="7" t="str">
        <f>INDEX(Detail!$E$1:$E$1001,MATCH(Main!B193,Detail!$G$1:$G$1001,0))</f>
        <v xml:space="preserve">Gang Pacuan Kuda No. 7
</v>
      </c>
      <c r="U193" s="7" t="str">
        <f>INDEX(Detail!$B$1:$B$1001,MATCH(B193,Detail!$G$1:$G$1001,0),1)</f>
        <v>O+</v>
      </c>
      <c r="V193" s="7" t="str" cm="1">
        <f t="array" ref="V193">INDEX(Dosen!$B$3:$E$8,MATCH(Main!C193,Dosen!$A$3:$A$8,0),IF(AND(Main!A193&gt;=1,Main!A193&lt;=250),1,IF(AND(Main!A193&gt;=251,Main!A193&lt;=500),2,IF(AND(Main!A193&gt;=501,Main!A193&lt;=750),3,4))))</f>
        <v>Pak Krisna</v>
      </c>
      <c r="W193" s="7" t="str">
        <f>_xlfn.XLOOKUP(B193,Detail!$G$1:$G$1001,Detail!$B$1:$B$1001)</f>
        <v>O+</v>
      </c>
    </row>
    <row r="194" spans="1:23" ht="15.75" x14ac:dyDescent="0.25">
      <c r="A194" s="7">
        <v>245</v>
      </c>
      <c r="B194" s="33" t="str">
        <f t="shared" si="7"/>
        <v>B0245</v>
      </c>
      <c r="C194" s="7" t="s">
        <v>1014</v>
      </c>
      <c r="D194" s="33" t="str">
        <f>VLOOKUP(B194,Detail!$G$1:$H$1001,2,FALSE)</f>
        <v>Bajragin Halimah</v>
      </c>
      <c r="E194" s="7">
        <v>69</v>
      </c>
      <c r="F194" s="7">
        <v>46</v>
      </c>
      <c r="G194" s="57">
        <v>70</v>
      </c>
      <c r="H194" s="7">
        <v>70</v>
      </c>
      <c r="I194" s="7">
        <v>63</v>
      </c>
      <c r="J194" s="7">
        <v>85</v>
      </c>
      <c r="K194" s="7">
        <v>92</v>
      </c>
      <c r="L194" s="56" t="str">
        <f>IFERROR(VLOOKUP(B194,Absen!$A$1:$C$501,2,FALSE),"No")</f>
        <v>No</v>
      </c>
      <c r="M194" s="58">
        <f t="shared" ref="M194:M257" si="8">IF(L194="no",K194,K194-10)*10%</f>
        <v>9.2000000000000011</v>
      </c>
      <c r="N194" s="57">
        <f t="shared" ref="N194:N257" si="9">SUM(E194*12.5%,F194*12.5%,H194*12.5%,I194*12.5%,G194*20%,J194*20%,M194)</f>
        <v>71.2</v>
      </c>
      <c r="O194" s="7" t="str">
        <f>VLOOKUP(N194,Helper!$B$30:$C$35,2,TRUE)</f>
        <v>B</v>
      </c>
      <c r="P194" s="56">
        <f>INDEX(Detail!$A$1:$A$1001,MATCH(B194,Detail!$G$1:$G$1001,0))</f>
        <v>37738</v>
      </c>
      <c r="Q194" s="33" t="str">
        <f>INDEX(Detail!$F$1:$F$1001,MATCH(Main!B194,Detail!$G$1:$G$1001,0))</f>
        <v>Jayapura</v>
      </c>
      <c r="R194" s="7">
        <f>INDEX(Detail!$C$1:$C$1001,MATCH(B194,Detail!$G$1:$G$1001,0),1)</f>
        <v>155</v>
      </c>
      <c r="S194" s="7">
        <f>INDEX(Detail!$D$1:$D$1001,MATCH(B194,Detail!$G$1:$G$1001,0),1)</f>
        <v>45</v>
      </c>
      <c r="T194" s="7" t="str">
        <f>INDEX(Detail!$E$1:$E$1001,MATCH(Main!B194,Detail!$G$1:$G$1001,0))</f>
        <v>Gg. Jend. A. Yani No. 47</v>
      </c>
      <c r="U194" s="7" t="str">
        <f>INDEX(Detail!$B$1:$B$1001,MATCH(B194,Detail!$G$1:$G$1001,0),1)</f>
        <v>O+</v>
      </c>
      <c r="V194" s="7" t="str" cm="1">
        <f t="array" ref="V194">INDEX(Dosen!$B$3:$E$8,MATCH(Main!C194,Dosen!$A$3:$A$8,0),IF(AND(Main!A194&gt;=1,Main!A194&lt;=250),1,IF(AND(Main!A194&gt;=251,Main!A194&lt;=500),2,IF(AND(Main!A194&gt;=501,Main!A194&lt;=750),3,4))))</f>
        <v>Pak Krisna</v>
      </c>
      <c r="W194" s="7" t="str">
        <f>_xlfn.XLOOKUP(B194,Detail!$G$1:$G$1001,Detail!$B$1:$B$1001)</f>
        <v>O+</v>
      </c>
    </row>
    <row r="195" spans="1:23" ht="15.75" x14ac:dyDescent="0.25">
      <c r="A195" s="7">
        <v>252</v>
      </c>
      <c r="B195" s="33" t="str">
        <f t="shared" si="7"/>
        <v>B0252</v>
      </c>
      <c r="C195" s="7" t="s">
        <v>1014</v>
      </c>
      <c r="D195" s="33" t="str">
        <f>VLOOKUP(B195,Detail!$G$1:$H$1001,2,FALSE)</f>
        <v>Martaka Pudjiastuti</v>
      </c>
      <c r="E195" s="7">
        <v>63</v>
      </c>
      <c r="F195" s="7">
        <v>73</v>
      </c>
      <c r="G195" s="57">
        <v>79</v>
      </c>
      <c r="H195" s="7">
        <v>56</v>
      </c>
      <c r="I195" s="7">
        <v>78</v>
      </c>
      <c r="J195" s="7">
        <v>95</v>
      </c>
      <c r="K195" s="7">
        <v>76</v>
      </c>
      <c r="L195" s="56" t="str">
        <f>IFERROR(VLOOKUP(B195,Absen!$A$1:$C$501,2,FALSE),"No")</f>
        <v>No</v>
      </c>
      <c r="M195" s="58">
        <f t="shared" si="8"/>
        <v>7.6000000000000005</v>
      </c>
      <c r="N195" s="57">
        <f t="shared" si="9"/>
        <v>76.149999999999991</v>
      </c>
      <c r="O195" s="7" t="str">
        <f>VLOOKUP(N195,Helper!$B$30:$C$35,2,TRUE)</f>
        <v>B</v>
      </c>
      <c r="P195" s="56">
        <f>INDEX(Detail!$A$1:$A$1001,MATCH(B195,Detail!$G$1:$G$1001,0))</f>
        <v>37751</v>
      </c>
      <c r="Q195" s="33" t="str">
        <f>INDEX(Detail!$F$1:$F$1001,MATCH(Main!B195,Detail!$G$1:$G$1001,0))</f>
        <v>Gorontalo</v>
      </c>
      <c r="R195" s="7">
        <f>INDEX(Detail!$C$1:$C$1001,MATCH(B195,Detail!$G$1:$G$1001,0),1)</f>
        <v>178</v>
      </c>
      <c r="S195" s="7">
        <f>INDEX(Detail!$D$1:$D$1001,MATCH(B195,Detail!$G$1:$G$1001,0),1)</f>
        <v>86</v>
      </c>
      <c r="T195" s="7" t="str">
        <f>INDEX(Detail!$E$1:$E$1001,MATCH(Main!B195,Detail!$G$1:$G$1001,0))</f>
        <v>Gang Ahmad Yani No. 42</v>
      </c>
      <c r="U195" s="7" t="str">
        <f>INDEX(Detail!$B$1:$B$1001,MATCH(B195,Detail!$G$1:$G$1001,0),1)</f>
        <v>B-</v>
      </c>
      <c r="V195" s="7" t="str" cm="1">
        <f t="array" ref="V195">INDEX(Dosen!$B$3:$E$8,MATCH(Main!C195,Dosen!$A$3:$A$8,0),IF(AND(Main!A195&gt;=1,Main!A195&lt;=250),1,IF(AND(Main!A195&gt;=251,Main!A195&lt;=500),2,IF(AND(Main!A195&gt;=501,Main!A195&lt;=750),3,4))))</f>
        <v>Bu Ratna</v>
      </c>
      <c r="W195" s="7" t="str">
        <f>_xlfn.XLOOKUP(B195,Detail!$G$1:$G$1001,Detail!$B$1:$B$1001)</f>
        <v>B-</v>
      </c>
    </row>
    <row r="196" spans="1:23" ht="15.75" x14ac:dyDescent="0.25">
      <c r="A196" s="7">
        <v>268</v>
      </c>
      <c r="B196" s="33" t="str">
        <f t="shared" si="7"/>
        <v>B0268</v>
      </c>
      <c r="C196" s="7" t="s">
        <v>1014</v>
      </c>
      <c r="D196" s="33" t="str">
        <f>VLOOKUP(B196,Detail!$G$1:$H$1001,2,FALSE)</f>
        <v>Mursita Puspasari</v>
      </c>
      <c r="E196" s="7">
        <v>70</v>
      </c>
      <c r="F196" s="7">
        <v>47</v>
      </c>
      <c r="G196" s="57">
        <v>51</v>
      </c>
      <c r="H196" s="7">
        <v>50</v>
      </c>
      <c r="I196" s="7">
        <v>79</v>
      </c>
      <c r="J196" s="7">
        <v>99</v>
      </c>
      <c r="K196" s="7">
        <v>94</v>
      </c>
      <c r="L196" s="56">
        <f>IFERROR(VLOOKUP(B196,Absen!$A$1:$C$501,2,FALSE),"No")</f>
        <v>44909</v>
      </c>
      <c r="M196" s="58">
        <f t="shared" si="8"/>
        <v>8.4</v>
      </c>
      <c r="N196" s="57">
        <f t="shared" si="9"/>
        <v>69.150000000000006</v>
      </c>
      <c r="O196" s="7" t="str">
        <f>VLOOKUP(N196,Helper!$B$30:$C$35,2,TRUE)</f>
        <v>C</v>
      </c>
      <c r="P196" s="56">
        <f>INDEX(Detail!$A$1:$A$1001,MATCH(B196,Detail!$G$1:$G$1001,0))</f>
        <v>38273</v>
      </c>
      <c r="Q196" s="33" t="str">
        <f>INDEX(Detail!$F$1:$F$1001,MATCH(Main!B196,Detail!$G$1:$G$1001,0))</f>
        <v>Palu</v>
      </c>
      <c r="R196" s="7">
        <f>INDEX(Detail!$C$1:$C$1001,MATCH(B196,Detail!$G$1:$G$1001,0),1)</f>
        <v>180</v>
      </c>
      <c r="S196" s="7">
        <f>INDEX(Detail!$D$1:$D$1001,MATCH(B196,Detail!$G$1:$G$1001,0),1)</f>
        <v>84</v>
      </c>
      <c r="T196" s="7" t="str">
        <f>INDEX(Detail!$E$1:$E$1001,MATCH(Main!B196,Detail!$G$1:$G$1001,0))</f>
        <v>Jalan Wonoayu No. 77</v>
      </c>
      <c r="U196" s="7" t="str">
        <f>INDEX(Detail!$B$1:$B$1001,MATCH(B196,Detail!$G$1:$G$1001,0),1)</f>
        <v>B+</v>
      </c>
      <c r="V196" s="7" t="str" cm="1">
        <f t="array" ref="V196">INDEX(Dosen!$B$3:$E$8,MATCH(Main!C196,Dosen!$A$3:$A$8,0),IF(AND(Main!A196&gt;=1,Main!A196&lt;=250),1,IF(AND(Main!A196&gt;=251,Main!A196&lt;=500),2,IF(AND(Main!A196&gt;=501,Main!A196&lt;=750),3,4))))</f>
        <v>Bu Ratna</v>
      </c>
      <c r="W196" s="7" t="str">
        <f>_xlfn.XLOOKUP(B196,Detail!$G$1:$G$1001,Detail!$B$1:$B$1001)</f>
        <v>B+</v>
      </c>
    </row>
    <row r="197" spans="1:23" ht="15.75" x14ac:dyDescent="0.25">
      <c r="A197" s="7">
        <v>269</v>
      </c>
      <c r="B197" s="33" t="str">
        <f t="shared" si="7"/>
        <v>B0269</v>
      </c>
      <c r="C197" s="7" t="s">
        <v>1014</v>
      </c>
      <c r="D197" s="33" t="str">
        <f>VLOOKUP(B197,Detail!$G$1:$H$1001,2,FALSE)</f>
        <v>Cindy Anggriawan</v>
      </c>
      <c r="E197" s="7">
        <v>59</v>
      </c>
      <c r="F197" s="7">
        <v>71</v>
      </c>
      <c r="G197" s="57">
        <v>87</v>
      </c>
      <c r="H197" s="7">
        <v>60</v>
      </c>
      <c r="I197" s="7">
        <v>68</v>
      </c>
      <c r="J197" s="7">
        <v>45</v>
      </c>
      <c r="K197" s="7">
        <v>69</v>
      </c>
      <c r="L197" s="56" t="str">
        <f>IFERROR(VLOOKUP(B197,Absen!$A$1:$C$501,2,FALSE),"No")</f>
        <v>No</v>
      </c>
      <c r="M197" s="58">
        <f t="shared" si="8"/>
        <v>6.9</v>
      </c>
      <c r="N197" s="57">
        <f t="shared" si="9"/>
        <v>65.550000000000011</v>
      </c>
      <c r="O197" s="7" t="str">
        <f>VLOOKUP(N197,Helper!$B$30:$C$35,2,TRUE)</f>
        <v>C</v>
      </c>
      <c r="P197" s="56">
        <f>INDEX(Detail!$A$1:$A$1001,MATCH(B197,Detail!$G$1:$G$1001,0))</f>
        <v>37012</v>
      </c>
      <c r="Q197" s="33" t="str">
        <f>INDEX(Detail!$F$1:$F$1001,MATCH(Main!B197,Detail!$G$1:$G$1001,0))</f>
        <v>Medan</v>
      </c>
      <c r="R197" s="7">
        <f>INDEX(Detail!$C$1:$C$1001,MATCH(B197,Detail!$G$1:$G$1001,0),1)</f>
        <v>177</v>
      </c>
      <c r="S197" s="7">
        <f>INDEX(Detail!$D$1:$D$1001,MATCH(B197,Detail!$G$1:$G$1001,0),1)</f>
        <v>87</v>
      </c>
      <c r="T197" s="7" t="str">
        <f>INDEX(Detail!$E$1:$E$1001,MATCH(Main!B197,Detail!$G$1:$G$1001,0))</f>
        <v xml:space="preserve">Jl. Jakarta No. 3
</v>
      </c>
      <c r="U197" s="7" t="str">
        <f>INDEX(Detail!$B$1:$B$1001,MATCH(B197,Detail!$G$1:$G$1001,0),1)</f>
        <v>O+</v>
      </c>
      <c r="V197" s="7" t="str" cm="1">
        <f t="array" ref="V197">INDEX(Dosen!$B$3:$E$8,MATCH(Main!C197,Dosen!$A$3:$A$8,0),IF(AND(Main!A197&gt;=1,Main!A197&lt;=250),1,IF(AND(Main!A197&gt;=251,Main!A197&lt;=500),2,IF(AND(Main!A197&gt;=501,Main!A197&lt;=750),3,4))))</f>
        <v>Bu Ratna</v>
      </c>
      <c r="W197" s="7" t="str">
        <f>_xlfn.XLOOKUP(B197,Detail!$G$1:$G$1001,Detail!$B$1:$B$1001)</f>
        <v>O+</v>
      </c>
    </row>
    <row r="198" spans="1:23" ht="15.75" x14ac:dyDescent="0.25">
      <c r="A198" s="7">
        <v>280</v>
      </c>
      <c r="B198" s="33" t="str">
        <f t="shared" si="7"/>
        <v>B0280</v>
      </c>
      <c r="C198" s="7" t="s">
        <v>1014</v>
      </c>
      <c r="D198" s="33" t="str">
        <f>VLOOKUP(B198,Detail!$G$1:$H$1001,2,FALSE)</f>
        <v>Jayadi Tampubolon</v>
      </c>
      <c r="E198" s="7">
        <v>62</v>
      </c>
      <c r="F198" s="7">
        <v>46</v>
      </c>
      <c r="G198" s="57">
        <v>73</v>
      </c>
      <c r="H198" s="7">
        <v>67</v>
      </c>
      <c r="I198" s="7">
        <v>94</v>
      </c>
      <c r="J198" s="7">
        <v>75</v>
      </c>
      <c r="K198" s="7">
        <v>91</v>
      </c>
      <c r="L198" s="56" t="str">
        <f>IFERROR(VLOOKUP(B198,Absen!$A$1:$C$501,2,FALSE),"No")</f>
        <v>No</v>
      </c>
      <c r="M198" s="58">
        <f t="shared" si="8"/>
        <v>9.1</v>
      </c>
      <c r="N198" s="57">
        <f t="shared" si="9"/>
        <v>72.325000000000003</v>
      </c>
      <c r="O198" s="7" t="str">
        <f>VLOOKUP(N198,Helper!$B$30:$C$35,2,TRUE)</f>
        <v>B</v>
      </c>
      <c r="P198" s="56">
        <f>INDEX(Detail!$A$1:$A$1001,MATCH(B198,Detail!$G$1:$G$1001,0))</f>
        <v>37243</v>
      </c>
      <c r="Q198" s="33" t="str">
        <f>INDEX(Detail!$F$1:$F$1001,MATCH(Main!B198,Detail!$G$1:$G$1001,0))</f>
        <v>Singkawang</v>
      </c>
      <c r="R198" s="7">
        <f>INDEX(Detail!$C$1:$C$1001,MATCH(B198,Detail!$G$1:$G$1001,0),1)</f>
        <v>180</v>
      </c>
      <c r="S198" s="7">
        <f>INDEX(Detail!$D$1:$D$1001,MATCH(B198,Detail!$G$1:$G$1001,0),1)</f>
        <v>67</v>
      </c>
      <c r="T198" s="7" t="str">
        <f>INDEX(Detail!$E$1:$E$1001,MATCH(Main!B198,Detail!$G$1:$G$1001,0))</f>
        <v>Jl. Ronggowarsito No. 02</v>
      </c>
      <c r="U198" s="7" t="str">
        <f>INDEX(Detail!$B$1:$B$1001,MATCH(B198,Detail!$G$1:$G$1001,0),1)</f>
        <v>AB+</v>
      </c>
      <c r="V198" s="7" t="str" cm="1">
        <f t="array" ref="V198">INDEX(Dosen!$B$3:$E$8,MATCH(Main!C198,Dosen!$A$3:$A$8,0),IF(AND(Main!A198&gt;=1,Main!A198&lt;=250),1,IF(AND(Main!A198&gt;=251,Main!A198&lt;=500),2,IF(AND(Main!A198&gt;=501,Main!A198&lt;=750),3,4))))</f>
        <v>Bu Ratna</v>
      </c>
      <c r="W198" s="7" t="str">
        <f>_xlfn.XLOOKUP(B198,Detail!$G$1:$G$1001,Detail!$B$1:$B$1001)</f>
        <v>AB+</v>
      </c>
    </row>
    <row r="199" spans="1:23" ht="15.75" x14ac:dyDescent="0.25">
      <c r="A199" s="7">
        <v>295</v>
      </c>
      <c r="B199" s="33" t="str">
        <f t="shared" si="7"/>
        <v>B0295</v>
      </c>
      <c r="C199" s="7" t="s">
        <v>1014</v>
      </c>
      <c r="D199" s="33" t="str">
        <f>VLOOKUP(B199,Detail!$G$1:$H$1001,2,FALSE)</f>
        <v>Mariadi Wulandari</v>
      </c>
      <c r="E199" s="7">
        <v>50</v>
      </c>
      <c r="F199" s="7">
        <v>59</v>
      </c>
      <c r="G199" s="57">
        <v>35</v>
      </c>
      <c r="H199" s="7">
        <v>59</v>
      </c>
      <c r="I199" s="7">
        <v>56</v>
      </c>
      <c r="J199" s="7">
        <v>66</v>
      </c>
      <c r="K199" s="7">
        <v>100</v>
      </c>
      <c r="L199" s="56" t="str">
        <f>IFERROR(VLOOKUP(B199,Absen!$A$1:$C$501,2,FALSE),"No")</f>
        <v>No</v>
      </c>
      <c r="M199" s="58">
        <f t="shared" si="8"/>
        <v>10</v>
      </c>
      <c r="N199" s="57">
        <f t="shared" si="9"/>
        <v>58.2</v>
      </c>
      <c r="O199" s="7" t="str">
        <f>VLOOKUP(N199,Helper!$B$30:$C$35,2,TRUE)</f>
        <v>D</v>
      </c>
      <c r="P199" s="56">
        <f>INDEX(Detail!$A$1:$A$1001,MATCH(B199,Detail!$G$1:$G$1001,0))</f>
        <v>37779</v>
      </c>
      <c r="Q199" s="33" t="str">
        <f>INDEX(Detail!$F$1:$F$1001,MATCH(Main!B199,Detail!$G$1:$G$1001,0))</f>
        <v>Tangerang</v>
      </c>
      <c r="R199" s="7">
        <f>INDEX(Detail!$C$1:$C$1001,MATCH(B199,Detail!$G$1:$G$1001,0),1)</f>
        <v>151</v>
      </c>
      <c r="S199" s="7">
        <f>INDEX(Detail!$D$1:$D$1001,MATCH(B199,Detail!$G$1:$G$1001,0),1)</f>
        <v>88</v>
      </c>
      <c r="T199" s="7" t="str">
        <f>INDEX(Detail!$E$1:$E$1001,MATCH(Main!B199,Detail!$G$1:$G$1001,0))</f>
        <v>Jalan Bangka Raya No. 33</v>
      </c>
      <c r="U199" s="7" t="str">
        <f>INDEX(Detail!$B$1:$B$1001,MATCH(B199,Detail!$G$1:$G$1001,0),1)</f>
        <v>B-</v>
      </c>
      <c r="V199" s="7" t="str" cm="1">
        <f t="array" ref="V199">INDEX(Dosen!$B$3:$E$8,MATCH(Main!C199,Dosen!$A$3:$A$8,0),IF(AND(Main!A199&gt;=1,Main!A199&lt;=250),1,IF(AND(Main!A199&gt;=251,Main!A199&lt;=500),2,IF(AND(Main!A199&gt;=501,Main!A199&lt;=750),3,4))))</f>
        <v>Bu Ratna</v>
      </c>
      <c r="W199" s="7" t="str">
        <f>_xlfn.XLOOKUP(B199,Detail!$G$1:$G$1001,Detail!$B$1:$B$1001)</f>
        <v>B-</v>
      </c>
    </row>
    <row r="200" spans="1:23" ht="15.75" x14ac:dyDescent="0.25">
      <c r="A200" s="7">
        <v>311</v>
      </c>
      <c r="B200" s="33" t="str">
        <f t="shared" si="7"/>
        <v>B0311</v>
      </c>
      <c r="C200" s="7" t="s">
        <v>1014</v>
      </c>
      <c r="D200" s="33" t="str">
        <f>VLOOKUP(B200,Detail!$G$1:$H$1001,2,FALSE)</f>
        <v>Irnanto Fujiati</v>
      </c>
      <c r="E200" s="7">
        <v>52</v>
      </c>
      <c r="F200" s="7">
        <v>74</v>
      </c>
      <c r="G200" s="57">
        <v>72</v>
      </c>
      <c r="H200" s="7">
        <v>61</v>
      </c>
      <c r="I200" s="7">
        <v>50</v>
      </c>
      <c r="J200" s="7">
        <v>89</v>
      </c>
      <c r="K200" s="7">
        <v>85</v>
      </c>
      <c r="L200" s="56" t="str">
        <f>IFERROR(VLOOKUP(B200,Absen!$A$1:$C$501,2,FALSE),"No")</f>
        <v>No</v>
      </c>
      <c r="M200" s="58">
        <f t="shared" si="8"/>
        <v>8.5</v>
      </c>
      <c r="N200" s="57">
        <f t="shared" si="9"/>
        <v>70.325000000000003</v>
      </c>
      <c r="O200" s="7" t="str">
        <f>VLOOKUP(N200,Helper!$B$30:$C$35,2,TRUE)</f>
        <v>B</v>
      </c>
      <c r="P200" s="56">
        <f>INDEX(Detail!$A$1:$A$1001,MATCH(B200,Detail!$G$1:$G$1001,0))</f>
        <v>37845</v>
      </c>
      <c r="Q200" s="33" t="str">
        <f>INDEX(Detail!$F$1:$F$1001,MATCH(Main!B200,Detail!$G$1:$G$1001,0))</f>
        <v>Pariaman</v>
      </c>
      <c r="R200" s="7">
        <f>INDEX(Detail!$C$1:$C$1001,MATCH(B200,Detail!$G$1:$G$1001,0),1)</f>
        <v>180</v>
      </c>
      <c r="S200" s="7">
        <f>INDEX(Detail!$D$1:$D$1001,MATCH(B200,Detail!$G$1:$G$1001,0),1)</f>
        <v>47</v>
      </c>
      <c r="T200" s="7" t="str">
        <f>INDEX(Detail!$E$1:$E$1001,MATCH(Main!B200,Detail!$G$1:$G$1001,0))</f>
        <v>Jalan Ciwastra No. 53</v>
      </c>
      <c r="U200" s="7" t="str">
        <f>INDEX(Detail!$B$1:$B$1001,MATCH(B200,Detail!$G$1:$G$1001,0),1)</f>
        <v>B-</v>
      </c>
      <c r="V200" s="7" t="str" cm="1">
        <f t="array" ref="V200">INDEX(Dosen!$B$3:$E$8,MATCH(Main!C200,Dosen!$A$3:$A$8,0),IF(AND(Main!A200&gt;=1,Main!A200&lt;=250),1,IF(AND(Main!A200&gt;=251,Main!A200&lt;=500),2,IF(AND(Main!A200&gt;=501,Main!A200&lt;=750),3,4))))</f>
        <v>Bu Ratna</v>
      </c>
      <c r="W200" s="7" t="str">
        <f>_xlfn.XLOOKUP(B200,Detail!$G$1:$G$1001,Detail!$B$1:$B$1001)</f>
        <v>B-</v>
      </c>
    </row>
    <row r="201" spans="1:23" ht="15.75" x14ac:dyDescent="0.25">
      <c r="A201" s="7">
        <v>331</v>
      </c>
      <c r="B201" s="33" t="str">
        <f t="shared" si="7"/>
        <v>B0331</v>
      </c>
      <c r="C201" s="7" t="s">
        <v>1014</v>
      </c>
      <c r="D201" s="33" t="str">
        <f>VLOOKUP(B201,Detail!$G$1:$H$1001,2,FALSE)</f>
        <v>Yoga Hakim</v>
      </c>
      <c r="E201" s="7">
        <v>89</v>
      </c>
      <c r="F201" s="7">
        <v>73</v>
      </c>
      <c r="G201" s="57">
        <v>32</v>
      </c>
      <c r="H201" s="7">
        <v>75</v>
      </c>
      <c r="I201" s="7">
        <v>89</v>
      </c>
      <c r="J201" s="7">
        <v>100</v>
      </c>
      <c r="K201" s="7">
        <v>93</v>
      </c>
      <c r="L201" s="56" t="str">
        <f>IFERROR(VLOOKUP(B201,Absen!$A$1:$C$501,2,FALSE),"No")</f>
        <v>No</v>
      </c>
      <c r="M201" s="58">
        <f t="shared" si="8"/>
        <v>9.3000000000000007</v>
      </c>
      <c r="N201" s="57">
        <f t="shared" si="9"/>
        <v>76.45</v>
      </c>
      <c r="O201" s="7" t="str">
        <f>VLOOKUP(N201,Helper!$B$30:$C$35,2,TRUE)</f>
        <v>B</v>
      </c>
      <c r="P201" s="56">
        <f>INDEX(Detail!$A$1:$A$1001,MATCH(B201,Detail!$G$1:$G$1001,0))</f>
        <v>37777</v>
      </c>
      <c r="Q201" s="33" t="str">
        <f>INDEX(Detail!$F$1:$F$1001,MATCH(Main!B201,Detail!$G$1:$G$1001,0))</f>
        <v>Bima</v>
      </c>
      <c r="R201" s="7">
        <f>INDEX(Detail!$C$1:$C$1001,MATCH(B201,Detail!$G$1:$G$1001,0),1)</f>
        <v>157</v>
      </c>
      <c r="S201" s="7">
        <f>INDEX(Detail!$D$1:$D$1001,MATCH(B201,Detail!$G$1:$G$1001,0),1)</f>
        <v>68</v>
      </c>
      <c r="T201" s="7" t="str">
        <f>INDEX(Detail!$E$1:$E$1001,MATCH(Main!B201,Detail!$G$1:$G$1001,0))</f>
        <v>Gang Tubagus Ismail No. 63</v>
      </c>
      <c r="U201" s="7" t="str">
        <f>INDEX(Detail!$B$1:$B$1001,MATCH(B201,Detail!$G$1:$G$1001,0),1)</f>
        <v>O+</v>
      </c>
      <c r="V201" s="7" t="str" cm="1">
        <f t="array" ref="V201">INDEX(Dosen!$B$3:$E$8,MATCH(Main!C201,Dosen!$A$3:$A$8,0),IF(AND(Main!A201&gt;=1,Main!A201&lt;=250),1,IF(AND(Main!A201&gt;=251,Main!A201&lt;=500),2,IF(AND(Main!A201&gt;=501,Main!A201&lt;=750),3,4))))</f>
        <v>Bu Ratna</v>
      </c>
      <c r="W201" s="7" t="str">
        <f>_xlfn.XLOOKUP(B201,Detail!$G$1:$G$1001,Detail!$B$1:$B$1001)</f>
        <v>O+</v>
      </c>
    </row>
    <row r="202" spans="1:23" ht="15.75" x14ac:dyDescent="0.25">
      <c r="A202" s="7">
        <v>336</v>
      </c>
      <c r="B202" s="33" t="str">
        <f t="shared" si="7"/>
        <v>B0336</v>
      </c>
      <c r="C202" s="7" t="s">
        <v>1014</v>
      </c>
      <c r="D202" s="33" t="str">
        <f>VLOOKUP(B202,Detail!$G$1:$H$1001,2,FALSE)</f>
        <v>Kardi Mardhiyah</v>
      </c>
      <c r="E202" s="7">
        <v>77</v>
      </c>
      <c r="F202" s="7">
        <v>50</v>
      </c>
      <c r="G202" s="57">
        <v>59</v>
      </c>
      <c r="H202" s="7">
        <v>73</v>
      </c>
      <c r="I202" s="7">
        <v>59</v>
      </c>
      <c r="J202" s="7">
        <v>48</v>
      </c>
      <c r="K202" s="7">
        <v>85</v>
      </c>
      <c r="L202" s="56">
        <f>IFERROR(VLOOKUP(B202,Absen!$A$1:$C$501,2,FALSE),"No")</f>
        <v>44801</v>
      </c>
      <c r="M202" s="58">
        <f t="shared" si="8"/>
        <v>7.5</v>
      </c>
      <c r="N202" s="57">
        <f t="shared" si="9"/>
        <v>61.274999999999999</v>
      </c>
      <c r="O202" s="7" t="str">
        <f>VLOOKUP(N202,Helper!$B$30:$C$35,2,TRUE)</f>
        <v>C</v>
      </c>
      <c r="P202" s="56">
        <f>INDEX(Detail!$A$1:$A$1001,MATCH(B202,Detail!$G$1:$G$1001,0))</f>
        <v>37454</v>
      </c>
      <c r="Q202" s="33" t="str">
        <f>INDEX(Detail!$F$1:$F$1001,MATCH(Main!B202,Detail!$G$1:$G$1001,0))</f>
        <v>Bengkulu</v>
      </c>
      <c r="R202" s="7">
        <f>INDEX(Detail!$C$1:$C$1001,MATCH(B202,Detail!$G$1:$G$1001,0),1)</f>
        <v>167</v>
      </c>
      <c r="S202" s="7">
        <f>INDEX(Detail!$D$1:$D$1001,MATCH(B202,Detail!$G$1:$G$1001,0),1)</f>
        <v>52</v>
      </c>
      <c r="T202" s="7" t="str">
        <f>INDEX(Detail!$E$1:$E$1001,MATCH(Main!B202,Detail!$G$1:$G$1001,0))</f>
        <v>Jalan Cihampelas No. 17</v>
      </c>
      <c r="U202" s="7" t="str">
        <f>INDEX(Detail!$B$1:$B$1001,MATCH(B202,Detail!$G$1:$G$1001,0),1)</f>
        <v>O+</v>
      </c>
      <c r="V202" s="7" t="str" cm="1">
        <f t="array" ref="V202">INDEX(Dosen!$B$3:$E$8,MATCH(Main!C202,Dosen!$A$3:$A$8,0),IF(AND(Main!A202&gt;=1,Main!A202&lt;=250),1,IF(AND(Main!A202&gt;=251,Main!A202&lt;=500),2,IF(AND(Main!A202&gt;=501,Main!A202&lt;=750),3,4))))</f>
        <v>Bu Ratna</v>
      </c>
      <c r="W202" s="7" t="str">
        <f>_xlfn.XLOOKUP(B202,Detail!$G$1:$G$1001,Detail!$B$1:$B$1001)</f>
        <v>O+</v>
      </c>
    </row>
    <row r="203" spans="1:23" ht="15.75" x14ac:dyDescent="0.25">
      <c r="A203" s="7">
        <v>343</v>
      </c>
      <c r="B203" s="33" t="str">
        <f t="shared" si="7"/>
        <v>B0343</v>
      </c>
      <c r="C203" s="7" t="s">
        <v>1014</v>
      </c>
      <c r="D203" s="33" t="str">
        <f>VLOOKUP(B203,Detail!$G$1:$H$1001,2,FALSE)</f>
        <v>Yulia Puspita</v>
      </c>
      <c r="E203" s="7">
        <v>64</v>
      </c>
      <c r="F203" s="7">
        <v>72</v>
      </c>
      <c r="G203" s="57">
        <v>85</v>
      </c>
      <c r="H203" s="7">
        <v>71</v>
      </c>
      <c r="I203" s="7">
        <v>81</v>
      </c>
      <c r="J203" s="7">
        <v>97</v>
      </c>
      <c r="K203" s="7">
        <v>99</v>
      </c>
      <c r="L203" s="56">
        <f>IFERROR(VLOOKUP(B203,Absen!$A$1:$C$501,2,FALSE),"No")</f>
        <v>44786</v>
      </c>
      <c r="M203" s="58">
        <f t="shared" si="8"/>
        <v>8.9</v>
      </c>
      <c r="N203" s="57">
        <f t="shared" si="9"/>
        <v>81.300000000000011</v>
      </c>
      <c r="O203" s="7" t="str">
        <f>VLOOKUP(N203,Helper!$B$30:$C$35,2,TRUE)</f>
        <v>A</v>
      </c>
      <c r="P203" s="56">
        <f>INDEX(Detail!$A$1:$A$1001,MATCH(B203,Detail!$G$1:$G$1001,0))</f>
        <v>37609</v>
      </c>
      <c r="Q203" s="33" t="str">
        <f>INDEX(Detail!$F$1:$F$1001,MATCH(Main!B203,Detail!$G$1:$G$1001,0))</f>
        <v>Kendari</v>
      </c>
      <c r="R203" s="7">
        <f>INDEX(Detail!$C$1:$C$1001,MATCH(B203,Detail!$G$1:$G$1001,0),1)</f>
        <v>160</v>
      </c>
      <c r="S203" s="7">
        <f>INDEX(Detail!$D$1:$D$1001,MATCH(B203,Detail!$G$1:$G$1001,0),1)</f>
        <v>94</v>
      </c>
      <c r="T203" s="7" t="str">
        <f>INDEX(Detail!$E$1:$E$1001,MATCH(Main!B203,Detail!$G$1:$G$1001,0))</f>
        <v xml:space="preserve">Jalan Ciwastra No. 4
</v>
      </c>
      <c r="U203" s="7" t="str">
        <f>INDEX(Detail!$B$1:$B$1001,MATCH(B203,Detail!$G$1:$G$1001,0),1)</f>
        <v>AB+</v>
      </c>
      <c r="V203" s="7" t="str" cm="1">
        <f t="array" ref="V203">INDEX(Dosen!$B$3:$E$8,MATCH(Main!C203,Dosen!$A$3:$A$8,0),IF(AND(Main!A203&gt;=1,Main!A203&lt;=250),1,IF(AND(Main!A203&gt;=251,Main!A203&lt;=500),2,IF(AND(Main!A203&gt;=501,Main!A203&lt;=750),3,4))))</f>
        <v>Bu Ratna</v>
      </c>
      <c r="W203" s="7" t="str">
        <f>_xlfn.XLOOKUP(B203,Detail!$G$1:$G$1001,Detail!$B$1:$B$1001)</f>
        <v>AB+</v>
      </c>
    </row>
    <row r="204" spans="1:23" ht="15.75" x14ac:dyDescent="0.25">
      <c r="A204" s="7">
        <v>351</v>
      </c>
      <c r="B204" s="33" t="str">
        <f t="shared" si="7"/>
        <v>B0351</v>
      </c>
      <c r="C204" s="7" t="s">
        <v>1014</v>
      </c>
      <c r="D204" s="33" t="str">
        <f>VLOOKUP(B204,Detail!$G$1:$H$1001,2,FALSE)</f>
        <v>Bagus Namaga</v>
      </c>
      <c r="E204" s="7">
        <v>90</v>
      </c>
      <c r="F204" s="7">
        <v>40</v>
      </c>
      <c r="G204" s="57">
        <v>92</v>
      </c>
      <c r="H204" s="7">
        <v>60</v>
      </c>
      <c r="I204" s="7">
        <v>68</v>
      </c>
      <c r="J204" s="7">
        <v>74</v>
      </c>
      <c r="K204" s="7">
        <v>67</v>
      </c>
      <c r="L204" s="56" t="str">
        <f>IFERROR(VLOOKUP(B204,Absen!$A$1:$C$501,2,FALSE),"No")</f>
        <v>No</v>
      </c>
      <c r="M204" s="58">
        <f t="shared" si="8"/>
        <v>6.7</v>
      </c>
      <c r="N204" s="57">
        <f t="shared" si="9"/>
        <v>72.150000000000006</v>
      </c>
      <c r="O204" s="7" t="str">
        <f>VLOOKUP(N204,Helper!$B$30:$C$35,2,TRUE)</f>
        <v>B</v>
      </c>
      <c r="P204" s="56">
        <f>INDEX(Detail!$A$1:$A$1001,MATCH(B204,Detail!$G$1:$G$1001,0))</f>
        <v>37771</v>
      </c>
      <c r="Q204" s="33" t="str">
        <f>INDEX(Detail!$F$1:$F$1001,MATCH(Main!B204,Detail!$G$1:$G$1001,0))</f>
        <v>Lhokseumawe</v>
      </c>
      <c r="R204" s="7">
        <f>INDEX(Detail!$C$1:$C$1001,MATCH(B204,Detail!$G$1:$G$1001,0),1)</f>
        <v>168</v>
      </c>
      <c r="S204" s="7">
        <f>INDEX(Detail!$D$1:$D$1001,MATCH(B204,Detail!$G$1:$G$1001,0),1)</f>
        <v>51</v>
      </c>
      <c r="T204" s="7" t="str">
        <f>INDEX(Detail!$E$1:$E$1001,MATCH(Main!B204,Detail!$G$1:$G$1001,0))</f>
        <v xml:space="preserve">Jl. Kutai No. 6
</v>
      </c>
      <c r="U204" s="7" t="str">
        <f>INDEX(Detail!$B$1:$B$1001,MATCH(B204,Detail!$G$1:$G$1001,0),1)</f>
        <v>A-</v>
      </c>
      <c r="V204" s="7" t="str" cm="1">
        <f t="array" ref="V204">INDEX(Dosen!$B$3:$E$8,MATCH(Main!C204,Dosen!$A$3:$A$8,0),IF(AND(Main!A204&gt;=1,Main!A204&lt;=250),1,IF(AND(Main!A204&gt;=251,Main!A204&lt;=500),2,IF(AND(Main!A204&gt;=501,Main!A204&lt;=750),3,4))))</f>
        <v>Bu Ratna</v>
      </c>
      <c r="W204" s="7" t="str">
        <f>_xlfn.XLOOKUP(B204,Detail!$G$1:$G$1001,Detail!$B$1:$B$1001)</f>
        <v>A-</v>
      </c>
    </row>
    <row r="205" spans="1:23" ht="15.75" x14ac:dyDescent="0.25">
      <c r="A205" s="7">
        <v>352</v>
      </c>
      <c r="B205" s="33" t="str">
        <f t="shared" si="7"/>
        <v>B0352</v>
      </c>
      <c r="C205" s="7" t="s">
        <v>1014</v>
      </c>
      <c r="D205" s="33" t="str">
        <f>VLOOKUP(B205,Detail!$G$1:$H$1001,2,FALSE)</f>
        <v>Reksa Januar</v>
      </c>
      <c r="E205" s="7">
        <v>60</v>
      </c>
      <c r="F205" s="7">
        <v>66</v>
      </c>
      <c r="G205" s="57">
        <v>84</v>
      </c>
      <c r="H205" s="7">
        <v>60</v>
      </c>
      <c r="I205" s="7">
        <v>52</v>
      </c>
      <c r="J205" s="7">
        <v>63</v>
      </c>
      <c r="K205" s="7">
        <v>93</v>
      </c>
      <c r="L205" s="56" t="str">
        <f>IFERROR(VLOOKUP(B205,Absen!$A$1:$C$501,2,FALSE),"No")</f>
        <v>No</v>
      </c>
      <c r="M205" s="58">
        <f t="shared" si="8"/>
        <v>9.3000000000000007</v>
      </c>
      <c r="N205" s="57">
        <f t="shared" si="9"/>
        <v>68.45</v>
      </c>
      <c r="O205" s="7" t="str">
        <f>VLOOKUP(N205,Helper!$B$30:$C$35,2,TRUE)</f>
        <v>C</v>
      </c>
      <c r="P205" s="56">
        <f>INDEX(Detail!$A$1:$A$1001,MATCH(B205,Detail!$G$1:$G$1001,0))</f>
        <v>37690</v>
      </c>
      <c r="Q205" s="33" t="str">
        <f>INDEX(Detail!$F$1:$F$1001,MATCH(Main!B205,Detail!$G$1:$G$1001,0))</f>
        <v>Tanjungpinang</v>
      </c>
      <c r="R205" s="7">
        <f>INDEX(Detail!$C$1:$C$1001,MATCH(B205,Detail!$G$1:$G$1001,0),1)</f>
        <v>170</v>
      </c>
      <c r="S205" s="7">
        <f>INDEX(Detail!$D$1:$D$1001,MATCH(B205,Detail!$G$1:$G$1001,0),1)</f>
        <v>63</v>
      </c>
      <c r="T205" s="7" t="str">
        <f>INDEX(Detail!$E$1:$E$1001,MATCH(Main!B205,Detail!$G$1:$G$1001,0))</f>
        <v>Jalan Merdeka No. 87</v>
      </c>
      <c r="U205" s="7" t="str">
        <f>INDEX(Detail!$B$1:$B$1001,MATCH(B205,Detail!$G$1:$G$1001,0),1)</f>
        <v>A+</v>
      </c>
      <c r="V205" s="7" t="str" cm="1">
        <f t="array" ref="V205">INDEX(Dosen!$B$3:$E$8,MATCH(Main!C205,Dosen!$A$3:$A$8,0),IF(AND(Main!A205&gt;=1,Main!A205&lt;=250),1,IF(AND(Main!A205&gt;=251,Main!A205&lt;=500),2,IF(AND(Main!A205&gt;=501,Main!A205&lt;=750),3,4))))</f>
        <v>Bu Ratna</v>
      </c>
      <c r="W205" s="7" t="str">
        <f>_xlfn.XLOOKUP(B205,Detail!$G$1:$G$1001,Detail!$B$1:$B$1001)</f>
        <v>A+</v>
      </c>
    </row>
    <row r="206" spans="1:23" ht="15.75" x14ac:dyDescent="0.25">
      <c r="A206" s="7">
        <v>371</v>
      </c>
      <c r="B206" s="33" t="str">
        <f t="shared" si="7"/>
        <v>B0371</v>
      </c>
      <c r="C206" s="7" t="s">
        <v>1014</v>
      </c>
      <c r="D206" s="33" t="str">
        <f>VLOOKUP(B206,Detail!$G$1:$H$1001,2,FALSE)</f>
        <v>Slamet Marpaung</v>
      </c>
      <c r="E206" s="7">
        <v>68</v>
      </c>
      <c r="F206" s="7">
        <v>51</v>
      </c>
      <c r="G206" s="57">
        <v>79</v>
      </c>
      <c r="H206" s="7">
        <v>73</v>
      </c>
      <c r="I206" s="7">
        <v>55</v>
      </c>
      <c r="J206" s="7">
        <v>53</v>
      </c>
      <c r="K206" s="7">
        <v>82</v>
      </c>
      <c r="L206" s="56" t="str">
        <f>IFERROR(VLOOKUP(B206,Absen!$A$1:$C$501,2,FALSE),"No")</f>
        <v>No</v>
      </c>
      <c r="M206" s="58">
        <f t="shared" si="8"/>
        <v>8.2000000000000011</v>
      </c>
      <c r="N206" s="57">
        <f t="shared" si="9"/>
        <v>65.474999999999994</v>
      </c>
      <c r="O206" s="7" t="str">
        <f>VLOOKUP(N206,Helper!$B$30:$C$35,2,TRUE)</f>
        <v>C</v>
      </c>
      <c r="P206" s="56">
        <f>INDEX(Detail!$A$1:$A$1001,MATCH(B206,Detail!$G$1:$G$1001,0))</f>
        <v>37921</v>
      </c>
      <c r="Q206" s="33" t="str">
        <f>INDEX(Detail!$F$1:$F$1001,MATCH(Main!B206,Detail!$G$1:$G$1001,0))</f>
        <v>Tasikmalaya</v>
      </c>
      <c r="R206" s="7">
        <f>INDEX(Detail!$C$1:$C$1001,MATCH(B206,Detail!$G$1:$G$1001,0),1)</f>
        <v>168</v>
      </c>
      <c r="S206" s="7">
        <f>INDEX(Detail!$D$1:$D$1001,MATCH(B206,Detail!$G$1:$G$1001,0),1)</f>
        <v>67</v>
      </c>
      <c r="T206" s="7" t="str">
        <f>INDEX(Detail!$E$1:$E$1001,MATCH(Main!B206,Detail!$G$1:$G$1001,0))</f>
        <v>Jl. Jend. A. Yani No. 60</v>
      </c>
      <c r="U206" s="7" t="str">
        <f>INDEX(Detail!$B$1:$B$1001,MATCH(B206,Detail!$G$1:$G$1001,0),1)</f>
        <v>B-</v>
      </c>
      <c r="V206" s="7" t="str" cm="1">
        <f t="array" ref="V206">INDEX(Dosen!$B$3:$E$8,MATCH(Main!C206,Dosen!$A$3:$A$8,0),IF(AND(Main!A206&gt;=1,Main!A206&lt;=250),1,IF(AND(Main!A206&gt;=251,Main!A206&lt;=500),2,IF(AND(Main!A206&gt;=501,Main!A206&lt;=750),3,4))))</f>
        <v>Bu Ratna</v>
      </c>
      <c r="W206" s="7" t="str">
        <f>_xlfn.XLOOKUP(B206,Detail!$G$1:$G$1001,Detail!$B$1:$B$1001)</f>
        <v>B-</v>
      </c>
    </row>
    <row r="207" spans="1:23" ht="15.75" x14ac:dyDescent="0.25">
      <c r="A207" s="7">
        <v>377</v>
      </c>
      <c r="B207" s="33" t="str">
        <f t="shared" si="7"/>
        <v>B0377</v>
      </c>
      <c r="C207" s="7" t="s">
        <v>1014</v>
      </c>
      <c r="D207" s="33" t="str">
        <f>VLOOKUP(B207,Detail!$G$1:$H$1001,2,FALSE)</f>
        <v>Martani Puspita</v>
      </c>
      <c r="E207" s="7">
        <v>76</v>
      </c>
      <c r="F207" s="7">
        <v>52</v>
      </c>
      <c r="G207" s="57">
        <v>88</v>
      </c>
      <c r="H207" s="7">
        <v>66</v>
      </c>
      <c r="I207" s="7">
        <v>92</v>
      </c>
      <c r="J207" s="7">
        <v>74</v>
      </c>
      <c r="K207" s="7">
        <v>74</v>
      </c>
      <c r="L207" s="56">
        <f>IFERROR(VLOOKUP(B207,Absen!$A$1:$C$501,2,FALSE),"No")</f>
        <v>44840</v>
      </c>
      <c r="M207" s="58">
        <f t="shared" si="8"/>
        <v>6.4</v>
      </c>
      <c r="N207" s="57">
        <f t="shared" si="9"/>
        <v>74.550000000000011</v>
      </c>
      <c r="O207" s="7" t="str">
        <f>VLOOKUP(N207,Helper!$B$30:$C$35,2,TRUE)</f>
        <v>B</v>
      </c>
      <c r="P207" s="56">
        <f>INDEX(Detail!$A$1:$A$1001,MATCH(B207,Detail!$G$1:$G$1001,0))</f>
        <v>37041</v>
      </c>
      <c r="Q207" s="33" t="str">
        <f>INDEX(Detail!$F$1:$F$1001,MATCH(Main!B207,Detail!$G$1:$G$1001,0))</f>
        <v>Pematangsiantar</v>
      </c>
      <c r="R207" s="7">
        <f>INDEX(Detail!$C$1:$C$1001,MATCH(B207,Detail!$G$1:$G$1001,0),1)</f>
        <v>153</v>
      </c>
      <c r="S207" s="7">
        <f>INDEX(Detail!$D$1:$D$1001,MATCH(B207,Detail!$G$1:$G$1001,0),1)</f>
        <v>52</v>
      </c>
      <c r="T207" s="7" t="str">
        <f>INDEX(Detail!$E$1:$E$1001,MATCH(Main!B207,Detail!$G$1:$G$1001,0))</f>
        <v xml:space="preserve">Jl. Jend. Sudirman No. 5
</v>
      </c>
      <c r="U207" s="7" t="str">
        <f>INDEX(Detail!$B$1:$B$1001,MATCH(B207,Detail!$G$1:$G$1001,0),1)</f>
        <v>O-</v>
      </c>
      <c r="V207" s="7" t="str" cm="1">
        <f t="array" ref="V207">INDEX(Dosen!$B$3:$E$8,MATCH(Main!C207,Dosen!$A$3:$A$8,0),IF(AND(Main!A207&gt;=1,Main!A207&lt;=250),1,IF(AND(Main!A207&gt;=251,Main!A207&lt;=500),2,IF(AND(Main!A207&gt;=501,Main!A207&lt;=750),3,4))))</f>
        <v>Bu Ratna</v>
      </c>
      <c r="W207" s="7" t="str">
        <f>_xlfn.XLOOKUP(B207,Detail!$G$1:$G$1001,Detail!$B$1:$B$1001)</f>
        <v>O-</v>
      </c>
    </row>
    <row r="208" spans="1:23" ht="15.75" x14ac:dyDescent="0.25">
      <c r="A208" s="7">
        <v>389</v>
      </c>
      <c r="B208" s="33" t="str">
        <f t="shared" si="7"/>
        <v>B0389</v>
      </c>
      <c r="C208" s="7" t="s">
        <v>1014</v>
      </c>
      <c r="D208" s="33" t="str">
        <f>VLOOKUP(B208,Detail!$G$1:$H$1001,2,FALSE)</f>
        <v>Oman Mardhiyah</v>
      </c>
      <c r="E208" s="7">
        <v>62</v>
      </c>
      <c r="F208" s="7">
        <v>65</v>
      </c>
      <c r="G208" s="57">
        <v>55</v>
      </c>
      <c r="H208" s="7">
        <v>68</v>
      </c>
      <c r="I208" s="7">
        <v>82</v>
      </c>
      <c r="J208" s="7">
        <v>100</v>
      </c>
      <c r="K208" s="7">
        <v>61</v>
      </c>
      <c r="L208" s="56" t="str">
        <f>IFERROR(VLOOKUP(B208,Absen!$A$1:$C$501,2,FALSE),"No")</f>
        <v>No</v>
      </c>
      <c r="M208" s="58">
        <f t="shared" si="8"/>
        <v>6.1000000000000005</v>
      </c>
      <c r="N208" s="57">
        <f t="shared" si="9"/>
        <v>71.724999999999994</v>
      </c>
      <c r="O208" s="7" t="str">
        <f>VLOOKUP(N208,Helper!$B$30:$C$35,2,TRUE)</f>
        <v>B</v>
      </c>
      <c r="P208" s="56">
        <f>INDEX(Detail!$A$1:$A$1001,MATCH(B208,Detail!$G$1:$G$1001,0))</f>
        <v>38048</v>
      </c>
      <c r="Q208" s="33" t="str">
        <f>INDEX(Detail!$F$1:$F$1001,MATCH(Main!B208,Detail!$G$1:$G$1001,0))</f>
        <v>Tual</v>
      </c>
      <c r="R208" s="7">
        <f>INDEX(Detail!$C$1:$C$1001,MATCH(B208,Detail!$G$1:$G$1001,0),1)</f>
        <v>165</v>
      </c>
      <c r="S208" s="7">
        <f>INDEX(Detail!$D$1:$D$1001,MATCH(B208,Detail!$G$1:$G$1001,0),1)</f>
        <v>75</v>
      </c>
      <c r="T208" s="7" t="str">
        <f>INDEX(Detail!$E$1:$E$1001,MATCH(Main!B208,Detail!$G$1:$G$1001,0))</f>
        <v>Gg. W.R. Supratman No. 94</v>
      </c>
      <c r="U208" s="7" t="str">
        <f>INDEX(Detail!$B$1:$B$1001,MATCH(B208,Detail!$G$1:$G$1001,0),1)</f>
        <v>O-</v>
      </c>
      <c r="V208" s="7" t="str" cm="1">
        <f t="array" ref="V208">INDEX(Dosen!$B$3:$E$8,MATCH(Main!C208,Dosen!$A$3:$A$8,0),IF(AND(Main!A208&gt;=1,Main!A208&lt;=250),1,IF(AND(Main!A208&gt;=251,Main!A208&lt;=500),2,IF(AND(Main!A208&gt;=501,Main!A208&lt;=750),3,4))))</f>
        <v>Bu Ratna</v>
      </c>
      <c r="W208" s="7" t="str">
        <f>_xlfn.XLOOKUP(B208,Detail!$G$1:$G$1001,Detail!$B$1:$B$1001)</f>
        <v>O-</v>
      </c>
    </row>
    <row r="209" spans="1:23" ht="15.75" x14ac:dyDescent="0.25">
      <c r="A209" s="7">
        <v>411</v>
      </c>
      <c r="B209" s="33" t="str">
        <f t="shared" si="7"/>
        <v>B0411</v>
      </c>
      <c r="C209" s="7" t="s">
        <v>1014</v>
      </c>
      <c r="D209" s="33" t="str">
        <f>VLOOKUP(B209,Detail!$G$1:$H$1001,2,FALSE)</f>
        <v>Kayla Hartati</v>
      </c>
      <c r="E209" s="7">
        <v>65</v>
      </c>
      <c r="F209" s="7">
        <v>72</v>
      </c>
      <c r="G209" s="57">
        <v>31</v>
      </c>
      <c r="H209" s="7">
        <v>53</v>
      </c>
      <c r="I209" s="7">
        <v>81</v>
      </c>
      <c r="J209" s="7">
        <v>71</v>
      </c>
      <c r="K209" s="7">
        <v>91</v>
      </c>
      <c r="L209" s="56">
        <f>IFERROR(VLOOKUP(B209,Absen!$A$1:$C$501,2,FALSE),"No")</f>
        <v>44884</v>
      </c>
      <c r="M209" s="58">
        <f t="shared" si="8"/>
        <v>8.1</v>
      </c>
      <c r="N209" s="57">
        <f t="shared" si="9"/>
        <v>62.375000000000007</v>
      </c>
      <c r="O209" s="7" t="str">
        <f>VLOOKUP(N209,Helper!$B$30:$C$35,2,TRUE)</f>
        <v>C</v>
      </c>
      <c r="P209" s="56">
        <f>INDEX(Detail!$A$1:$A$1001,MATCH(B209,Detail!$G$1:$G$1001,0))</f>
        <v>37469</v>
      </c>
      <c r="Q209" s="33" t="str">
        <f>INDEX(Detail!$F$1:$F$1001,MATCH(Main!B209,Detail!$G$1:$G$1001,0))</f>
        <v>Solok</v>
      </c>
      <c r="R209" s="7">
        <f>INDEX(Detail!$C$1:$C$1001,MATCH(B209,Detail!$G$1:$G$1001,0),1)</f>
        <v>173</v>
      </c>
      <c r="S209" s="7">
        <f>INDEX(Detail!$D$1:$D$1001,MATCH(B209,Detail!$G$1:$G$1001,0),1)</f>
        <v>60</v>
      </c>
      <c r="T209" s="7" t="str">
        <f>INDEX(Detail!$E$1:$E$1001,MATCH(Main!B209,Detail!$G$1:$G$1001,0))</f>
        <v>Jl. Kiaracondong No. 07</v>
      </c>
      <c r="U209" s="7" t="str">
        <f>INDEX(Detail!$B$1:$B$1001,MATCH(B209,Detail!$G$1:$G$1001,0),1)</f>
        <v>B+</v>
      </c>
      <c r="V209" s="7" t="str" cm="1">
        <f t="array" ref="V209">INDEX(Dosen!$B$3:$E$8,MATCH(Main!C209,Dosen!$A$3:$A$8,0),IF(AND(Main!A209&gt;=1,Main!A209&lt;=250),1,IF(AND(Main!A209&gt;=251,Main!A209&lt;=500),2,IF(AND(Main!A209&gt;=501,Main!A209&lt;=750),3,4))))</f>
        <v>Bu Ratna</v>
      </c>
      <c r="W209" s="7" t="str">
        <f>_xlfn.XLOOKUP(B209,Detail!$G$1:$G$1001,Detail!$B$1:$B$1001)</f>
        <v>B+</v>
      </c>
    </row>
    <row r="210" spans="1:23" ht="15.75" x14ac:dyDescent="0.25">
      <c r="A210" s="7">
        <v>416</v>
      </c>
      <c r="B210" s="33" t="str">
        <f t="shared" si="7"/>
        <v>B0416</v>
      </c>
      <c r="C210" s="7" t="s">
        <v>1014</v>
      </c>
      <c r="D210" s="33" t="str">
        <f>VLOOKUP(B210,Detail!$G$1:$H$1001,2,FALSE)</f>
        <v>Rizki Puspita</v>
      </c>
      <c r="E210" s="7">
        <v>55</v>
      </c>
      <c r="F210" s="7">
        <v>62</v>
      </c>
      <c r="G210" s="57">
        <v>88</v>
      </c>
      <c r="H210" s="7">
        <v>64</v>
      </c>
      <c r="I210" s="7">
        <v>59</v>
      </c>
      <c r="J210" s="7">
        <v>41</v>
      </c>
      <c r="K210" s="7">
        <v>77</v>
      </c>
      <c r="L210" s="56" t="str">
        <f>IFERROR(VLOOKUP(B210,Absen!$A$1:$C$501,2,FALSE),"No")</f>
        <v>No</v>
      </c>
      <c r="M210" s="58">
        <f t="shared" si="8"/>
        <v>7.7</v>
      </c>
      <c r="N210" s="57">
        <f t="shared" si="9"/>
        <v>63.500000000000007</v>
      </c>
      <c r="O210" s="7" t="str">
        <f>VLOOKUP(N210,Helper!$B$30:$C$35,2,TRUE)</f>
        <v>C</v>
      </c>
      <c r="P210" s="56">
        <f>INDEX(Detail!$A$1:$A$1001,MATCH(B210,Detail!$G$1:$G$1001,0))</f>
        <v>37267</v>
      </c>
      <c r="Q210" s="33" t="str">
        <f>INDEX(Detail!$F$1:$F$1001,MATCH(Main!B210,Detail!$G$1:$G$1001,0))</f>
        <v>Salatiga</v>
      </c>
      <c r="R210" s="7">
        <f>INDEX(Detail!$C$1:$C$1001,MATCH(B210,Detail!$G$1:$G$1001,0),1)</f>
        <v>151</v>
      </c>
      <c r="S210" s="7">
        <f>INDEX(Detail!$D$1:$D$1001,MATCH(B210,Detail!$G$1:$G$1001,0),1)</f>
        <v>84</v>
      </c>
      <c r="T210" s="7" t="str">
        <f>INDEX(Detail!$E$1:$E$1001,MATCH(Main!B210,Detail!$G$1:$G$1001,0))</f>
        <v>Gang Moch. Ramdan No. 47</v>
      </c>
      <c r="U210" s="7" t="str">
        <f>INDEX(Detail!$B$1:$B$1001,MATCH(B210,Detail!$G$1:$G$1001,0),1)</f>
        <v>A-</v>
      </c>
      <c r="V210" s="7" t="str" cm="1">
        <f t="array" ref="V210">INDEX(Dosen!$B$3:$E$8,MATCH(Main!C210,Dosen!$A$3:$A$8,0),IF(AND(Main!A210&gt;=1,Main!A210&lt;=250),1,IF(AND(Main!A210&gt;=251,Main!A210&lt;=500),2,IF(AND(Main!A210&gt;=501,Main!A210&lt;=750),3,4))))</f>
        <v>Bu Ratna</v>
      </c>
      <c r="W210" s="7" t="str">
        <f>_xlfn.XLOOKUP(B210,Detail!$G$1:$G$1001,Detail!$B$1:$B$1001)</f>
        <v>A-</v>
      </c>
    </row>
    <row r="211" spans="1:23" ht="15.75" x14ac:dyDescent="0.25">
      <c r="A211" s="7">
        <v>418</v>
      </c>
      <c r="B211" s="33" t="str">
        <f t="shared" si="7"/>
        <v>B0418</v>
      </c>
      <c r="C211" s="7" t="s">
        <v>1014</v>
      </c>
      <c r="D211" s="33" t="str">
        <f>VLOOKUP(B211,Detail!$G$1:$H$1001,2,FALSE)</f>
        <v>Pranata Hastuti</v>
      </c>
      <c r="E211" s="7">
        <v>87</v>
      </c>
      <c r="F211" s="7">
        <v>68</v>
      </c>
      <c r="G211" s="57">
        <v>34</v>
      </c>
      <c r="H211" s="7">
        <v>59</v>
      </c>
      <c r="I211" s="7">
        <v>88</v>
      </c>
      <c r="J211" s="7">
        <v>81</v>
      </c>
      <c r="K211" s="7">
        <v>76</v>
      </c>
      <c r="L211" s="56" t="str">
        <f>IFERROR(VLOOKUP(B211,Absen!$A$1:$C$501,2,FALSE),"No")</f>
        <v>No</v>
      </c>
      <c r="M211" s="58">
        <f t="shared" si="8"/>
        <v>7.6000000000000005</v>
      </c>
      <c r="N211" s="57">
        <f t="shared" si="9"/>
        <v>68.349999999999994</v>
      </c>
      <c r="O211" s="7" t="str">
        <f>VLOOKUP(N211,Helper!$B$30:$C$35,2,TRUE)</f>
        <v>C</v>
      </c>
      <c r="P211" s="56">
        <f>INDEX(Detail!$A$1:$A$1001,MATCH(B211,Detail!$G$1:$G$1001,0))</f>
        <v>37060</v>
      </c>
      <c r="Q211" s="33" t="str">
        <f>INDEX(Detail!$F$1:$F$1001,MATCH(Main!B211,Detail!$G$1:$G$1001,0))</f>
        <v>Prabumulih</v>
      </c>
      <c r="R211" s="7">
        <f>INDEX(Detail!$C$1:$C$1001,MATCH(B211,Detail!$G$1:$G$1001,0),1)</f>
        <v>150</v>
      </c>
      <c r="S211" s="7">
        <f>INDEX(Detail!$D$1:$D$1001,MATCH(B211,Detail!$G$1:$G$1001,0),1)</f>
        <v>92</v>
      </c>
      <c r="T211" s="7" t="str">
        <f>INDEX(Detail!$E$1:$E$1001,MATCH(Main!B211,Detail!$G$1:$G$1001,0))</f>
        <v xml:space="preserve">Gang Dipenogoro No. 5
</v>
      </c>
      <c r="U211" s="7" t="str">
        <f>INDEX(Detail!$B$1:$B$1001,MATCH(B211,Detail!$G$1:$G$1001,0),1)</f>
        <v>B-</v>
      </c>
      <c r="V211" s="7" t="str" cm="1">
        <f t="array" ref="V211">INDEX(Dosen!$B$3:$E$8,MATCH(Main!C211,Dosen!$A$3:$A$8,0),IF(AND(Main!A211&gt;=1,Main!A211&lt;=250),1,IF(AND(Main!A211&gt;=251,Main!A211&lt;=500),2,IF(AND(Main!A211&gt;=501,Main!A211&lt;=750),3,4))))</f>
        <v>Bu Ratna</v>
      </c>
      <c r="W211" s="7" t="str">
        <f>_xlfn.XLOOKUP(B211,Detail!$G$1:$G$1001,Detail!$B$1:$B$1001)</f>
        <v>B-</v>
      </c>
    </row>
    <row r="212" spans="1:23" ht="15.75" x14ac:dyDescent="0.25">
      <c r="A212" s="7">
        <v>431</v>
      </c>
      <c r="B212" s="33" t="str">
        <f t="shared" si="7"/>
        <v>B0431</v>
      </c>
      <c r="C212" s="7" t="s">
        <v>1014</v>
      </c>
      <c r="D212" s="33" t="str">
        <f>VLOOKUP(B212,Detail!$G$1:$H$1001,2,FALSE)</f>
        <v>Bakti Winarno</v>
      </c>
      <c r="E212" s="7">
        <v>55</v>
      </c>
      <c r="F212" s="7">
        <v>43</v>
      </c>
      <c r="G212" s="57">
        <v>55</v>
      </c>
      <c r="H212" s="7">
        <v>66</v>
      </c>
      <c r="I212" s="7">
        <v>83</v>
      </c>
      <c r="J212" s="7">
        <v>68</v>
      </c>
      <c r="K212" s="7">
        <v>99</v>
      </c>
      <c r="L212" s="56">
        <f>IFERROR(VLOOKUP(B212,Absen!$A$1:$C$501,2,FALSE),"No")</f>
        <v>44878</v>
      </c>
      <c r="M212" s="58">
        <f t="shared" si="8"/>
        <v>8.9</v>
      </c>
      <c r="N212" s="57">
        <f t="shared" si="9"/>
        <v>64.375</v>
      </c>
      <c r="O212" s="7" t="str">
        <f>VLOOKUP(N212,Helper!$B$30:$C$35,2,TRUE)</f>
        <v>C</v>
      </c>
      <c r="P212" s="56">
        <f>INDEX(Detail!$A$1:$A$1001,MATCH(B212,Detail!$G$1:$G$1001,0))</f>
        <v>37515</v>
      </c>
      <c r="Q212" s="33" t="str">
        <f>INDEX(Detail!$F$1:$F$1001,MATCH(Main!B212,Detail!$G$1:$G$1001,0))</f>
        <v>Palopo</v>
      </c>
      <c r="R212" s="7">
        <f>INDEX(Detail!$C$1:$C$1001,MATCH(B212,Detail!$G$1:$G$1001,0),1)</f>
        <v>174</v>
      </c>
      <c r="S212" s="7">
        <f>INDEX(Detail!$D$1:$D$1001,MATCH(B212,Detail!$G$1:$G$1001,0),1)</f>
        <v>91</v>
      </c>
      <c r="T212" s="7" t="str">
        <f>INDEX(Detail!$E$1:$E$1001,MATCH(Main!B212,Detail!$G$1:$G$1001,0))</f>
        <v>Jalan Ciwastra No. 63</v>
      </c>
      <c r="U212" s="7" t="str">
        <f>INDEX(Detail!$B$1:$B$1001,MATCH(B212,Detail!$G$1:$G$1001,0),1)</f>
        <v>B-</v>
      </c>
      <c r="V212" s="7" t="str" cm="1">
        <f t="array" ref="V212">INDEX(Dosen!$B$3:$E$8,MATCH(Main!C212,Dosen!$A$3:$A$8,0),IF(AND(Main!A212&gt;=1,Main!A212&lt;=250),1,IF(AND(Main!A212&gt;=251,Main!A212&lt;=500),2,IF(AND(Main!A212&gt;=501,Main!A212&lt;=750),3,4))))</f>
        <v>Bu Ratna</v>
      </c>
      <c r="W212" s="7" t="str">
        <f>_xlfn.XLOOKUP(B212,Detail!$G$1:$G$1001,Detail!$B$1:$B$1001)</f>
        <v>B-</v>
      </c>
    </row>
    <row r="213" spans="1:23" ht="15.75" x14ac:dyDescent="0.25">
      <c r="A213" s="7">
        <v>439</v>
      </c>
      <c r="B213" s="33" t="str">
        <f t="shared" si="7"/>
        <v>B0439</v>
      </c>
      <c r="C213" s="7" t="s">
        <v>1014</v>
      </c>
      <c r="D213" s="33" t="str">
        <f>VLOOKUP(B213,Detail!$G$1:$H$1001,2,FALSE)</f>
        <v>Farhunnisa Wahyuni</v>
      </c>
      <c r="E213" s="7">
        <v>54</v>
      </c>
      <c r="F213" s="7">
        <v>51</v>
      </c>
      <c r="G213" s="57">
        <v>91</v>
      </c>
      <c r="H213" s="7">
        <v>52</v>
      </c>
      <c r="I213" s="7">
        <v>63</v>
      </c>
      <c r="J213" s="7">
        <v>92</v>
      </c>
      <c r="K213" s="7">
        <v>78</v>
      </c>
      <c r="L213" s="56">
        <f>IFERROR(VLOOKUP(B213,Absen!$A$1:$C$501,2,FALSE),"No")</f>
        <v>44817</v>
      </c>
      <c r="M213" s="58">
        <f t="shared" si="8"/>
        <v>6.8000000000000007</v>
      </c>
      <c r="N213" s="57">
        <f t="shared" si="9"/>
        <v>70.900000000000006</v>
      </c>
      <c r="O213" s="7" t="str">
        <f>VLOOKUP(N213,Helper!$B$30:$C$35,2,TRUE)</f>
        <v>B</v>
      </c>
      <c r="P213" s="56">
        <f>INDEX(Detail!$A$1:$A$1001,MATCH(B213,Detail!$G$1:$G$1001,0))</f>
        <v>37915</v>
      </c>
      <c r="Q213" s="33" t="str">
        <f>INDEX(Detail!$F$1:$F$1001,MATCH(Main!B213,Detail!$G$1:$G$1001,0))</f>
        <v>Bogor</v>
      </c>
      <c r="R213" s="7">
        <f>INDEX(Detail!$C$1:$C$1001,MATCH(B213,Detail!$G$1:$G$1001,0),1)</f>
        <v>152</v>
      </c>
      <c r="S213" s="7">
        <f>INDEX(Detail!$D$1:$D$1001,MATCH(B213,Detail!$G$1:$G$1001,0),1)</f>
        <v>92</v>
      </c>
      <c r="T213" s="7" t="str">
        <f>INDEX(Detail!$E$1:$E$1001,MATCH(Main!B213,Detail!$G$1:$G$1001,0))</f>
        <v xml:space="preserve">Jl. Moch. Ramdan No. 5
</v>
      </c>
      <c r="U213" s="7" t="str">
        <f>INDEX(Detail!$B$1:$B$1001,MATCH(B213,Detail!$G$1:$G$1001,0),1)</f>
        <v>AB+</v>
      </c>
      <c r="V213" s="7" t="str" cm="1">
        <f t="array" ref="V213">INDEX(Dosen!$B$3:$E$8,MATCH(Main!C213,Dosen!$A$3:$A$8,0),IF(AND(Main!A213&gt;=1,Main!A213&lt;=250),1,IF(AND(Main!A213&gt;=251,Main!A213&lt;=500),2,IF(AND(Main!A213&gt;=501,Main!A213&lt;=750),3,4))))</f>
        <v>Bu Ratna</v>
      </c>
      <c r="W213" s="7" t="str">
        <f>_xlfn.XLOOKUP(B213,Detail!$G$1:$G$1001,Detail!$B$1:$B$1001)</f>
        <v>AB+</v>
      </c>
    </row>
    <row r="214" spans="1:23" ht="15.75" x14ac:dyDescent="0.25">
      <c r="A214" s="7">
        <v>456</v>
      </c>
      <c r="B214" s="33" t="str">
        <f t="shared" si="7"/>
        <v>B0456</v>
      </c>
      <c r="C214" s="7" t="s">
        <v>1014</v>
      </c>
      <c r="D214" s="33" t="str">
        <f>VLOOKUP(B214,Detail!$G$1:$H$1001,2,FALSE)</f>
        <v>Farah Rahmawati</v>
      </c>
      <c r="E214" s="7">
        <v>88</v>
      </c>
      <c r="F214" s="7">
        <v>43</v>
      </c>
      <c r="G214" s="57">
        <v>79</v>
      </c>
      <c r="H214" s="7">
        <v>62</v>
      </c>
      <c r="I214" s="7">
        <v>54</v>
      </c>
      <c r="J214" s="7">
        <v>97</v>
      </c>
      <c r="K214" s="7">
        <v>81</v>
      </c>
      <c r="L214" s="56">
        <f>IFERROR(VLOOKUP(B214,Absen!$A$1:$C$501,2,FALSE),"No")</f>
        <v>44761</v>
      </c>
      <c r="M214" s="58">
        <f t="shared" si="8"/>
        <v>7.1000000000000005</v>
      </c>
      <c r="N214" s="57">
        <f t="shared" si="9"/>
        <v>73.174999999999997</v>
      </c>
      <c r="O214" s="7" t="str">
        <f>VLOOKUP(N214,Helper!$B$30:$C$35,2,TRUE)</f>
        <v>B</v>
      </c>
      <c r="P214" s="56">
        <f>INDEX(Detail!$A$1:$A$1001,MATCH(B214,Detail!$G$1:$G$1001,0))</f>
        <v>37951</v>
      </c>
      <c r="Q214" s="33" t="str">
        <f>INDEX(Detail!$F$1:$F$1001,MATCH(Main!B214,Detail!$G$1:$G$1001,0))</f>
        <v>Kota Administrasi Jakarta Pusat</v>
      </c>
      <c r="R214" s="7">
        <f>INDEX(Detail!$C$1:$C$1001,MATCH(B214,Detail!$G$1:$G$1001,0),1)</f>
        <v>172</v>
      </c>
      <c r="S214" s="7">
        <f>INDEX(Detail!$D$1:$D$1001,MATCH(B214,Detail!$G$1:$G$1001,0),1)</f>
        <v>70</v>
      </c>
      <c r="T214" s="7" t="str">
        <f>INDEX(Detail!$E$1:$E$1001,MATCH(Main!B214,Detail!$G$1:$G$1001,0))</f>
        <v xml:space="preserve">Jalan Jakarta No. 9
</v>
      </c>
      <c r="U214" s="7" t="str">
        <f>INDEX(Detail!$B$1:$B$1001,MATCH(B214,Detail!$G$1:$G$1001,0),1)</f>
        <v>B-</v>
      </c>
      <c r="V214" s="7" t="str" cm="1">
        <f t="array" ref="V214">INDEX(Dosen!$B$3:$E$8,MATCH(Main!C214,Dosen!$A$3:$A$8,0),IF(AND(Main!A214&gt;=1,Main!A214&lt;=250),1,IF(AND(Main!A214&gt;=251,Main!A214&lt;=500),2,IF(AND(Main!A214&gt;=501,Main!A214&lt;=750),3,4))))</f>
        <v>Bu Ratna</v>
      </c>
      <c r="W214" s="7" t="str">
        <f>_xlfn.XLOOKUP(B214,Detail!$G$1:$G$1001,Detail!$B$1:$B$1001)</f>
        <v>B-</v>
      </c>
    </row>
    <row r="215" spans="1:23" ht="15.75" x14ac:dyDescent="0.25">
      <c r="A215" s="7">
        <v>458</v>
      </c>
      <c r="B215" s="33" t="str">
        <f t="shared" si="7"/>
        <v>B0458</v>
      </c>
      <c r="C215" s="7" t="s">
        <v>1014</v>
      </c>
      <c r="D215" s="33" t="str">
        <f>VLOOKUP(B215,Detail!$G$1:$H$1001,2,FALSE)</f>
        <v>Tina Puspasari</v>
      </c>
      <c r="E215" s="7">
        <v>72</v>
      </c>
      <c r="F215" s="7">
        <v>55</v>
      </c>
      <c r="G215" s="57">
        <v>61</v>
      </c>
      <c r="H215" s="7">
        <v>52</v>
      </c>
      <c r="I215" s="7">
        <v>73</v>
      </c>
      <c r="J215" s="7">
        <v>71</v>
      </c>
      <c r="K215" s="7">
        <v>62</v>
      </c>
      <c r="L215" s="56" t="str">
        <f>IFERROR(VLOOKUP(B215,Absen!$A$1:$C$501,2,FALSE),"No")</f>
        <v>No</v>
      </c>
      <c r="M215" s="58">
        <f t="shared" si="8"/>
        <v>6.2</v>
      </c>
      <c r="N215" s="57">
        <f t="shared" si="9"/>
        <v>64.100000000000009</v>
      </c>
      <c r="O215" s="7" t="str">
        <f>VLOOKUP(N215,Helper!$B$30:$C$35,2,TRUE)</f>
        <v>C</v>
      </c>
      <c r="P215" s="56">
        <f>INDEX(Detail!$A$1:$A$1001,MATCH(B215,Detail!$G$1:$G$1001,0))</f>
        <v>37464</v>
      </c>
      <c r="Q215" s="33" t="str">
        <f>INDEX(Detail!$F$1:$F$1001,MATCH(Main!B215,Detail!$G$1:$G$1001,0))</f>
        <v>Jayapura</v>
      </c>
      <c r="R215" s="7">
        <f>INDEX(Detail!$C$1:$C$1001,MATCH(B215,Detail!$G$1:$G$1001,0),1)</f>
        <v>156</v>
      </c>
      <c r="S215" s="7">
        <f>INDEX(Detail!$D$1:$D$1001,MATCH(B215,Detail!$G$1:$G$1001,0),1)</f>
        <v>87</v>
      </c>
      <c r="T215" s="7" t="str">
        <f>INDEX(Detail!$E$1:$E$1001,MATCH(Main!B215,Detail!$G$1:$G$1001,0))</f>
        <v>Jalan W.R. Supratman No. 90</v>
      </c>
      <c r="U215" s="7" t="str">
        <f>INDEX(Detail!$B$1:$B$1001,MATCH(B215,Detail!$G$1:$G$1001,0),1)</f>
        <v>A+</v>
      </c>
      <c r="V215" s="7" t="str" cm="1">
        <f t="array" ref="V215">INDEX(Dosen!$B$3:$E$8,MATCH(Main!C215,Dosen!$A$3:$A$8,0),IF(AND(Main!A215&gt;=1,Main!A215&lt;=250),1,IF(AND(Main!A215&gt;=251,Main!A215&lt;=500),2,IF(AND(Main!A215&gt;=501,Main!A215&lt;=750),3,4))))</f>
        <v>Bu Ratna</v>
      </c>
      <c r="W215" s="7" t="str">
        <f>_xlfn.XLOOKUP(B215,Detail!$G$1:$G$1001,Detail!$B$1:$B$1001)</f>
        <v>A+</v>
      </c>
    </row>
    <row r="216" spans="1:23" ht="15.75" x14ac:dyDescent="0.25">
      <c r="A216" s="7">
        <v>466</v>
      </c>
      <c r="B216" s="33" t="str">
        <f t="shared" si="7"/>
        <v>B0466</v>
      </c>
      <c r="C216" s="7" t="s">
        <v>1014</v>
      </c>
      <c r="D216" s="33" t="str">
        <f>VLOOKUP(B216,Detail!$G$1:$H$1001,2,FALSE)</f>
        <v>Purwa Uyainah</v>
      </c>
      <c r="E216" s="7">
        <v>66</v>
      </c>
      <c r="F216" s="7">
        <v>45</v>
      </c>
      <c r="G216" s="57">
        <v>49</v>
      </c>
      <c r="H216" s="7">
        <v>74</v>
      </c>
      <c r="I216" s="7">
        <v>67</v>
      </c>
      <c r="J216" s="7">
        <v>55</v>
      </c>
      <c r="K216" s="7">
        <v>72</v>
      </c>
      <c r="L216" s="56" t="str">
        <f>IFERROR(VLOOKUP(B216,Absen!$A$1:$C$501,2,FALSE),"No")</f>
        <v>No</v>
      </c>
      <c r="M216" s="58">
        <f t="shared" si="8"/>
        <v>7.2</v>
      </c>
      <c r="N216" s="57">
        <f t="shared" si="9"/>
        <v>59.5</v>
      </c>
      <c r="O216" s="7" t="str">
        <f>VLOOKUP(N216,Helper!$B$30:$C$35,2,TRUE)</f>
        <v>D</v>
      </c>
      <c r="P216" s="56">
        <f>INDEX(Detail!$A$1:$A$1001,MATCH(B216,Detail!$G$1:$G$1001,0))</f>
        <v>37761</v>
      </c>
      <c r="Q216" s="33" t="str">
        <f>INDEX(Detail!$F$1:$F$1001,MATCH(Main!B216,Detail!$G$1:$G$1001,0))</f>
        <v>Batu</v>
      </c>
      <c r="R216" s="7">
        <f>INDEX(Detail!$C$1:$C$1001,MATCH(B216,Detail!$G$1:$G$1001,0),1)</f>
        <v>169</v>
      </c>
      <c r="S216" s="7">
        <f>INDEX(Detail!$D$1:$D$1001,MATCH(B216,Detail!$G$1:$G$1001,0),1)</f>
        <v>66</v>
      </c>
      <c r="T216" s="7" t="str">
        <f>INDEX(Detail!$E$1:$E$1001,MATCH(Main!B216,Detail!$G$1:$G$1001,0))</f>
        <v xml:space="preserve">Gang Rawamangun No. 3
</v>
      </c>
      <c r="U216" s="7" t="str">
        <f>INDEX(Detail!$B$1:$B$1001,MATCH(B216,Detail!$G$1:$G$1001,0),1)</f>
        <v>A+</v>
      </c>
      <c r="V216" s="7" t="str" cm="1">
        <f t="array" ref="V216">INDEX(Dosen!$B$3:$E$8,MATCH(Main!C216,Dosen!$A$3:$A$8,0),IF(AND(Main!A216&gt;=1,Main!A216&lt;=250),1,IF(AND(Main!A216&gt;=251,Main!A216&lt;=500),2,IF(AND(Main!A216&gt;=501,Main!A216&lt;=750),3,4))))</f>
        <v>Bu Ratna</v>
      </c>
      <c r="W216" s="7" t="str">
        <f>_xlfn.XLOOKUP(B216,Detail!$G$1:$G$1001,Detail!$B$1:$B$1001)</f>
        <v>A+</v>
      </c>
    </row>
    <row r="217" spans="1:23" ht="15.75" x14ac:dyDescent="0.25">
      <c r="A217" s="7">
        <v>467</v>
      </c>
      <c r="B217" s="33" t="str">
        <f t="shared" si="7"/>
        <v>B0467</v>
      </c>
      <c r="C217" s="7" t="s">
        <v>1014</v>
      </c>
      <c r="D217" s="33" t="str">
        <f>VLOOKUP(B217,Detail!$G$1:$H$1001,2,FALSE)</f>
        <v>Anita Suryatmi</v>
      </c>
      <c r="E217" s="7">
        <v>59</v>
      </c>
      <c r="F217" s="7">
        <v>66</v>
      </c>
      <c r="G217" s="57">
        <v>35</v>
      </c>
      <c r="H217" s="7">
        <v>51</v>
      </c>
      <c r="I217" s="7">
        <v>52</v>
      </c>
      <c r="J217" s="7">
        <v>60</v>
      </c>
      <c r="K217" s="7">
        <v>82</v>
      </c>
      <c r="L217" s="56" t="str">
        <f>IFERROR(VLOOKUP(B217,Absen!$A$1:$C$501,2,FALSE),"No")</f>
        <v>No</v>
      </c>
      <c r="M217" s="58">
        <f t="shared" si="8"/>
        <v>8.2000000000000011</v>
      </c>
      <c r="N217" s="57">
        <f t="shared" si="9"/>
        <v>55.7</v>
      </c>
      <c r="O217" s="7" t="str">
        <f>VLOOKUP(N217,Helper!$B$30:$C$35,2,TRUE)</f>
        <v>D</v>
      </c>
      <c r="P217" s="56">
        <f>INDEX(Detail!$A$1:$A$1001,MATCH(B217,Detail!$G$1:$G$1001,0))</f>
        <v>37557</v>
      </c>
      <c r="Q217" s="33" t="str">
        <f>INDEX(Detail!$F$1:$F$1001,MATCH(Main!B217,Detail!$G$1:$G$1001,0))</f>
        <v>Cilegon</v>
      </c>
      <c r="R217" s="7">
        <f>INDEX(Detail!$C$1:$C$1001,MATCH(B217,Detail!$G$1:$G$1001,0),1)</f>
        <v>152</v>
      </c>
      <c r="S217" s="7">
        <f>INDEX(Detail!$D$1:$D$1001,MATCH(B217,Detail!$G$1:$G$1001,0),1)</f>
        <v>93</v>
      </c>
      <c r="T217" s="7" t="str">
        <f>INDEX(Detail!$E$1:$E$1001,MATCH(Main!B217,Detail!$G$1:$G$1001,0))</f>
        <v>Jalan Sentot Alibasa No. 39</v>
      </c>
      <c r="U217" s="7" t="str">
        <f>INDEX(Detail!$B$1:$B$1001,MATCH(B217,Detail!$G$1:$G$1001,0),1)</f>
        <v>A-</v>
      </c>
      <c r="V217" s="7" t="str" cm="1">
        <f t="array" ref="V217">INDEX(Dosen!$B$3:$E$8,MATCH(Main!C217,Dosen!$A$3:$A$8,0),IF(AND(Main!A217&gt;=1,Main!A217&lt;=250),1,IF(AND(Main!A217&gt;=251,Main!A217&lt;=500),2,IF(AND(Main!A217&gt;=501,Main!A217&lt;=750),3,4))))</f>
        <v>Bu Ratna</v>
      </c>
      <c r="W217" s="7" t="str">
        <f>_xlfn.XLOOKUP(B217,Detail!$G$1:$G$1001,Detail!$B$1:$B$1001)</f>
        <v>A-</v>
      </c>
    </row>
    <row r="218" spans="1:23" ht="15.75" x14ac:dyDescent="0.25">
      <c r="A218" s="7">
        <v>472</v>
      </c>
      <c r="B218" s="33" t="str">
        <f t="shared" si="7"/>
        <v>B0472</v>
      </c>
      <c r="C218" s="7" t="s">
        <v>1014</v>
      </c>
      <c r="D218" s="33" t="str">
        <f>VLOOKUP(B218,Detail!$G$1:$H$1001,2,FALSE)</f>
        <v>Harjasa Wibowo</v>
      </c>
      <c r="E218" s="7">
        <v>51</v>
      </c>
      <c r="F218" s="7">
        <v>51</v>
      </c>
      <c r="G218" s="57">
        <v>39</v>
      </c>
      <c r="H218" s="7">
        <v>58</v>
      </c>
      <c r="I218" s="7">
        <v>59</v>
      </c>
      <c r="J218" s="7">
        <v>77</v>
      </c>
      <c r="K218" s="7">
        <v>60</v>
      </c>
      <c r="L218" s="56">
        <f>IFERROR(VLOOKUP(B218,Absen!$A$1:$C$501,2,FALSE),"No")</f>
        <v>44835</v>
      </c>
      <c r="M218" s="58">
        <f t="shared" si="8"/>
        <v>5</v>
      </c>
      <c r="N218" s="57">
        <f t="shared" si="9"/>
        <v>55.574999999999996</v>
      </c>
      <c r="O218" s="7" t="str">
        <f>VLOOKUP(N218,Helper!$B$30:$C$35,2,TRUE)</f>
        <v>D</v>
      </c>
      <c r="P218" s="56">
        <f>INDEX(Detail!$A$1:$A$1001,MATCH(B218,Detail!$G$1:$G$1001,0))</f>
        <v>37349</v>
      </c>
      <c r="Q218" s="33" t="str">
        <f>INDEX(Detail!$F$1:$F$1001,MATCH(Main!B218,Detail!$G$1:$G$1001,0))</f>
        <v>Pagaralam</v>
      </c>
      <c r="R218" s="7">
        <f>INDEX(Detail!$C$1:$C$1001,MATCH(B218,Detail!$G$1:$G$1001,0),1)</f>
        <v>171</v>
      </c>
      <c r="S218" s="7">
        <f>INDEX(Detail!$D$1:$D$1001,MATCH(B218,Detail!$G$1:$G$1001,0),1)</f>
        <v>90</v>
      </c>
      <c r="T218" s="7" t="str">
        <f>INDEX(Detail!$E$1:$E$1001,MATCH(Main!B218,Detail!$G$1:$G$1001,0))</f>
        <v>Jl. Kiaracondong No. 99</v>
      </c>
      <c r="U218" s="7" t="str">
        <f>INDEX(Detail!$B$1:$B$1001,MATCH(B218,Detail!$G$1:$G$1001,0),1)</f>
        <v>A+</v>
      </c>
      <c r="V218" s="7" t="str" cm="1">
        <f t="array" ref="V218">INDEX(Dosen!$B$3:$E$8,MATCH(Main!C218,Dosen!$A$3:$A$8,0),IF(AND(Main!A218&gt;=1,Main!A218&lt;=250),1,IF(AND(Main!A218&gt;=251,Main!A218&lt;=500),2,IF(AND(Main!A218&gt;=501,Main!A218&lt;=750),3,4))))</f>
        <v>Bu Ratna</v>
      </c>
      <c r="W218" s="7" t="str">
        <f>_xlfn.XLOOKUP(B218,Detail!$G$1:$G$1001,Detail!$B$1:$B$1001)</f>
        <v>A+</v>
      </c>
    </row>
    <row r="219" spans="1:23" ht="15.75" x14ac:dyDescent="0.25">
      <c r="A219" s="7">
        <v>476</v>
      </c>
      <c r="B219" s="33" t="str">
        <f t="shared" si="7"/>
        <v>B0476</v>
      </c>
      <c r="C219" s="7" t="s">
        <v>1014</v>
      </c>
      <c r="D219" s="33" t="str">
        <f>VLOOKUP(B219,Detail!$G$1:$H$1001,2,FALSE)</f>
        <v>Jabal Manullang</v>
      </c>
      <c r="E219" s="7">
        <v>94</v>
      </c>
      <c r="F219" s="7">
        <v>52</v>
      </c>
      <c r="G219" s="57">
        <v>52</v>
      </c>
      <c r="H219" s="7">
        <v>60</v>
      </c>
      <c r="I219" s="7">
        <v>52</v>
      </c>
      <c r="J219" s="7">
        <v>91</v>
      </c>
      <c r="K219" s="7">
        <v>92</v>
      </c>
      <c r="L219" s="56">
        <f>IFERROR(VLOOKUP(B219,Absen!$A$1:$C$501,2,FALSE),"No")</f>
        <v>44882</v>
      </c>
      <c r="M219" s="58">
        <f t="shared" si="8"/>
        <v>8.2000000000000011</v>
      </c>
      <c r="N219" s="57">
        <f t="shared" si="9"/>
        <v>69.05</v>
      </c>
      <c r="O219" s="7" t="str">
        <f>VLOOKUP(N219,Helper!$B$30:$C$35,2,TRUE)</f>
        <v>C</v>
      </c>
      <c r="P219" s="56">
        <f>INDEX(Detail!$A$1:$A$1001,MATCH(B219,Detail!$G$1:$G$1001,0))</f>
        <v>37227</v>
      </c>
      <c r="Q219" s="33" t="str">
        <f>INDEX(Detail!$F$1:$F$1001,MATCH(Main!B219,Detail!$G$1:$G$1001,0))</f>
        <v>Padang</v>
      </c>
      <c r="R219" s="7">
        <f>INDEX(Detail!$C$1:$C$1001,MATCH(B219,Detail!$G$1:$G$1001,0),1)</f>
        <v>177</v>
      </c>
      <c r="S219" s="7">
        <f>INDEX(Detail!$D$1:$D$1001,MATCH(B219,Detail!$G$1:$G$1001,0),1)</f>
        <v>76</v>
      </c>
      <c r="T219" s="7" t="str">
        <f>INDEX(Detail!$E$1:$E$1001,MATCH(Main!B219,Detail!$G$1:$G$1001,0))</f>
        <v xml:space="preserve">Gang Pacuan Kuda No. 9
</v>
      </c>
      <c r="U219" s="7" t="str">
        <f>INDEX(Detail!$B$1:$B$1001,MATCH(B219,Detail!$G$1:$G$1001,0),1)</f>
        <v>A-</v>
      </c>
      <c r="V219" s="7" t="str" cm="1">
        <f t="array" ref="V219">INDEX(Dosen!$B$3:$E$8,MATCH(Main!C219,Dosen!$A$3:$A$8,0),IF(AND(Main!A219&gt;=1,Main!A219&lt;=250),1,IF(AND(Main!A219&gt;=251,Main!A219&lt;=500),2,IF(AND(Main!A219&gt;=501,Main!A219&lt;=750),3,4))))</f>
        <v>Bu Ratna</v>
      </c>
      <c r="W219" s="7" t="str">
        <f>_xlfn.XLOOKUP(B219,Detail!$G$1:$G$1001,Detail!$B$1:$B$1001)</f>
        <v>A-</v>
      </c>
    </row>
    <row r="220" spans="1:23" ht="15.75" x14ac:dyDescent="0.25">
      <c r="A220" s="7">
        <v>480</v>
      </c>
      <c r="B220" s="33" t="str">
        <f t="shared" si="7"/>
        <v>B0480</v>
      </c>
      <c r="C220" s="7" t="s">
        <v>1014</v>
      </c>
      <c r="D220" s="33" t="str">
        <f>VLOOKUP(B220,Detail!$G$1:$H$1001,2,FALSE)</f>
        <v>Fitriani Nuraini</v>
      </c>
      <c r="E220" s="7">
        <v>72</v>
      </c>
      <c r="F220" s="7">
        <v>51</v>
      </c>
      <c r="G220" s="57">
        <v>42</v>
      </c>
      <c r="H220" s="7">
        <v>55</v>
      </c>
      <c r="I220" s="7">
        <v>86</v>
      </c>
      <c r="J220" s="7">
        <v>74</v>
      </c>
      <c r="K220" s="7">
        <v>85</v>
      </c>
      <c r="L220" s="56" t="str">
        <f>IFERROR(VLOOKUP(B220,Absen!$A$1:$C$501,2,FALSE),"No")</f>
        <v>No</v>
      </c>
      <c r="M220" s="58">
        <f t="shared" si="8"/>
        <v>8.5</v>
      </c>
      <c r="N220" s="57">
        <f t="shared" si="9"/>
        <v>64.7</v>
      </c>
      <c r="O220" s="7" t="str">
        <f>VLOOKUP(N220,Helper!$B$30:$C$35,2,TRUE)</f>
        <v>C</v>
      </c>
      <c r="P220" s="56">
        <f>INDEX(Detail!$A$1:$A$1001,MATCH(B220,Detail!$G$1:$G$1001,0))</f>
        <v>37390</v>
      </c>
      <c r="Q220" s="33" t="str">
        <f>INDEX(Detail!$F$1:$F$1001,MATCH(Main!B220,Detail!$G$1:$G$1001,0))</f>
        <v>Manado</v>
      </c>
      <c r="R220" s="7">
        <f>INDEX(Detail!$C$1:$C$1001,MATCH(B220,Detail!$G$1:$G$1001,0),1)</f>
        <v>153</v>
      </c>
      <c r="S220" s="7">
        <f>INDEX(Detail!$D$1:$D$1001,MATCH(B220,Detail!$G$1:$G$1001,0),1)</f>
        <v>49</v>
      </c>
      <c r="T220" s="7" t="str">
        <f>INDEX(Detail!$E$1:$E$1001,MATCH(Main!B220,Detail!$G$1:$G$1001,0))</f>
        <v xml:space="preserve">Gg. Tebet Barat Dalam No. 6
</v>
      </c>
      <c r="U220" s="7" t="str">
        <f>INDEX(Detail!$B$1:$B$1001,MATCH(B220,Detail!$G$1:$G$1001,0),1)</f>
        <v>O-</v>
      </c>
      <c r="V220" s="7" t="str" cm="1">
        <f t="array" ref="V220">INDEX(Dosen!$B$3:$E$8,MATCH(Main!C220,Dosen!$A$3:$A$8,0),IF(AND(Main!A220&gt;=1,Main!A220&lt;=250),1,IF(AND(Main!A220&gt;=251,Main!A220&lt;=500),2,IF(AND(Main!A220&gt;=501,Main!A220&lt;=750),3,4))))</f>
        <v>Bu Ratna</v>
      </c>
      <c r="W220" s="7" t="str">
        <f>_xlfn.XLOOKUP(B220,Detail!$G$1:$G$1001,Detail!$B$1:$B$1001)</f>
        <v>O-</v>
      </c>
    </row>
    <row r="221" spans="1:23" ht="15.75" x14ac:dyDescent="0.25">
      <c r="A221" s="7">
        <v>483</v>
      </c>
      <c r="B221" s="33" t="str">
        <f t="shared" si="7"/>
        <v>B0483</v>
      </c>
      <c r="C221" s="7" t="s">
        <v>1014</v>
      </c>
      <c r="D221" s="33" t="str">
        <f>VLOOKUP(B221,Detail!$G$1:$H$1001,2,FALSE)</f>
        <v>Wani Wahyudin</v>
      </c>
      <c r="E221" s="7">
        <v>53</v>
      </c>
      <c r="F221" s="7">
        <v>41</v>
      </c>
      <c r="G221" s="57">
        <v>77</v>
      </c>
      <c r="H221" s="7">
        <v>67</v>
      </c>
      <c r="I221" s="7">
        <v>69</v>
      </c>
      <c r="J221" s="7">
        <v>46</v>
      </c>
      <c r="K221" s="7">
        <v>69</v>
      </c>
      <c r="L221" s="56">
        <f>IFERROR(VLOOKUP(B221,Absen!$A$1:$C$501,2,FALSE),"No")</f>
        <v>44850</v>
      </c>
      <c r="M221" s="58">
        <f t="shared" si="8"/>
        <v>5.9</v>
      </c>
      <c r="N221" s="57">
        <f t="shared" si="9"/>
        <v>59.25</v>
      </c>
      <c r="O221" s="7" t="str">
        <f>VLOOKUP(N221,Helper!$B$30:$C$35,2,TRUE)</f>
        <v>D</v>
      </c>
      <c r="P221" s="56">
        <f>INDEX(Detail!$A$1:$A$1001,MATCH(B221,Detail!$G$1:$G$1001,0))</f>
        <v>37184</v>
      </c>
      <c r="Q221" s="33" t="str">
        <f>INDEX(Detail!$F$1:$F$1001,MATCH(Main!B221,Detail!$G$1:$G$1001,0))</f>
        <v>Bitung</v>
      </c>
      <c r="R221" s="7">
        <f>INDEX(Detail!$C$1:$C$1001,MATCH(B221,Detail!$G$1:$G$1001,0),1)</f>
        <v>156</v>
      </c>
      <c r="S221" s="7">
        <f>INDEX(Detail!$D$1:$D$1001,MATCH(B221,Detail!$G$1:$G$1001,0),1)</f>
        <v>54</v>
      </c>
      <c r="T221" s="7" t="str">
        <f>INDEX(Detail!$E$1:$E$1001,MATCH(Main!B221,Detail!$G$1:$G$1001,0))</f>
        <v>Jl. Kutisari Selatan No. 35</v>
      </c>
      <c r="U221" s="7" t="str">
        <f>INDEX(Detail!$B$1:$B$1001,MATCH(B221,Detail!$G$1:$G$1001,0),1)</f>
        <v>O-</v>
      </c>
      <c r="V221" s="7" t="str" cm="1">
        <f t="array" ref="V221">INDEX(Dosen!$B$3:$E$8,MATCH(Main!C221,Dosen!$A$3:$A$8,0),IF(AND(Main!A221&gt;=1,Main!A221&lt;=250),1,IF(AND(Main!A221&gt;=251,Main!A221&lt;=500),2,IF(AND(Main!A221&gt;=501,Main!A221&lt;=750),3,4))))</f>
        <v>Bu Ratna</v>
      </c>
      <c r="W221" s="7" t="str">
        <f>_xlfn.XLOOKUP(B221,Detail!$G$1:$G$1001,Detail!$B$1:$B$1001)</f>
        <v>O-</v>
      </c>
    </row>
    <row r="222" spans="1:23" ht="15.75" x14ac:dyDescent="0.25">
      <c r="A222" s="7">
        <v>495</v>
      </c>
      <c r="B222" s="33" t="str">
        <f t="shared" si="7"/>
        <v>B0495</v>
      </c>
      <c r="C222" s="7" t="s">
        <v>1014</v>
      </c>
      <c r="D222" s="33" t="str">
        <f>VLOOKUP(B222,Detail!$G$1:$H$1001,2,FALSE)</f>
        <v>Gamanto Suryatmi</v>
      </c>
      <c r="E222" s="7">
        <v>76</v>
      </c>
      <c r="F222" s="7">
        <v>67</v>
      </c>
      <c r="G222" s="57">
        <v>94</v>
      </c>
      <c r="H222" s="7">
        <v>50</v>
      </c>
      <c r="I222" s="7">
        <v>88</v>
      </c>
      <c r="J222" s="7">
        <v>96</v>
      </c>
      <c r="K222" s="7">
        <v>69</v>
      </c>
      <c r="L222" s="56">
        <f>IFERROR(VLOOKUP(B222,Absen!$A$1:$C$501,2,FALSE),"No")</f>
        <v>44822</v>
      </c>
      <c r="M222" s="58">
        <f t="shared" si="8"/>
        <v>5.9</v>
      </c>
      <c r="N222" s="57">
        <f t="shared" si="9"/>
        <v>79.025000000000006</v>
      </c>
      <c r="O222" s="7" t="str">
        <f>VLOOKUP(N222,Helper!$B$30:$C$35,2,TRUE)</f>
        <v>B</v>
      </c>
      <c r="P222" s="56">
        <f>INDEX(Detail!$A$1:$A$1001,MATCH(B222,Detail!$G$1:$G$1001,0))</f>
        <v>37032</v>
      </c>
      <c r="Q222" s="33" t="str">
        <f>INDEX(Detail!$F$1:$F$1001,MATCH(Main!B222,Detail!$G$1:$G$1001,0))</f>
        <v>Palangkaraya</v>
      </c>
      <c r="R222" s="7">
        <f>INDEX(Detail!$C$1:$C$1001,MATCH(B222,Detail!$G$1:$G$1001,0),1)</f>
        <v>166</v>
      </c>
      <c r="S222" s="7">
        <f>INDEX(Detail!$D$1:$D$1001,MATCH(B222,Detail!$G$1:$G$1001,0),1)</f>
        <v>61</v>
      </c>
      <c r="T222" s="7" t="str">
        <f>INDEX(Detail!$E$1:$E$1001,MATCH(Main!B222,Detail!$G$1:$G$1001,0))</f>
        <v>Gang Jamika No. 82</v>
      </c>
      <c r="U222" s="7" t="str">
        <f>INDEX(Detail!$B$1:$B$1001,MATCH(B222,Detail!$G$1:$G$1001,0),1)</f>
        <v>B-</v>
      </c>
      <c r="V222" s="7" t="str" cm="1">
        <f t="array" ref="V222">INDEX(Dosen!$B$3:$E$8,MATCH(Main!C222,Dosen!$A$3:$A$8,0),IF(AND(Main!A222&gt;=1,Main!A222&lt;=250),1,IF(AND(Main!A222&gt;=251,Main!A222&lt;=500),2,IF(AND(Main!A222&gt;=501,Main!A222&lt;=750),3,4))))</f>
        <v>Bu Ratna</v>
      </c>
      <c r="W222" s="7" t="str">
        <f>_xlfn.XLOOKUP(B222,Detail!$G$1:$G$1001,Detail!$B$1:$B$1001)</f>
        <v>B-</v>
      </c>
    </row>
    <row r="223" spans="1:23" ht="15.75" x14ac:dyDescent="0.25">
      <c r="A223" s="7">
        <v>502</v>
      </c>
      <c r="B223" s="33" t="str">
        <f t="shared" si="7"/>
        <v>B0502</v>
      </c>
      <c r="C223" s="7" t="s">
        <v>1014</v>
      </c>
      <c r="D223" s="33" t="str">
        <f>VLOOKUP(B223,Detail!$G$1:$H$1001,2,FALSE)</f>
        <v>Septi Prasetya</v>
      </c>
      <c r="E223" s="7">
        <v>54</v>
      </c>
      <c r="F223" s="7">
        <v>61</v>
      </c>
      <c r="G223" s="57">
        <v>39</v>
      </c>
      <c r="H223" s="7">
        <v>56</v>
      </c>
      <c r="I223" s="7">
        <v>85</v>
      </c>
      <c r="J223" s="7">
        <v>77</v>
      </c>
      <c r="K223" s="7">
        <v>71</v>
      </c>
      <c r="L223" s="56">
        <f>IFERROR(VLOOKUP(B223,Absen!$A$1:$C$501,2,FALSE),"No")</f>
        <v>44873</v>
      </c>
      <c r="M223" s="58">
        <f t="shared" si="8"/>
        <v>6.1000000000000005</v>
      </c>
      <c r="N223" s="57">
        <f t="shared" si="9"/>
        <v>61.3</v>
      </c>
      <c r="O223" s="7" t="str">
        <f>VLOOKUP(N223,Helper!$B$30:$C$35,2,TRUE)</f>
        <v>C</v>
      </c>
      <c r="P223" s="56">
        <f>INDEX(Detail!$A$1:$A$1001,MATCH(B223,Detail!$G$1:$G$1001,0))</f>
        <v>38255</v>
      </c>
      <c r="Q223" s="33" t="str">
        <f>INDEX(Detail!$F$1:$F$1001,MATCH(Main!B223,Detail!$G$1:$G$1001,0))</f>
        <v>Samarinda</v>
      </c>
      <c r="R223" s="7">
        <f>INDEX(Detail!$C$1:$C$1001,MATCH(B223,Detail!$G$1:$G$1001,0),1)</f>
        <v>179</v>
      </c>
      <c r="S223" s="7">
        <f>INDEX(Detail!$D$1:$D$1001,MATCH(B223,Detail!$G$1:$G$1001,0),1)</f>
        <v>79</v>
      </c>
      <c r="T223" s="7" t="str">
        <f>INDEX(Detail!$E$1:$E$1001,MATCH(Main!B223,Detail!$G$1:$G$1001,0))</f>
        <v>Jalan Ahmad Dahlan No. 36</v>
      </c>
      <c r="U223" s="7" t="str">
        <f>INDEX(Detail!$B$1:$B$1001,MATCH(B223,Detail!$G$1:$G$1001,0),1)</f>
        <v>A-</v>
      </c>
      <c r="V223" s="7" t="str" cm="1">
        <f t="array" ref="V223">INDEX(Dosen!$B$3:$E$8,MATCH(Main!C223,Dosen!$A$3:$A$8,0),IF(AND(Main!A223&gt;=1,Main!A223&lt;=250),1,IF(AND(Main!A223&gt;=251,Main!A223&lt;=500),2,IF(AND(Main!A223&gt;=501,Main!A223&lt;=750),3,4))))</f>
        <v>Pak Andi</v>
      </c>
      <c r="W223" s="7" t="str">
        <f>_xlfn.XLOOKUP(B223,Detail!$G$1:$G$1001,Detail!$B$1:$B$1001)</f>
        <v>A-</v>
      </c>
    </row>
    <row r="224" spans="1:23" ht="15.75" x14ac:dyDescent="0.25">
      <c r="A224" s="7">
        <v>507</v>
      </c>
      <c r="B224" s="33" t="str">
        <f t="shared" si="7"/>
        <v>B0507</v>
      </c>
      <c r="C224" s="7" t="s">
        <v>1014</v>
      </c>
      <c r="D224" s="33" t="str">
        <f>VLOOKUP(B224,Detail!$G$1:$H$1001,2,FALSE)</f>
        <v>Jefri Hutapea</v>
      </c>
      <c r="E224" s="7">
        <v>50</v>
      </c>
      <c r="F224" s="7">
        <v>45</v>
      </c>
      <c r="G224" s="57">
        <v>48</v>
      </c>
      <c r="H224" s="7">
        <v>71</v>
      </c>
      <c r="I224" s="7">
        <v>55</v>
      </c>
      <c r="J224" s="7">
        <v>83</v>
      </c>
      <c r="K224" s="7">
        <v>95</v>
      </c>
      <c r="L224" s="56">
        <f>IFERROR(VLOOKUP(B224,Absen!$A$1:$C$501,2,FALSE),"No")</f>
        <v>44841</v>
      </c>
      <c r="M224" s="58">
        <f t="shared" si="8"/>
        <v>8.5</v>
      </c>
      <c r="N224" s="57">
        <f t="shared" si="9"/>
        <v>62.325000000000003</v>
      </c>
      <c r="O224" s="7" t="str">
        <f>VLOOKUP(N224,Helper!$B$30:$C$35,2,TRUE)</f>
        <v>C</v>
      </c>
      <c r="P224" s="56">
        <f>INDEX(Detail!$A$1:$A$1001,MATCH(B224,Detail!$G$1:$G$1001,0))</f>
        <v>37021</v>
      </c>
      <c r="Q224" s="33" t="str">
        <f>INDEX(Detail!$F$1:$F$1001,MATCH(Main!B224,Detail!$G$1:$G$1001,0))</f>
        <v>Pariaman</v>
      </c>
      <c r="R224" s="7">
        <f>INDEX(Detail!$C$1:$C$1001,MATCH(B224,Detail!$G$1:$G$1001,0),1)</f>
        <v>173</v>
      </c>
      <c r="S224" s="7">
        <f>INDEX(Detail!$D$1:$D$1001,MATCH(B224,Detail!$G$1:$G$1001,0),1)</f>
        <v>46</v>
      </c>
      <c r="T224" s="7" t="str">
        <f>INDEX(Detail!$E$1:$E$1001,MATCH(Main!B224,Detail!$G$1:$G$1001,0))</f>
        <v>Gang Pelajar Pejuang No. 27</v>
      </c>
      <c r="U224" s="7" t="str">
        <f>INDEX(Detail!$B$1:$B$1001,MATCH(B224,Detail!$G$1:$G$1001,0),1)</f>
        <v>AB+</v>
      </c>
      <c r="V224" s="7" t="str" cm="1">
        <f t="array" ref="V224">INDEX(Dosen!$B$3:$E$8,MATCH(Main!C224,Dosen!$A$3:$A$8,0),IF(AND(Main!A224&gt;=1,Main!A224&lt;=250),1,IF(AND(Main!A224&gt;=251,Main!A224&lt;=500),2,IF(AND(Main!A224&gt;=501,Main!A224&lt;=750),3,4))))</f>
        <v>Pak Andi</v>
      </c>
      <c r="W224" s="7" t="str">
        <f>_xlfn.XLOOKUP(B224,Detail!$G$1:$G$1001,Detail!$B$1:$B$1001)</f>
        <v>AB+</v>
      </c>
    </row>
    <row r="225" spans="1:23" ht="15.75" x14ac:dyDescent="0.25">
      <c r="A225" s="7">
        <v>512</v>
      </c>
      <c r="B225" s="33" t="str">
        <f t="shared" ref="B225:B256" si="10">CONCATENATE("B",TEXT(A225,"0000"))</f>
        <v>B0512</v>
      </c>
      <c r="C225" s="7" t="s">
        <v>1014</v>
      </c>
      <c r="D225" s="33" t="str">
        <f>VLOOKUP(B225,Detail!$G$1:$H$1001,2,FALSE)</f>
        <v>Tomi Riyanti</v>
      </c>
      <c r="E225" s="7">
        <v>76</v>
      </c>
      <c r="F225" s="7">
        <v>44</v>
      </c>
      <c r="G225" s="57">
        <v>91</v>
      </c>
      <c r="H225" s="7">
        <v>72</v>
      </c>
      <c r="I225" s="7">
        <v>52</v>
      </c>
      <c r="J225" s="7">
        <v>81</v>
      </c>
      <c r="K225" s="7">
        <v>95</v>
      </c>
      <c r="L225" s="56">
        <f>IFERROR(VLOOKUP(B225,Absen!$A$1:$C$501,2,FALSE),"No")</f>
        <v>44915</v>
      </c>
      <c r="M225" s="58">
        <f t="shared" si="8"/>
        <v>8.5</v>
      </c>
      <c r="N225" s="57">
        <f t="shared" si="9"/>
        <v>73.400000000000006</v>
      </c>
      <c r="O225" s="7" t="str">
        <f>VLOOKUP(N225,Helper!$B$30:$C$35,2,TRUE)</f>
        <v>B</v>
      </c>
      <c r="P225" s="56">
        <f>INDEX(Detail!$A$1:$A$1001,MATCH(B225,Detail!$G$1:$G$1001,0))</f>
        <v>37121</v>
      </c>
      <c r="Q225" s="33" t="str">
        <f>INDEX(Detail!$F$1:$F$1001,MATCH(Main!B225,Detail!$G$1:$G$1001,0))</f>
        <v>Cimahi</v>
      </c>
      <c r="R225" s="7">
        <f>INDEX(Detail!$C$1:$C$1001,MATCH(B225,Detail!$G$1:$G$1001,0),1)</f>
        <v>176</v>
      </c>
      <c r="S225" s="7">
        <f>INDEX(Detail!$D$1:$D$1001,MATCH(B225,Detail!$G$1:$G$1001,0),1)</f>
        <v>48</v>
      </c>
      <c r="T225" s="7" t="str">
        <f>INDEX(Detail!$E$1:$E$1001,MATCH(Main!B225,Detail!$G$1:$G$1001,0))</f>
        <v xml:space="preserve">Jl. Kiaracondong No. 2
</v>
      </c>
      <c r="U225" s="7" t="str">
        <f>INDEX(Detail!$B$1:$B$1001,MATCH(B225,Detail!$G$1:$G$1001,0),1)</f>
        <v>A-</v>
      </c>
      <c r="V225" s="7" t="str" cm="1">
        <f t="array" ref="V225">INDEX(Dosen!$B$3:$E$8,MATCH(Main!C225,Dosen!$A$3:$A$8,0),IF(AND(Main!A225&gt;=1,Main!A225&lt;=250),1,IF(AND(Main!A225&gt;=251,Main!A225&lt;=500),2,IF(AND(Main!A225&gt;=501,Main!A225&lt;=750),3,4))))</f>
        <v>Pak Andi</v>
      </c>
      <c r="W225" s="7" t="str">
        <f>_xlfn.XLOOKUP(B225,Detail!$G$1:$G$1001,Detail!$B$1:$B$1001)</f>
        <v>A-</v>
      </c>
    </row>
    <row r="226" spans="1:23" ht="15.75" x14ac:dyDescent="0.25">
      <c r="A226" s="7">
        <v>515</v>
      </c>
      <c r="B226" s="33" t="str">
        <f t="shared" si="10"/>
        <v>B0515</v>
      </c>
      <c r="C226" s="7" t="s">
        <v>1014</v>
      </c>
      <c r="D226" s="33" t="str">
        <f>VLOOKUP(B226,Detail!$G$1:$H$1001,2,FALSE)</f>
        <v>Betania Fujiati</v>
      </c>
      <c r="E226" s="7">
        <v>90</v>
      </c>
      <c r="F226" s="7">
        <v>55</v>
      </c>
      <c r="G226" s="57">
        <v>42</v>
      </c>
      <c r="H226" s="7">
        <v>65</v>
      </c>
      <c r="I226" s="7">
        <v>80</v>
      </c>
      <c r="J226" s="7">
        <v>86</v>
      </c>
      <c r="K226" s="7">
        <v>64</v>
      </c>
      <c r="L226" s="56">
        <f>IFERROR(VLOOKUP(B226,Absen!$A$1:$C$501,2,FALSE),"No")</f>
        <v>44904</v>
      </c>
      <c r="M226" s="58">
        <f t="shared" si="8"/>
        <v>5.4</v>
      </c>
      <c r="N226" s="57">
        <f t="shared" si="9"/>
        <v>67.25</v>
      </c>
      <c r="O226" s="7" t="str">
        <f>VLOOKUP(N226,Helper!$B$30:$C$35,2,TRUE)</f>
        <v>C</v>
      </c>
      <c r="P226" s="56">
        <f>INDEX(Detail!$A$1:$A$1001,MATCH(B226,Detail!$G$1:$G$1001,0))</f>
        <v>37064</v>
      </c>
      <c r="Q226" s="33" t="str">
        <f>INDEX(Detail!$F$1:$F$1001,MATCH(Main!B226,Detail!$G$1:$G$1001,0))</f>
        <v>Padang Sidempuan</v>
      </c>
      <c r="R226" s="7">
        <f>INDEX(Detail!$C$1:$C$1001,MATCH(B226,Detail!$G$1:$G$1001,0),1)</f>
        <v>153</v>
      </c>
      <c r="S226" s="7">
        <f>INDEX(Detail!$D$1:$D$1001,MATCH(B226,Detail!$G$1:$G$1001,0),1)</f>
        <v>53</v>
      </c>
      <c r="T226" s="7" t="str">
        <f>INDEX(Detail!$E$1:$E$1001,MATCH(Main!B226,Detail!$G$1:$G$1001,0))</f>
        <v xml:space="preserve">Jalan Waringin No. 6
</v>
      </c>
      <c r="U226" s="7" t="str">
        <f>INDEX(Detail!$B$1:$B$1001,MATCH(B226,Detail!$G$1:$G$1001,0),1)</f>
        <v>A-</v>
      </c>
      <c r="V226" s="7" t="str" cm="1">
        <f t="array" ref="V226">INDEX(Dosen!$B$3:$E$8,MATCH(Main!C226,Dosen!$A$3:$A$8,0),IF(AND(Main!A226&gt;=1,Main!A226&lt;=250),1,IF(AND(Main!A226&gt;=251,Main!A226&lt;=500),2,IF(AND(Main!A226&gt;=501,Main!A226&lt;=750),3,4))))</f>
        <v>Pak Andi</v>
      </c>
      <c r="W226" s="7" t="str">
        <f>_xlfn.XLOOKUP(B226,Detail!$G$1:$G$1001,Detail!$B$1:$B$1001)</f>
        <v>A-</v>
      </c>
    </row>
    <row r="227" spans="1:23" ht="15.75" x14ac:dyDescent="0.25">
      <c r="A227" s="7">
        <v>518</v>
      </c>
      <c r="B227" s="33" t="str">
        <f t="shared" si="10"/>
        <v>B0518</v>
      </c>
      <c r="C227" s="7" t="s">
        <v>1014</v>
      </c>
      <c r="D227" s="33" t="str">
        <f>VLOOKUP(B227,Detail!$G$1:$H$1001,2,FALSE)</f>
        <v>Farhunnisa Wijaya</v>
      </c>
      <c r="E227" s="7">
        <v>80</v>
      </c>
      <c r="F227" s="7">
        <v>73</v>
      </c>
      <c r="G227" s="57">
        <v>73</v>
      </c>
      <c r="H227" s="7">
        <v>56</v>
      </c>
      <c r="I227" s="7">
        <v>72</v>
      </c>
      <c r="J227" s="7">
        <v>54</v>
      </c>
      <c r="K227" s="7">
        <v>87</v>
      </c>
      <c r="L227" s="56">
        <f>IFERROR(VLOOKUP(B227,Absen!$A$1:$C$501,2,FALSE),"No")</f>
        <v>44787</v>
      </c>
      <c r="M227" s="58">
        <f t="shared" si="8"/>
        <v>7.7</v>
      </c>
      <c r="N227" s="57">
        <f t="shared" si="9"/>
        <v>68.225000000000009</v>
      </c>
      <c r="O227" s="7" t="str">
        <f>VLOOKUP(N227,Helper!$B$30:$C$35,2,TRUE)</f>
        <v>C</v>
      </c>
      <c r="P227" s="56">
        <f>INDEX(Detail!$A$1:$A$1001,MATCH(B227,Detail!$G$1:$G$1001,0))</f>
        <v>38125</v>
      </c>
      <c r="Q227" s="33" t="str">
        <f>INDEX(Detail!$F$1:$F$1001,MATCH(Main!B227,Detail!$G$1:$G$1001,0))</f>
        <v>Bandung</v>
      </c>
      <c r="R227" s="7">
        <f>INDEX(Detail!$C$1:$C$1001,MATCH(B227,Detail!$G$1:$G$1001,0),1)</f>
        <v>168</v>
      </c>
      <c r="S227" s="7">
        <f>INDEX(Detail!$D$1:$D$1001,MATCH(B227,Detail!$G$1:$G$1001,0),1)</f>
        <v>88</v>
      </c>
      <c r="T227" s="7" t="str">
        <f>INDEX(Detail!$E$1:$E$1001,MATCH(Main!B227,Detail!$G$1:$G$1001,0))</f>
        <v>Gang Jend. Sudirman No. 63</v>
      </c>
      <c r="U227" s="7" t="str">
        <f>INDEX(Detail!$B$1:$B$1001,MATCH(B227,Detail!$G$1:$G$1001,0),1)</f>
        <v>O-</v>
      </c>
      <c r="V227" s="7" t="str" cm="1">
        <f t="array" ref="V227">INDEX(Dosen!$B$3:$E$8,MATCH(Main!C227,Dosen!$A$3:$A$8,0),IF(AND(Main!A227&gt;=1,Main!A227&lt;=250),1,IF(AND(Main!A227&gt;=251,Main!A227&lt;=500),2,IF(AND(Main!A227&gt;=501,Main!A227&lt;=750),3,4))))</f>
        <v>Pak Andi</v>
      </c>
      <c r="W227" s="7" t="str">
        <f>_xlfn.XLOOKUP(B227,Detail!$G$1:$G$1001,Detail!$B$1:$B$1001)</f>
        <v>O-</v>
      </c>
    </row>
    <row r="228" spans="1:23" ht="15.75" x14ac:dyDescent="0.25">
      <c r="A228" s="7">
        <v>521</v>
      </c>
      <c r="B228" s="33" t="str">
        <f t="shared" si="10"/>
        <v>B0521</v>
      </c>
      <c r="C228" s="7" t="s">
        <v>1014</v>
      </c>
      <c r="D228" s="33" t="str">
        <f>VLOOKUP(B228,Detail!$G$1:$H$1001,2,FALSE)</f>
        <v>Harsaya Tamba</v>
      </c>
      <c r="E228" s="7">
        <v>62</v>
      </c>
      <c r="F228" s="7">
        <v>54</v>
      </c>
      <c r="G228" s="57">
        <v>46</v>
      </c>
      <c r="H228" s="7">
        <v>73</v>
      </c>
      <c r="I228" s="7">
        <v>50</v>
      </c>
      <c r="J228" s="7">
        <v>92</v>
      </c>
      <c r="K228" s="7">
        <v>97</v>
      </c>
      <c r="L228" s="56">
        <f>IFERROR(VLOOKUP(B228,Absen!$A$1:$C$501,2,FALSE),"No")</f>
        <v>44893</v>
      </c>
      <c r="M228" s="58">
        <f t="shared" si="8"/>
        <v>8.7000000000000011</v>
      </c>
      <c r="N228" s="57">
        <f t="shared" si="9"/>
        <v>66.175000000000011</v>
      </c>
      <c r="O228" s="7" t="str">
        <f>VLOOKUP(N228,Helper!$B$30:$C$35,2,TRUE)</f>
        <v>C</v>
      </c>
      <c r="P228" s="56">
        <f>INDEX(Detail!$A$1:$A$1001,MATCH(B228,Detail!$G$1:$G$1001,0))</f>
        <v>38017</v>
      </c>
      <c r="Q228" s="33" t="str">
        <f>INDEX(Detail!$F$1:$F$1001,MATCH(Main!B228,Detail!$G$1:$G$1001,0))</f>
        <v>Depok</v>
      </c>
      <c r="R228" s="7">
        <f>INDEX(Detail!$C$1:$C$1001,MATCH(B228,Detail!$G$1:$G$1001,0),1)</f>
        <v>160</v>
      </c>
      <c r="S228" s="7">
        <f>INDEX(Detail!$D$1:$D$1001,MATCH(B228,Detail!$G$1:$G$1001,0),1)</f>
        <v>60</v>
      </c>
      <c r="T228" s="7" t="str">
        <f>INDEX(Detail!$E$1:$E$1001,MATCH(Main!B228,Detail!$G$1:$G$1001,0))</f>
        <v>Gg. Moch. Ramdan No. 55</v>
      </c>
      <c r="U228" s="7" t="str">
        <f>INDEX(Detail!$B$1:$B$1001,MATCH(B228,Detail!$G$1:$G$1001,0),1)</f>
        <v>AB-</v>
      </c>
      <c r="V228" s="7" t="str" cm="1">
        <f t="array" ref="V228">INDEX(Dosen!$B$3:$E$8,MATCH(Main!C228,Dosen!$A$3:$A$8,0),IF(AND(Main!A228&gt;=1,Main!A228&lt;=250),1,IF(AND(Main!A228&gt;=251,Main!A228&lt;=500),2,IF(AND(Main!A228&gt;=501,Main!A228&lt;=750),3,4))))</f>
        <v>Pak Andi</v>
      </c>
      <c r="W228" s="7" t="str">
        <f>_xlfn.XLOOKUP(B228,Detail!$G$1:$G$1001,Detail!$B$1:$B$1001)</f>
        <v>AB-</v>
      </c>
    </row>
    <row r="229" spans="1:23" ht="15.75" x14ac:dyDescent="0.25">
      <c r="A229" s="7">
        <v>523</v>
      </c>
      <c r="B229" s="33" t="str">
        <f t="shared" si="10"/>
        <v>B0523</v>
      </c>
      <c r="C229" s="7" t="s">
        <v>1014</v>
      </c>
      <c r="D229" s="33" t="str">
        <f>VLOOKUP(B229,Detail!$G$1:$H$1001,2,FALSE)</f>
        <v>Emas Purwanti</v>
      </c>
      <c r="E229" s="7">
        <v>95</v>
      </c>
      <c r="F229" s="7">
        <v>60</v>
      </c>
      <c r="G229" s="57">
        <v>42</v>
      </c>
      <c r="H229" s="7">
        <v>61</v>
      </c>
      <c r="I229" s="7">
        <v>63</v>
      </c>
      <c r="J229" s="7">
        <v>100</v>
      </c>
      <c r="K229" s="7">
        <v>62</v>
      </c>
      <c r="L229" s="56">
        <f>IFERROR(VLOOKUP(B229,Absen!$A$1:$C$501,2,FALSE),"No")</f>
        <v>44810</v>
      </c>
      <c r="M229" s="58">
        <f t="shared" si="8"/>
        <v>5.2</v>
      </c>
      <c r="N229" s="57">
        <f t="shared" si="9"/>
        <v>68.474999999999994</v>
      </c>
      <c r="O229" s="7" t="str">
        <f>VLOOKUP(N229,Helper!$B$30:$C$35,2,TRUE)</f>
        <v>C</v>
      </c>
      <c r="P229" s="56">
        <f>INDEX(Detail!$A$1:$A$1001,MATCH(B229,Detail!$G$1:$G$1001,0))</f>
        <v>38246</v>
      </c>
      <c r="Q229" s="33" t="str">
        <f>INDEX(Detail!$F$1:$F$1001,MATCH(Main!B229,Detail!$G$1:$G$1001,0))</f>
        <v>Kediri</v>
      </c>
      <c r="R229" s="7">
        <f>INDEX(Detail!$C$1:$C$1001,MATCH(B229,Detail!$G$1:$G$1001,0),1)</f>
        <v>179</v>
      </c>
      <c r="S229" s="7">
        <f>INDEX(Detail!$D$1:$D$1001,MATCH(B229,Detail!$G$1:$G$1001,0),1)</f>
        <v>81</v>
      </c>
      <c r="T229" s="7" t="str">
        <f>INDEX(Detail!$E$1:$E$1001,MATCH(Main!B229,Detail!$G$1:$G$1001,0))</f>
        <v xml:space="preserve">Jalan Cikutra Barat No. 0
</v>
      </c>
      <c r="U229" s="7" t="str">
        <f>INDEX(Detail!$B$1:$B$1001,MATCH(B229,Detail!$G$1:$G$1001,0),1)</f>
        <v>A-</v>
      </c>
      <c r="V229" s="7" t="str" cm="1">
        <f t="array" ref="V229">INDEX(Dosen!$B$3:$E$8,MATCH(Main!C229,Dosen!$A$3:$A$8,0),IF(AND(Main!A229&gt;=1,Main!A229&lt;=250),1,IF(AND(Main!A229&gt;=251,Main!A229&lt;=500),2,IF(AND(Main!A229&gt;=501,Main!A229&lt;=750),3,4))))</f>
        <v>Pak Andi</v>
      </c>
      <c r="W229" s="7" t="str">
        <f>_xlfn.XLOOKUP(B229,Detail!$G$1:$G$1001,Detail!$B$1:$B$1001)</f>
        <v>A-</v>
      </c>
    </row>
    <row r="230" spans="1:23" ht="15.75" x14ac:dyDescent="0.25">
      <c r="A230" s="7">
        <v>527</v>
      </c>
      <c r="B230" s="33" t="str">
        <f t="shared" si="10"/>
        <v>B0527</v>
      </c>
      <c r="C230" s="7" t="s">
        <v>1014</v>
      </c>
      <c r="D230" s="33" t="str">
        <f>VLOOKUP(B230,Detail!$G$1:$H$1001,2,FALSE)</f>
        <v>Ratih Setiawan</v>
      </c>
      <c r="E230" s="7">
        <v>61</v>
      </c>
      <c r="F230" s="7">
        <v>63</v>
      </c>
      <c r="G230" s="57">
        <v>79</v>
      </c>
      <c r="H230" s="7">
        <v>60</v>
      </c>
      <c r="I230" s="7">
        <v>95</v>
      </c>
      <c r="J230" s="7">
        <v>54</v>
      </c>
      <c r="K230" s="7">
        <v>72</v>
      </c>
      <c r="L230" s="56">
        <f>IFERROR(VLOOKUP(B230,Absen!$A$1:$C$501,2,FALSE),"No")</f>
        <v>44889</v>
      </c>
      <c r="M230" s="58">
        <f t="shared" si="8"/>
        <v>6.2</v>
      </c>
      <c r="N230" s="57">
        <f t="shared" si="9"/>
        <v>67.674999999999997</v>
      </c>
      <c r="O230" s="7" t="str">
        <f>VLOOKUP(N230,Helper!$B$30:$C$35,2,TRUE)</f>
        <v>C</v>
      </c>
      <c r="P230" s="56">
        <f>INDEX(Detail!$A$1:$A$1001,MATCH(B230,Detail!$G$1:$G$1001,0))</f>
        <v>38238</v>
      </c>
      <c r="Q230" s="33" t="str">
        <f>INDEX(Detail!$F$1:$F$1001,MATCH(Main!B230,Detail!$G$1:$G$1001,0))</f>
        <v>Sawahlunto</v>
      </c>
      <c r="R230" s="7">
        <f>INDEX(Detail!$C$1:$C$1001,MATCH(B230,Detail!$G$1:$G$1001,0),1)</f>
        <v>162</v>
      </c>
      <c r="S230" s="7">
        <f>INDEX(Detail!$D$1:$D$1001,MATCH(B230,Detail!$G$1:$G$1001,0),1)</f>
        <v>83</v>
      </c>
      <c r="T230" s="7" t="str">
        <f>INDEX(Detail!$E$1:$E$1001,MATCH(Main!B230,Detail!$G$1:$G$1001,0))</f>
        <v xml:space="preserve">Gang Surapati No. 7
</v>
      </c>
      <c r="U230" s="7" t="str">
        <f>INDEX(Detail!$B$1:$B$1001,MATCH(B230,Detail!$G$1:$G$1001,0),1)</f>
        <v>AB-</v>
      </c>
      <c r="V230" s="7" t="str" cm="1">
        <f t="array" ref="V230">INDEX(Dosen!$B$3:$E$8,MATCH(Main!C230,Dosen!$A$3:$A$8,0),IF(AND(Main!A230&gt;=1,Main!A230&lt;=250),1,IF(AND(Main!A230&gt;=251,Main!A230&lt;=500),2,IF(AND(Main!A230&gt;=501,Main!A230&lt;=750),3,4))))</f>
        <v>Pak Andi</v>
      </c>
      <c r="W230" s="7" t="str">
        <f>_xlfn.XLOOKUP(B230,Detail!$G$1:$G$1001,Detail!$B$1:$B$1001)</f>
        <v>AB-</v>
      </c>
    </row>
    <row r="231" spans="1:23" ht="15.75" x14ac:dyDescent="0.25">
      <c r="A231" s="7">
        <v>530</v>
      </c>
      <c r="B231" s="33" t="str">
        <f t="shared" si="10"/>
        <v>B0530</v>
      </c>
      <c r="C231" s="7" t="s">
        <v>1014</v>
      </c>
      <c r="D231" s="33" t="str">
        <f>VLOOKUP(B231,Detail!$G$1:$H$1001,2,FALSE)</f>
        <v>Endah Simbolon</v>
      </c>
      <c r="E231" s="7">
        <v>58</v>
      </c>
      <c r="F231" s="7">
        <v>55</v>
      </c>
      <c r="G231" s="57">
        <v>45</v>
      </c>
      <c r="H231" s="7">
        <v>58</v>
      </c>
      <c r="I231" s="7">
        <v>56</v>
      </c>
      <c r="J231" s="7">
        <v>45</v>
      </c>
      <c r="K231" s="7">
        <v>66</v>
      </c>
      <c r="L231" s="56" t="str">
        <f>IFERROR(VLOOKUP(B231,Absen!$A$1:$C$501,2,FALSE),"No")</f>
        <v>No</v>
      </c>
      <c r="M231" s="58">
        <f t="shared" si="8"/>
        <v>6.6000000000000005</v>
      </c>
      <c r="N231" s="57">
        <f t="shared" si="9"/>
        <v>52.975000000000001</v>
      </c>
      <c r="O231" s="7" t="str">
        <f>VLOOKUP(N231,Helper!$B$30:$C$35,2,TRUE)</f>
        <v>D</v>
      </c>
      <c r="P231" s="56">
        <f>INDEX(Detail!$A$1:$A$1001,MATCH(B231,Detail!$G$1:$G$1001,0))</f>
        <v>38238</v>
      </c>
      <c r="Q231" s="33" t="str">
        <f>INDEX(Detail!$F$1:$F$1001,MATCH(Main!B231,Detail!$G$1:$G$1001,0))</f>
        <v>Tual</v>
      </c>
      <c r="R231" s="7">
        <f>INDEX(Detail!$C$1:$C$1001,MATCH(B231,Detail!$G$1:$G$1001,0),1)</f>
        <v>179</v>
      </c>
      <c r="S231" s="7">
        <f>INDEX(Detail!$D$1:$D$1001,MATCH(B231,Detail!$G$1:$G$1001,0),1)</f>
        <v>67</v>
      </c>
      <c r="T231" s="7" t="str">
        <f>INDEX(Detail!$E$1:$E$1001,MATCH(Main!B231,Detail!$G$1:$G$1001,0))</f>
        <v>Jl. Pasir Koja No. 51</v>
      </c>
      <c r="U231" s="7" t="str">
        <f>INDEX(Detail!$B$1:$B$1001,MATCH(B231,Detail!$G$1:$G$1001,0),1)</f>
        <v>AB-</v>
      </c>
      <c r="V231" s="7" t="str" cm="1">
        <f t="array" ref="V231">INDEX(Dosen!$B$3:$E$8,MATCH(Main!C231,Dosen!$A$3:$A$8,0),IF(AND(Main!A231&gt;=1,Main!A231&lt;=250),1,IF(AND(Main!A231&gt;=251,Main!A231&lt;=500),2,IF(AND(Main!A231&gt;=501,Main!A231&lt;=750),3,4))))</f>
        <v>Pak Andi</v>
      </c>
      <c r="W231" s="7" t="str">
        <f>_xlfn.XLOOKUP(B231,Detail!$G$1:$G$1001,Detail!$B$1:$B$1001)</f>
        <v>AB-</v>
      </c>
    </row>
    <row r="232" spans="1:23" ht="15.75" x14ac:dyDescent="0.25">
      <c r="A232" s="7">
        <v>532</v>
      </c>
      <c r="B232" s="33" t="str">
        <f t="shared" si="10"/>
        <v>B0532</v>
      </c>
      <c r="C232" s="7" t="s">
        <v>1014</v>
      </c>
      <c r="D232" s="33" t="str">
        <f>VLOOKUP(B232,Detail!$G$1:$H$1001,2,FALSE)</f>
        <v>Kasiyah Mangunsong</v>
      </c>
      <c r="E232" s="7">
        <v>91</v>
      </c>
      <c r="F232" s="7">
        <v>48</v>
      </c>
      <c r="G232" s="57">
        <v>76</v>
      </c>
      <c r="H232" s="7">
        <v>72</v>
      </c>
      <c r="I232" s="7">
        <v>72</v>
      </c>
      <c r="J232" s="7">
        <v>62</v>
      </c>
      <c r="K232" s="7">
        <v>60</v>
      </c>
      <c r="L232" s="56">
        <f>IFERROR(VLOOKUP(B232,Absen!$A$1:$C$501,2,FALSE),"No")</f>
        <v>44806</v>
      </c>
      <c r="M232" s="58">
        <f t="shared" si="8"/>
        <v>5</v>
      </c>
      <c r="N232" s="57">
        <f t="shared" si="9"/>
        <v>67.974999999999994</v>
      </c>
      <c r="O232" s="7" t="str">
        <f>VLOOKUP(N232,Helper!$B$30:$C$35,2,TRUE)</f>
        <v>C</v>
      </c>
      <c r="P232" s="56">
        <f>INDEX(Detail!$A$1:$A$1001,MATCH(B232,Detail!$G$1:$G$1001,0))</f>
        <v>38153</v>
      </c>
      <c r="Q232" s="33" t="str">
        <f>INDEX(Detail!$F$1:$F$1001,MATCH(Main!B232,Detail!$G$1:$G$1001,0))</f>
        <v>Kendari</v>
      </c>
      <c r="R232" s="7">
        <f>INDEX(Detail!$C$1:$C$1001,MATCH(B232,Detail!$G$1:$G$1001,0),1)</f>
        <v>180</v>
      </c>
      <c r="S232" s="7">
        <f>INDEX(Detail!$D$1:$D$1001,MATCH(B232,Detail!$G$1:$G$1001,0),1)</f>
        <v>74</v>
      </c>
      <c r="T232" s="7" t="str">
        <f>INDEX(Detail!$E$1:$E$1001,MATCH(Main!B232,Detail!$G$1:$G$1001,0))</f>
        <v>Gang Asia Afrika No. 94</v>
      </c>
      <c r="U232" s="7" t="str">
        <f>INDEX(Detail!$B$1:$B$1001,MATCH(B232,Detail!$G$1:$G$1001,0),1)</f>
        <v>AB+</v>
      </c>
      <c r="V232" s="7" t="str" cm="1">
        <f t="array" ref="V232">INDEX(Dosen!$B$3:$E$8,MATCH(Main!C232,Dosen!$A$3:$A$8,0),IF(AND(Main!A232&gt;=1,Main!A232&lt;=250),1,IF(AND(Main!A232&gt;=251,Main!A232&lt;=500),2,IF(AND(Main!A232&gt;=501,Main!A232&lt;=750),3,4))))</f>
        <v>Pak Andi</v>
      </c>
      <c r="W232" s="7" t="str">
        <f>_xlfn.XLOOKUP(B232,Detail!$G$1:$G$1001,Detail!$B$1:$B$1001)</f>
        <v>AB+</v>
      </c>
    </row>
    <row r="233" spans="1:23" ht="15.75" x14ac:dyDescent="0.25">
      <c r="A233" s="7">
        <v>542</v>
      </c>
      <c r="B233" s="33" t="str">
        <f t="shared" si="10"/>
        <v>B0542</v>
      </c>
      <c r="C233" s="7" t="s">
        <v>1014</v>
      </c>
      <c r="D233" s="33" t="str">
        <f>VLOOKUP(B233,Detail!$G$1:$H$1001,2,FALSE)</f>
        <v>Elvin Wijayanti</v>
      </c>
      <c r="E233" s="7">
        <v>71</v>
      </c>
      <c r="F233" s="7">
        <v>60</v>
      </c>
      <c r="G233" s="57">
        <v>42</v>
      </c>
      <c r="H233" s="7">
        <v>57</v>
      </c>
      <c r="I233" s="7">
        <v>54</v>
      </c>
      <c r="J233" s="7">
        <v>71</v>
      </c>
      <c r="K233" s="7">
        <v>63</v>
      </c>
      <c r="L233" s="56" t="str">
        <f>IFERROR(VLOOKUP(B233,Absen!$A$1:$C$501,2,FALSE),"No")</f>
        <v>No</v>
      </c>
      <c r="M233" s="58">
        <f t="shared" si="8"/>
        <v>6.3000000000000007</v>
      </c>
      <c r="N233" s="57">
        <f t="shared" si="9"/>
        <v>59.150000000000006</v>
      </c>
      <c r="O233" s="7" t="str">
        <f>VLOOKUP(N233,Helper!$B$30:$C$35,2,TRUE)</f>
        <v>D</v>
      </c>
      <c r="P233" s="56">
        <f>INDEX(Detail!$A$1:$A$1001,MATCH(B233,Detail!$G$1:$G$1001,0))</f>
        <v>37553</v>
      </c>
      <c r="Q233" s="33" t="str">
        <f>INDEX(Detail!$F$1:$F$1001,MATCH(Main!B233,Detail!$G$1:$G$1001,0))</f>
        <v>Solok</v>
      </c>
      <c r="R233" s="7">
        <f>INDEX(Detail!$C$1:$C$1001,MATCH(B233,Detail!$G$1:$G$1001,0),1)</f>
        <v>150</v>
      </c>
      <c r="S233" s="7">
        <f>INDEX(Detail!$D$1:$D$1001,MATCH(B233,Detail!$G$1:$G$1001,0),1)</f>
        <v>53</v>
      </c>
      <c r="T233" s="7" t="str">
        <f>INDEX(Detail!$E$1:$E$1001,MATCH(Main!B233,Detail!$G$1:$G$1001,0))</f>
        <v xml:space="preserve">Gang Peta No. 5
</v>
      </c>
      <c r="U233" s="7" t="str">
        <f>INDEX(Detail!$B$1:$B$1001,MATCH(B233,Detail!$G$1:$G$1001,0),1)</f>
        <v>AB-</v>
      </c>
      <c r="V233" s="7" t="str" cm="1">
        <f t="array" ref="V233">INDEX(Dosen!$B$3:$E$8,MATCH(Main!C233,Dosen!$A$3:$A$8,0),IF(AND(Main!A233&gt;=1,Main!A233&lt;=250),1,IF(AND(Main!A233&gt;=251,Main!A233&lt;=500),2,IF(AND(Main!A233&gt;=501,Main!A233&lt;=750),3,4))))</f>
        <v>Pak Andi</v>
      </c>
      <c r="W233" s="7" t="str">
        <f>_xlfn.XLOOKUP(B233,Detail!$G$1:$G$1001,Detail!$B$1:$B$1001)</f>
        <v>AB-</v>
      </c>
    </row>
    <row r="234" spans="1:23" ht="15.75" x14ac:dyDescent="0.25">
      <c r="A234" s="7">
        <v>553</v>
      </c>
      <c r="B234" s="33" t="str">
        <f t="shared" si="10"/>
        <v>B0553</v>
      </c>
      <c r="C234" s="7" t="s">
        <v>1014</v>
      </c>
      <c r="D234" s="33" t="str">
        <f>VLOOKUP(B234,Detail!$G$1:$H$1001,2,FALSE)</f>
        <v>Diana Handayani</v>
      </c>
      <c r="E234" s="7">
        <v>52</v>
      </c>
      <c r="F234" s="7">
        <v>72</v>
      </c>
      <c r="G234" s="57">
        <v>30</v>
      </c>
      <c r="H234" s="7">
        <v>62</v>
      </c>
      <c r="I234" s="7">
        <v>59</v>
      </c>
      <c r="J234" s="7">
        <v>82</v>
      </c>
      <c r="K234" s="7">
        <v>71</v>
      </c>
      <c r="L234" s="56" t="str">
        <f>IFERROR(VLOOKUP(B234,Absen!$A$1:$C$501,2,FALSE),"No")</f>
        <v>No</v>
      </c>
      <c r="M234" s="58">
        <f t="shared" si="8"/>
        <v>7.1000000000000005</v>
      </c>
      <c r="N234" s="57">
        <f t="shared" si="9"/>
        <v>60.125000000000007</v>
      </c>
      <c r="O234" s="7" t="str">
        <f>VLOOKUP(N234,Helper!$B$30:$C$35,2,TRUE)</f>
        <v>C</v>
      </c>
      <c r="P234" s="56">
        <f>INDEX(Detail!$A$1:$A$1001,MATCH(B234,Detail!$G$1:$G$1001,0))</f>
        <v>37537</v>
      </c>
      <c r="Q234" s="33" t="str">
        <f>INDEX(Detail!$F$1:$F$1001,MATCH(Main!B234,Detail!$G$1:$G$1001,0))</f>
        <v>Ternate</v>
      </c>
      <c r="R234" s="7">
        <f>INDEX(Detail!$C$1:$C$1001,MATCH(B234,Detail!$G$1:$G$1001,0),1)</f>
        <v>152</v>
      </c>
      <c r="S234" s="7">
        <f>INDEX(Detail!$D$1:$D$1001,MATCH(B234,Detail!$G$1:$G$1001,0),1)</f>
        <v>79</v>
      </c>
      <c r="T234" s="7" t="str">
        <f>INDEX(Detail!$E$1:$E$1001,MATCH(Main!B234,Detail!$G$1:$G$1001,0))</f>
        <v>Jalan S. Parman No. 45</v>
      </c>
      <c r="U234" s="7" t="str">
        <f>INDEX(Detail!$B$1:$B$1001,MATCH(B234,Detail!$G$1:$G$1001,0),1)</f>
        <v>B+</v>
      </c>
      <c r="V234" s="7" t="str" cm="1">
        <f t="array" ref="V234">INDEX(Dosen!$B$3:$E$8,MATCH(Main!C234,Dosen!$A$3:$A$8,0),IF(AND(Main!A234&gt;=1,Main!A234&lt;=250),1,IF(AND(Main!A234&gt;=251,Main!A234&lt;=500),2,IF(AND(Main!A234&gt;=501,Main!A234&lt;=750),3,4))))</f>
        <v>Pak Andi</v>
      </c>
      <c r="W234" s="7" t="str">
        <f>_xlfn.XLOOKUP(B234,Detail!$G$1:$G$1001,Detail!$B$1:$B$1001)</f>
        <v>B+</v>
      </c>
    </row>
    <row r="235" spans="1:23" ht="15.75" x14ac:dyDescent="0.25">
      <c r="A235" s="7">
        <v>554</v>
      </c>
      <c r="B235" s="33" t="str">
        <f t="shared" si="10"/>
        <v>B0554</v>
      </c>
      <c r="C235" s="7" t="s">
        <v>1014</v>
      </c>
      <c r="D235" s="33" t="str">
        <f>VLOOKUP(B235,Detail!$G$1:$H$1001,2,FALSE)</f>
        <v>Kania Tarihoran</v>
      </c>
      <c r="E235" s="7">
        <v>62</v>
      </c>
      <c r="F235" s="7">
        <v>58</v>
      </c>
      <c r="G235" s="57">
        <v>56</v>
      </c>
      <c r="H235" s="7">
        <v>70</v>
      </c>
      <c r="I235" s="7">
        <v>89</v>
      </c>
      <c r="J235" s="7">
        <v>63</v>
      </c>
      <c r="K235" s="7">
        <v>67</v>
      </c>
      <c r="L235" s="56" t="str">
        <f>IFERROR(VLOOKUP(B235,Absen!$A$1:$C$501,2,FALSE),"No")</f>
        <v>No</v>
      </c>
      <c r="M235" s="58">
        <f t="shared" si="8"/>
        <v>6.7</v>
      </c>
      <c r="N235" s="57">
        <f t="shared" si="9"/>
        <v>65.375</v>
      </c>
      <c r="O235" s="7" t="str">
        <f>VLOOKUP(N235,Helper!$B$30:$C$35,2,TRUE)</f>
        <v>C</v>
      </c>
      <c r="P235" s="56">
        <f>INDEX(Detail!$A$1:$A$1001,MATCH(B235,Detail!$G$1:$G$1001,0))</f>
        <v>38187</v>
      </c>
      <c r="Q235" s="33" t="str">
        <f>INDEX(Detail!$F$1:$F$1001,MATCH(Main!B235,Detail!$G$1:$G$1001,0))</f>
        <v>Pekalongan</v>
      </c>
      <c r="R235" s="7">
        <f>INDEX(Detail!$C$1:$C$1001,MATCH(B235,Detail!$G$1:$G$1001,0),1)</f>
        <v>177</v>
      </c>
      <c r="S235" s="7">
        <f>INDEX(Detail!$D$1:$D$1001,MATCH(B235,Detail!$G$1:$G$1001,0),1)</f>
        <v>48</v>
      </c>
      <c r="T235" s="7" t="str">
        <f>INDEX(Detail!$E$1:$E$1001,MATCH(Main!B235,Detail!$G$1:$G$1001,0))</f>
        <v>Jl. Gardujati No. 16</v>
      </c>
      <c r="U235" s="7" t="str">
        <f>INDEX(Detail!$B$1:$B$1001,MATCH(B235,Detail!$G$1:$G$1001,0),1)</f>
        <v>A-</v>
      </c>
      <c r="V235" s="7" t="str" cm="1">
        <f t="array" ref="V235">INDEX(Dosen!$B$3:$E$8,MATCH(Main!C235,Dosen!$A$3:$A$8,0),IF(AND(Main!A235&gt;=1,Main!A235&lt;=250),1,IF(AND(Main!A235&gt;=251,Main!A235&lt;=500),2,IF(AND(Main!A235&gt;=501,Main!A235&lt;=750),3,4))))</f>
        <v>Pak Andi</v>
      </c>
      <c r="W235" s="7" t="str">
        <f>_xlfn.XLOOKUP(B235,Detail!$G$1:$G$1001,Detail!$B$1:$B$1001)</f>
        <v>A-</v>
      </c>
    </row>
    <row r="236" spans="1:23" ht="15.75" x14ac:dyDescent="0.25">
      <c r="A236" s="7">
        <v>568</v>
      </c>
      <c r="B236" s="33" t="str">
        <f t="shared" si="10"/>
        <v>B0568</v>
      </c>
      <c r="C236" s="7" t="s">
        <v>1014</v>
      </c>
      <c r="D236" s="33" t="str">
        <f>VLOOKUP(B236,Detail!$G$1:$H$1001,2,FALSE)</f>
        <v>Gabriella Damanik</v>
      </c>
      <c r="E236" s="7">
        <v>67</v>
      </c>
      <c r="F236" s="7">
        <v>50</v>
      </c>
      <c r="G236" s="57">
        <v>72</v>
      </c>
      <c r="H236" s="7">
        <v>61</v>
      </c>
      <c r="I236" s="7">
        <v>59</v>
      </c>
      <c r="J236" s="7">
        <v>78</v>
      </c>
      <c r="K236" s="7">
        <v>95</v>
      </c>
      <c r="L236" s="56" t="str">
        <f>IFERROR(VLOOKUP(B236,Absen!$A$1:$C$501,2,FALSE),"No")</f>
        <v>No</v>
      </c>
      <c r="M236" s="58">
        <f t="shared" si="8"/>
        <v>9.5</v>
      </c>
      <c r="N236" s="57">
        <f t="shared" si="9"/>
        <v>69.125</v>
      </c>
      <c r="O236" s="7" t="str">
        <f>VLOOKUP(N236,Helper!$B$30:$C$35,2,TRUE)</f>
        <v>C</v>
      </c>
      <c r="P236" s="56">
        <f>INDEX(Detail!$A$1:$A$1001,MATCH(B236,Detail!$G$1:$G$1001,0))</f>
        <v>38176</v>
      </c>
      <c r="Q236" s="33" t="str">
        <f>INDEX(Detail!$F$1:$F$1001,MATCH(Main!B236,Detail!$G$1:$G$1001,0))</f>
        <v>Manado</v>
      </c>
      <c r="R236" s="7">
        <f>INDEX(Detail!$C$1:$C$1001,MATCH(B236,Detail!$G$1:$G$1001,0),1)</f>
        <v>154</v>
      </c>
      <c r="S236" s="7">
        <f>INDEX(Detail!$D$1:$D$1001,MATCH(B236,Detail!$G$1:$G$1001,0),1)</f>
        <v>68</v>
      </c>
      <c r="T236" s="7" t="str">
        <f>INDEX(Detail!$E$1:$E$1001,MATCH(Main!B236,Detail!$G$1:$G$1001,0))</f>
        <v>Jl. Otto Iskandardinata No. 70</v>
      </c>
      <c r="U236" s="7" t="str">
        <f>INDEX(Detail!$B$1:$B$1001,MATCH(B236,Detail!$G$1:$G$1001,0),1)</f>
        <v>B+</v>
      </c>
      <c r="V236" s="7" t="str" cm="1">
        <f t="array" ref="V236">INDEX(Dosen!$B$3:$E$8,MATCH(Main!C236,Dosen!$A$3:$A$8,0),IF(AND(Main!A236&gt;=1,Main!A236&lt;=250),1,IF(AND(Main!A236&gt;=251,Main!A236&lt;=500),2,IF(AND(Main!A236&gt;=501,Main!A236&lt;=750),3,4))))</f>
        <v>Pak Andi</v>
      </c>
      <c r="W236" s="7" t="str">
        <f>_xlfn.XLOOKUP(B236,Detail!$G$1:$G$1001,Detail!$B$1:$B$1001)</f>
        <v>B+</v>
      </c>
    </row>
    <row r="237" spans="1:23" ht="15.75" x14ac:dyDescent="0.25">
      <c r="A237" s="7">
        <v>589</v>
      </c>
      <c r="B237" s="33" t="str">
        <f t="shared" si="10"/>
        <v>B0589</v>
      </c>
      <c r="C237" s="7" t="s">
        <v>1014</v>
      </c>
      <c r="D237" s="33" t="str">
        <f>VLOOKUP(B237,Detail!$G$1:$H$1001,2,FALSE)</f>
        <v>Azalea Mardhiyah</v>
      </c>
      <c r="E237" s="7">
        <v>63</v>
      </c>
      <c r="F237" s="7">
        <v>66</v>
      </c>
      <c r="G237" s="57">
        <v>33</v>
      </c>
      <c r="H237" s="7">
        <v>65</v>
      </c>
      <c r="I237" s="7">
        <v>73</v>
      </c>
      <c r="J237" s="7">
        <v>90</v>
      </c>
      <c r="K237" s="7">
        <v>92</v>
      </c>
      <c r="L237" s="56">
        <f>IFERROR(VLOOKUP(B237,Absen!$A$1:$C$501,2,FALSE),"No")</f>
        <v>44886</v>
      </c>
      <c r="M237" s="58">
        <f t="shared" si="8"/>
        <v>8.2000000000000011</v>
      </c>
      <c r="N237" s="57">
        <f t="shared" si="9"/>
        <v>66.174999999999997</v>
      </c>
      <c r="O237" s="7" t="str">
        <f>VLOOKUP(N237,Helper!$B$30:$C$35,2,TRUE)</f>
        <v>C</v>
      </c>
      <c r="P237" s="56">
        <f>INDEX(Detail!$A$1:$A$1001,MATCH(B237,Detail!$G$1:$G$1001,0))</f>
        <v>37502</v>
      </c>
      <c r="Q237" s="33" t="str">
        <f>INDEX(Detail!$F$1:$F$1001,MATCH(Main!B237,Detail!$G$1:$G$1001,0))</f>
        <v>Singkawang</v>
      </c>
      <c r="R237" s="7">
        <f>INDEX(Detail!$C$1:$C$1001,MATCH(B237,Detail!$G$1:$G$1001,0),1)</f>
        <v>172</v>
      </c>
      <c r="S237" s="7">
        <f>INDEX(Detail!$D$1:$D$1001,MATCH(B237,Detail!$G$1:$G$1001,0),1)</f>
        <v>81</v>
      </c>
      <c r="T237" s="7" t="str">
        <f>INDEX(Detail!$E$1:$E$1001,MATCH(Main!B237,Detail!$G$1:$G$1001,0))</f>
        <v>Gg. Sukajadi No. 86</v>
      </c>
      <c r="U237" s="7" t="str">
        <f>INDEX(Detail!$B$1:$B$1001,MATCH(B237,Detail!$G$1:$G$1001,0),1)</f>
        <v>AB-</v>
      </c>
      <c r="V237" s="7" t="str" cm="1">
        <f t="array" ref="V237">INDEX(Dosen!$B$3:$E$8,MATCH(Main!C237,Dosen!$A$3:$A$8,0),IF(AND(Main!A237&gt;=1,Main!A237&lt;=250),1,IF(AND(Main!A237&gt;=251,Main!A237&lt;=500),2,IF(AND(Main!A237&gt;=501,Main!A237&lt;=750),3,4))))</f>
        <v>Pak Andi</v>
      </c>
      <c r="W237" s="7" t="str">
        <f>_xlfn.XLOOKUP(B237,Detail!$G$1:$G$1001,Detail!$B$1:$B$1001)</f>
        <v>AB-</v>
      </c>
    </row>
    <row r="238" spans="1:23" ht="15.75" x14ac:dyDescent="0.25">
      <c r="A238" s="7">
        <v>594</v>
      </c>
      <c r="B238" s="33" t="str">
        <f t="shared" si="10"/>
        <v>B0594</v>
      </c>
      <c r="C238" s="7" t="s">
        <v>1014</v>
      </c>
      <c r="D238" s="33" t="str">
        <f>VLOOKUP(B238,Detail!$G$1:$H$1001,2,FALSE)</f>
        <v>Joko Prayoga</v>
      </c>
      <c r="E238" s="7">
        <v>89</v>
      </c>
      <c r="F238" s="7">
        <v>47</v>
      </c>
      <c r="G238" s="57">
        <v>47</v>
      </c>
      <c r="H238" s="7">
        <v>62</v>
      </c>
      <c r="I238" s="7">
        <v>79</v>
      </c>
      <c r="J238" s="7">
        <v>84</v>
      </c>
      <c r="K238" s="7">
        <v>97</v>
      </c>
      <c r="L238" s="56" t="str">
        <f>IFERROR(VLOOKUP(B238,Absen!$A$1:$C$501,2,FALSE),"No")</f>
        <v>No</v>
      </c>
      <c r="M238" s="58">
        <f t="shared" si="8"/>
        <v>9.7000000000000011</v>
      </c>
      <c r="N238" s="57">
        <f t="shared" si="9"/>
        <v>70.525000000000006</v>
      </c>
      <c r="O238" s="7" t="str">
        <f>VLOOKUP(N238,Helper!$B$30:$C$35,2,TRUE)</f>
        <v>B</v>
      </c>
      <c r="P238" s="56">
        <f>INDEX(Detail!$A$1:$A$1001,MATCH(B238,Detail!$G$1:$G$1001,0))</f>
        <v>37157</v>
      </c>
      <c r="Q238" s="33" t="str">
        <f>INDEX(Detail!$F$1:$F$1001,MATCH(Main!B238,Detail!$G$1:$G$1001,0))</f>
        <v>Kota Administrasi Jakarta Barat</v>
      </c>
      <c r="R238" s="7">
        <f>INDEX(Detail!$C$1:$C$1001,MATCH(B238,Detail!$G$1:$G$1001,0),1)</f>
        <v>172</v>
      </c>
      <c r="S238" s="7">
        <f>INDEX(Detail!$D$1:$D$1001,MATCH(B238,Detail!$G$1:$G$1001,0),1)</f>
        <v>95</v>
      </c>
      <c r="T238" s="7" t="str">
        <f>INDEX(Detail!$E$1:$E$1001,MATCH(Main!B238,Detail!$G$1:$G$1001,0))</f>
        <v>Gg. Surapati No. 92</v>
      </c>
      <c r="U238" s="7" t="str">
        <f>INDEX(Detail!$B$1:$B$1001,MATCH(B238,Detail!$G$1:$G$1001,0),1)</f>
        <v>AB+</v>
      </c>
      <c r="V238" s="7" t="str" cm="1">
        <f t="array" ref="V238">INDEX(Dosen!$B$3:$E$8,MATCH(Main!C238,Dosen!$A$3:$A$8,0),IF(AND(Main!A238&gt;=1,Main!A238&lt;=250),1,IF(AND(Main!A238&gt;=251,Main!A238&lt;=500),2,IF(AND(Main!A238&gt;=501,Main!A238&lt;=750),3,4))))</f>
        <v>Pak Andi</v>
      </c>
      <c r="W238" s="7" t="str">
        <f>_xlfn.XLOOKUP(B238,Detail!$G$1:$G$1001,Detail!$B$1:$B$1001)</f>
        <v>AB+</v>
      </c>
    </row>
    <row r="239" spans="1:23" ht="15.75" x14ac:dyDescent="0.25">
      <c r="A239" s="7">
        <v>600</v>
      </c>
      <c r="B239" s="33" t="str">
        <f t="shared" si="10"/>
        <v>B0600</v>
      </c>
      <c r="C239" s="7" t="s">
        <v>1014</v>
      </c>
      <c r="D239" s="33" t="str">
        <f>VLOOKUP(B239,Detail!$G$1:$H$1001,2,FALSE)</f>
        <v>Ratna Mulyani</v>
      </c>
      <c r="E239" s="7">
        <v>58</v>
      </c>
      <c r="F239" s="7">
        <v>44</v>
      </c>
      <c r="G239" s="57">
        <v>61</v>
      </c>
      <c r="H239" s="7">
        <v>56</v>
      </c>
      <c r="I239" s="7">
        <v>59</v>
      </c>
      <c r="J239" s="7">
        <v>100</v>
      </c>
      <c r="K239" s="7">
        <v>83</v>
      </c>
      <c r="L239" s="56" t="str">
        <f>IFERROR(VLOOKUP(B239,Absen!$A$1:$C$501,2,FALSE),"No")</f>
        <v>No</v>
      </c>
      <c r="M239" s="58">
        <f t="shared" si="8"/>
        <v>8.3000000000000007</v>
      </c>
      <c r="N239" s="57">
        <f t="shared" si="9"/>
        <v>67.625</v>
      </c>
      <c r="O239" s="7" t="str">
        <f>VLOOKUP(N239,Helper!$B$30:$C$35,2,TRUE)</f>
        <v>C</v>
      </c>
      <c r="P239" s="56">
        <f>INDEX(Detail!$A$1:$A$1001,MATCH(B239,Detail!$G$1:$G$1001,0))</f>
        <v>38037</v>
      </c>
      <c r="Q239" s="33" t="str">
        <f>INDEX(Detail!$F$1:$F$1001,MATCH(Main!B239,Detail!$G$1:$G$1001,0))</f>
        <v>Kota Administrasi Jakarta Utara</v>
      </c>
      <c r="R239" s="7">
        <f>INDEX(Detail!$C$1:$C$1001,MATCH(B239,Detail!$G$1:$G$1001,0),1)</f>
        <v>153</v>
      </c>
      <c r="S239" s="7">
        <f>INDEX(Detail!$D$1:$D$1001,MATCH(B239,Detail!$G$1:$G$1001,0),1)</f>
        <v>65</v>
      </c>
      <c r="T239" s="7" t="str">
        <f>INDEX(Detail!$E$1:$E$1001,MATCH(Main!B239,Detail!$G$1:$G$1001,0))</f>
        <v xml:space="preserve">Gang Rawamangun No. 7
</v>
      </c>
      <c r="U239" s="7" t="str">
        <f>INDEX(Detail!$B$1:$B$1001,MATCH(B239,Detail!$G$1:$G$1001,0),1)</f>
        <v>O+</v>
      </c>
      <c r="V239" s="7" t="str" cm="1">
        <f t="array" ref="V239">INDEX(Dosen!$B$3:$E$8,MATCH(Main!C239,Dosen!$A$3:$A$8,0),IF(AND(Main!A239&gt;=1,Main!A239&lt;=250),1,IF(AND(Main!A239&gt;=251,Main!A239&lt;=500),2,IF(AND(Main!A239&gt;=501,Main!A239&lt;=750),3,4))))</f>
        <v>Pak Andi</v>
      </c>
      <c r="W239" s="7" t="str">
        <f>_xlfn.XLOOKUP(B239,Detail!$G$1:$G$1001,Detail!$B$1:$B$1001)</f>
        <v>O+</v>
      </c>
    </row>
    <row r="240" spans="1:23" ht="15.75" x14ac:dyDescent="0.25">
      <c r="A240" s="7">
        <v>606</v>
      </c>
      <c r="B240" s="33" t="str">
        <f t="shared" si="10"/>
        <v>B0606</v>
      </c>
      <c r="C240" s="7" t="s">
        <v>1014</v>
      </c>
      <c r="D240" s="33" t="str">
        <f>VLOOKUP(B240,Detail!$G$1:$H$1001,2,FALSE)</f>
        <v>Zelda Fujiati</v>
      </c>
      <c r="E240" s="7">
        <v>87</v>
      </c>
      <c r="F240" s="7">
        <v>70</v>
      </c>
      <c r="G240" s="57">
        <v>32</v>
      </c>
      <c r="H240" s="7">
        <v>74</v>
      </c>
      <c r="I240" s="7">
        <v>85</v>
      </c>
      <c r="J240" s="7">
        <v>94</v>
      </c>
      <c r="K240" s="7">
        <v>85</v>
      </c>
      <c r="L240" s="56" t="str">
        <f>IFERROR(VLOOKUP(B240,Absen!$A$1:$C$501,2,FALSE),"No")</f>
        <v>No</v>
      </c>
      <c r="M240" s="58">
        <f t="shared" si="8"/>
        <v>8.5</v>
      </c>
      <c r="N240" s="57">
        <f t="shared" si="9"/>
        <v>73.2</v>
      </c>
      <c r="O240" s="7" t="str">
        <f>VLOOKUP(N240,Helper!$B$30:$C$35,2,TRUE)</f>
        <v>B</v>
      </c>
      <c r="P240" s="56">
        <f>INDEX(Detail!$A$1:$A$1001,MATCH(B240,Detail!$G$1:$G$1001,0))</f>
        <v>38061</v>
      </c>
      <c r="Q240" s="33" t="str">
        <f>INDEX(Detail!$F$1:$F$1001,MATCH(Main!B240,Detail!$G$1:$G$1001,0))</f>
        <v>Bima</v>
      </c>
      <c r="R240" s="7">
        <f>INDEX(Detail!$C$1:$C$1001,MATCH(B240,Detail!$G$1:$G$1001,0),1)</f>
        <v>152</v>
      </c>
      <c r="S240" s="7">
        <f>INDEX(Detail!$D$1:$D$1001,MATCH(B240,Detail!$G$1:$G$1001,0),1)</f>
        <v>91</v>
      </c>
      <c r="T240" s="7" t="str">
        <f>INDEX(Detail!$E$1:$E$1001,MATCH(Main!B240,Detail!$G$1:$G$1001,0))</f>
        <v>Gang Pasirkoja No. 56</v>
      </c>
      <c r="U240" s="7" t="str">
        <f>INDEX(Detail!$B$1:$B$1001,MATCH(B240,Detail!$G$1:$G$1001,0),1)</f>
        <v>B+</v>
      </c>
      <c r="V240" s="7" t="str" cm="1">
        <f t="array" ref="V240">INDEX(Dosen!$B$3:$E$8,MATCH(Main!C240,Dosen!$A$3:$A$8,0),IF(AND(Main!A240&gt;=1,Main!A240&lt;=250),1,IF(AND(Main!A240&gt;=251,Main!A240&lt;=500),2,IF(AND(Main!A240&gt;=501,Main!A240&lt;=750),3,4))))</f>
        <v>Pak Andi</v>
      </c>
      <c r="W240" s="7" t="str">
        <f>_xlfn.XLOOKUP(B240,Detail!$G$1:$G$1001,Detail!$B$1:$B$1001)</f>
        <v>B+</v>
      </c>
    </row>
    <row r="241" spans="1:23" ht="15.75" x14ac:dyDescent="0.25">
      <c r="A241" s="7">
        <v>610</v>
      </c>
      <c r="B241" s="33" t="str">
        <f t="shared" si="10"/>
        <v>B0610</v>
      </c>
      <c r="C241" s="7" t="s">
        <v>1014</v>
      </c>
      <c r="D241" s="33" t="str">
        <f>VLOOKUP(B241,Detail!$G$1:$H$1001,2,FALSE)</f>
        <v>Darsirah Wahyuni</v>
      </c>
      <c r="E241" s="7">
        <v>93</v>
      </c>
      <c r="F241" s="7">
        <v>50</v>
      </c>
      <c r="G241" s="57">
        <v>39</v>
      </c>
      <c r="H241" s="7">
        <v>61</v>
      </c>
      <c r="I241" s="7">
        <v>76</v>
      </c>
      <c r="J241" s="7">
        <v>42</v>
      </c>
      <c r="K241" s="7">
        <v>87</v>
      </c>
      <c r="L241" s="56" t="str">
        <f>IFERROR(VLOOKUP(B241,Absen!$A$1:$C$501,2,FALSE),"No")</f>
        <v>No</v>
      </c>
      <c r="M241" s="58">
        <f t="shared" si="8"/>
        <v>8.7000000000000011</v>
      </c>
      <c r="N241" s="57">
        <f t="shared" si="9"/>
        <v>59.9</v>
      </c>
      <c r="O241" s="7" t="str">
        <f>VLOOKUP(N241,Helper!$B$30:$C$35,2,TRUE)</f>
        <v>D</v>
      </c>
      <c r="P241" s="56">
        <f>INDEX(Detail!$A$1:$A$1001,MATCH(B241,Detail!$G$1:$G$1001,0))</f>
        <v>37898</v>
      </c>
      <c r="Q241" s="33" t="str">
        <f>INDEX(Detail!$F$1:$F$1001,MATCH(Main!B241,Detail!$G$1:$G$1001,0))</f>
        <v>Banjarbaru</v>
      </c>
      <c r="R241" s="7">
        <f>INDEX(Detail!$C$1:$C$1001,MATCH(B241,Detail!$G$1:$G$1001,0),1)</f>
        <v>150</v>
      </c>
      <c r="S241" s="7">
        <f>INDEX(Detail!$D$1:$D$1001,MATCH(B241,Detail!$G$1:$G$1001,0),1)</f>
        <v>71</v>
      </c>
      <c r="T241" s="7" t="str">
        <f>INDEX(Detail!$E$1:$E$1001,MATCH(Main!B241,Detail!$G$1:$G$1001,0))</f>
        <v>Jl. Ciwastra No. 69</v>
      </c>
      <c r="U241" s="7" t="str">
        <f>INDEX(Detail!$B$1:$B$1001,MATCH(B241,Detail!$G$1:$G$1001,0),1)</f>
        <v>AB-</v>
      </c>
      <c r="V241" s="7" t="str" cm="1">
        <f t="array" ref="V241">INDEX(Dosen!$B$3:$E$8,MATCH(Main!C241,Dosen!$A$3:$A$8,0),IF(AND(Main!A241&gt;=1,Main!A241&lt;=250),1,IF(AND(Main!A241&gt;=251,Main!A241&lt;=500),2,IF(AND(Main!A241&gt;=501,Main!A241&lt;=750),3,4))))</f>
        <v>Pak Andi</v>
      </c>
      <c r="W241" s="7" t="str">
        <f>_xlfn.XLOOKUP(B241,Detail!$G$1:$G$1001,Detail!$B$1:$B$1001)</f>
        <v>AB-</v>
      </c>
    </row>
    <row r="242" spans="1:23" ht="15.75" x14ac:dyDescent="0.25">
      <c r="A242" s="7">
        <v>612</v>
      </c>
      <c r="B242" s="33" t="str">
        <f t="shared" si="10"/>
        <v>B0612</v>
      </c>
      <c r="C242" s="7" t="s">
        <v>1014</v>
      </c>
      <c r="D242" s="33" t="str">
        <f>VLOOKUP(B242,Detail!$G$1:$H$1001,2,FALSE)</f>
        <v>Alambana Uyainah</v>
      </c>
      <c r="E242" s="7">
        <v>84</v>
      </c>
      <c r="F242" s="7">
        <v>42</v>
      </c>
      <c r="G242" s="57">
        <v>78</v>
      </c>
      <c r="H242" s="7">
        <v>59</v>
      </c>
      <c r="I242" s="7">
        <v>71</v>
      </c>
      <c r="J242" s="7">
        <v>96</v>
      </c>
      <c r="K242" s="7">
        <v>69</v>
      </c>
      <c r="L242" s="56" t="str">
        <f>IFERROR(VLOOKUP(B242,Absen!$A$1:$C$501,2,FALSE),"No")</f>
        <v>No</v>
      </c>
      <c r="M242" s="58">
        <f t="shared" si="8"/>
        <v>6.9</v>
      </c>
      <c r="N242" s="57">
        <f t="shared" si="9"/>
        <v>73.700000000000017</v>
      </c>
      <c r="O242" s="7" t="str">
        <f>VLOOKUP(N242,Helper!$B$30:$C$35,2,TRUE)</f>
        <v>B</v>
      </c>
      <c r="P242" s="56">
        <f>INDEX(Detail!$A$1:$A$1001,MATCH(B242,Detail!$G$1:$G$1001,0))</f>
        <v>38262</v>
      </c>
      <c r="Q242" s="33" t="str">
        <f>INDEX(Detail!$F$1:$F$1001,MATCH(Main!B242,Detail!$G$1:$G$1001,0))</f>
        <v>Tidore Kepulauan</v>
      </c>
      <c r="R242" s="7">
        <f>INDEX(Detail!$C$1:$C$1001,MATCH(B242,Detail!$G$1:$G$1001,0),1)</f>
        <v>165</v>
      </c>
      <c r="S242" s="7">
        <f>INDEX(Detail!$D$1:$D$1001,MATCH(B242,Detail!$G$1:$G$1001,0),1)</f>
        <v>89</v>
      </c>
      <c r="T242" s="7" t="str">
        <f>INDEX(Detail!$E$1:$E$1001,MATCH(Main!B242,Detail!$G$1:$G$1001,0))</f>
        <v>Gang Gardujati No. 90</v>
      </c>
      <c r="U242" s="7" t="str">
        <f>INDEX(Detail!$B$1:$B$1001,MATCH(B242,Detail!$G$1:$G$1001,0),1)</f>
        <v>O-</v>
      </c>
      <c r="V242" s="7" t="str" cm="1">
        <f t="array" ref="V242">INDEX(Dosen!$B$3:$E$8,MATCH(Main!C242,Dosen!$A$3:$A$8,0),IF(AND(Main!A242&gt;=1,Main!A242&lt;=250),1,IF(AND(Main!A242&gt;=251,Main!A242&lt;=500),2,IF(AND(Main!A242&gt;=501,Main!A242&lt;=750),3,4))))</f>
        <v>Pak Andi</v>
      </c>
      <c r="W242" s="7" t="str">
        <f>_xlfn.XLOOKUP(B242,Detail!$G$1:$G$1001,Detail!$B$1:$B$1001)</f>
        <v>O-</v>
      </c>
    </row>
    <row r="243" spans="1:23" ht="15.75" x14ac:dyDescent="0.25">
      <c r="A243" s="7">
        <v>618</v>
      </c>
      <c r="B243" s="33" t="str">
        <f t="shared" si="10"/>
        <v>B0618</v>
      </c>
      <c r="C243" s="7" t="s">
        <v>1014</v>
      </c>
      <c r="D243" s="33" t="str">
        <f>VLOOKUP(B243,Detail!$G$1:$H$1001,2,FALSE)</f>
        <v>Kenzie Widodo</v>
      </c>
      <c r="E243" s="7">
        <v>57</v>
      </c>
      <c r="F243" s="7">
        <v>58</v>
      </c>
      <c r="G243" s="57">
        <v>65</v>
      </c>
      <c r="H243" s="7">
        <v>68</v>
      </c>
      <c r="I243" s="7">
        <v>60</v>
      </c>
      <c r="J243" s="7">
        <v>43</v>
      </c>
      <c r="K243" s="7">
        <v>73</v>
      </c>
      <c r="L243" s="56" t="str">
        <f>IFERROR(VLOOKUP(B243,Absen!$A$1:$C$501,2,FALSE),"No")</f>
        <v>No</v>
      </c>
      <c r="M243" s="58">
        <f t="shared" si="8"/>
        <v>7.3000000000000007</v>
      </c>
      <c r="N243" s="57">
        <f t="shared" si="9"/>
        <v>59.275000000000006</v>
      </c>
      <c r="O243" s="7" t="str">
        <f>VLOOKUP(N243,Helper!$B$30:$C$35,2,TRUE)</f>
        <v>D</v>
      </c>
      <c r="P243" s="56">
        <f>INDEX(Detail!$A$1:$A$1001,MATCH(B243,Detail!$G$1:$G$1001,0))</f>
        <v>38229</v>
      </c>
      <c r="Q243" s="33" t="str">
        <f>INDEX(Detail!$F$1:$F$1001,MATCH(Main!B243,Detail!$G$1:$G$1001,0))</f>
        <v>Pematangsiantar</v>
      </c>
      <c r="R243" s="7">
        <f>INDEX(Detail!$C$1:$C$1001,MATCH(B243,Detail!$G$1:$G$1001,0),1)</f>
        <v>165</v>
      </c>
      <c r="S243" s="7">
        <f>INDEX(Detail!$D$1:$D$1001,MATCH(B243,Detail!$G$1:$G$1001,0),1)</f>
        <v>63</v>
      </c>
      <c r="T243" s="7" t="str">
        <f>INDEX(Detail!$E$1:$E$1001,MATCH(Main!B243,Detail!$G$1:$G$1001,0))</f>
        <v>Jalan Kendalsari No. 04</v>
      </c>
      <c r="U243" s="7" t="str">
        <f>INDEX(Detail!$B$1:$B$1001,MATCH(B243,Detail!$G$1:$G$1001,0),1)</f>
        <v>AB-</v>
      </c>
      <c r="V243" s="7" t="str" cm="1">
        <f t="array" ref="V243">INDEX(Dosen!$B$3:$E$8,MATCH(Main!C243,Dosen!$A$3:$A$8,0),IF(AND(Main!A243&gt;=1,Main!A243&lt;=250),1,IF(AND(Main!A243&gt;=251,Main!A243&lt;=500),2,IF(AND(Main!A243&gt;=501,Main!A243&lt;=750),3,4))))</f>
        <v>Pak Andi</v>
      </c>
      <c r="W243" s="7" t="str">
        <f>_xlfn.XLOOKUP(B243,Detail!$G$1:$G$1001,Detail!$B$1:$B$1001)</f>
        <v>AB-</v>
      </c>
    </row>
    <row r="244" spans="1:23" ht="15.75" x14ac:dyDescent="0.25">
      <c r="A244" s="7">
        <v>619</v>
      </c>
      <c r="B244" s="33" t="str">
        <f t="shared" si="10"/>
        <v>B0619</v>
      </c>
      <c r="C244" s="7" t="s">
        <v>1014</v>
      </c>
      <c r="D244" s="33" t="str">
        <f>VLOOKUP(B244,Detail!$G$1:$H$1001,2,FALSE)</f>
        <v>Galak Oktaviani</v>
      </c>
      <c r="E244" s="7">
        <v>60</v>
      </c>
      <c r="F244" s="7">
        <v>63</v>
      </c>
      <c r="G244" s="57">
        <v>44</v>
      </c>
      <c r="H244" s="7">
        <v>68</v>
      </c>
      <c r="I244" s="7">
        <v>64</v>
      </c>
      <c r="J244" s="7">
        <v>57</v>
      </c>
      <c r="K244" s="7">
        <v>70</v>
      </c>
      <c r="L244" s="56" t="str">
        <f>IFERROR(VLOOKUP(B244,Absen!$A$1:$C$501,2,FALSE),"No")</f>
        <v>No</v>
      </c>
      <c r="M244" s="58">
        <f t="shared" si="8"/>
        <v>7</v>
      </c>
      <c r="N244" s="57">
        <f t="shared" si="9"/>
        <v>59.074999999999996</v>
      </c>
      <c r="O244" s="7" t="str">
        <f>VLOOKUP(N244,Helper!$B$30:$C$35,2,TRUE)</f>
        <v>D</v>
      </c>
      <c r="P244" s="56">
        <f>INDEX(Detail!$A$1:$A$1001,MATCH(B244,Detail!$G$1:$G$1001,0))</f>
        <v>37502</v>
      </c>
      <c r="Q244" s="33" t="str">
        <f>INDEX(Detail!$F$1:$F$1001,MATCH(Main!B244,Detail!$G$1:$G$1001,0))</f>
        <v>Surakarta</v>
      </c>
      <c r="R244" s="7">
        <f>INDEX(Detail!$C$1:$C$1001,MATCH(B244,Detail!$G$1:$G$1001,0),1)</f>
        <v>173</v>
      </c>
      <c r="S244" s="7">
        <f>INDEX(Detail!$D$1:$D$1001,MATCH(B244,Detail!$G$1:$G$1001,0),1)</f>
        <v>62</v>
      </c>
      <c r="T244" s="7" t="str">
        <f>INDEX(Detail!$E$1:$E$1001,MATCH(Main!B244,Detail!$G$1:$G$1001,0))</f>
        <v>Jl. Abdul Muis No. 96</v>
      </c>
      <c r="U244" s="7" t="str">
        <f>INDEX(Detail!$B$1:$B$1001,MATCH(B244,Detail!$G$1:$G$1001,0),1)</f>
        <v>O+</v>
      </c>
      <c r="V244" s="7" t="str" cm="1">
        <f t="array" ref="V244">INDEX(Dosen!$B$3:$E$8,MATCH(Main!C244,Dosen!$A$3:$A$8,0),IF(AND(Main!A244&gt;=1,Main!A244&lt;=250),1,IF(AND(Main!A244&gt;=251,Main!A244&lt;=500),2,IF(AND(Main!A244&gt;=501,Main!A244&lt;=750),3,4))))</f>
        <v>Pak Andi</v>
      </c>
      <c r="W244" s="7" t="str">
        <f>_xlfn.XLOOKUP(B244,Detail!$G$1:$G$1001,Detail!$B$1:$B$1001)</f>
        <v>O+</v>
      </c>
    </row>
    <row r="245" spans="1:23" ht="15.75" x14ac:dyDescent="0.25">
      <c r="A245" s="7">
        <v>621</v>
      </c>
      <c r="B245" s="33" t="str">
        <f t="shared" si="10"/>
        <v>B0621</v>
      </c>
      <c r="C245" s="7" t="s">
        <v>1014</v>
      </c>
      <c r="D245" s="33" t="str">
        <f>VLOOKUP(B245,Detail!$G$1:$H$1001,2,FALSE)</f>
        <v>Empluk Waskita</v>
      </c>
      <c r="E245" s="7">
        <v>85</v>
      </c>
      <c r="F245" s="7">
        <v>60</v>
      </c>
      <c r="G245" s="57">
        <v>57</v>
      </c>
      <c r="H245" s="7">
        <v>73</v>
      </c>
      <c r="I245" s="7">
        <v>71</v>
      </c>
      <c r="J245" s="7">
        <v>72</v>
      </c>
      <c r="K245" s="7">
        <v>83</v>
      </c>
      <c r="L245" s="56" t="str">
        <f>IFERROR(VLOOKUP(B245,Absen!$A$1:$C$501,2,FALSE),"No")</f>
        <v>No</v>
      </c>
      <c r="M245" s="58">
        <f t="shared" si="8"/>
        <v>8.3000000000000007</v>
      </c>
      <c r="N245" s="57">
        <f t="shared" si="9"/>
        <v>70.224999999999994</v>
      </c>
      <c r="O245" s="7" t="str">
        <f>VLOOKUP(N245,Helper!$B$30:$C$35,2,TRUE)</f>
        <v>B</v>
      </c>
      <c r="P245" s="56">
        <f>INDEX(Detail!$A$1:$A$1001,MATCH(B245,Detail!$G$1:$G$1001,0))</f>
        <v>37590</v>
      </c>
      <c r="Q245" s="33" t="str">
        <f>INDEX(Detail!$F$1:$F$1001,MATCH(Main!B245,Detail!$G$1:$G$1001,0))</f>
        <v>Banjarbaru</v>
      </c>
      <c r="R245" s="7">
        <f>INDEX(Detail!$C$1:$C$1001,MATCH(B245,Detail!$G$1:$G$1001,0),1)</f>
        <v>150</v>
      </c>
      <c r="S245" s="7">
        <f>INDEX(Detail!$D$1:$D$1001,MATCH(B245,Detail!$G$1:$G$1001,0),1)</f>
        <v>86</v>
      </c>
      <c r="T245" s="7" t="str">
        <f>INDEX(Detail!$E$1:$E$1001,MATCH(Main!B245,Detail!$G$1:$G$1001,0))</f>
        <v>Jalan KH Amin Jasuta No. 27</v>
      </c>
      <c r="U245" s="7" t="str">
        <f>INDEX(Detail!$B$1:$B$1001,MATCH(B245,Detail!$G$1:$G$1001,0),1)</f>
        <v>O+</v>
      </c>
      <c r="V245" s="7" t="str" cm="1">
        <f t="array" ref="V245">INDEX(Dosen!$B$3:$E$8,MATCH(Main!C245,Dosen!$A$3:$A$8,0),IF(AND(Main!A245&gt;=1,Main!A245&lt;=250),1,IF(AND(Main!A245&gt;=251,Main!A245&lt;=500),2,IF(AND(Main!A245&gt;=501,Main!A245&lt;=750),3,4))))</f>
        <v>Pak Andi</v>
      </c>
      <c r="W245" s="7" t="str">
        <f>_xlfn.XLOOKUP(B245,Detail!$G$1:$G$1001,Detail!$B$1:$B$1001)</f>
        <v>O+</v>
      </c>
    </row>
    <row r="246" spans="1:23" ht="15.75" x14ac:dyDescent="0.25">
      <c r="A246" s="7">
        <v>625</v>
      </c>
      <c r="B246" s="33" t="str">
        <f t="shared" si="10"/>
        <v>B0625</v>
      </c>
      <c r="C246" s="7" t="s">
        <v>1014</v>
      </c>
      <c r="D246" s="33" t="str">
        <f>VLOOKUP(B246,Detail!$G$1:$H$1001,2,FALSE)</f>
        <v>Faizah Suwarno</v>
      </c>
      <c r="E246" s="7">
        <v>78</v>
      </c>
      <c r="F246" s="7">
        <v>52</v>
      </c>
      <c r="G246" s="57">
        <v>84</v>
      </c>
      <c r="H246" s="7">
        <v>62</v>
      </c>
      <c r="I246" s="7">
        <v>60</v>
      </c>
      <c r="J246" s="7">
        <v>66</v>
      </c>
      <c r="K246" s="7">
        <v>73</v>
      </c>
      <c r="L246" s="56" t="str">
        <f>IFERROR(VLOOKUP(B246,Absen!$A$1:$C$501,2,FALSE),"No")</f>
        <v>No</v>
      </c>
      <c r="M246" s="58">
        <f t="shared" si="8"/>
        <v>7.3000000000000007</v>
      </c>
      <c r="N246" s="57">
        <f t="shared" si="9"/>
        <v>68.8</v>
      </c>
      <c r="O246" s="7" t="str">
        <f>VLOOKUP(N246,Helper!$B$30:$C$35,2,TRUE)</f>
        <v>C</v>
      </c>
      <c r="P246" s="56">
        <f>INDEX(Detail!$A$1:$A$1001,MATCH(B246,Detail!$G$1:$G$1001,0))</f>
        <v>38176</v>
      </c>
      <c r="Q246" s="33" t="str">
        <f>INDEX(Detail!$F$1:$F$1001,MATCH(Main!B246,Detail!$G$1:$G$1001,0))</f>
        <v>Palopo</v>
      </c>
      <c r="R246" s="7">
        <f>INDEX(Detail!$C$1:$C$1001,MATCH(B246,Detail!$G$1:$G$1001,0),1)</f>
        <v>161</v>
      </c>
      <c r="S246" s="7">
        <f>INDEX(Detail!$D$1:$D$1001,MATCH(B246,Detail!$G$1:$G$1001,0),1)</f>
        <v>49</v>
      </c>
      <c r="T246" s="7" t="str">
        <f>INDEX(Detail!$E$1:$E$1001,MATCH(Main!B246,Detail!$G$1:$G$1001,0))</f>
        <v xml:space="preserve">Gg. Stasiun Wonokromo No. 5
</v>
      </c>
      <c r="U246" s="7" t="str">
        <f>INDEX(Detail!$B$1:$B$1001,MATCH(B246,Detail!$G$1:$G$1001,0),1)</f>
        <v>B+</v>
      </c>
      <c r="V246" s="7" t="str" cm="1">
        <f t="array" ref="V246">INDEX(Dosen!$B$3:$E$8,MATCH(Main!C246,Dosen!$A$3:$A$8,0),IF(AND(Main!A246&gt;=1,Main!A246&lt;=250),1,IF(AND(Main!A246&gt;=251,Main!A246&lt;=500),2,IF(AND(Main!A246&gt;=501,Main!A246&lt;=750),3,4))))</f>
        <v>Pak Andi</v>
      </c>
      <c r="W246" s="7" t="str">
        <f>_xlfn.XLOOKUP(B246,Detail!$G$1:$G$1001,Detail!$B$1:$B$1001)</f>
        <v>B+</v>
      </c>
    </row>
    <row r="247" spans="1:23" ht="15.75" x14ac:dyDescent="0.25">
      <c r="A247" s="7">
        <v>628</v>
      </c>
      <c r="B247" s="33" t="str">
        <f t="shared" si="10"/>
        <v>B0628</v>
      </c>
      <c r="C247" s="7" t="s">
        <v>1014</v>
      </c>
      <c r="D247" s="33" t="str">
        <f>VLOOKUP(B247,Detail!$G$1:$H$1001,2,FALSE)</f>
        <v>Ibrani Thamrin</v>
      </c>
      <c r="E247" s="7">
        <v>64</v>
      </c>
      <c r="F247" s="7">
        <v>65</v>
      </c>
      <c r="G247" s="57">
        <v>30</v>
      </c>
      <c r="H247" s="7">
        <v>67</v>
      </c>
      <c r="I247" s="7">
        <v>73</v>
      </c>
      <c r="J247" s="7">
        <v>61</v>
      </c>
      <c r="K247" s="7">
        <v>79</v>
      </c>
      <c r="L247" s="56">
        <f>IFERROR(VLOOKUP(B247,Absen!$A$1:$C$501,2,FALSE),"No")</f>
        <v>44803</v>
      </c>
      <c r="M247" s="58">
        <f t="shared" si="8"/>
        <v>6.9</v>
      </c>
      <c r="N247" s="57">
        <f t="shared" si="9"/>
        <v>58.725000000000001</v>
      </c>
      <c r="O247" s="7" t="str">
        <f>VLOOKUP(N247,Helper!$B$30:$C$35,2,TRUE)</f>
        <v>D</v>
      </c>
      <c r="P247" s="56">
        <f>INDEX(Detail!$A$1:$A$1001,MATCH(B247,Detail!$G$1:$G$1001,0))</f>
        <v>37677</v>
      </c>
      <c r="Q247" s="33" t="str">
        <f>INDEX(Detail!$F$1:$F$1001,MATCH(Main!B247,Detail!$G$1:$G$1001,0))</f>
        <v>Makassar</v>
      </c>
      <c r="R247" s="7">
        <f>INDEX(Detail!$C$1:$C$1001,MATCH(B247,Detail!$G$1:$G$1001,0),1)</f>
        <v>155</v>
      </c>
      <c r="S247" s="7">
        <f>INDEX(Detail!$D$1:$D$1001,MATCH(B247,Detail!$G$1:$G$1001,0),1)</f>
        <v>71</v>
      </c>
      <c r="T247" s="7" t="str">
        <f>INDEX(Detail!$E$1:$E$1001,MATCH(Main!B247,Detail!$G$1:$G$1001,0))</f>
        <v>Jl. Ahmad Dahlan No. 75</v>
      </c>
      <c r="U247" s="7" t="str">
        <f>INDEX(Detail!$B$1:$B$1001,MATCH(B247,Detail!$G$1:$G$1001,0),1)</f>
        <v>A-</v>
      </c>
      <c r="V247" s="7" t="str" cm="1">
        <f t="array" ref="V247">INDEX(Dosen!$B$3:$E$8,MATCH(Main!C247,Dosen!$A$3:$A$8,0),IF(AND(Main!A247&gt;=1,Main!A247&lt;=250),1,IF(AND(Main!A247&gt;=251,Main!A247&lt;=500),2,IF(AND(Main!A247&gt;=501,Main!A247&lt;=750),3,4))))</f>
        <v>Pak Andi</v>
      </c>
      <c r="W247" s="7" t="str">
        <f>_xlfn.XLOOKUP(B247,Detail!$G$1:$G$1001,Detail!$B$1:$B$1001)</f>
        <v>A-</v>
      </c>
    </row>
    <row r="248" spans="1:23" ht="15.75" x14ac:dyDescent="0.25">
      <c r="A248" s="7">
        <v>629</v>
      </c>
      <c r="B248" s="33" t="str">
        <f t="shared" si="10"/>
        <v>B0629</v>
      </c>
      <c r="C248" s="7" t="s">
        <v>1014</v>
      </c>
      <c r="D248" s="33" t="str">
        <f>VLOOKUP(B248,Detail!$G$1:$H$1001,2,FALSE)</f>
        <v>Gantar Iswahyudi</v>
      </c>
      <c r="E248" s="7">
        <v>73</v>
      </c>
      <c r="F248" s="7">
        <v>41</v>
      </c>
      <c r="G248" s="57">
        <v>66</v>
      </c>
      <c r="H248" s="7">
        <v>55</v>
      </c>
      <c r="I248" s="7">
        <v>94</v>
      </c>
      <c r="J248" s="7">
        <v>62</v>
      </c>
      <c r="K248" s="7">
        <v>83</v>
      </c>
      <c r="L248" s="56">
        <f>IFERROR(VLOOKUP(B248,Absen!$A$1:$C$501,2,FALSE),"No")</f>
        <v>44858</v>
      </c>
      <c r="M248" s="58">
        <f t="shared" si="8"/>
        <v>7.3000000000000007</v>
      </c>
      <c r="N248" s="57">
        <f t="shared" si="9"/>
        <v>65.775000000000006</v>
      </c>
      <c r="O248" s="7" t="str">
        <f>VLOOKUP(N248,Helper!$B$30:$C$35,2,TRUE)</f>
        <v>C</v>
      </c>
      <c r="P248" s="56">
        <f>INDEX(Detail!$A$1:$A$1001,MATCH(B248,Detail!$G$1:$G$1001,0))</f>
        <v>38000</v>
      </c>
      <c r="Q248" s="33" t="str">
        <f>INDEX(Detail!$F$1:$F$1001,MATCH(Main!B248,Detail!$G$1:$G$1001,0))</f>
        <v>Padang</v>
      </c>
      <c r="R248" s="7">
        <f>INDEX(Detail!$C$1:$C$1001,MATCH(B248,Detail!$G$1:$G$1001,0),1)</f>
        <v>160</v>
      </c>
      <c r="S248" s="7">
        <f>INDEX(Detail!$D$1:$D$1001,MATCH(B248,Detail!$G$1:$G$1001,0),1)</f>
        <v>74</v>
      </c>
      <c r="T248" s="7" t="str">
        <f>INDEX(Detail!$E$1:$E$1001,MATCH(Main!B248,Detail!$G$1:$G$1001,0))</f>
        <v xml:space="preserve">Gang Jend. Sudirman No. 8
</v>
      </c>
      <c r="U248" s="7" t="str">
        <f>INDEX(Detail!$B$1:$B$1001,MATCH(B248,Detail!$G$1:$G$1001,0),1)</f>
        <v>B-</v>
      </c>
      <c r="V248" s="7" t="str" cm="1">
        <f t="array" ref="V248">INDEX(Dosen!$B$3:$E$8,MATCH(Main!C248,Dosen!$A$3:$A$8,0),IF(AND(Main!A248&gt;=1,Main!A248&lt;=250),1,IF(AND(Main!A248&gt;=251,Main!A248&lt;=500),2,IF(AND(Main!A248&gt;=501,Main!A248&lt;=750),3,4))))</f>
        <v>Pak Andi</v>
      </c>
      <c r="W248" s="7" t="str">
        <f>_xlfn.XLOOKUP(B248,Detail!$G$1:$G$1001,Detail!$B$1:$B$1001)</f>
        <v>B-</v>
      </c>
    </row>
    <row r="249" spans="1:23" ht="15.75" x14ac:dyDescent="0.25">
      <c r="A249" s="7">
        <v>635</v>
      </c>
      <c r="B249" s="33" t="str">
        <f t="shared" si="10"/>
        <v>B0635</v>
      </c>
      <c r="C249" s="7" t="s">
        <v>1014</v>
      </c>
      <c r="D249" s="33" t="str">
        <f>VLOOKUP(B249,Detail!$G$1:$H$1001,2,FALSE)</f>
        <v>Umay Sitompul</v>
      </c>
      <c r="E249" s="7">
        <v>80</v>
      </c>
      <c r="F249" s="7">
        <v>61</v>
      </c>
      <c r="G249" s="57">
        <v>88</v>
      </c>
      <c r="H249" s="7">
        <v>69</v>
      </c>
      <c r="I249" s="7">
        <v>90</v>
      </c>
      <c r="J249" s="7">
        <v>45</v>
      </c>
      <c r="K249" s="7">
        <v>83</v>
      </c>
      <c r="L249" s="56" t="str">
        <f>IFERROR(VLOOKUP(B249,Absen!$A$1:$C$501,2,FALSE),"No")</f>
        <v>No</v>
      </c>
      <c r="M249" s="58">
        <f t="shared" si="8"/>
        <v>8.3000000000000007</v>
      </c>
      <c r="N249" s="57">
        <f t="shared" si="9"/>
        <v>72.399999999999991</v>
      </c>
      <c r="O249" s="7" t="str">
        <f>VLOOKUP(N249,Helper!$B$30:$C$35,2,TRUE)</f>
        <v>B</v>
      </c>
      <c r="P249" s="56">
        <f>INDEX(Detail!$A$1:$A$1001,MATCH(B249,Detail!$G$1:$G$1001,0))</f>
        <v>37270</v>
      </c>
      <c r="Q249" s="33" t="str">
        <f>INDEX(Detail!$F$1:$F$1001,MATCH(Main!B249,Detail!$G$1:$G$1001,0))</f>
        <v>Tegal</v>
      </c>
      <c r="R249" s="7">
        <f>INDEX(Detail!$C$1:$C$1001,MATCH(B249,Detail!$G$1:$G$1001,0),1)</f>
        <v>154</v>
      </c>
      <c r="S249" s="7">
        <f>INDEX(Detail!$D$1:$D$1001,MATCH(B249,Detail!$G$1:$G$1001,0),1)</f>
        <v>50</v>
      </c>
      <c r="T249" s="7" t="str">
        <f>INDEX(Detail!$E$1:$E$1001,MATCH(Main!B249,Detail!$G$1:$G$1001,0))</f>
        <v>Jl. Suryakencana No. 91</v>
      </c>
      <c r="U249" s="7" t="str">
        <f>INDEX(Detail!$B$1:$B$1001,MATCH(B249,Detail!$G$1:$G$1001,0),1)</f>
        <v>B-</v>
      </c>
      <c r="V249" s="7" t="str" cm="1">
        <f t="array" ref="V249">INDEX(Dosen!$B$3:$E$8,MATCH(Main!C249,Dosen!$A$3:$A$8,0),IF(AND(Main!A249&gt;=1,Main!A249&lt;=250),1,IF(AND(Main!A249&gt;=251,Main!A249&lt;=500),2,IF(AND(Main!A249&gt;=501,Main!A249&lt;=750),3,4))))</f>
        <v>Pak Andi</v>
      </c>
      <c r="W249" s="7" t="str">
        <f>_xlfn.XLOOKUP(B249,Detail!$G$1:$G$1001,Detail!$B$1:$B$1001)</f>
        <v>B-</v>
      </c>
    </row>
    <row r="250" spans="1:23" ht="15.75" x14ac:dyDescent="0.25">
      <c r="A250" s="7">
        <v>637</v>
      </c>
      <c r="B250" s="33" t="str">
        <f t="shared" si="10"/>
        <v>B0637</v>
      </c>
      <c r="C250" s="7" t="s">
        <v>1014</v>
      </c>
      <c r="D250" s="33" t="str">
        <f>VLOOKUP(B250,Detail!$G$1:$H$1001,2,FALSE)</f>
        <v>Faizah Uwais</v>
      </c>
      <c r="E250" s="7">
        <v>93</v>
      </c>
      <c r="F250" s="7">
        <v>45</v>
      </c>
      <c r="G250" s="57">
        <v>66</v>
      </c>
      <c r="H250" s="7">
        <v>75</v>
      </c>
      <c r="I250" s="7">
        <v>56</v>
      </c>
      <c r="J250" s="7">
        <v>62</v>
      </c>
      <c r="K250" s="7">
        <v>62</v>
      </c>
      <c r="L250" s="56">
        <f>IFERROR(VLOOKUP(B250,Absen!$A$1:$C$501,2,FALSE),"No")</f>
        <v>44887</v>
      </c>
      <c r="M250" s="58">
        <f t="shared" si="8"/>
        <v>5.2</v>
      </c>
      <c r="N250" s="57">
        <f t="shared" si="9"/>
        <v>64.424999999999997</v>
      </c>
      <c r="O250" s="7" t="str">
        <f>VLOOKUP(N250,Helper!$B$30:$C$35,2,TRUE)</f>
        <v>C</v>
      </c>
      <c r="P250" s="56">
        <f>INDEX(Detail!$A$1:$A$1001,MATCH(B250,Detail!$G$1:$G$1001,0))</f>
        <v>37123</v>
      </c>
      <c r="Q250" s="33" t="str">
        <f>INDEX(Detail!$F$1:$F$1001,MATCH(Main!B250,Detail!$G$1:$G$1001,0))</f>
        <v>Kota Administrasi Jakarta Selatan</v>
      </c>
      <c r="R250" s="7">
        <f>INDEX(Detail!$C$1:$C$1001,MATCH(B250,Detail!$G$1:$G$1001,0),1)</f>
        <v>155</v>
      </c>
      <c r="S250" s="7">
        <f>INDEX(Detail!$D$1:$D$1001,MATCH(B250,Detail!$G$1:$G$1001,0),1)</f>
        <v>80</v>
      </c>
      <c r="T250" s="7" t="str">
        <f>INDEX(Detail!$E$1:$E$1001,MATCH(Main!B250,Detail!$G$1:$G$1001,0))</f>
        <v>Jl. Ahmad Yani No. 43</v>
      </c>
      <c r="U250" s="7" t="str">
        <f>INDEX(Detail!$B$1:$B$1001,MATCH(B250,Detail!$G$1:$G$1001,0),1)</f>
        <v>AB+</v>
      </c>
      <c r="V250" s="7" t="str" cm="1">
        <f t="array" ref="V250">INDEX(Dosen!$B$3:$E$8,MATCH(Main!C250,Dosen!$A$3:$A$8,0),IF(AND(Main!A250&gt;=1,Main!A250&lt;=250),1,IF(AND(Main!A250&gt;=251,Main!A250&lt;=500),2,IF(AND(Main!A250&gt;=501,Main!A250&lt;=750),3,4))))</f>
        <v>Pak Andi</v>
      </c>
      <c r="W250" s="7" t="str">
        <f>_xlfn.XLOOKUP(B250,Detail!$G$1:$G$1001,Detail!$B$1:$B$1001)</f>
        <v>AB+</v>
      </c>
    </row>
    <row r="251" spans="1:23" ht="15.75" x14ac:dyDescent="0.25">
      <c r="A251" s="7">
        <v>641</v>
      </c>
      <c r="B251" s="33" t="str">
        <f t="shared" si="10"/>
        <v>B0641</v>
      </c>
      <c r="C251" s="7" t="s">
        <v>1014</v>
      </c>
      <c r="D251" s="33" t="str">
        <f>VLOOKUP(B251,Detail!$G$1:$H$1001,2,FALSE)</f>
        <v>Lala Yolanda</v>
      </c>
      <c r="E251" s="7">
        <v>58</v>
      </c>
      <c r="F251" s="7">
        <v>48</v>
      </c>
      <c r="G251" s="57">
        <v>32</v>
      </c>
      <c r="H251" s="7">
        <v>70</v>
      </c>
      <c r="I251" s="7">
        <v>87</v>
      </c>
      <c r="J251" s="7">
        <v>65</v>
      </c>
      <c r="K251" s="7">
        <v>81</v>
      </c>
      <c r="L251" s="56">
        <f>IFERROR(VLOOKUP(B251,Absen!$A$1:$C$501,2,FALSE),"No")</f>
        <v>44853</v>
      </c>
      <c r="M251" s="58">
        <f t="shared" si="8"/>
        <v>7.1000000000000005</v>
      </c>
      <c r="N251" s="57">
        <f t="shared" si="9"/>
        <v>59.375</v>
      </c>
      <c r="O251" s="7" t="str">
        <f>VLOOKUP(N251,Helper!$B$30:$C$35,2,TRUE)</f>
        <v>D</v>
      </c>
      <c r="P251" s="56">
        <f>INDEX(Detail!$A$1:$A$1001,MATCH(B251,Detail!$G$1:$G$1001,0))</f>
        <v>37907</v>
      </c>
      <c r="Q251" s="33" t="str">
        <f>INDEX(Detail!$F$1:$F$1001,MATCH(Main!B251,Detail!$G$1:$G$1001,0))</f>
        <v>Kota Administrasi Jakarta Timur</v>
      </c>
      <c r="R251" s="7">
        <f>INDEX(Detail!$C$1:$C$1001,MATCH(B251,Detail!$G$1:$G$1001,0),1)</f>
        <v>177</v>
      </c>
      <c r="S251" s="7">
        <f>INDEX(Detail!$D$1:$D$1001,MATCH(B251,Detail!$G$1:$G$1001,0),1)</f>
        <v>66</v>
      </c>
      <c r="T251" s="7" t="str">
        <f>INDEX(Detail!$E$1:$E$1001,MATCH(Main!B251,Detail!$G$1:$G$1001,0))</f>
        <v xml:space="preserve">Jl. Rungkut Industri No. 0
</v>
      </c>
      <c r="U251" s="7" t="str">
        <f>INDEX(Detail!$B$1:$B$1001,MATCH(B251,Detail!$G$1:$G$1001,0),1)</f>
        <v>A+</v>
      </c>
      <c r="V251" s="7" t="str" cm="1">
        <f t="array" ref="V251">INDEX(Dosen!$B$3:$E$8,MATCH(Main!C251,Dosen!$A$3:$A$8,0),IF(AND(Main!A251&gt;=1,Main!A251&lt;=250),1,IF(AND(Main!A251&gt;=251,Main!A251&lt;=500),2,IF(AND(Main!A251&gt;=501,Main!A251&lt;=750),3,4))))</f>
        <v>Pak Andi</v>
      </c>
      <c r="W251" s="7" t="str">
        <f>_xlfn.XLOOKUP(B251,Detail!$G$1:$G$1001,Detail!$B$1:$B$1001)</f>
        <v>A+</v>
      </c>
    </row>
    <row r="252" spans="1:23" ht="15.75" x14ac:dyDescent="0.25">
      <c r="A252" s="7">
        <v>649</v>
      </c>
      <c r="B252" s="33" t="str">
        <f t="shared" si="10"/>
        <v>B0649</v>
      </c>
      <c r="C252" s="7" t="s">
        <v>1014</v>
      </c>
      <c r="D252" s="33" t="str">
        <f>VLOOKUP(B252,Detail!$G$1:$H$1001,2,FALSE)</f>
        <v>Labuh Sudiati</v>
      </c>
      <c r="E252" s="7">
        <v>84</v>
      </c>
      <c r="F252" s="7">
        <v>58</v>
      </c>
      <c r="G252" s="57">
        <v>76</v>
      </c>
      <c r="H252" s="7">
        <v>70</v>
      </c>
      <c r="I252" s="7">
        <v>50</v>
      </c>
      <c r="J252" s="7">
        <v>67</v>
      </c>
      <c r="K252" s="7">
        <v>67</v>
      </c>
      <c r="L252" s="56" t="str">
        <f>IFERROR(VLOOKUP(B252,Absen!$A$1:$C$501,2,FALSE),"No")</f>
        <v>No</v>
      </c>
      <c r="M252" s="58">
        <f t="shared" si="8"/>
        <v>6.7</v>
      </c>
      <c r="N252" s="57">
        <f t="shared" si="9"/>
        <v>68.05</v>
      </c>
      <c r="O252" s="7" t="str">
        <f>VLOOKUP(N252,Helper!$B$30:$C$35,2,TRUE)</f>
        <v>C</v>
      </c>
      <c r="P252" s="56">
        <f>INDEX(Detail!$A$1:$A$1001,MATCH(B252,Detail!$G$1:$G$1001,0))</f>
        <v>37012</v>
      </c>
      <c r="Q252" s="33" t="str">
        <f>INDEX(Detail!$F$1:$F$1001,MATCH(Main!B252,Detail!$G$1:$G$1001,0))</f>
        <v>Kota Administrasi Jakarta Selatan</v>
      </c>
      <c r="R252" s="7">
        <f>INDEX(Detail!$C$1:$C$1001,MATCH(B252,Detail!$G$1:$G$1001,0),1)</f>
        <v>180</v>
      </c>
      <c r="S252" s="7">
        <f>INDEX(Detail!$D$1:$D$1001,MATCH(B252,Detail!$G$1:$G$1001,0),1)</f>
        <v>61</v>
      </c>
      <c r="T252" s="7" t="str">
        <f>INDEX(Detail!$E$1:$E$1001,MATCH(Main!B252,Detail!$G$1:$G$1001,0))</f>
        <v xml:space="preserve">Jl. Moch. Toha No. 4
</v>
      </c>
      <c r="U252" s="7" t="str">
        <f>INDEX(Detail!$B$1:$B$1001,MATCH(B252,Detail!$G$1:$G$1001,0),1)</f>
        <v>B-</v>
      </c>
      <c r="V252" s="7" t="str" cm="1">
        <f t="array" ref="V252">INDEX(Dosen!$B$3:$E$8,MATCH(Main!C252,Dosen!$A$3:$A$8,0),IF(AND(Main!A252&gt;=1,Main!A252&lt;=250),1,IF(AND(Main!A252&gt;=251,Main!A252&lt;=500),2,IF(AND(Main!A252&gt;=501,Main!A252&lt;=750),3,4))))</f>
        <v>Pak Andi</v>
      </c>
      <c r="W252" s="7" t="str">
        <f>_xlfn.XLOOKUP(B252,Detail!$G$1:$G$1001,Detail!$B$1:$B$1001)</f>
        <v>B-</v>
      </c>
    </row>
    <row r="253" spans="1:23" ht="15.75" x14ac:dyDescent="0.25">
      <c r="A253" s="7">
        <v>650</v>
      </c>
      <c r="B253" s="33" t="str">
        <f t="shared" si="10"/>
        <v>B0650</v>
      </c>
      <c r="C253" s="7" t="s">
        <v>1014</v>
      </c>
      <c r="D253" s="33" t="str">
        <f>VLOOKUP(B253,Detail!$G$1:$H$1001,2,FALSE)</f>
        <v>Cakrawala Namaga</v>
      </c>
      <c r="E253" s="7">
        <v>73</v>
      </c>
      <c r="F253" s="7">
        <v>70</v>
      </c>
      <c r="G253" s="57">
        <v>71</v>
      </c>
      <c r="H253" s="7">
        <v>64</v>
      </c>
      <c r="I253" s="7">
        <v>83</v>
      </c>
      <c r="J253" s="7">
        <v>91</v>
      </c>
      <c r="K253" s="7">
        <v>71</v>
      </c>
      <c r="L253" s="56" t="str">
        <f>IFERROR(VLOOKUP(B253,Absen!$A$1:$C$501,2,FALSE),"No")</f>
        <v>No</v>
      </c>
      <c r="M253" s="58">
        <f t="shared" si="8"/>
        <v>7.1000000000000005</v>
      </c>
      <c r="N253" s="57">
        <f t="shared" si="9"/>
        <v>75.75</v>
      </c>
      <c r="O253" s="7" t="str">
        <f>VLOOKUP(N253,Helper!$B$30:$C$35,2,TRUE)</f>
        <v>B</v>
      </c>
      <c r="P253" s="56">
        <f>INDEX(Detail!$A$1:$A$1001,MATCH(B253,Detail!$G$1:$G$1001,0))</f>
        <v>37671</v>
      </c>
      <c r="Q253" s="33" t="str">
        <f>INDEX(Detail!$F$1:$F$1001,MATCH(Main!B253,Detail!$G$1:$G$1001,0))</f>
        <v>Jayapura</v>
      </c>
      <c r="R253" s="7">
        <f>INDEX(Detail!$C$1:$C$1001,MATCH(B253,Detail!$G$1:$G$1001,0),1)</f>
        <v>163</v>
      </c>
      <c r="S253" s="7">
        <f>INDEX(Detail!$D$1:$D$1001,MATCH(B253,Detail!$G$1:$G$1001,0),1)</f>
        <v>87</v>
      </c>
      <c r="T253" s="7" t="str">
        <f>INDEX(Detail!$E$1:$E$1001,MATCH(Main!B253,Detail!$G$1:$G$1001,0))</f>
        <v xml:space="preserve">Jalan Sentot Alibasa No. 4
</v>
      </c>
      <c r="U253" s="7" t="str">
        <f>INDEX(Detail!$B$1:$B$1001,MATCH(B253,Detail!$G$1:$G$1001,0),1)</f>
        <v>AB+</v>
      </c>
      <c r="V253" s="7" t="str" cm="1">
        <f t="array" ref="V253">INDEX(Dosen!$B$3:$E$8,MATCH(Main!C253,Dosen!$A$3:$A$8,0),IF(AND(Main!A253&gt;=1,Main!A253&lt;=250),1,IF(AND(Main!A253&gt;=251,Main!A253&lt;=500),2,IF(AND(Main!A253&gt;=501,Main!A253&lt;=750),3,4))))</f>
        <v>Pak Andi</v>
      </c>
      <c r="W253" s="7" t="str">
        <f>_xlfn.XLOOKUP(B253,Detail!$G$1:$G$1001,Detail!$B$1:$B$1001)</f>
        <v>AB+</v>
      </c>
    </row>
    <row r="254" spans="1:23" ht="15.75" x14ac:dyDescent="0.25">
      <c r="A254" s="7">
        <v>656</v>
      </c>
      <c r="B254" s="33" t="str">
        <f t="shared" si="10"/>
        <v>B0656</v>
      </c>
      <c r="C254" s="7" t="s">
        <v>1014</v>
      </c>
      <c r="D254" s="33" t="str">
        <f>VLOOKUP(B254,Detail!$G$1:$H$1001,2,FALSE)</f>
        <v>Salman Widiastuti</v>
      </c>
      <c r="E254" s="7">
        <v>54</v>
      </c>
      <c r="F254" s="7">
        <v>53</v>
      </c>
      <c r="G254" s="57">
        <v>37</v>
      </c>
      <c r="H254" s="7">
        <v>58</v>
      </c>
      <c r="I254" s="7">
        <v>92</v>
      </c>
      <c r="J254" s="7">
        <v>40</v>
      </c>
      <c r="K254" s="7">
        <v>68</v>
      </c>
      <c r="L254" s="56">
        <f>IFERROR(VLOOKUP(B254,Absen!$A$1:$C$501,2,FALSE),"No")</f>
        <v>44784</v>
      </c>
      <c r="M254" s="58">
        <f t="shared" si="8"/>
        <v>5.8000000000000007</v>
      </c>
      <c r="N254" s="57">
        <f t="shared" si="9"/>
        <v>53.325000000000003</v>
      </c>
      <c r="O254" s="7" t="str">
        <f>VLOOKUP(N254,Helper!$B$30:$C$35,2,TRUE)</f>
        <v>D</v>
      </c>
      <c r="P254" s="56">
        <f>INDEX(Detail!$A$1:$A$1001,MATCH(B254,Detail!$G$1:$G$1001,0))</f>
        <v>37623</v>
      </c>
      <c r="Q254" s="33" t="str">
        <f>INDEX(Detail!$F$1:$F$1001,MATCH(Main!B254,Detail!$G$1:$G$1001,0))</f>
        <v>Langsa</v>
      </c>
      <c r="R254" s="7">
        <f>INDEX(Detail!$C$1:$C$1001,MATCH(B254,Detail!$G$1:$G$1001,0),1)</f>
        <v>159</v>
      </c>
      <c r="S254" s="7">
        <f>INDEX(Detail!$D$1:$D$1001,MATCH(B254,Detail!$G$1:$G$1001,0),1)</f>
        <v>87</v>
      </c>
      <c r="T254" s="7" t="str">
        <f>INDEX(Detail!$E$1:$E$1001,MATCH(Main!B254,Detail!$G$1:$G$1001,0))</f>
        <v>Gg. Bangka Raya No. 76</v>
      </c>
      <c r="U254" s="7" t="str">
        <f>INDEX(Detail!$B$1:$B$1001,MATCH(B254,Detail!$G$1:$G$1001,0),1)</f>
        <v>B+</v>
      </c>
      <c r="V254" s="7" t="str" cm="1">
        <f t="array" ref="V254">INDEX(Dosen!$B$3:$E$8,MATCH(Main!C254,Dosen!$A$3:$A$8,0),IF(AND(Main!A254&gt;=1,Main!A254&lt;=250),1,IF(AND(Main!A254&gt;=251,Main!A254&lt;=500),2,IF(AND(Main!A254&gt;=501,Main!A254&lt;=750),3,4))))</f>
        <v>Pak Andi</v>
      </c>
      <c r="W254" s="7" t="str">
        <f>_xlfn.XLOOKUP(B254,Detail!$G$1:$G$1001,Detail!$B$1:$B$1001)</f>
        <v>B+</v>
      </c>
    </row>
    <row r="255" spans="1:23" ht="15.75" x14ac:dyDescent="0.25">
      <c r="A255" s="7">
        <v>660</v>
      </c>
      <c r="B255" s="33" t="str">
        <f t="shared" si="10"/>
        <v>B0660</v>
      </c>
      <c r="C255" s="7" t="s">
        <v>1014</v>
      </c>
      <c r="D255" s="33" t="str">
        <f>VLOOKUP(B255,Detail!$G$1:$H$1001,2,FALSE)</f>
        <v>Amalia Putra</v>
      </c>
      <c r="E255" s="7">
        <v>65</v>
      </c>
      <c r="F255" s="7">
        <v>41</v>
      </c>
      <c r="G255" s="57">
        <v>93</v>
      </c>
      <c r="H255" s="7">
        <v>50</v>
      </c>
      <c r="I255" s="7">
        <v>81</v>
      </c>
      <c r="J255" s="7">
        <v>96</v>
      </c>
      <c r="K255" s="7">
        <v>98</v>
      </c>
      <c r="L255" s="56">
        <f>IFERROR(VLOOKUP(B255,Absen!$A$1:$C$501,2,FALSE),"No")</f>
        <v>44784</v>
      </c>
      <c r="M255" s="58">
        <f t="shared" si="8"/>
        <v>8.8000000000000007</v>
      </c>
      <c r="N255" s="57">
        <f t="shared" si="9"/>
        <v>76.225000000000009</v>
      </c>
      <c r="O255" s="7" t="str">
        <f>VLOOKUP(N255,Helper!$B$30:$C$35,2,TRUE)</f>
        <v>B</v>
      </c>
      <c r="P255" s="56">
        <f>INDEX(Detail!$A$1:$A$1001,MATCH(B255,Detail!$G$1:$G$1001,0))</f>
        <v>37784</v>
      </c>
      <c r="Q255" s="33" t="str">
        <f>INDEX(Detail!$F$1:$F$1001,MATCH(Main!B255,Detail!$G$1:$G$1001,0))</f>
        <v>Banjar</v>
      </c>
      <c r="R255" s="7">
        <f>INDEX(Detail!$C$1:$C$1001,MATCH(B255,Detail!$G$1:$G$1001,0),1)</f>
        <v>150</v>
      </c>
      <c r="S255" s="7">
        <f>INDEX(Detail!$D$1:$D$1001,MATCH(B255,Detail!$G$1:$G$1001,0),1)</f>
        <v>75</v>
      </c>
      <c r="T255" s="7" t="str">
        <f>INDEX(Detail!$E$1:$E$1001,MATCH(Main!B255,Detail!$G$1:$G$1001,0))</f>
        <v xml:space="preserve">Jl. Kendalsari No. 6
</v>
      </c>
      <c r="U255" s="7" t="str">
        <f>INDEX(Detail!$B$1:$B$1001,MATCH(B255,Detail!$G$1:$G$1001,0),1)</f>
        <v>AB-</v>
      </c>
      <c r="V255" s="7" t="str" cm="1">
        <f t="array" ref="V255">INDEX(Dosen!$B$3:$E$8,MATCH(Main!C255,Dosen!$A$3:$A$8,0),IF(AND(Main!A255&gt;=1,Main!A255&lt;=250),1,IF(AND(Main!A255&gt;=251,Main!A255&lt;=500),2,IF(AND(Main!A255&gt;=501,Main!A255&lt;=750),3,4))))</f>
        <v>Pak Andi</v>
      </c>
      <c r="W255" s="7" t="str">
        <f>_xlfn.XLOOKUP(B255,Detail!$G$1:$G$1001,Detail!$B$1:$B$1001)</f>
        <v>AB-</v>
      </c>
    </row>
    <row r="256" spans="1:23" ht="15.75" x14ac:dyDescent="0.25">
      <c r="A256" s="7">
        <v>662</v>
      </c>
      <c r="B256" s="33" t="str">
        <f t="shared" si="10"/>
        <v>B0662</v>
      </c>
      <c r="C256" s="7" t="s">
        <v>1014</v>
      </c>
      <c r="D256" s="33" t="str">
        <f>VLOOKUP(B256,Detail!$G$1:$H$1001,2,FALSE)</f>
        <v>Eka Gunawan</v>
      </c>
      <c r="E256" s="7">
        <v>70</v>
      </c>
      <c r="F256" s="7">
        <v>46</v>
      </c>
      <c r="G256" s="57">
        <v>82</v>
      </c>
      <c r="H256" s="7">
        <v>65</v>
      </c>
      <c r="I256" s="7">
        <v>68</v>
      </c>
      <c r="J256" s="7">
        <v>89</v>
      </c>
      <c r="K256" s="7">
        <v>60</v>
      </c>
      <c r="L256" s="56" t="str">
        <f>IFERROR(VLOOKUP(B256,Absen!$A$1:$C$501,2,FALSE),"No")</f>
        <v>No</v>
      </c>
      <c r="M256" s="58">
        <f t="shared" si="8"/>
        <v>6</v>
      </c>
      <c r="N256" s="57">
        <f t="shared" si="9"/>
        <v>71.325000000000003</v>
      </c>
      <c r="O256" s="7" t="str">
        <f>VLOOKUP(N256,Helper!$B$30:$C$35,2,TRUE)</f>
        <v>B</v>
      </c>
      <c r="P256" s="56">
        <f>INDEX(Detail!$A$1:$A$1001,MATCH(B256,Detail!$G$1:$G$1001,0))</f>
        <v>37810</v>
      </c>
      <c r="Q256" s="33" t="str">
        <f>INDEX(Detail!$F$1:$F$1001,MATCH(Main!B256,Detail!$G$1:$G$1001,0))</f>
        <v>Kota Administrasi Jakarta Barat</v>
      </c>
      <c r="R256" s="7">
        <f>INDEX(Detail!$C$1:$C$1001,MATCH(B256,Detail!$G$1:$G$1001,0),1)</f>
        <v>162</v>
      </c>
      <c r="S256" s="7">
        <f>INDEX(Detail!$D$1:$D$1001,MATCH(B256,Detail!$G$1:$G$1001,0),1)</f>
        <v>46</v>
      </c>
      <c r="T256" s="7" t="str">
        <f>INDEX(Detail!$E$1:$E$1001,MATCH(Main!B256,Detail!$G$1:$G$1001,0))</f>
        <v>Gg. HOS. Cokroaminoto No. 95</v>
      </c>
      <c r="U256" s="7" t="str">
        <f>INDEX(Detail!$B$1:$B$1001,MATCH(B256,Detail!$G$1:$G$1001,0),1)</f>
        <v>A-</v>
      </c>
      <c r="V256" s="7" t="str" cm="1">
        <f t="array" ref="V256">INDEX(Dosen!$B$3:$E$8,MATCH(Main!C256,Dosen!$A$3:$A$8,0),IF(AND(Main!A256&gt;=1,Main!A256&lt;=250),1,IF(AND(Main!A256&gt;=251,Main!A256&lt;=500),2,IF(AND(Main!A256&gt;=501,Main!A256&lt;=750),3,4))))</f>
        <v>Pak Andi</v>
      </c>
      <c r="W256" s="7" t="str">
        <f>_xlfn.XLOOKUP(B256,Detail!$G$1:$G$1001,Detail!$B$1:$B$1001)</f>
        <v>A-</v>
      </c>
    </row>
    <row r="257" spans="1:23" ht="15.75" x14ac:dyDescent="0.25">
      <c r="A257" s="7">
        <v>672</v>
      </c>
      <c r="B257" s="33" t="str">
        <f t="shared" ref="B257:B288" si="11">CONCATENATE("B",TEXT(A257,"0000"))</f>
        <v>B0672</v>
      </c>
      <c r="C257" s="7" t="s">
        <v>1014</v>
      </c>
      <c r="D257" s="33" t="str">
        <f>VLOOKUP(B257,Detail!$G$1:$H$1001,2,FALSE)</f>
        <v>Agnes Siregar</v>
      </c>
      <c r="E257" s="7">
        <v>50</v>
      </c>
      <c r="F257" s="7">
        <v>41</v>
      </c>
      <c r="G257" s="57">
        <v>35</v>
      </c>
      <c r="H257" s="7">
        <v>68</v>
      </c>
      <c r="I257" s="7">
        <v>89</v>
      </c>
      <c r="J257" s="7">
        <v>40</v>
      </c>
      <c r="K257" s="7">
        <v>95</v>
      </c>
      <c r="L257" s="56" t="str">
        <f>IFERROR(VLOOKUP(B257,Absen!$A$1:$C$501,2,FALSE),"No")</f>
        <v>No</v>
      </c>
      <c r="M257" s="58">
        <f t="shared" si="8"/>
        <v>9.5</v>
      </c>
      <c r="N257" s="57">
        <f t="shared" si="9"/>
        <v>55.5</v>
      </c>
      <c r="O257" s="7" t="str">
        <f>VLOOKUP(N257,Helper!$B$30:$C$35,2,TRUE)</f>
        <v>D</v>
      </c>
      <c r="P257" s="56">
        <f>INDEX(Detail!$A$1:$A$1001,MATCH(B257,Detail!$G$1:$G$1001,0))</f>
        <v>38387</v>
      </c>
      <c r="Q257" s="33" t="str">
        <f>INDEX(Detail!$F$1:$F$1001,MATCH(Main!B257,Detail!$G$1:$G$1001,0))</f>
        <v>Tebingtinggi</v>
      </c>
      <c r="R257" s="7">
        <f>INDEX(Detail!$C$1:$C$1001,MATCH(B257,Detail!$G$1:$G$1001,0),1)</f>
        <v>166</v>
      </c>
      <c r="S257" s="7">
        <f>INDEX(Detail!$D$1:$D$1001,MATCH(B257,Detail!$G$1:$G$1001,0),1)</f>
        <v>61</v>
      </c>
      <c r="T257" s="7" t="str">
        <f>INDEX(Detail!$E$1:$E$1001,MATCH(Main!B257,Detail!$G$1:$G$1001,0))</f>
        <v>Gang Pasirkoja No. 48</v>
      </c>
      <c r="U257" s="7" t="str">
        <f>INDEX(Detail!$B$1:$B$1001,MATCH(B257,Detail!$G$1:$G$1001,0),1)</f>
        <v>AB+</v>
      </c>
      <c r="V257" s="7" t="str" cm="1">
        <f t="array" ref="V257">INDEX(Dosen!$B$3:$E$8,MATCH(Main!C257,Dosen!$A$3:$A$8,0),IF(AND(Main!A257&gt;=1,Main!A257&lt;=250),1,IF(AND(Main!A257&gt;=251,Main!A257&lt;=500),2,IF(AND(Main!A257&gt;=501,Main!A257&lt;=750),3,4))))</f>
        <v>Pak Andi</v>
      </c>
      <c r="W257" s="7" t="str">
        <f>_xlfn.XLOOKUP(B257,Detail!$G$1:$G$1001,Detail!$B$1:$B$1001)</f>
        <v>AB+</v>
      </c>
    </row>
    <row r="258" spans="1:23" ht="15.75" x14ac:dyDescent="0.25">
      <c r="A258" s="7">
        <v>675</v>
      </c>
      <c r="B258" s="33" t="str">
        <f t="shared" si="11"/>
        <v>B0675</v>
      </c>
      <c r="C258" s="7" t="s">
        <v>1014</v>
      </c>
      <c r="D258" s="33" t="str">
        <f>VLOOKUP(B258,Detail!$G$1:$H$1001,2,FALSE)</f>
        <v>Balangga Prasetyo</v>
      </c>
      <c r="E258" s="7">
        <v>83</v>
      </c>
      <c r="F258" s="7">
        <v>42</v>
      </c>
      <c r="G258" s="57">
        <v>79</v>
      </c>
      <c r="H258" s="7">
        <v>55</v>
      </c>
      <c r="I258" s="7">
        <v>72</v>
      </c>
      <c r="J258" s="7">
        <v>58</v>
      </c>
      <c r="K258" s="7">
        <v>73</v>
      </c>
      <c r="L258" s="56" t="str">
        <f>IFERROR(VLOOKUP(B258,Absen!$A$1:$C$501,2,FALSE),"No")</f>
        <v>No</v>
      </c>
      <c r="M258" s="58">
        <f t="shared" ref="M258:M321" si="12">IF(L258="no",K258,K258-10)*10%</f>
        <v>7.3000000000000007</v>
      </c>
      <c r="N258" s="57">
        <f t="shared" ref="N258:N321" si="13">SUM(E258*12.5%,F258*12.5%,H258*12.5%,I258*12.5%,G258*20%,J258*20%,M258)</f>
        <v>66.2</v>
      </c>
      <c r="O258" s="7" t="str">
        <f>VLOOKUP(N258,Helper!$B$30:$C$35,2,TRUE)</f>
        <v>C</v>
      </c>
      <c r="P258" s="56">
        <f>INDEX(Detail!$A$1:$A$1001,MATCH(B258,Detail!$G$1:$G$1001,0))</f>
        <v>37634</v>
      </c>
      <c r="Q258" s="33" t="str">
        <f>INDEX(Detail!$F$1:$F$1001,MATCH(Main!B258,Detail!$G$1:$G$1001,0))</f>
        <v>Meulaboh</v>
      </c>
      <c r="R258" s="7">
        <f>INDEX(Detail!$C$1:$C$1001,MATCH(B258,Detail!$G$1:$G$1001,0),1)</f>
        <v>153</v>
      </c>
      <c r="S258" s="7">
        <f>INDEX(Detail!$D$1:$D$1001,MATCH(B258,Detail!$G$1:$G$1001,0),1)</f>
        <v>76</v>
      </c>
      <c r="T258" s="7" t="str">
        <f>INDEX(Detail!$E$1:$E$1001,MATCH(Main!B258,Detail!$G$1:$G$1001,0))</f>
        <v>Jl. Laswi No. 62</v>
      </c>
      <c r="U258" s="7" t="str">
        <f>INDEX(Detail!$B$1:$B$1001,MATCH(B258,Detail!$G$1:$G$1001,0),1)</f>
        <v>A+</v>
      </c>
      <c r="V258" s="7" t="str" cm="1">
        <f t="array" ref="V258">INDEX(Dosen!$B$3:$E$8,MATCH(Main!C258,Dosen!$A$3:$A$8,0),IF(AND(Main!A258&gt;=1,Main!A258&lt;=250),1,IF(AND(Main!A258&gt;=251,Main!A258&lt;=500),2,IF(AND(Main!A258&gt;=501,Main!A258&lt;=750),3,4))))</f>
        <v>Pak Andi</v>
      </c>
      <c r="W258" s="7" t="str">
        <f>_xlfn.XLOOKUP(B258,Detail!$G$1:$G$1001,Detail!$B$1:$B$1001)</f>
        <v>A+</v>
      </c>
    </row>
    <row r="259" spans="1:23" ht="15.75" x14ac:dyDescent="0.25">
      <c r="A259" s="7">
        <v>676</v>
      </c>
      <c r="B259" s="33" t="str">
        <f t="shared" si="11"/>
        <v>B0676</v>
      </c>
      <c r="C259" s="7" t="s">
        <v>1014</v>
      </c>
      <c r="D259" s="33" t="str">
        <f>VLOOKUP(B259,Detail!$G$1:$H$1001,2,FALSE)</f>
        <v>Darimin Adriansyah</v>
      </c>
      <c r="E259" s="7">
        <v>83</v>
      </c>
      <c r="F259" s="7">
        <v>41</v>
      </c>
      <c r="G259" s="57">
        <v>47</v>
      </c>
      <c r="H259" s="7">
        <v>75</v>
      </c>
      <c r="I259" s="7">
        <v>71</v>
      </c>
      <c r="J259" s="7">
        <v>73</v>
      </c>
      <c r="K259" s="7">
        <v>72</v>
      </c>
      <c r="L259" s="56">
        <f>IFERROR(VLOOKUP(B259,Absen!$A$1:$C$501,2,FALSE),"No")</f>
        <v>44839</v>
      </c>
      <c r="M259" s="58">
        <f t="shared" si="12"/>
        <v>6.2</v>
      </c>
      <c r="N259" s="57">
        <f t="shared" si="13"/>
        <v>63.95</v>
      </c>
      <c r="O259" s="7" t="str">
        <f>VLOOKUP(N259,Helper!$B$30:$C$35,2,TRUE)</f>
        <v>C</v>
      </c>
      <c r="P259" s="56">
        <f>INDEX(Detail!$A$1:$A$1001,MATCH(B259,Detail!$G$1:$G$1001,0))</f>
        <v>37179</v>
      </c>
      <c r="Q259" s="33" t="str">
        <f>INDEX(Detail!$F$1:$F$1001,MATCH(Main!B259,Detail!$G$1:$G$1001,0))</f>
        <v>Jambi</v>
      </c>
      <c r="R259" s="7">
        <f>INDEX(Detail!$C$1:$C$1001,MATCH(B259,Detail!$G$1:$G$1001,0),1)</f>
        <v>158</v>
      </c>
      <c r="S259" s="7">
        <f>INDEX(Detail!$D$1:$D$1001,MATCH(B259,Detail!$G$1:$G$1001,0),1)</f>
        <v>53</v>
      </c>
      <c r="T259" s="7" t="str">
        <f>INDEX(Detail!$E$1:$E$1001,MATCH(Main!B259,Detail!$G$1:$G$1001,0))</f>
        <v>Jl. Gardujati No. 57</v>
      </c>
      <c r="U259" s="7" t="str">
        <f>INDEX(Detail!$B$1:$B$1001,MATCH(B259,Detail!$G$1:$G$1001,0),1)</f>
        <v>O-</v>
      </c>
      <c r="V259" s="7" t="str" cm="1">
        <f t="array" ref="V259">INDEX(Dosen!$B$3:$E$8,MATCH(Main!C259,Dosen!$A$3:$A$8,0),IF(AND(Main!A259&gt;=1,Main!A259&lt;=250),1,IF(AND(Main!A259&gt;=251,Main!A259&lt;=500),2,IF(AND(Main!A259&gt;=501,Main!A259&lt;=750),3,4))))</f>
        <v>Pak Andi</v>
      </c>
      <c r="W259" s="7" t="str">
        <f>_xlfn.XLOOKUP(B259,Detail!$G$1:$G$1001,Detail!$B$1:$B$1001)</f>
        <v>O-</v>
      </c>
    </row>
    <row r="260" spans="1:23" ht="15.75" x14ac:dyDescent="0.25">
      <c r="A260" s="7">
        <v>677</v>
      </c>
      <c r="B260" s="33" t="str">
        <f t="shared" si="11"/>
        <v>B0677</v>
      </c>
      <c r="C260" s="7" t="s">
        <v>1014</v>
      </c>
      <c r="D260" s="33" t="str">
        <f>VLOOKUP(B260,Detail!$G$1:$H$1001,2,FALSE)</f>
        <v>Bakda Handayani</v>
      </c>
      <c r="E260" s="7">
        <v>64</v>
      </c>
      <c r="F260" s="7">
        <v>60</v>
      </c>
      <c r="G260" s="57">
        <v>84</v>
      </c>
      <c r="H260" s="7">
        <v>56</v>
      </c>
      <c r="I260" s="7">
        <v>86</v>
      </c>
      <c r="J260" s="7">
        <v>43</v>
      </c>
      <c r="K260" s="7">
        <v>70</v>
      </c>
      <c r="L260" s="56">
        <f>IFERROR(VLOOKUP(B260,Absen!$A$1:$C$501,2,FALSE),"No")</f>
        <v>44902</v>
      </c>
      <c r="M260" s="58">
        <f t="shared" si="12"/>
        <v>6</v>
      </c>
      <c r="N260" s="57">
        <f t="shared" si="13"/>
        <v>64.650000000000006</v>
      </c>
      <c r="O260" s="7" t="str">
        <f>VLOOKUP(N260,Helper!$B$30:$C$35,2,TRUE)</f>
        <v>C</v>
      </c>
      <c r="P260" s="56">
        <f>INDEX(Detail!$A$1:$A$1001,MATCH(B260,Detail!$G$1:$G$1001,0))</f>
        <v>38030</v>
      </c>
      <c r="Q260" s="33" t="str">
        <f>INDEX(Detail!$F$1:$F$1001,MATCH(Main!B260,Detail!$G$1:$G$1001,0))</f>
        <v>Mataram</v>
      </c>
      <c r="R260" s="7">
        <f>INDEX(Detail!$C$1:$C$1001,MATCH(B260,Detail!$G$1:$G$1001,0),1)</f>
        <v>161</v>
      </c>
      <c r="S260" s="7">
        <f>INDEX(Detail!$D$1:$D$1001,MATCH(B260,Detail!$G$1:$G$1001,0),1)</f>
        <v>54</v>
      </c>
      <c r="T260" s="7" t="str">
        <f>INDEX(Detail!$E$1:$E$1001,MATCH(Main!B260,Detail!$G$1:$G$1001,0))</f>
        <v>Gg. W.R. Supratman No. 89</v>
      </c>
      <c r="U260" s="7" t="str">
        <f>INDEX(Detail!$B$1:$B$1001,MATCH(B260,Detail!$G$1:$G$1001,0),1)</f>
        <v>AB-</v>
      </c>
      <c r="V260" s="7" t="str" cm="1">
        <f t="array" ref="V260">INDEX(Dosen!$B$3:$E$8,MATCH(Main!C260,Dosen!$A$3:$A$8,0),IF(AND(Main!A260&gt;=1,Main!A260&lt;=250),1,IF(AND(Main!A260&gt;=251,Main!A260&lt;=500),2,IF(AND(Main!A260&gt;=501,Main!A260&lt;=750),3,4))))</f>
        <v>Pak Andi</v>
      </c>
      <c r="W260" s="7" t="str">
        <f>_xlfn.XLOOKUP(B260,Detail!$G$1:$G$1001,Detail!$B$1:$B$1001)</f>
        <v>AB-</v>
      </c>
    </row>
    <row r="261" spans="1:23" ht="15.75" x14ac:dyDescent="0.25">
      <c r="A261" s="7">
        <v>684</v>
      </c>
      <c r="B261" s="33" t="str">
        <f t="shared" si="11"/>
        <v>B0684</v>
      </c>
      <c r="C261" s="7" t="s">
        <v>1014</v>
      </c>
      <c r="D261" s="33" t="str">
        <f>VLOOKUP(B261,Detail!$G$1:$H$1001,2,FALSE)</f>
        <v>Gandi Purnawati</v>
      </c>
      <c r="E261" s="7">
        <v>93</v>
      </c>
      <c r="F261" s="7">
        <v>51</v>
      </c>
      <c r="G261" s="57">
        <v>89</v>
      </c>
      <c r="H261" s="7">
        <v>75</v>
      </c>
      <c r="I261" s="7">
        <v>77</v>
      </c>
      <c r="J261" s="7">
        <v>94</v>
      </c>
      <c r="K261" s="7">
        <v>100</v>
      </c>
      <c r="L261" s="56">
        <f>IFERROR(VLOOKUP(B261,Absen!$A$1:$C$501,2,FALSE),"No")</f>
        <v>44798</v>
      </c>
      <c r="M261" s="58">
        <f t="shared" si="12"/>
        <v>9</v>
      </c>
      <c r="N261" s="57">
        <f t="shared" si="13"/>
        <v>82.6</v>
      </c>
      <c r="O261" s="7" t="str">
        <f>VLOOKUP(N261,Helper!$B$30:$C$35,2,TRUE)</f>
        <v>A</v>
      </c>
      <c r="P261" s="56">
        <f>INDEX(Detail!$A$1:$A$1001,MATCH(B261,Detail!$G$1:$G$1001,0))</f>
        <v>37748</v>
      </c>
      <c r="Q261" s="33" t="str">
        <f>INDEX(Detail!$F$1:$F$1001,MATCH(Main!B261,Detail!$G$1:$G$1001,0))</f>
        <v>Lhokseumawe</v>
      </c>
      <c r="R261" s="7">
        <f>INDEX(Detail!$C$1:$C$1001,MATCH(B261,Detail!$G$1:$G$1001,0),1)</f>
        <v>157</v>
      </c>
      <c r="S261" s="7">
        <f>INDEX(Detail!$D$1:$D$1001,MATCH(B261,Detail!$G$1:$G$1001,0),1)</f>
        <v>87</v>
      </c>
      <c r="T261" s="7" t="str">
        <f>INDEX(Detail!$E$1:$E$1001,MATCH(Main!B261,Detail!$G$1:$G$1001,0))</f>
        <v>Gang Dipatiukur No. 95</v>
      </c>
      <c r="U261" s="7" t="str">
        <f>INDEX(Detail!$B$1:$B$1001,MATCH(B261,Detail!$G$1:$G$1001,0),1)</f>
        <v>O+</v>
      </c>
      <c r="V261" s="7" t="str" cm="1">
        <f t="array" ref="V261">INDEX(Dosen!$B$3:$E$8,MATCH(Main!C261,Dosen!$A$3:$A$8,0),IF(AND(Main!A261&gt;=1,Main!A261&lt;=250),1,IF(AND(Main!A261&gt;=251,Main!A261&lt;=500),2,IF(AND(Main!A261&gt;=501,Main!A261&lt;=750),3,4))))</f>
        <v>Pak Andi</v>
      </c>
      <c r="W261" s="7" t="str">
        <f>_xlfn.XLOOKUP(B261,Detail!$G$1:$G$1001,Detail!$B$1:$B$1001)</f>
        <v>O+</v>
      </c>
    </row>
    <row r="262" spans="1:23" ht="15.75" x14ac:dyDescent="0.25">
      <c r="A262" s="7">
        <v>690</v>
      </c>
      <c r="B262" s="33" t="str">
        <f t="shared" si="11"/>
        <v>B0690</v>
      </c>
      <c r="C262" s="7" t="s">
        <v>1014</v>
      </c>
      <c r="D262" s="33" t="str">
        <f>VLOOKUP(B262,Detail!$G$1:$H$1001,2,FALSE)</f>
        <v>Warsita Pudjiastuti</v>
      </c>
      <c r="E262" s="7">
        <v>85</v>
      </c>
      <c r="F262" s="7">
        <v>68</v>
      </c>
      <c r="G262" s="57">
        <v>53</v>
      </c>
      <c r="H262" s="7">
        <v>59</v>
      </c>
      <c r="I262" s="7">
        <v>65</v>
      </c>
      <c r="J262" s="7">
        <v>97</v>
      </c>
      <c r="K262" s="7">
        <v>88</v>
      </c>
      <c r="L262" s="56" t="str">
        <f>IFERROR(VLOOKUP(B262,Absen!$A$1:$C$501,2,FALSE),"No")</f>
        <v>No</v>
      </c>
      <c r="M262" s="58">
        <f t="shared" si="12"/>
        <v>8.8000000000000007</v>
      </c>
      <c r="N262" s="57">
        <f t="shared" si="13"/>
        <v>73.424999999999997</v>
      </c>
      <c r="O262" s="7" t="str">
        <f>VLOOKUP(N262,Helper!$B$30:$C$35,2,TRUE)</f>
        <v>B</v>
      </c>
      <c r="P262" s="56">
        <f>INDEX(Detail!$A$1:$A$1001,MATCH(B262,Detail!$G$1:$G$1001,0))</f>
        <v>37069</v>
      </c>
      <c r="Q262" s="33" t="str">
        <f>INDEX(Detail!$F$1:$F$1001,MATCH(Main!B262,Detail!$G$1:$G$1001,0))</f>
        <v>Solok</v>
      </c>
      <c r="R262" s="7">
        <f>INDEX(Detail!$C$1:$C$1001,MATCH(B262,Detail!$G$1:$G$1001,0),1)</f>
        <v>165</v>
      </c>
      <c r="S262" s="7">
        <f>INDEX(Detail!$D$1:$D$1001,MATCH(B262,Detail!$G$1:$G$1001,0),1)</f>
        <v>71</v>
      </c>
      <c r="T262" s="7" t="str">
        <f>INDEX(Detail!$E$1:$E$1001,MATCH(Main!B262,Detail!$G$1:$G$1001,0))</f>
        <v>Jl. Suryakencana No. 18</v>
      </c>
      <c r="U262" s="7" t="str">
        <f>INDEX(Detail!$B$1:$B$1001,MATCH(B262,Detail!$G$1:$G$1001,0),1)</f>
        <v>A-</v>
      </c>
      <c r="V262" s="7" t="str" cm="1">
        <f t="array" ref="V262">INDEX(Dosen!$B$3:$E$8,MATCH(Main!C262,Dosen!$A$3:$A$8,0),IF(AND(Main!A262&gt;=1,Main!A262&lt;=250),1,IF(AND(Main!A262&gt;=251,Main!A262&lt;=500),2,IF(AND(Main!A262&gt;=501,Main!A262&lt;=750),3,4))))</f>
        <v>Pak Andi</v>
      </c>
      <c r="W262" s="7" t="str">
        <f>_xlfn.XLOOKUP(B262,Detail!$G$1:$G$1001,Detail!$B$1:$B$1001)</f>
        <v>A-</v>
      </c>
    </row>
    <row r="263" spans="1:23" ht="15.75" x14ac:dyDescent="0.25">
      <c r="A263" s="7">
        <v>697</v>
      </c>
      <c r="B263" s="33" t="str">
        <f t="shared" si="11"/>
        <v>B0697</v>
      </c>
      <c r="C263" s="7" t="s">
        <v>1014</v>
      </c>
      <c r="D263" s="33" t="str">
        <f>VLOOKUP(B263,Detail!$G$1:$H$1001,2,FALSE)</f>
        <v>Makara Mulyani</v>
      </c>
      <c r="E263" s="7">
        <v>71</v>
      </c>
      <c r="F263" s="7">
        <v>55</v>
      </c>
      <c r="G263" s="57">
        <v>91</v>
      </c>
      <c r="H263" s="7">
        <v>59</v>
      </c>
      <c r="I263" s="7">
        <v>80</v>
      </c>
      <c r="J263" s="7">
        <v>80</v>
      </c>
      <c r="K263" s="7">
        <v>87</v>
      </c>
      <c r="L263" s="56">
        <f>IFERROR(VLOOKUP(B263,Absen!$A$1:$C$501,2,FALSE),"No")</f>
        <v>44829</v>
      </c>
      <c r="M263" s="58">
        <f t="shared" si="12"/>
        <v>7.7</v>
      </c>
      <c r="N263" s="57">
        <f t="shared" si="13"/>
        <v>75.025000000000006</v>
      </c>
      <c r="O263" s="7" t="str">
        <f>VLOOKUP(N263,Helper!$B$30:$C$35,2,TRUE)</f>
        <v>B</v>
      </c>
      <c r="P263" s="56">
        <f>INDEX(Detail!$A$1:$A$1001,MATCH(B263,Detail!$G$1:$G$1001,0))</f>
        <v>37065</v>
      </c>
      <c r="Q263" s="33" t="str">
        <f>INDEX(Detail!$F$1:$F$1001,MATCH(Main!B263,Detail!$G$1:$G$1001,0))</f>
        <v>Binjai</v>
      </c>
      <c r="R263" s="7">
        <f>INDEX(Detail!$C$1:$C$1001,MATCH(B263,Detail!$G$1:$G$1001,0),1)</f>
        <v>172</v>
      </c>
      <c r="S263" s="7">
        <f>INDEX(Detail!$D$1:$D$1001,MATCH(B263,Detail!$G$1:$G$1001,0),1)</f>
        <v>94</v>
      </c>
      <c r="T263" s="7" t="str">
        <f>INDEX(Detail!$E$1:$E$1001,MATCH(Main!B263,Detail!$G$1:$G$1001,0))</f>
        <v>Gg. Raya Setiabudhi No. 69</v>
      </c>
      <c r="U263" s="7" t="str">
        <f>INDEX(Detail!$B$1:$B$1001,MATCH(B263,Detail!$G$1:$G$1001,0),1)</f>
        <v>AB+</v>
      </c>
      <c r="V263" s="7" t="str" cm="1">
        <f t="array" ref="V263">INDEX(Dosen!$B$3:$E$8,MATCH(Main!C263,Dosen!$A$3:$A$8,0),IF(AND(Main!A263&gt;=1,Main!A263&lt;=250),1,IF(AND(Main!A263&gt;=251,Main!A263&lt;=500),2,IF(AND(Main!A263&gt;=501,Main!A263&lt;=750),3,4))))</f>
        <v>Pak Andi</v>
      </c>
      <c r="W263" s="7" t="str">
        <f>_xlfn.XLOOKUP(B263,Detail!$G$1:$G$1001,Detail!$B$1:$B$1001)</f>
        <v>AB+</v>
      </c>
    </row>
    <row r="264" spans="1:23" ht="15.75" x14ac:dyDescent="0.25">
      <c r="A264" s="7">
        <v>702</v>
      </c>
      <c r="B264" s="33" t="str">
        <f t="shared" si="11"/>
        <v>B0702</v>
      </c>
      <c r="C264" s="7" t="s">
        <v>1014</v>
      </c>
      <c r="D264" s="33" t="str">
        <f>VLOOKUP(B264,Detail!$G$1:$H$1001,2,FALSE)</f>
        <v>Cayadi Maryati</v>
      </c>
      <c r="E264" s="7">
        <v>78</v>
      </c>
      <c r="F264" s="7">
        <v>69</v>
      </c>
      <c r="G264" s="57">
        <v>64</v>
      </c>
      <c r="H264" s="7">
        <v>74</v>
      </c>
      <c r="I264" s="7">
        <v>60</v>
      </c>
      <c r="J264" s="7">
        <v>97</v>
      </c>
      <c r="K264" s="7">
        <v>66</v>
      </c>
      <c r="L264" s="56">
        <f>IFERROR(VLOOKUP(B264,Absen!$A$1:$C$501,2,FALSE),"No")</f>
        <v>44832</v>
      </c>
      <c r="M264" s="58">
        <f t="shared" si="12"/>
        <v>5.6000000000000005</v>
      </c>
      <c r="N264" s="57">
        <f t="shared" si="13"/>
        <v>72.924999999999997</v>
      </c>
      <c r="O264" s="7" t="str">
        <f>VLOOKUP(N264,Helper!$B$30:$C$35,2,TRUE)</f>
        <v>B</v>
      </c>
      <c r="P264" s="56">
        <f>INDEX(Detail!$A$1:$A$1001,MATCH(B264,Detail!$G$1:$G$1001,0))</f>
        <v>37090</v>
      </c>
      <c r="Q264" s="33" t="str">
        <f>INDEX(Detail!$F$1:$F$1001,MATCH(Main!B264,Detail!$G$1:$G$1001,0))</f>
        <v>Blitar</v>
      </c>
      <c r="R264" s="7">
        <f>INDEX(Detail!$C$1:$C$1001,MATCH(B264,Detail!$G$1:$G$1001,0),1)</f>
        <v>159</v>
      </c>
      <c r="S264" s="7">
        <f>INDEX(Detail!$D$1:$D$1001,MATCH(B264,Detail!$G$1:$G$1001,0),1)</f>
        <v>89</v>
      </c>
      <c r="T264" s="7" t="str">
        <f>INDEX(Detail!$E$1:$E$1001,MATCH(Main!B264,Detail!$G$1:$G$1001,0))</f>
        <v xml:space="preserve">Jl. Monginsidi No. 3
</v>
      </c>
      <c r="U264" s="7" t="str">
        <f>INDEX(Detail!$B$1:$B$1001,MATCH(B264,Detail!$G$1:$G$1001,0),1)</f>
        <v>B+</v>
      </c>
      <c r="V264" s="7" t="str" cm="1">
        <f t="array" ref="V264">INDEX(Dosen!$B$3:$E$8,MATCH(Main!C264,Dosen!$A$3:$A$8,0),IF(AND(Main!A264&gt;=1,Main!A264&lt;=250),1,IF(AND(Main!A264&gt;=251,Main!A264&lt;=500),2,IF(AND(Main!A264&gt;=501,Main!A264&lt;=750),3,4))))</f>
        <v>Pak Andi</v>
      </c>
      <c r="W264" s="7" t="str">
        <f>_xlfn.XLOOKUP(B264,Detail!$G$1:$G$1001,Detail!$B$1:$B$1001)</f>
        <v>B+</v>
      </c>
    </row>
    <row r="265" spans="1:23" ht="15.75" x14ac:dyDescent="0.25">
      <c r="A265" s="7">
        <v>705</v>
      </c>
      <c r="B265" s="33" t="str">
        <f t="shared" si="11"/>
        <v>B0705</v>
      </c>
      <c r="C265" s="7" t="s">
        <v>1014</v>
      </c>
      <c r="D265" s="33" t="str">
        <f>VLOOKUP(B265,Detail!$G$1:$H$1001,2,FALSE)</f>
        <v>Elvin Saragih</v>
      </c>
      <c r="E265" s="7">
        <v>65</v>
      </c>
      <c r="F265" s="7">
        <v>49</v>
      </c>
      <c r="G265" s="57">
        <v>69</v>
      </c>
      <c r="H265" s="7">
        <v>70</v>
      </c>
      <c r="I265" s="7">
        <v>62</v>
      </c>
      <c r="J265" s="7">
        <v>96</v>
      </c>
      <c r="K265" s="7">
        <v>60</v>
      </c>
      <c r="L265" s="56" t="str">
        <f>IFERROR(VLOOKUP(B265,Absen!$A$1:$C$501,2,FALSE),"No")</f>
        <v>No</v>
      </c>
      <c r="M265" s="58">
        <f t="shared" si="12"/>
        <v>6</v>
      </c>
      <c r="N265" s="57">
        <f t="shared" si="13"/>
        <v>69.75</v>
      </c>
      <c r="O265" s="7" t="str">
        <f>VLOOKUP(N265,Helper!$B$30:$C$35,2,TRUE)</f>
        <v>C</v>
      </c>
      <c r="P265" s="56">
        <f>INDEX(Detail!$A$1:$A$1001,MATCH(B265,Detail!$G$1:$G$1001,0))</f>
        <v>37703</v>
      </c>
      <c r="Q265" s="33" t="str">
        <f>INDEX(Detail!$F$1:$F$1001,MATCH(Main!B265,Detail!$G$1:$G$1001,0))</f>
        <v>Blitar</v>
      </c>
      <c r="R265" s="7">
        <f>INDEX(Detail!$C$1:$C$1001,MATCH(B265,Detail!$G$1:$G$1001,0),1)</f>
        <v>159</v>
      </c>
      <c r="S265" s="7">
        <f>INDEX(Detail!$D$1:$D$1001,MATCH(B265,Detail!$G$1:$G$1001,0),1)</f>
        <v>82</v>
      </c>
      <c r="T265" s="7" t="str">
        <f>INDEX(Detail!$E$1:$E$1001,MATCH(Main!B265,Detail!$G$1:$G$1001,0))</f>
        <v>Gang Dr. Djunjunan No. 37</v>
      </c>
      <c r="U265" s="7" t="str">
        <f>INDEX(Detail!$B$1:$B$1001,MATCH(B265,Detail!$G$1:$G$1001,0),1)</f>
        <v>B+</v>
      </c>
      <c r="V265" s="7" t="str" cm="1">
        <f t="array" ref="V265">INDEX(Dosen!$B$3:$E$8,MATCH(Main!C265,Dosen!$A$3:$A$8,0),IF(AND(Main!A265&gt;=1,Main!A265&lt;=250),1,IF(AND(Main!A265&gt;=251,Main!A265&lt;=500),2,IF(AND(Main!A265&gt;=501,Main!A265&lt;=750),3,4))))</f>
        <v>Pak Andi</v>
      </c>
      <c r="W265" s="7" t="str">
        <f>_xlfn.XLOOKUP(B265,Detail!$G$1:$G$1001,Detail!$B$1:$B$1001)</f>
        <v>B+</v>
      </c>
    </row>
    <row r="266" spans="1:23" ht="15.75" x14ac:dyDescent="0.25">
      <c r="A266" s="7">
        <v>711</v>
      </c>
      <c r="B266" s="33" t="str">
        <f t="shared" si="11"/>
        <v>B0711</v>
      </c>
      <c r="C266" s="7" t="s">
        <v>1014</v>
      </c>
      <c r="D266" s="33" t="str">
        <f>VLOOKUP(B266,Detail!$G$1:$H$1001,2,FALSE)</f>
        <v>Indah Kurniawan</v>
      </c>
      <c r="E266" s="7">
        <v>50</v>
      </c>
      <c r="F266" s="7">
        <v>65</v>
      </c>
      <c r="G266" s="57">
        <v>63</v>
      </c>
      <c r="H266" s="7">
        <v>53</v>
      </c>
      <c r="I266" s="7">
        <v>81</v>
      </c>
      <c r="J266" s="7">
        <v>48</v>
      </c>
      <c r="K266" s="7">
        <v>97</v>
      </c>
      <c r="L266" s="56">
        <f>IFERROR(VLOOKUP(B266,Absen!$A$1:$C$501,2,FALSE),"No")</f>
        <v>44786</v>
      </c>
      <c r="M266" s="58">
        <f t="shared" si="12"/>
        <v>8.7000000000000011</v>
      </c>
      <c r="N266" s="57">
        <f t="shared" si="13"/>
        <v>62.025000000000006</v>
      </c>
      <c r="O266" s="7" t="str">
        <f>VLOOKUP(N266,Helper!$B$30:$C$35,2,TRUE)</f>
        <v>C</v>
      </c>
      <c r="P266" s="56">
        <f>INDEX(Detail!$A$1:$A$1001,MATCH(B266,Detail!$G$1:$G$1001,0))</f>
        <v>37082</v>
      </c>
      <c r="Q266" s="33" t="str">
        <f>INDEX(Detail!$F$1:$F$1001,MATCH(Main!B266,Detail!$G$1:$G$1001,0))</f>
        <v>Padang Sidempuan</v>
      </c>
      <c r="R266" s="7">
        <f>INDEX(Detail!$C$1:$C$1001,MATCH(B266,Detail!$G$1:$G$1001,0),1)</f>
        <v>154</v>
      </c>
      <c r="S266" s="7">
        <f>INDEX(Detail!$D$1:$D$1001,MATCH(B266,Detail!$G$1:$G$1001,0),1)</f>
        <v>67</v>
      </c>
      <c r="T266" s="7" t="str">
        <f>INDEX(Detail!$E$1:$E$1001,MATCH(Main!B266,Detail!$G$1:$G$1001,0))</f>
        <v>Gang Cikapayang No. 22</v>
      </c>
      <c r="U266" s="7" t="str">
        <f>INDEX(Detail!$B$1:$B$1001,MATCH(B266,Detail!$G$1:$G$1001,0),1)</f>
        <v>A-</v>
      </c>
      <c r="V266" s="7" t="str" cm="1">
        <f t="array" ref="V266">INDEX(Dosen!$B$3:$E$8,MATCH(Main!C266,Dosen!$A$3:$A$8,0),IF(AND(Main!A266&gt;=1,Main!A266&lt;=250),1,IF(AND(Main!A266&gt;=251,Main!A266&lt;=500),2,IF(AND(Main!A266&gt;=501,Main!A266&lt;=750),3,4))))</f>
        <v>Pak Andi</v>
      </c>
      <c r="W266" s="7" t="str">
        <f>_xlfn.XLOOKUP(B266,Detail!$G$1:$G$1001,Detail!$B$1:$B$1001)</f>
        <v>A-</v>
      </c>
    </row>
    <row r="267" spans="1:23" ht="15.75" x14ac:dyDescent="0.25">
      <c r="A267" s="7">
        <v>713</v>
      </c>
      <c r="B267" s="33" t="str">
        <f t="shared" si="11"/>
        <v>B0713</v>
      </c>
      <c r="C267" s="7" t="s">
        <v>1014</v>
      </c>
      <c r="D267" s="33" t="str">
        <f>VLOOKUP(B267,Detail!$G$1:$H$1001,2,FALSE)</f>
        <v>Lanjar Napitupulu</v>
      </c>
      <c r="E267" s="7">
        <v>60</v>
      </c>
      <c r="F267" s="7">
        <v>41</v>
      </c>
      <c r="G267" s="57">
        <v>65</v>
      </c>
      <c r="H267" s="7">
        <v>69</v>
      </c>
      <c r="I267" s="7">
        <v>63</v>
      </c>
      <c r="J267" s="7">
        <v>65</v>
      </c>
      <c r="K267" s="7">
        <v>98</v>
      </c>
      <c r="L267" s="56" t="str">
        <f>IFERROR(VLOOKUP(B267,Absen!$A$1:$C$501,2,FALSE),"No")</f>
        <v>No</v>
      </c>
      <c r="M267" s="58">
        <f t="shared" si="12"/>
        <v>9.8000000000000007</v>
      </c>
      <c r="N267" s="57">
        <f t="shared" si="13"/>
        <v>64.924999999999997</v>
      </c>
      <c r="O267" s="7" t="str">
        <f>VLOOKUP(N267,Helper!$B$30:$C$35,2,TRUE)</f>
        <v>C</v>
      </c>
      <c r="P267" s="56">
        <f>INDEX(Detail!$A$1:$A$1001,MATCH(B267,Detail!$G$1:$G$1001,0))</f>
        <v>37917</v>
      </c>
      <c r="Q267" s="33" t="str">
        <f>INDEX(Detail!$F$1:$F$1001,MATCH(Main!B267,Detail!$G$1:$G$1001,0))</f>
        <v>Pontianak</v>
      </c>
      <c r="R267" s="7">
        <f>INDEX(Detail!$C$1:$C$1001,MATCH(B267,Detail!$G$1:$G$1001,0),1)</f>
        <v>175</v>
      </c>
      <c r="S267" s="7">
        <f>INDEX(Detail!$D$1:$D$1001,MATCH(B267,Detail!$G$1:$G$1001,0),1)</f>
        <v>45</v>
      </c>
      <c r="T267" s="7" t="str">
        <f>INDEX(Detail!$E$1:$E$1001,MATCH(Main!B267,Detail!$G$1:$G$1001,0))</f>
        <v>Jl. Antapani Lama No. 09</v>
      </c>
      <c r="U267" s="7" t="str">
        <f>INDEX(Detail!$B$1:$B$1001,MATCH(B267,Detail!$G$1:$G$1001,0),1)</f>
        <v>AB+</v>
      </c>
      <c r="V267" s="7" t="str" cm="1">
        <f t="array" ref="V267">INDEX(Dosen!$B$3:$E$8,MATCH(Main!C267,Dosen!$A$3:$A$8,0),IF(AND(Main!A267&gt;=1,Main!A267&lt;=250),1,IF(AND(Main!A267&gt;=251,Main!A267&lt;=500),2,IF(AND(Main!A267&gt;=501,Main!A267&lt;=750),3,4))))</f>
        <v>Pak Andi</v>
      </c>
      <c r="W267" s="7" t="str">
        <f>_xlfn.XLOOKUP(B267,Detail!$G$1:$G$1001,Detail!$B$1:$B$1001)</f>
        <v>AB+</v>
      </c>
    </row>
    <row r="268" spans="1:23" ht="15.75" x14ac:dyDescent="0.25">
      <c r="A268" s="7">
        <v>714</v>
      </c>
      <c r="B268" s="33" t="str">
        <f t="shared" si="11"/>
        <v>B0714</v>
      </c>
      <c r="C268" s="7" t="s">
        <v>1014</v>
      </c>
      <c r="D268" s="33" t="str">
        <f>VLOOKUP(B268,Detail!$G$1:$H$1001,2,FALSE)</f>
        <v>Jelita Suwarno</v>
      </c>
      <c r="E268" s="7">
        <v>79</v>
      </c>
      <c r="F268" s="7">
        <v>75</v>
      </c>
      <c r="G268" s="57">
        <v>64</v>
      </c>
      <c r="H268" s="7">
        <v>57</v>
      </c>
      <c r="I268" s="7">
        <v>79</v>
      </c>
      <c r="J268" s="7">
        <v>100</v>
      </c>
      <c r="K268" s="7">
        <v>76</v>
      </c>
      <c r="L268" s="56">
        <f>IFERROR(VLOOKUP(B268,Absen!$A$1:$C$501,2,FALSE),"No")</f>
        <v>44900</v>
      </c>
      <c r="M268" s="58">
        <f t="shared" si="12"/>
        <v>6.6000000000000005</v>
      </c>
      <c r="N268" s="57">
        <f t="shared" si="13"/>
        <v>75.649999999999991</v>
      </c>
      <c r="O268" s="7" t="str">
        <f>VLOOKUP(N268,Helper!$B$30:$C$35,2,TRUE)</f>
        <v>B</v>
      </c>
      <c r="P268" s="56">
        <f>INDEX(Detail!$A$1:$A$1001,MATCH(B268,Detail!$G$1:$G$1001,0))</f>
        <v>37295</v>
      </c>
      <c r="Q268" s="33" t="str">
        <f>INDEX(Detail!$F$1:$F$1001,MATCH(Main!B268,Detail!$G$1:$G$1001,0))</f>
        <v>Kediri</v>
      </c>
      <c r="R268" s="7">
        <f>INDEX(Detail!$C$1:$C$1001,MATCH(B268,Detail!$G$1:$G$1001,0),1)</f>
        <v>155</v>
      </c>
      <c r="S268" s="7">
        <f>INDEX(Detail!$D$1:$D$1001,MATCH(B268,Detail!$G$1:$G$1001,0),1)</f>
        <v>85</v>
      </c>
      <c r="T268" s="7" t="str">
        <f>INDEX(Detail!$E$1:$E$1001,MATCH(Main!B268,Detail!$G$1:$G$1001,0))</f>
        <v xml:space="preserve">Jl. Kapten Muslihat No. 1
</v>
      </c>
      <c r="U268" s="7" t="str">
        <f>INDEX(Detail!$B$1:$B$1001,MATCH(B268,Detail!$G$1:$G$1001,0),1)</f>
        <v>A-</v>
      </c>
      <c r="V268" s="7" t="str" cm="1">
        <f t="array" ref="V268">INDEX(Dosen!$B$3:$E$8,MATCH(Main!C268,Dosen!$A$3:$A$8,0),IF(AND(Main!A268&gt;=1,Main!A268&lt;=250),1,IF(AND(Main!A268&gt;=251,Main!A268&lt;=500),2,IF(AND(Main!A268&gt;=501,Main!A268&lt;=750),3,4))))</f>
        <v>Pak Andi</v>
      </c>
      <c r="W268" s="7" t="str">
        <f>_xlfn.XLOOKUP(B268,Detail!$G$1:$G$1001,Detail!$B$1:$B$1001)</f>
        <v>A-</v>
      </c>
    </row>
    <row r="269" spans="1:23" ht="15.75" x14ac:dyDescent="0.25">
      <c r="A269" s="7">
        <v>715</v>
      </c>
      <c r="B269" s="33" t="str">
        <f t="shared" si="11"/>
        <v>B0715</v>
      </c>
      <c r="C269" s="7" t="s">
        <v>1014</v>
      </c>
      <c r="D269" s="33" t="str">
        <f>VLOOKUP(B269,Detail!$G$1:$H$1001,2,FALSE)</f>
        <v>Lanjar Hidayanto</v>
      </c>
      <c r="E269" s="7">
        <v>76</v>
      </c>
      <c r="F269" s="7">
        <v>52</v>
      </c>
      <c r="G269" s="57">
        <v>63</v>
      </c>
      <c r="H269" s="7">
        <v>56</v>
      </c>
      <c r="I269" s="7">
        <v>83</v>
      </c>
      <c r="J269" s="7">
        <v>48</v>
      </c>
      <c r="K269" s="7">
        <v>81</v>
      </c>
      <c r="L269" s="56">
        <f>IFERROR(VLOOKUP(B269,Absen!$A$1:$C$501,2,FALSE),"No")</f>
        <v>44917</v>
      </c>
      <c r="M269" s="58">
        <f t="shared" si="12"/>
        <v>7.1000000000000005</v>
      </c>
      <c r="N269" s="57">
        <f t="shared" si="13"/>
        <v>62.675000000000004</v>
      </c>
      <c r="O269" s="7" t="str">
        <f>VLOOKUP(N269,Helper!$B$30:$C$35,2,TRUE)</f>
        <v>C</v>
      </c>
      <c r="P269" s="56">
        <f>INDEX(Detail!$A$1:$A$1001,MATCH(B269,Detail!$G$1:$G$1001,0))</f>
        <v>37506</v>
      </c>
      <c r="Q269" s="33" t="str">
        <f>INDEX(Detail!$F$1:$F$1001,MATCH(Main!B269,Detail!$G$1:$G$1001,0))</f>
        <v>Pangkalpinang</v>
      </c>
      <c r="R269" s="7">
        <f>INDEX(Detail!$C$1:$C$1001,MATCH(B269,Detail!$G$1:$G$1001,0),1)</f>
        <v>155</v>
      </c>
      <c r="S269" s="7">
        <f>INDEX(Detail!$D$1:$D$1001,MATCH(B269,Detail!$G$1:$G$1001,0),1)</f>
        <v>69</v>
      </c>
      <c r="T269" s="7" t="str">
        <f>INDEX(Detail!$E$1:$E$1001,MATCH(Main!B269,Detail!$G$1:$G$1001,0))</f>
        <v>Jl. KH Amin Jasuta No. 26</v>
      </c>
      <c r="U269" s="7" t="str">
        <f>INDEX(Detail!$B$1:$B$1001,MATCH(B269,Detail!$G$1:$G$1001,0),1)</f>
        <v>O-</v>
      </c>
      <c r="V269" s="7" t="str" cm="1">
        <f t="array" ref="V269">INDEX(Dosen!$B$3:$E$8,MATCH(Main!C269,Dosen!$A$3:$A$8,0),IF(AND(Main!A269&gt;=1,Main!A269&lt;=250),1,IF(AND(Main!A269&gt;=251,Main!A269&lt;=500),2,IF(AND(Main!A269&gt;=501,Main!A269&lt;=750),3,4))))</f>
        <v>Pak Andi</v>
      </c>
      <c r="W269" s="7" t="str">
        <f>_xlfn.XLOOKUP(B269,Detail!$G$1:$G$1001,Detail!$B$1:$B$1001)</f>
        <v>O-</v>
      </c>
    </row>
    <row r="270" spans="1:23" ht="15.75" x14ac:dyDescent="0.25">
      <c r="A270" s="7">
        <v>717</v>
      </c>
      <c r="B270" s="33" t="str">
        <f t="shared" si="11"/>
        <v>B0717</v>
      </c>
      <c r="C270" s="7" t="s">
        <v>1014</v>
      </c>
      <c r="D270" s="33" t="str">
        <f>VLOOKUP(B270,Detail!$G$1:$H$1001,2,FALSE)</f>
        <v>Umay Siregar</v>
      </c>
      <c r="E270" s="7">
        <v>73</v>
      </c>
      <c r="F270" s="7">
        <v>45</v>
      </c>
      <c r="G270" s="57">
        <v>61</v>
      </c>
      <c r="H270" s="7">
        <v>70</v>
      </c>
      <c r="I270" s="7">
        <v>62</v>
      </c>
      <c r="J270" s="7">
        <v>90</v>
      </c>
      <c r="K270" s="7">
        <v>83</v>
      </c>
      <c r="L270" s="56" t="str">
        <f>IFERROR(VLOOKUP(B270,Absen!$A$1:$C$501,2,FALSE),"No")</f>
        <v>No</v>
      </c>
      <c r="M270" s="58">
        <f t="shared" si="12"/>
        <v>8.3000000000000007</v>
      </c>
      <c r="N270" s="57">
        <f t="shared" si="13"/>
        <v>69.75</v>
      </c>
      <c r="O270" s="7" t="str">
        <f>VLOOKUP(N270,Helper!$B$30:$C$35,2,TRUE)</f>
        <v>C</v>
      </c>
      <c r="P270" s="56">
        <f>INDEX(Detail!$A$1:$A$1001,MATCH(B270,Detail!$G$1:$G$1001,0))</f>
        <v>38375</v>
      </c>
      <c r="Q270" s="33" t="str">
        <f>INDEX(Detail!$F$1:$F$1001,MATCH(Main!B270,Detail!$G$1:$G$1001,0))</f>
        <v>Sibolga</v>
      </c>
      <c r="R270" s="7">
        <f>INDEX(Detail!$C$1:$C$1001,MATCH(B270,Detail!$G$1:$G$1001,0),1)</f>
        <v>167</v>
      </c>
      <c r="S270" s="7">
        <f>INDEX(Detail!$D$1:$D$1001,MATCH(B270,Detail!$G$1:$G$1001,0),1)</f>
        <v>73</v>
      </c>
      <c r="T270" s="7" t="str">
        <f>INDEX(Detail!$E$1:$E$1001,MATCH(Main!B270,Detail!$G$1:$G$1001,0))</f>
        <v>Gg. PHH. Mustofa No. 89</v>
      </c>
      <c r="U270" s="7" t="str">
        <f>INDEX(Detail!$B$1:$B$1001,MATCH(B270,Detail!$G$1:$G$1001,0),1)</f>
        <v>AB-</v>
      </c>
      <c r="V270" s="7" t="str" cm="1">
        <f t="array" ref="V270">INDEX(Dosen!$B$3:$E$8,MATCH(Main!C270,Dosen!$A$3:$A$8,0),IF(AND(Main!A270&gt;=1,Main!A270&lt;=250),1,IF(AND(Main!A270&gt;=251,Main!A270&lt;=500),2,IF(AND(Main!A270&gt;=501,Main!A270&lt;=750),3,4))))</f>
        <v>Pak Andi</v>
      </c>
      <c r="W270" s="7" t="str">
        <f>_xlfn.XLOOKUP(B270,Detail!$G$1:$G$1001,Detail!$B$1:$B$1001)</f>
        <v>AB-</v>
      </c>
    </row>
    <row r="271" spans="1:23" ht="15.75" x14ac:dyDescent="0.25">
      <c r="A271" s="7">
        <v>718</v>
      </c>
      <c r="B271" s="33" t="str">
        <f t="shared" si="11"/>
        <v>B0718</v>
      </c>
      <c r="C271" s="7" t="s">
        <v>1014</v>
      </c>
      <c r="D271" s="33" t="str">
        <f>VLOOKUP(B271,Detail!$G$1:$H$1001,2,FALSE)</f>
        <v>Natalia Rahimah</v>
      </c>
      <c r="E271" s="7">
        <v>92</v>
      </c>
      <c r="F271" s="7">
        <v>63</v>
      </c>
      <c r="G271" s="57">
        <v>95</v>
      </c>
      <c r="H271" s="7">
        <v>58</v>
      </c>
      <c r="I271" s="7">
        <v>54</v>
      </c>
      <c r="J271" s="7">
        <v>60</v>
      </c>
      <c r="K271" s="7">
        <v>71</v>
      </c>
      <c r="L271" s="56">
        <f>IFERROR(VLOOKUP(B271,Absen!$A$1:$C$501,2,FALSE),"No")</f>
        <v>44756</v>
      </c>
      <c r="M271" s="58">
        <f t="shared" si="12"/>
        <v>6.1000000000000005</v>
      </c>
      <c r="N271" s="57">
        <f t="shared" si="13"/>
        <v>70.474999999999994</v>
      </c>
      <c r="O271" s="7" t="str">
        <f>VLOOKUP(N271,Helper!$B$30:$C$35,2,TRUE)</f>
        <v>B</v>
      </c>
      <c r="P271" s="56">
        <f>INDEX(Detail!$A$1:$A$1001,MATCH(B271,Detail!$G$1:$G$1001,0))</f>
        <v>37375</v>
      </c>
      <c r="Q271" s="33" t="str">
        <f>INDEX(Detail!$F$1:$F$1001,MATCH(Main!B271,Detail!$G$1:$G$1001,0))</f>
        <v>Blitar</v>
      </c>
      <c r="R271" s="7">
        <f>INDEX(Detail!$C$1:$C$1001,MATCH(B271,Detail!$G$1:$G$1001,0),1)</f>
        <v>150</v>
      </c>
      <c r="S271" s="7">
        <f>INDEX(Detail!$D$1:$D$1001,MATCH(B271,Detail!$G$1:$G$1001,0),1)</f>
        <v>82</v>
      </c>
      <c r="T271" s="7" t="str">
        <f>INDEX(Detail!$E$1:$E$1001,MATCH(Main!B271,Detail!$G$1:$G$1001,0))</f>
        <v>Gang Moch. Ramdan No. 87</v>
      </c>
      <c r="U271" s="7" t="str">
        <f>INDEX(Detail!$B$1:$B$1001,MATCH(B271,Detail!$G$1:$G$1001,0),1)</f>
        <v>A-</v>
      </c>
      <c r="V271" s="7" t="str" cm="1">
        <f t="array" ref="V271">INDEX(Dosen!$B$3:$E$8,MATCH(Main!C271,Dosen!$A$3:$A$8,0),IF(AND(Main!A271&gt;=1,Main!A271&lt;=250),1,IF(AND(Main!A271&gt;=251,Main!A271&lt;=500),2,IF(AND(Main!A271&gt;=501,Main!A271&lt;=750),3,4))))</f>
        <v>Pak Andi</v>
      </c>
      <c r="W271" s="7" t="str">
        <f>_xlfn.XLOOKUP(B271,Detail!$G$1:$G$1001,Detail!$B$1:$B$1001)</f>
        <v>A-</v>
      </c>
    </row>
    <row r="272" spans="1:23" ht="15.75" x14ac:dyDescent="0.25">
      <c r="A272" s="7">
        <v>720</v>
      </c>
      <c r="B272" s="33" t="str">
        <f t="shared" si="11"/>
        <v>B0720</v>
      </c>
      <c r="C272" s="7" t="s">
        <v>1014</v>
      </c>
      <c r="D272" s="33" t="str">
        <f>VLOOKUP(B272,Detail!$G$1:$H$1001,2,FALSE)</f>
        <v>Cengkal Anggraini</v>
      </c>
      <c r="E272" s="7">
        <v>60</v>
      </c>
      <c r="F272" s="7">
        <v>45</v>
      </c>
      <c r="G272" s="57">
        <v>37</v>
      </c>
      <c r="H272" s="7">
        <v>58</v>
      </c>
      <c r="I272" s="7">
        <v>65</v>
      </c>
      <c r="J272" s="7">
        <v>74</v>
      </c>
      <c r="K272" s="7">
        <v>65</v>
      </c>
      <c r="L272" s="56">
        <f>IFERROR(VLOOKUP(B272,Absen!$A$1:$C$501,2,FALSE),"No")</f>
        <v>44767</v>
      </c>
      <c r="M272" s="58">
        <f t="shared" si="12"/>
        <v>5.5</v>
      </c>
      <c r="N272" s="57">
        <f t="shared" si="13"/>
        <v>56.2</v>
      </c>
      <c r="O272" s="7" t="str">
        <f>VLOOKUP(N272,Helper!$B$30:$C$35,2,TRUE)</f>
        <v>D</v>
      </c>
      <c r="P272" s="56">
        <f>INDEX(Detail!$A$1:$A$1001,MATCH(B272,Detail!$G$1:$G$1001,0))</f>
        <v>37982</v>
      </c>
      <c r="Q272" s="33" t="str">
        <f>INDEX(Detail!$F$1:$F$1001,MATCH(Main!B272,Detail!$G$1:$G$1001,0))</f>
        <v>Lubuklinggau</v>
      </c>
      <c r="R272" s="7">
        <f>INDEX(Detail!$C$1:$C$1001,MATCH(B272,Detail!$G$1:$G$1001,0),1)</f>
        <v>167</v>
      </c>
      <c r="S272" s="7">
        <f>INDEX(Detail!$D$1:$D$1001,MATCH(B272,Detail!$G$1:$G$1001,0),1)</f>
        <v>59</v>
      </c>
      <c r="T272" s="7" t="str">
        <f>INDEX(Detail!$E$1:$E$1001,MATCH(Main!B272,Detail!$G$1:$G$1001,0))</f>
        <v>Gang Peta No. 79</v>
      </c>
      <c r="U272" s="7" t="str">
        <f>INDEX(Detail!$B$1:$B$1001,MATCH(B272,Detail!$G$1:$G$1001,0),1)</f>
        <v>A-</v>
      </c>
      <c r="V272" s="7" t="str" cm="1">
        <f t="array" ref="V272">INDEX(Dosen!$B$3:$E$8,MATCH(Main!C272,Dosen!$A$3:$A$8,0),IF(AND(Main!A272&gt;=1,Main!A272&lt;=250),1,IF(AND(Main!A272&gt;=251,Main!A272&lt;=500),2,IF(AND(Main!A272&gt;=501,Main!A272&lt;=750),3,4))))</f>
        <v>Pak Andi</v>
      </c>
      <c r="W272" s="7" t="str">
        <f>_xlfn.XLOOKUP(B272,Detail!$G$1:$G$1001,Detail!$B$1:$B$1001)</f>
        <v>A-</v>
      </c>
    </row>
    <row r="273" spans="1:23" ht="15.75" x14ac:dyDescent="0.25">
      <c r="A273" s="7">
        <v>729</v>
      </c>
      <c r="B273" s="33" t="str">
        <f t="shared" si="11"/>
        <v>B0729</v>
      </c>
      <c r="C273" s="7" t="s">
        <v>1014</v>
      </c>
      <c r="D273" s="33" t="str">
        <f>VLOOKUP(B273,Detail!$G$1:$H$1001,2,FALSE)</f>
        <v>Vivi Nuraini</v>
      </c>
      <c r="E273" s="7">
        <v>55</v>
      </c>
      <c r="F273" s="7">
        <v>75</v>
      </c>
      <c r="G273" s="57">
        <v>91</v>
      </c>
      <c r="H273" s="7">
        <v>62</v>
      </c>
      <c r="I273" s="7">
        <v>71</v>
      </c>
      <c r="J273" s="7">
        <v>53</v>
      </c>
      <c r="K273" s="7">
        <v>67</v>
      </c>
      <c r="L273" s="56" t="str">
        <f>IFERROR(VLOOKUP(B273,Absen!$A$1:$C$501,2,FALSE),"No")</f>
        <v>No</v>
      </c>
      <c r="M273" s="58">
        <f t="shared" si="12"/>
        <v>6.7</v>
      </c>
      <c r="N273" s="57">
        <f t="shared" si="13"/>
        <v>68.375</v>
      </c>
      <c r="O273" s="7" t="str">
        <f>VLOOKUP(N273,Helper!$B$30:$C$35,2,TRUE)</f>
        <v>C</v>
      </c>
      <c r="P273" s="56">
        <f>INDEX(Detail!$A$1:$A$1001,MATCH(B273,Detail!$G$1:$G$1001,0))</f>
        <v>37031</v>
      </c>
      <c r="Q273" s="33" t="str">
        <f>INDEX(Detail!$F$1:$F$1001,MATCH(Main!B273,Detail!$G$1:$G$1001,0))</f>
        <v>Sungai Penuh</v>
      </c>
      <c r="R273" s="7">
        <f>INDEX(Detail!$C$1:$C$1001,MATCH(B273,Detail!$G$1:$G$1001,0),1)</f>
        <v>172</v>
      </c>
      <c r="S273" s="7">
        <f>INDEX(Detail!$D$1:$D$1001,MATCH(B273,Detail!$G$1:$G$1001,0),1)</f>
        <v>46</v>
      </c>
      <c r="T273" s="7" t="str">
        <f>INDEX(Detail!$E$1:$E$1001,MATCH(Main!B273,Detail!$G$1:$G$1001,0))</f>
        <v>Gang Kendalsari No. 67</v>
      </c>
      <c r="U273" s="7" t="str">
        <f>INDEX(Detail!$B$1:$B$1001,MATCH(B273,Detail!$G$1:$G$1001,0),1)</f>
        <v>A+</v>
      </c>
      <c r="V273" s="7" t="str" cm="1">
        <f t="array" ref="V273">INDEX(Dosen!$B$3:$E$8,MATCH(Main!C273,Dosen!$A$3:$A$8,0),IF(AND(Main!A273&gt;=1,Main!A273&lt;=250),1,IF(AND(Main!A273&gt;=251,Main!A273&lt;=500),2,IF(AND(Main!A273&gt;=501,Main!A273&lt;=750),3,4))))</f>
        <v>Pak Andi</v>
      </c>
      <c r="W273" s="7" t="str">
        <f>_xlfn.XLOOKUP(B273,Detail!$G$1:$G$1001,Detail!$B$1:$B$1001)</f>
        <v>A+</v>
      </c>
    </row>
    <row r="274" spans="1:23" ht="15.75" x14ac:dyDescent="0.25">
      <c r="A274" s="7">
        <v>740</v>
      </c>
      <c r="B274" s="33" t="str">
        <f t="shared" si="11"/>
        <v>B0740</v>
      </c>
      <c r="C274" s="7" t="s">
        <v>1014</v>
      </c>
      <c r="D274" s="33" t="str">
        <f>VLOOKUP(B274,Detail!$G$1:$H$1001,2,FALSE)</f>
        <v>Maria Palastri</v>
      </c>
      <c r="E274" s="7">
        <v>85</v>
      </c>
      <c r="F274" s="7">
        <v>67</v>
      </c>
      <c r="G274" s="57">
        <v>84</v>
      </c>
      <c r="H274" s="7">
        <v>58</v>
      </c>
      <c r="I274" s="7">
        <v>85</v>
      </c>
      <c r="J274" s="7">
        <v>47</v>
      </c>
      <c r="K274" s="7">
        <v>96</v>
      </c>
      <c r="L274" s="56">
        <f>IFERROR(VLOOKUP(B274,Absen!$A$1:$C$501,2,FALSE),"No")</f>
        <v>44751</v>
      </c>
      <c r="M274" s="58">
        <f t="shared" si="12"/>
        <v>8.6</v>
      </c>
      <c r="N274" s="57">
        <f t="shared" si="13"/>
        <v>71.674999999999997</v>
      </c>
      <c r="O274" s="7" t="str">
        <f>VLOOKUP(N274,Helper!$B$30:$C$35,2,TRUE)</f>
        <v>B</v>
      </c>
      <c r="P274" s="56">
        <f>INDEX(Detail!$A$1:$A$1001,MATCH(B274,Detail!$G$1:$G$1001,0))</f>
        <v>37301</v>
      </c>
      <c r="Q274" s="33" t="str">
        <f>INDEX(Detail!$F$1:$F$1001,MATCH(Main!B274,Detail!$G$1:$G$1001,0))</f>
        <v>Prabumulih</v>
      </c>
      <c r="R274" s="7">
        <f>INDEX(Detail!$C$1:$C$1001,MATCH(B274,Detail!$G$1:$G$1001,0),1)</f>
        <v>174</v>
      </c>
      <c r="S274" s="7">
        <f>INDEX(Detail!$D$1:$D$1001,MATCH(B274,Detail!$G$1:$G$1001,0),1)</f>
        <v>91</v>
      </c>
      <c r="T274" s="7" t="str">
        <f>INDEX(Detail!$E$1:$E$1001,MATCH(Main!B274,Detail!$G$1:$G$1001,0))</f>
        <v>Jalan Gedebage Selatan No. 31</v>
      </c>
      <c r="U274" s="7" t="str">
        <f>INDEX(Detail!$B$1:$B$1001,MATCH(B274,Detail!$G$1:$G$1001,0),1)</f>
        <v>B+</v>
      </c>
      <c r="V274" s="7" t="str" cm="1">
        <f t="array" ref="V274">INDEX(Dosen!$B$3:$E$8,MATCH(Main!C274,Dosen!$A$3:$A$8,0),IF(AND(Main!A274&gt;=1,Main!A274&lt;=250),1,IF(AND(Main!A274&gt;=251,Main!A274&lt;=500),2,IF(AND(Main!A274&gt;=501,Main!A274&lt;=750),3,4))))</f>
        <v>Pak Andi</v>
      </c>
      <c r="W274" s="7" t="str">
        <f>_xlfn.XLOOKUP(B274,Detail!$G$1:$G$1001,Detail!$B$1:$B$1001)</f>
        <v>B+</v>
      </c>
    </row>
    <row r="275" spans="1:23" ht="15.75" x14ac:dyDescent="0.25">
      <c r="A275" s="7">
        <v>744</v>
      </c>
      <c r="B275" s="33" t="str">
        <f t="shared" si="11"/>
        <v>B0744</v>
      </c>
      <c r="C275" s="7" t="s">
        <v>1014</v>
      </c>
      <c r="D275" s="33" t="str">
        <f>VLOOKUP(B275,Detail!$G$1:$H$1001,2,FALSE)</f>
        <v>Carla Hasanah</v>
      </c>
      <c r="E275" s="7">
        <v>83</v>
      </c>
      <c r="F275" s="7">
        <v>56</v>
      </c>
      <c r="G275" s="57">
        <v>33</v>
      </c>
      <c r="H275" s="7">
        <v>52</v>
      </c>
      <c r="I275" s="7">
        <v>62</v>
      </c>
      <c r="J275" s="7">
        <v>80</v>
      </c>
      <c r="K275" s="7">
        <v>71</v>
      </c>
      <c r="L275" s="56" t="str">
        <f>IFERROR(VLOOKUP(B275,Absen!$A$1:$C$501,2,FALSE),"No")</f>
        <v>No</v>
      </c>
      <c r="M275" s="58">
        <f t="shared" si="12"/>
        <v>7.1000000000000005</v>
      </c>
      <c r="N275" s="57">
        <f t="shared" si="13"/>
        <v>61.325000000000003</v>
      </c>
      <c r="O275" s="7" t="str">
        <f>VLOOKUP(N275,Helper!$B$30:$C$35,2,TRUE)</f>
        <v>C</v>
      </c>
      <c r="P275" s="56">
        <f>INDEX(Detail!$A$1:$A$1001,MATCH(B275,Detail!$G$1:$G$1001,0))</f>
        <v>37463</v>
      </c>
      <c r="Q275" s="33" t="str">
        <f>INDEX(Detail!$F$1:$F$1001,MATCH(Main!B275,Detail!$G$1:$G$1001,0))</f>
        <v>Manado</v>
      </c>
      <c r="R275" s="7">
        <f>INDEX(Detail!$C$1:$C$1001,MATCH(B275,Detail!$G$1:$G$1001,0),1)</f>
        <v>171</v>
      </c>
      <c r="S275" s="7">
        <f>INDEX(Detail!$D$1:$D$1001,MATCH(B275,Detail!$G$1:$G$1001,0),1)</f>
        <v>76</v>
      </c>
      <c r="T275" s="7" t="str">
        <f>INDEX(Detail!$E$1:$E$1001,MATCH(Main!B275,Detail!$G$1:$G$1001,0))</f>
        <v>Jalan Asia Afrika No. 15</v>
      </c>
      <c r="U275" s="7" t="str">
        <f>INDEX(Detail!$B$1:$B$1001,MATCH(B275,Detail!$G$1:$G$1001,0),1)</f>
        <v>O-</v>
      </c>
      <c r="V275" s="7" t="str" cm="1">
        <f t="array" ref="V275">INDEX(Dosen!$B$3:$E$8,MATCH(Main!C275,Dosen!$A$3:$A$8,0),IF(AND(Main!A275&gt;=1,Main!A275&lt;=250),1,IF(AND(Main!A275&gt;=251,Main!A275&lt;=500),2,IF(AND(Main!A275&gt;=501,Main!A275&lt;=750),3,4))))</f>
        <v>Pak Andi</v>
      </c>
      <c r="W275" s="7" t="str">
        <f>_xlfn.XLOOKUP(B275,Detail!$G$1:$G$1001,Detail!$B$1:$B$1001)</f>
        <v>O-</v>
      </c>
    </row>
    <row r="276" spans="1:23" ht="15.75" x14ac:dyDescent="0.25">
      <c r="A276" s="7">
        <v>745</v>
      </c>
      <c r="B276" s="33" t="str">
        <f t="shared" si="11"/>
        <v>B0745</v>
      </c>
      <c r="C276" s="7" t="s">
        <v>1014</v>
      </c>
      <c r="D276" s="33" t="str">
        <f>VLOOKUP(B276,Detail!$G$1:$H$1001,2,FALSE)</f>
        <v>Betania Namaga</v>
      </c>
      <c r="E276" s="7">
        <v>70</v>
      </c>
      <c r="F276" s="7">
        <v>42</v>
      </c>
      <c r="G276" s="57">
        <v>59</v>
      </c>
      <c r="H276" s="7">
        <v>55</v>
      </c>
      <c r="I276" s="7">
        <v>74</v>
      </c>
      <c r="J276" s="7">
        <v>98</v>
      </c>
      <c r="K276" s="7">
        <v>78</v>
      </c>
      <c r="L276" s="56" t="str">
        <f>IFERROR(VLOOKUP(B276,Absen!$A$1:$C$501,2,FALSE),"No")</f>
        <v>No</v>
      </c>
      <c r="M276" s="58">
        <f t="shared" si="12"/>
        <v>7.8000000000000007</v>
      </c>
      <c r="N276" s="57">
        <f t="shared" si="13"/>
        <v>69.325000000000003</v>
      </c>
      <c r="O276" s="7" t="str">
        <f>VLOOKUP(N276,Helper!$B$30:$C$35,2,TRUE)</f>
        <v>C</v>
      </c>
      <c r="P276" s="56">
        <f>INDEX(Detail!$A$1:$A$1001,MATCH(B276,Detail!$G$1:$G$1001,0))</f>
        <v>38019</v>
      </c>
      <c r="Q276" s="33" t="str">
        <f>INDEX(Detail!$F$1:$F$1001,MATCH(Main!B276,Detail!$G$1:$G$1001,0))</f>
        <v>Tidore Kepulauan</v>
      </c>
      <c r="R276" s="7">
        <f>INDEX(Detail!$C$1:$C$1001,MATCH(B276,Detail!$G$1:$G$1001,0),1)</f>
        <v>170</v>
      </c>
      <c r="S276" s="7">
        <f>INDEX(Detail!$D$1:$D$1001,MATCH(B276,Detail!$G$1:$G$1001,0),1)</f>
        <v>76</v>
      </c>
      <c r="T276" s="7" t="str">
        <f>INDEX(Detail!$E$1:$E$1001,MATCH(Main!B276,Detail!$G$1:$G$1001,0))</f>
        <v>Gg. Cikutra Barat No. 82</v>
      </c>
      <c r="U276" s="7" t="str">
        <f>INDEX(Detail!$B$1:$B$1001,MATCH(B276,Detail!$G$1:$G$1001,0),1)</f>
        <v>B-</v>
      </c>
      <c r="V276" s="7" t="str" cm="1">
        <f t="array" ref="V276">INDEX(Dosen!$B$3:$E$8,MATCH(Main!C276,Dosen!$A$3:$A$8,0),IF(AND(Main!A276&gt;=1,Main!A276&lt;=250),1,IF(AND(Main!A276&gt;=251,Main!A276&lt;=500),2,IF(AND(Main!A276&gt;=501,Main!A276&lt;=750),3,4))))</f>
        <v>Pak Andi</v>
      </c>
      <c r="W276" s="7" t="str">
        <f>_xlfn.XLOOKUP(B276,Detail!$G$1:$G$1001,Detail!$B$1:$B$1001)</f>
        <v>B-</v>
      </c>
    </row>
    <row r="277" spans="1:23" ht="15.75" x14ac:dyDescent="0.25">
      <c r="A277" s="7">
        <v>748</v>
      </c>
      <c r="B277" s="33" t="str">
        <f t="shared" si="11"/>
        <v>B0748</v>
      </c>
      <c r="C277" s="7" t="s">
        <v>1014</v>
      </c>
      <c r="D277" s="33" t="str">
        <f>VLOOKUP(B277,Detail!$G$1:$H$1001,2,FALSE)</f>
        <v>Mursita Safitri</v>
      </c>
      <c r="E277" s="7">
        <v>83</v>
      </c>
      <c r="F277" s="7">
        <v>61</v>
      </c>
      <c r="G277" s="57">
        <v>43</v>
      </c>
      <c r="H277" s="7">
        <v>57</v>
      </c>
      <c r="I277" s="7">
        <v>71</v>
      </c>
      <c r="J277" s="7">
        <v>98</v>
      </c>
      <c r="K277" s="7">
        <v>100</v>
      </c>
      <c r="L277" s="56">
        <f>IFERROR(VLOOKUP(B277,Absen!$A$1:$C$501,2,FALSE),"No")</f>
        <v>44795</v>
      </c>
      <c r="M277" s="58">
        <f t="shared" si="12"/>
        <v>9</v>
      </c>
      <c r="N277" s="57">
        <f t="shared" si="13"/>
        <v>71.2</v>
      </c>
      <c r="O277" s="7" t="str">
        <f>VLOOKUP(N277,Helper!$B$30:$C$35,2,TRUE)</f>
        <v>B</v>
      </c>
      <c r="P277" s="56">
        <f>INDEX(Detail!$A$1:$A$1001,MATCH(B277,Detail!$G$1:$G$1001,0))</f>
        <v>37202</v>
      </c>
      <c r="Q277" s="33" t="str">
        <f>INDEX(Detail!$F$1:$F$1001,MATCH(Main!B277,Detail!$G$1:$G$1001,0))</f>
        <v>Kota Administrasi Jakarta Barat</v>
      </c>
      <c r="R277" s="7">
        <f>INDEX(Detail!$C$1:$C$1001,MATCH(B277,Detail!$G$1:$G$1001,0),1)</f>
        <v>155</v>
      </c>
      <c r="S277" s="7">
        <f>INDEX(Detail!$D$1:$D$1001,MATCH(B277,Detail!$G$1:$G$1001,0),1)</f>
        <v>82</v>
      </c>
      <c r="T277" s="7" t="str">
        <f>INDEX(Detail!$E$1:$E$1001,MATCH(Main!B277,Detail!$G$1:$G$1001,0))</f>
        <v>Jl. Pasirkoja No. 44</v>
      </c>
      <c r="U277" s="7" t="str">
        <f>INDEX(Detail!$B$1:$B$1001,MATCH(B277,Detail!$G$1:$G$1001,0),1)</f>
        <v>A-</v>
      </c>
      <c r="V277" s="7" t="str" cm="1">
        <f t="array" ref="V277">INDEX(Dosen!$B$3:$E$8,MATCH(Main!C277,Dosen!$A$3:$A$8,0),IF(AND(Main!A277&gt;=1,Main!A277&lt;=250),1,IF(AND(Main!A277&gt;=251,Main!A277&lt;=500),2,IF(AND(Main!A277&gt;=501,Main!A277&lt;=750),3,4))))</f>
        <v>Pak Andi</v>
      </c>
      <c r="W277" s="7" t="str">
        <f>_xlfn.XLOOKUP(B277,Detail!$G$1:$G$1001,Detail!$B$1:$B$1001)</f>
        <v>A-</v>
      </c>
    </row>
    <row r="278" spans="1:23" ht="15.75" x14ac:dyDescent="0.25">
      <c r="A278" s="7">
        <v>749</v>
      </c>
      <c r="B278" s="33" t="str">
        <f t="shared" si="11"/>
        <v>B0749</v>
      </c>
      <c r="C278" s="7" t="s">
        <v>1014</v>
      </c>
      <c r="D278" s="33" t="str">
        <f>VLOOKUP(B278,Detail!$G$1:$H$1001,2,FALSE)</f>
        <v>Marwata Sudiati</v>
      </c>
      <c r="E278" s="7">
        <v>85</v>
      </c>
      <c r="F278" s="7">
        <v>60</v>
      </c>
      <c r="G278" s="57">
        <v>48</v>
      </c>
      <c r="H278" s="7">
        <v>74</v>
      </c>
      <c r="I278" s="7">
        <v>58</v>
      </c>
      <c r="J278" s="7">
        <v>94</v>
      </c>
      <c r="K278" s="7">
        <v>85</v>
      </c>
      <c r="L278" s="56">
        <f>IFERROR(VLOOKUP(B278,Absen!$A$1:$C$501,2,FALSE),"No")</f>
        <v>44840</v>
      </c>
      <c r="M278" s="58">
        <f t="shared" si="12"/>
        <v>7.5</v>
      </c>
      <c r="N278" s="57">
        <f t="shared" si="13"/>
        <v>70.525000000000006</v>
      </c>
      <c r="O278" s="7" t="str">
        <f>VLOOKUP(N278,Helper!$B$30:$C$35,2,TRUE)</f>
        <v>B</v>
      </c>
      <c r="P278" s="56">
        <f>INDEX(Detail!$A$1:$A$1001,MATCH(B278,Detail!$G$1:$G$1001,0))</f>
        <v>38109</v>
      </c>
      <c r="Q278" s="33" t="str">
        <f>INDEX(Detail!$F$1:$F$1001,MATCH(Main!B278,Detail!$G$1:$G$1001,0))</f>
        <v>Surakarta</v>
      </c>
      <c r="R278" s="7">
        <f>INDEX(Detail!$C$1:$C$1001,MATCH(B278,Detail!$G$1:$G$1001,0),1)</f>
        <v>167</v>
      </c>
      <c r="S278" s="7">
        <f>INDEX(Detail!$D$1:$D$1001,MATCH(B278,Detail!$G$1:$G$1001,0),1)</f>
        <v>92</v>
      </c>
      <c r="T278" s="7" t="str">
        <f>INDEX(Detail!$E$1:$E$1001,MATCH(Main!B278,Detail!$G$1:$G$1001,0))</f>
        <v xml:space="preserve">Jl. Joyoboyo No. 0
</v>
      </c>
      <c r="U278" s="7" t="str">
        <f>INDEX(Detail!$B$1:$B$1001,MATCH(B278,Detail!$G$1:$G$1001,0),1)</f>
        <v>A-</v>
      </c>
      <c r="V278" s="7" t="str" cm="1">
        <f t="array" ref="V278">INDEX(Dosen!$B$3:$E$8,MATCH(Main!C278,Dosen!$A$3:$A$8,0),IF(AND(Main!A278&gt;=1,Main!A278&lt;=250),1,IF(AND(Main!A278&gt;=251,Main!A278&lt;=500),2,IF(AND(Main!A278&gt;=501,Main!A278&lt;=750),3,4))))</f>
        <v>Pak Andi</v>
      </c>
      <c r="W278" s="7" t="str">
        <f>_xlfn.XLOOKUP(B278,Detail!$G$1:$G$1001,Detail!$B$1:$B$1001)</f>
        <v>A-</v>
      </c>
    </row>
    <row r="279" spans="1:23" ht="15.75" x14ac:dyDescent="0.25">
      <c r="A279" s="7">
        <v>751</v>
      </c>
      <c r="B279" s="33" t="str">
        <f t="shared" si="11"/>
        <v>B0751</v>
      </c>
      <c r="C279" s="7" t="s">
        <v>1014</v>
      </c>
      <c r="D279" s="33" t="str">
        <f>VLOOKUP(B279,Detail!$G$1:$H$1001,2,FALSE)</f>
        <v>Harja Suryatmi</v>
      </c>
      <c r="E279" s="7">
        <v>93</v>
      </c>
      <c r="F279" s="7">
        <v>55</v>
      </c>
      <c r="G279" s="57">
        <v>31</v>
      </c>
      <c r="H279" s="7">
        <v>71</v>
      </c>
      <c r="I279" s="7">
        <v>87</v>
      </c>
      <c r="J279" s="7">
        <v>59</v>
      </c>
      <c r="K279" s="7">
        <v>83</v>
      </c>
      <c r="L279" s="56" t="str">
        <f>IFERROR(VLOOKUP(B279,Absen!$A$1:$C$501,2,FALSE),"No")</f>
        <v>No</v>
      </c>
      <c r="M279" s="58">
        <f t="shared" si="12"/>
        <v>8.3000000000000007</v>
      </c>
      <c r="N279" s="57">
        <f t="shared" si="13"/>
        <v>64.55</v>
      </c>
      <c r="O279" s="7" t="str">
        <f>VLOOKUP(N279,Helper!$B$30:$C$35,2,TRUE)</f>
        <v>C</v>
      </c>
      <c r="P279" s="56">
        <f>INDEX(Detail!$A$1:$A$1001,MATCH(B279,Detail!$G$1:$G$1001,0))</f>
        <v>37934</v>
      </c>
      <c r="Q279" s="33" t="str">
        <f>INDEX(Detail!$F$1:$F$1001,MATCH(Main!B279,Detail!$G$1:$G$1001,0))</f>
        <v>Ambon</v>
      </c>
      <c r="R279" s="7">
        <f>INDEX(Detail!$C$1:$C$1001,MATCH(B279,Detail!$G$1:$G$1001,0),1)</f>
        <v>157</v>
      </c>
      <c r="S279" s="7">
        <f>INDEX(Detail!$D$1:$D$1001,MATCH(B279,Detail!$G$1:$G$1001,0),1)</f>
        <v>81</v>
      </c>
      <c r="T279" s="7" t="str">
        <f>INDEX(Detail!$E$1:$E$1001,MATCH(Main!B279,Detail!$G$1:$G$1001,0))</f>
        <v>Gg. Laswi No. 86</v>
      </c>
      <c r="U279" s="7" t="str">
        <f>INDEX(Detail!$B$1:$B$1001,MATCH(B279,Detail!$G$1:$G$1001,0),1)</f>
        <v>AB+</v>
      </c>
      <c r="V279" s="7" t="str" cm="1">
        <f t="array" ref="V279">INDEX(Dosen!$B$3:$E$8,MATCH(Main!C279,Dosen!$A$3:$A$8,0),IF(AND(Main!A279&gt;=1,Main!A279&lt;=250),1,IF(AND(Main!A279&gt;=251,Main!A279&lt;=500),2,IF(AND(Main!A279&gt;=501,Main!A279&lt;=750),3,4))))</f>
        <v>Pak Budi</v>
      </c>
      <c r="W279" s="7" t="str">
        <f>_xlfn.XLOOKUP(B279,Detail!$G$1:$G$1001,Detail!$B$1:$B$1001)</f>
        <v>AB+</v>
      </c>
    </row>
    <row r="280" spans="1:23" ht="15.75" x14ac:dyDescent="0.25">
      <c r="A280" s="7">
        <v>761</v>
      </c>
      <c r="B280" s="33" t="str">
        <f t="shared" si="11"/>
        <v>B0761</v>
      </c>
      <c r="C280" s="7" t="s">
        <v>1014</v>
      </c>
      <c r="D280" s="33" t="str">
        <f>VLOOKUP(B280,Detail!$G$1:$H$1001,2,FALSE)</f>
        <v>Darijan Wacana</v>
      </c>
      <c r="E280" s="7">
        <v>74</v>
      </c>
      <c r="F280" s="7">
        <v>64</v>
      </c>
      <c r="G280" s="57">
        <v>30</v>
      </c>
      <c r="H280" s="7">
        <v>74</v>
      </c>
      <c r="I280" s="7">
        <v>54</v>
      </c>
      <c r="J280" s="7">
        <v>84</v>
      </c>
      <c r="K280" s="7">
        <v>61</v>
      </c>
      <c r="L280" s="56">
        <f>IFERROR(VLOOKUP(B280,Absen!$A$1:$C$501,2,FALSE),"No")</f>
        <v>44863</v>
      </c>
      <c r="M280" s="58">
        <f t="shared" si="12"/>
        <v>5.1000000000000005</v>
      </c>
      <c r="N280" s="57">
        <f t="shared" si="13"/>
        <v>61.15</v>
      </c>
      <c r="O280" s="7" t="str">
        <f>VLOOKUP(N280,Helper!$B$30:$C$35,2,TRUE)</f>
        <v>C</v>
      </c>
      <c r="P280" s="56">
        <f>INDEX(Detail!$A$1:$A$1001,MATCH(B280,Detail!$G$1:$G$1001,0))</f>
        <v>37601</v>
      </c>
      <c r="Q280" s="33" t="str">
        <f>INDEX(Detail!$F$1:$F$1001,MATCH(Main!B280,Detail!$G$1:$G$1001,0))</f>
        <v>Singkawang</v>
      </c>
      <c r="R280" s="7">
        <f>INDEX(Detail!$C$1:$C$1001,MATCH(B280,Detail!$G$1:$G$1001,0),1)</f>
        <v>168</v>
      </c>
      <c r="S280" s="7">
        <f>INDEX(Detail!$D$1:$D$1001,MATCH(B280,Detail!$G$1:$G$1001,0),1)</f>
        <v>88</v>
      </c>
      <c r="T280" s="7" t="str">
        <f>INDEX(Detail!$E$1:$E$1001,MATCH(Main!B280,Detail!$G$1:$G$1001,0))</f>
        <v>Jl. Jamika No. 21</v>
      </c>
      <c r="U280" s="7" t="str">
        <f>INDEX(Detail!$B$1:$B$1001,MATCH(B280,Detail!$G$1:$G$1001,0),1)</f>
        <v>AB-</v>
      </c>
      <c r="V280" s="7" t="str" cm="1">
        <f t="array" ref="V280">INDEX(Dosen!$B$3:$E$8,MATCH(Main!C280,Dosen!$A$3:$A$8,0),IF(AND(Main!A280&gt;=1,Main!A280&lt;=250),1,IF(AND(Main!A280&gt;=251,Main!A280&lt;=500),2,IF(AND(Main!A280&gt;=501,Main!A280&lt;=750),3,4))))</f>
        <v>Pak Budi</v>
      </c>
      <c r="W280" s="7" t="str">
        <f>_xlfn.XLOOKUP(B280,Detail!$G$1:$G$1001,Detail!$B$1:$B$1001)</f>
        <v>AB-</v>
      </c>
    </row>
    <row r="281" spans="1:23" ht="15.75" x14ac:dyDescent="0.25">
      <c r="A281" s="7">
        <v>767</v>
      </c>
      <c r="B281" s="33" t="str">
        <f t="shared" si="11"/>
        <v>B0767</v>
      </c>
      <c r="C281" s="7" t="s">
        <v>1014</v>
      </c>
      <c r="D281" s="33" t="str">
        <f>VLOOKUP(B281,Detail!$G$1:$H$1001,2,FALSE)</f>
        <v>Ihsan Sudiati</v>
      </c>
      <c r="E281" s="7">
        <v>94</v>
      </c>
      <c r="F281" s="7">
        <v>42</v>
      </c>
      <c r="G281" s="57">
        <v>91</v>
      </c>
      <c r="H281" s="7">
        <v>59</v>
      </c>
      <c r="I281" s="7">
        <v>52</v>
      </c>
      <c r="J281" s="7">
        <v>80</v>
      </c>
      <c r="K281" s="7">
        <v>94</v>
      </c>
      <c r="L281" s="56" t="str">
        <f>IFERROR(VLOOKUP(B281,Absen!$A$1:$C$501,2,FALSE),"No")</f>
        <v>No</v>
      </c>
      <c r="M281" s="58">
        <f t="shared" si="12"/>
        <v>9.4</v>
      </c>
      <c r="N281" s="57">
        <f t="shared" si="13"/>
        <v>74.475000000000009</v>
      </c>
      <c r="O281" s="7" t="str">
        <f>VLOOKUP(N281,Helper!$B$30:$C$35,2,TRUE)</f>
        <v>B</v>
      </c>
      <c r="P281" s="56">
        <f>INDEX(Detail!$A$1:$A$1001,MATCH(B281,Detail!$G$1:$G$1001,0))</f>
        <v>37083</v>
      </c>
      <c r="Q281" s="33" t="str">
        <f>INDEX(Detail!$F$1:$F$1001,MATCH(Main!B281,Detail!$G$1:$G$1001,0))</f>
        <v>Tegal</v>
      </c>
      <c r="R281" s="7">
        <f>INDEX(Detail!$C$1:$C$1001,MATCH(B281,Detail!$G$1:$G$1001,0),1)</f>
        <v>162</v>
      </c>
      <c r="S281" s="7">
        <f>INDEX(Detail!$D$1:$D$1001,MATCH(B281,Detail!$G$1:$G$1001,0),1)</f>
        <v>46</v>
      </c>
      <c r="T281" s="7" t="str">
        <f>INDEX(Detail!$E$1:$E$1001,MATCH(Main!B281,Detail!$G$1:$G$1001,0))</f>
        <v xml:space="preserve">Jalan Surapati No. 2
</v>
      </c>
      <c r="U281" s="7" t="str">
        <f>INDEX(Detail!$B$1:$B$1001,MATCH(B281,Detail!$G$1:$G$1001,0),1)</f>
        <v>O+</v>
      </c>
      <c r="V281" s="7" t="str" cm="1">
        <f t="array" ref="V281">INDEX(Dosen!$B$3:$E$8,MATCH(Main!C281,Dosen!$A$3:$A$8,0),IF(AND(Main!A281&gt;=1,Main!A281&lt;=250),1,IF(AND(Main!A281&gt;=251,Main!A281&lt;=500),2,IF(AND(Main!A281&gt;=501,Main!A281&lt;=750),3,4))))</f>
        <v>Pak Budi</v>
      </c>
      <c r="W281" s="7" t="str">
        <f>_xlfn.XLOOKUP(B281,Detail!$G$1:$G$1001,Detail!$B$1:$B$1001)</f>
        <v>O+</v>
      </c>
    </row>
    <row r="282" spans="1:23" ht="15.75" x14ac:dyDescent="0.25">
      <c r="A282" s="7">
        <v>770</v>
      </c>
      <c r="B282" s="33" t="str">
        <f t="shared" si="11"/>
        <v>B0770</v>
      </c>
      <c r="C282" s="7" t="s">
        <v>1014</v>
      </c>
      <c r="D282" s="33" t="str">
        <f>VLOOKUP(B282,Detail!$G$1:$H$1001,2,FALSE)</f>
        <v>Cayadi Halimah</v>
      </c>
      <c r="E282" s="7">
        <v>91</v>
      </c>
      <c r="F282" s="7">
        <v>62</v>
      </c>
      <c r="G282" s="57">
        <v>82</v>
      </c>
      <c r="H282" s="7">
        <v>57</v>
      </c>
      <c r="I282" s="7">
        <v>66</v>
      </c>
      <c r="J282" s="7">
        <v>84</v>
      </c>
      <c r="K282" s="7">
        <v>69</v>
      </c>
      <c r="L282" s="56" t="str">
        <f>IFERROR(VLOOKUP(B282,Absen!$A$1:$C$501,2,FALSE),"No")</f>
        <v>No</v>
      </c>
      <c r="M282" s="58">
        <f t="shared" si="12"/>
        <v>6.9</v>
      </c>
      <c r="N282" s="57">
        <f t="shared" si="13"/>
        <v>74.600000000000009</v>
      </c>
      <c r="O282" s="7" t="str">
        <f>VLOOKUP(N282,Helper!$B$30:$C$35,2,TRUE)</f>
        <v>B</v>
      </c>
      <c r="P282" s="56">
        <f>INDEX(Detail!$A$1:$A$1001,MATCH(B282,Detail!$G$1:$G$1001,0))</f>
        <v>38415</v>
      </c>
      <c r="Q282" s="33" t="str">
        <f>INDEX(Detail!$F$1:$F$1001,MATCH(Main!B282,Detail!$G$1:$G$1001,0))</f>
        <v>Gorontalo</v>
      </c>
      <c r="R282" s="7">
        <f>INDEX(Detail!$C$1:$C$1001,MATCH(B282,Detail!$G$1:$G$1001,0),1)</f>
        <v>164</v>
      </c>
      <c r="S282" s="7">
        <f>INDEX(Detail!$D$1:$D$1001,MATCH(B282,Detail!$G$1:$G$1001,0),1)</f>
        <v>60</v>
      </c>
      <c r="T282" s="7" t="str">
        <f>INDEX(Detail!$E$1:$E$1001,MATCH(Main!B282,Detail!$G$1:$G$1001,0))</f>
        <v>Jl. M.H Thamrin No. 98</v>
      </c>
      <c r="U282" s="7" t="str">
        <f>INDEX(Detail!$B$1:$B$1001,MATCH(B282,Detail!$G$1:$G$1001,0),1)</f>
        <v>A-</v>
      </c>
      <c r="V282" s="7" t="str" cm="1">
        <f t="array" ref="V282">INDEX(Dosen!$B$3:$E$8,MATCH(Main!C282,Dosen!$A$3:$A$8,0),IF(AND(Main!A282&gt;=1,Main!A282&lt;=250),1,IF(AND(Main!A282&gt;=251,Main!A282&lt;=500),2,IF(AND(Main!A282&gt;=501,Main!A282&lt;=750),3,4))))</f>
        <v>Pak Budi</v>
      </c>
      <c r="W282" s="7" t="str">
        <f>_xlfn.XLOOKUP(B282,Detail!$G$1:$G$1001,Detail!$B$1:$B$1001)</f>
        <v>A-</v>
      </c>
    </row>
    <row r="283" spans="1:23" ht="15.75" x14ac:dyDescent="0.25">
      <c r="A283" s="7">
        <v>778</v>
      </c>
      <c r="B283" s="33" t="str">
        <f t="shared" si="11"/>
        <v>B0778</v>
      </c>
      <c r="C283" s="7" t="s">
        <v>1014</v>
      </c>
      <c r="D283" s="33" t="str">
        <f>VLOOKUP(B283,Detail!$G$1:$H$1001,2,FALSE)</f>
        <v>Balamantri Usamah</v>
      </c>
      <c r="E283" s="7">
        <v>60</v>
      </c>
      <c r="F283" s="7">
        <v>73</v>
      </c>
      <c r="G283" s="57">
        <v>82</v>
      </c>
      <c r="H283" s="7">
        <v>74</v>
      </c>
      <c r="I283" s="7">
        <v>65</v>
      </c>
      <c r="J283" s="7">
        <v>94</v>
      </c>
      <c r="K283" s="7">
        <v>76</v>
      </c>
      <c r="L283" s="56" t="str">
        <f>IFERROR(VLOOKUP(B283,Absen!$A$1:$C$501,2,FALSE),"No")</f>
        <v>No</v>
      </c>
      <c r="M283" s="58">
        <f t="shared" si="12"/>
        <v>7.6000000000000005</v>
      </c>
      <c r="N283" s="57">
        <f t="shared" si="13"/>
        <v>76.8</v>
      </c>
      <c r="O283" s="7" t="str">
        <f>VLOOKUP(N283,Helper!$B$30:$C$35,2,TRUE)</f>
        <v>B</v>
      </c>
      <c r="P283" s="56">
        <f>INDEX(Detail!$A$1:$A$1001,MATCH(B283,Detail!$G$1:$G$1001,0))</f>
        <v>37230</v>
      </c>
      <c r="Q283" s="33" t="str">
        <f>INDEX(Detail!$F$1:$F$1001,MATCH(Main!B283,Detail!$G$1:$G$1001,0))</f>
        <v>Jambi</v>
      </c>
      <c r="R283" s="7">
        <f>INDEX(Detail!$C$1:$C$1001,MATCH(B283,Detail!$G$1:$G$1001,0),1)</f>
        <v>155</v>
      </c>
      <c r="S283" s="7">
        <f>INDEX(Detail!$D$1:$D$1001,MATCH(B283,Detail!$G$1:$G$1001,0),1)</f>
        <v>74</v>
      </c>
      <c r="T283" s="7" t="str">
        <f>INDEX(Detail!$E$1:$E$1001,MATCH(Main!B283,Detail!$G$1:$G$1001,0))</f>
        <v>Jl. Monginsidi No. 91</v>
      </c>
      <c r="U283" s="7" t="str">
        <f>INDEX(Detail!$B$1:$B$1001,MATCH(B283,Detail!$G$1:$G$1001,0),1)</f>
        <v>AB+</v>
      </c>
      <c r="V283" s="7" t="str" cm="1">
        <f t="array" ref="V283">INDEX(Dosen!$B$3:$E$8,MATCH(Main!C283,Dosen!$A$3:$A$8,0),IF(AND(Main!A283&gt;=1,Main!A283&lt;=250),1,IF(AND(Main!A283&gt;=251,Main!A283&lt;=500),2,IF(AND(Main!A283&gt;=501,Main!A283&lt;=750),3,4))))</f>
        <v>Pak Budi</v>
      </c>
      <c r="W283" s="7" t="str">
        <f>_xlfn.XLOOKUP(B283,Detail!$G$1:$G$1001,Detail!$B$1:$B$1001)</f>
        <v>AB+</v>
      </c>
    </row>
    <row r="284" spans="1:23" ht="15.75" x14ac:dyDescent="0.25">
      <c r="A284" s="7">
        <v>782</v>
      </c>
      <c r="B284" s="33" t="str">
        <f t="shared" si="11"/>
        <v>B0782</v>
      </c>
      <c r="C284" s="7" t="s">
        <v>1014</v>
      </c>
      <c r="D284" s="33" t="str">
        <f>VLOOKUP(B284,Detail!$G$1:$H$1001,2,FALSE)</f>
        <v>Tirta Puspasari</v>
      </c>
      <c r="E284" s="7">
        <v>91</v>
      </c>
      <c r="F284" s="7">
        <v>56</v>
      </c>
      <c r="G284" s="57">
        <v>66</v>
      </c>
      <c r="H284" s="7">
        <v>70</v>
      </c>
      <c r="I284" s="7">
        <v>82</v>
      </c>
      <c r="J284" s="7">
        <v>65</v>
      </c>
      <c r="K284" s="7">
        <v>76</v>
      </c>
      <c r="L284" s="56">
        <f>IFERROR(VLOOKUP(B284,Absen!$A$1:$C$501,2,FALSE),"No")</f>
        <v>44747</v>
      </c>
      <c r="M284" s="58">
        <f t="shared" si="12"/>
        <v>6.6000000000000005</v>
      </c>
      <c r="N284" s="57">
        <f t="shared" si="13"/>
        <v>70.174999999999997</v>
      </c>
      <c r="O284" s="7" t="str">
        <f>VLOOKUP(N284,Helper!$B$30:$C$35,2,TRUE)</f>
        <v>B</v>
      </c>
      <c r="P284" s="56">
        <f>INDEX(Detail!$A$1:$A$1001,MATCH(B284,Detail!$G$1:$G$1001,0))</f>
        <v>37502</v>
      </c>
      <c r="Q284" s="33" t="str">
        <f>INDEX(Detail!$F$1:$F$1001,MATCH(Main!B284,Detail!$G$1:$G$1001,0))</f>
        <v>Pekalongan</v>
      </c>
      <c r="R284" s="7">
        <f>INDEX(Detail!$C$1:$C$1001,MATCH(B284,Detail!$G$1:$G$1001,0),1)</f>
        <v>172</v>
      </c>
      <c r="S284" s="7">
        <f>INDEX(Detail!$D$1:$D$1001,MATCH(B284,Detail!$G$1:$G$1001,0),1)</f>
        <v>74</v>
      </c>
      <c r="T284" s="7" t="str">
        <f>INDEX(Detail!$E$1:$E$1001,MATCH(Main!B284,Detail!$G$1:$G$1001,0))</f>
        <v>Jl. Raya Setiabudhi No. 90</v>
      </c>
      <c r="U284" s="7" t="str">
        <f>INDEX(Detail!$B$1:$B$1001,MATCH(B284,Detail!$G$1:$G$1001,0),1)</f>
        <v>O-</v>
      </c>
      <c r="V284" s="7" t="str" cm="1">
        <f t="array" ref="V284">INDEX(Dosen!$B$3:$E$8,MATCH(Main!C284,Dosen!$A$3:$A$8,0),IF(AND(Main!A284&gt;=1,Main!A284&lt;=250),1,IF(AND(Main!A284&gt;=251,Main!A284&lt;=500),2,IF(AND(Main!A284&gt;=501,Main!A284&lt;=750),3,4))))</f>
        <v>Pak Budi</v>
      </c>
      <c r="W284" s="7" t="str">
        <f>_xlfn.XLOOKUP(B284,Detail!$G$1:$G$1001,Detail!$B$1:$B$1001)</f>
        <v>O-</v>
      </c>
    </row>
    <row r="285" spans="1:23" ht="15.75" x14ac:dyDescent="0.25">
      <c r="A285" s="7">
        <v>784</v>
      </c>
      <c r="B285" s="33" t="str">
        <f t="shared" si="11"/>
        <v>B0784</v>
      </c>
      <c r="C285" s="7" t="s">
        <v>1014</v>
      </c>
      <c r="D285" s="33" t="str">
        <f>VLOOKUP(B285,Detail!$G$1:$H$1001,2,FALSE)</f>
        <v>Elisa Mahendra</v>
      </c>
      <c r="E285" s="7">
        <v>65</v>
      </c>
      <c r="F285" s="7">
        <v>74</v>
      </c>
      <c r="G285" s="57">
        <v>44</v>
      </c>
      <c r="H285" s="7">
        <v>69</v>
      </c>
      <c r="I285" s="7">
        <v>51</v>
      </c>
      <c r="J285" s="7">
        <v>51</v>
      </c>
      <c r="K285" s="7">
        <v>85</v>
      </c>
      <c r="L285" s="56">
        <f>IFERROR(VLOOKUP(B285,Absen!$A$1:$C$501,2,FALSE),"No")</f>
        <v>44755</v>
      </c>
      <c r="M285" s="58">
        <f t="shared" si="12"/>
        <v>7.5</v>
      </c>
      <c r="N285" s="57">
        <f t="shared" si="13"/>
        <v>58.875</v>
      </c>
      <c r="O285" s="7" t="str">
        <f>VLOOKUP(N285,Helper!$B$30:$C$35,2,TRUE)</f>
        <v>D</v>
      </c>
      <c r="P285" s="56">
        <f>INDEX(Detail!$A$1:$A$1001,MATCH(B285,Detail!$G$1:$G$1001,0))</f>
        <v>38341</v>
      </c>
      <c r="Q285" s="33" t="str">
        <f>INDEX(Detail!$F$1:$F$1001,MATCH(Main!B285,Detail!$G$1:$G$1001,0))</f>
        <v>Palangkaraya</v>
      </c>
      <c r="R285" s="7">
        <f>INDEX(Detail!$C$1:$C$1001,MATCH(B285,Detail!$G$1:$G$1001,0),1)</f>
        <v>177</v>
      </c>
      <c r="S285" s="7">
        <f>INDEX(Detail!$D$1:$D$1001,MATCH(B285,Detail!$G$1:$G$1001,0),1)</f>
        <v>70</v>
      </c>
      <c r="T285" s="7" t="str">
        <f>INDEX(Detail!$E$1:$E$1001,MATCH(Main!B285,Detail!$G$1:$G$1001,0))</f>
        <v>Jl. Rajawali Barat No. 19</v>
      </c>
      <c r="U285" s="7" t="str">
        <f>INDEX(Detail!$B$1:$B$1001,MATCH(B285,Detail!$G$1:$G$1001,0),1)</f>
        <v>O-</v>
      </c>
      <c r="V285" s="7" t="str" cm="1">
        <f t="array" ref="V285">INDEX(Dosen!$B$3:$E$8,MATCH(Main!C285,Dosen!$A$3:$A$8,0),IF(AND(Main!A285&gt;=1,Main!A285&lt;=250),1,IF(AND(Main!A285&gt;=251,Main!A285&lt;=500),2,IF(AND(Main!A285&gt;=501,Main!A285&lt;=750),3,4))))</f>
        <v>Pak Budi</v>
      </c>
      <c r="W285" s="7" t="str">
        <f>_xlfn.XLOOKUP(B285,Detail!$G$1:$G$1001,Detail!$B$1:$B$1001)</f>
        <v>O-</v>
      </c>
    </row>
    <row r="286" spans="1:23" ht="15.75" x14ac:dyDescent="0.25">
      <c r="A286" s="7">
        <v>791</v>
      </c>
      <c r="B286" s="33" t="str">
        <f t="shared" si="11"/>
        <v>B0791</v>
      </c>
      <c r="C286" s="7" t="s">
        <v>1014</v>
      </c>
      <c r="D286" s="33" t="str">
        <f>VLOOKUP(B286,Detail!$G$1:$H$1001,2,FALSE)</f>
        <v>Rafi Uwais</v>
      </c>
      <c r="E286" s="7">
        <v>62</v>
      </c>
      <c r="F286" s="7">
        <v>72</v>
      </c>
      <c r="G286" s="57">
        <v>64</v>
      </c>
      <c r="H286" s="7">
        <v>74</v>
      </c>
      <c r="I286" s="7">
        <v>92</v>
      </c>
      <c r="J286" s="7">
        <v>90</v>
      </c>
      <c r="K286" s="7">
        <v>86</v>
      </c>
      <c r="L286" s="56">
        <f>IFERROR(VLOOKUP(B286,Absen!$A$1:$C$501,2,FALSE),"No")</f>
        <v>44866</v>
      </c>
      <c r="M286" s="58">
        <f t="shared" si="12"/>
        <v>7.6000000000000005</v>
      </c>
      <c r="N286" s="57">
        <f t="shared" si="13"/>
        <v>75.899999999999991</v>
      </c>
      <c r="O286" s="7" t="str">
        <f>VLOOKUP(N286,Helper!$B$30:$C$35,2,TRUE)</f>
        <v>B</v>
      </c>
      <c r="P286" s="56">
        <f>INDEX(Detail!$A$1:$A$1001,MATCH(B286,Detail!$G$1:$G$1001,0))</f>
        <v>38229</v>
      </c>
      <c r="Q286" s="33" t="str">
        <f>INDEX(Detail!$F$1:$F$1001,MATCH(Main!B286,Detail!$G$1:$G$1001,0))</f>
        <v>Padang</v>
      </c>
      <c r="R286" s="7">
        <f>INDEX(Detail!$C$1:$C$1001,MATCH(B286,Detail!$G$1:$G$1001,0),1)</f>
        <v>156</v>
      </c>
      <c r="S286" s="7">
        <f>INDEX(Detail!$D$1:$D$1001,MATCH(B286,Detail!$G$1:$G$1001,0),1)</f>
        <v>80</v>
      </c>
      <c r="T286" s="7" t="str">
        <f>INDEX(Detail!$E$1:$E$1001,MATCH(Main!B286,Detail!$G$1:$G$1001,0))</f>
        <v>Jalan Ir. H. Djuanda No. 13</v>
      </c>
      <c r="U286" s="7" t="str">
        <f>INDEX(Detail!$B$1:$B$1001,MATCH(B286,Detail!$G$1:$G$1001,0),1)</f>
        <v>AB+</v>
      </c>
      <c r="V286" s="7" t="str" cm="1">
        <f t="array" ref="V286">INDEX(Dosen!$B$3:$E$8,MATCH(Main!C286,Dosen!$A$3:$A$8,0),IF(AND(Main!A286&gt;=1,Main!A286&lt;=250),1,IF(AND(Main!A286&gt;=251,Main!A286&lt;=500),2,IF(AND(Main!A286&gt;=501,Main!A286&lt;=750),3,4))))</f>
        <v>Pak Budi</v>
      </c>
      <c r="W286" s="7" t="str">
        <f>_xlfn.XLOOKUP(B286,Detail!$G$1:$G$1001,Detail!$B$1:$B$1001)</f>
        <v>AB+</v>
      </c>
    </row>
    <row r="287" spans="1:23" ht="15.75" x14ac:dyDescent="0.25">
      <c r="A287" s="7">
        <v>810</v>
      </c>
      <c r="B287" s="33" t="str">
        <f t="shared" si="11"/>
        <v>B0810</v>
      </c>
      <c r="C287" s="7" t="s">
        <v>1014</v>
      </c>
      <c r="D287" s="33" t="str">
        <f>VLOOKUP(B287,Detail!$G$1:$H$1001,2,FALSE)</f>
        <v>Gangsa Tampubolon</v>
      </c>
      <c r="E287" s="7">
        <v>60</v>
      </c>
      <c r="F287" s="7">
        <v>46</v>
      </c>
      <c r="G287" s="57">
        <v>79</v>
      </c>
      <c r="H287" s="7">
        <v>54</v>
      </c>
      <c r="I287" s="7">
        <v>86</v>
      </c>
      <c r="J287" s="7">
        <v>65</v>
      </c>
      <c r="K287" s="7">
        <v>83</v>
      </c>
      <c r="L287" s="56" t="str">
        <f>IFERROR(VLOOKUP(B287,Absen!$A$1:$C$501,2,FALSE),"No")</f>
        <v>No</v>
      </c>
      <c r="M287" s="58">
        <f t="shared" si="12"/>
        <v>8.3000000000000007</v>
      </c>
      <c r="N287" s="57">
        <f t="shared" si="13"/>
        <v>67.849999999999994</v>
      </c>
      <c r="O287" s="7" t="str">
        <f>VLOOKUP(N287,Helper!$B$30:$C$35,2,TRUE)</f>
        <v>C</v>
      </c>
      <c r="P287" s="56">
        <f>INDEX(Detail!$A$1:$A$1001,MATCH(B287,Detail!$G$1:$G$1001,0))</f>
        <v>37171</v>
      </c>
      <c r="Q287" s="33" t="str">
        <f>INDEX(Detail!$F$1:$F$1001,MATCH(Main!B287,Detail!$G$1:$G$1001,0))</f>
        <v>Kota Administrasi Jakarta Utara</v>
      </c>
      <c r="R287" s="7">
        <f>INDEX(Detail!$C$1:$C$1001,MATCH(B287,Detail!$G$1:$G$1001,0),1)</f>
        <v>167</v>
      </c>
      <c r="S287" s="7">
        <f>INDEX(Detail!$D$1:$D$1001,MATCH(B287,Detail!$G$1:$G$1001,0),1)</f>
        <v>89</v>
      </c>
      <c r="T287" s="7" t="str">
        <f>INDEX(Detail!$E$1:$E$1001,MATCH(Main!B287,Detail!$G$1:$G$1001,0))</f>
        <v>Jl. Otto Iskandardinata No. 19</v>
      </c>
      <c r="U287" s="7" t="str">
        <f>INDEX(Detail!$B$1:$B$1001,MATCH(B287,Detail!$G$1:$G$1001,0),1)</f>
        <v>AB+</v>
      </c>
      <c r="V287" s="7" t="str" cm="1">
        <f t="array" ref="V287">INDEX(Dosen!$B$3:$E$8,MATCH(Main!C287,Dosen!$A$3:$A$8,0),IF(AND(Main!A287&gt;=1,Main!A287&lt;=250),1,IF(AND(Main!A287&gt;=251,Main!A287&lt;=500),2,IF(AND(Main!A287&gt;=501,Main!A287&lt;=750),3,4))))</f>
        <v>Pak Budi</v>
      </c>
      <c r="W287" s="7" t="str">
        <f>_xlfn.XLOOKUP(B287,Detail!$G$1:$G$1001,Detail!$B$1:$B$1001)</f>
        <v>AB+</v>
      </c>
    </row>
    <row r="288" spans="1:23" ht="15.75" x14ac:dyDescent="0.25">
      <c r="A288" s="7">
        <v>814</v>
      </c>
      <c r="B288" s="33" t="str">
        <f t="shared" si="11"/>
        <v>B0814</v>
      </c>
      <c r="C288" s="7" t="s">
        <v>1014</v>
      </c>
      <c r="D288" s="33" t="str">
        <f>VLOOKUP(B288,Detail!$G$1:$H$1001,2,FALSE)</f>
        <v>Tiara Halimah</v>
      </c>
      <c r="E288" s="7">
        <v>74</v>
      </c>
      <c r="F288" s="7">
        <v>68</v>
      </c>
      <c r="G288" s="57">
        <v>92</v>
      </c>
      <c r="H288" s="7">
        <v>50</v>
      </c>
      <c r="I288" s="7">
        <v>91</v>
      </c>
      <c r="J288" s="7">
        <v>73</v>
      </c>
      <c r="K288" s="7">
        <v>91</v>
      </c>
      <c r="L288" s="56">
        <f>IFERROR(VLOOKUP(B288,Absen!$A$1:$C$501,2,FALSE),"No")</f>
        <v>44790</v>
      </c>
      <c r="M288" s="58">
        <f t="shared" si="12"/>
        <v>8.1</v>
      </c>
      <c r="N288" s="57">
        <f t="shared" si="13"/>
        <v>76.474999999999994</v>
      </c>
      <c r="O288" s="7" t="str">
        <f>VLOOKUP(N288,Helper!$B$30:$C$35,2,TRUE)</f>
        <v>B</v>
      </c>
      <c r="P288" s="56">
        <f>INDEX(Detail!$A$1:$A$1001,MATCH(B288,Detail!$G$1:$G$1001,0))</f>
        <v>37582</v>
      </c>
      <c r="Q288" s="33" t="str">
        <f>INDEX(Detail!$F$1:$F$1001,MATCH(Main!B288,Detail!$G$1:$G$1001,0))</f>
        <v>Cimahi</v>
      </c>
      <c r="R288" s="7">
        <f>INDEX(Detail!$C$1:$C$1001,MATCH(B288,Detail!$G$1:$G$1001,0),1)</f>
        <v>154</v>
      </c>
      <c r="S288" s="7">
        <f>INDEX(Detail!$D$1:$D$1001,MATCH(B288,Detail!$G$1:$G$1001,0),1)</f>
        <v>87</v>
      </c>
      <c r="T288" s="7" t="str">
        <f>INDEX(Detail!$E$1:$E$1001,MATCH(Main!B288,Detail!$G$1:$G$1001,0))</f>
        <v>Jalan W.R. Supratman No. 28</v>
      </c>
      <c r="U288" s="7" t="str">
        <f>INDEX(Detail!$B$1:$B$1001,MATCH(B288,Detail!$G$1:$G$1001,0),1)</f>
        <v>B-</v>
      </c>
      <c r="V288" s="7" t="str" cm="1">
        <f t="array" ref="V288">INDEX(Dosen!$B$3:$E$8,MATCH(Main!C288,Dosen!$A$3:$A$8,0),IF(AND(Main!A288&gt;=1,Main!A288&lt;=250),1,IF(AND(Main!A288&gt;=251,Main!A288&lt;=500),2,IF(AND(Main!A288&gt;=501,Main!A288&lt;=750),3,4))))</f>
        <v>Pak Budi</v>
      </c>
      <c r="W288" s="7" t="str">
        <f>_xlfn.XLOOKUP(B288,Detail!$G$1:$G$1001,Detail!$B$1:$B$1001)</f>
        <v>B-</v>
      </c>
    </row>
    <row r="289" spans="1:23" ht="15.75" x14ac:dyDescent="0.25">
      <c r="A289" s="7">
        <v>818</v>
      </c>
      <c r="B289" s="33" t="str">
        <f t="shared" ref="B289:B320" si="14">CONCATENATE("B",TEXT(A289,"0000"))</f>
        <v>B0818</v>
      </c>
      <c r="C289" s="7" t="s">
        <v>1014</v>
      </c>
      <c r="D289" s="33" t="str">
        <f>VLOOKUP(B289,Detail!$G$1:$H$1001,2,FALSE)</f>
        <v>Cornelia Andriani</v>
      </c>
      <c r="E289" s="7">
        <v>78</v>
      </c>
      <c r="F289" s="7">
        <v>60</v>
      </c>
      <c r="G289" s="57">
        <v>79</v>
      </c>
      <c r="H289" s="7">
        <v>59</v>
      </c>
      <c r="I289" s="7">
        <v>71</v>
      </c>
      <c r="J289" s="7">
        <v>43</v>
      </c>
      <c r="K289" s="7">
        <v>95</v>
      </c>
      <c r="L289" s="56" t="str">
        <f>IFERROR(VLOOKUP(B289,Absen!$A$1:$C$501,2,FALSE),"No")</f>
        <v>No</v>
      </c>
      <c r="M289" s="58">
        <f t="shared" si="12"/>
        <v>9.5</v>
      </c>
      <c r="N289" s="57">
        <f t="shared" si="13"/>
        <v>67.400000000000006</v>
      </c>
      <c r="O289" s="7" t="str">
        <f>VLOOKUP(N289,Helper!$B$30:$C$35,2,TRUE)</f>
        <v>C</v>
      </c>
      <c r="P289" s="56">
        <f>INDEX(Detail!$A$1:$A$1001,MATCH(B289,Detail!$G$1:$G$1001,0))</f>
        <v>37668</v>
      </c>
      <c r="Q289" s="33" t="str">
        <f>INDEX(Detail!$F$1:$F$1001,MATCH(Main!B289,Detail!$G$1:$G$1001,0))</f>
        <v>Batu</v>
      </c>
      <c r="R289" s="7">
        <f>INDEX(Detail!$C$1:$C$1001,MATCH(B289,Detail!$G$1:$G$1001,0),1)</f>
        <v>158</v>
      </c>
      <c r="S289" s="7">
        <f>INDEX(Detail!$D$1:$D$1001,MATCH(B289,Detail!$G$1:$G$1001,0),1)</f>
        <v>79</v>
      </c>
      <c r="T289" s="7" t="str">
        <f>INDEX(Detail!$E$1:$E$1001,MATCH(Main!B289,Detail!$G$1:$G$1001,0))</f>
        <v xml:space="preserve">Jl. Pasteur No. 0
</v>
      </c>
      <c r="U289" s="7" t="str">
        <f>INDEX(Detail!$B$1:$B$1001,MATCH(B289,Detail!$G$1:$G$1001,0),1)</f>
        <v>AB-</v>
      </c>
      <c r="V289" s="7" t="str" cm="1">
        <f t="array" ref="V289">INDEX(Dosen!$B$3:$E$8,MATCH(Main!C289,Dosen!$A$3:$A$8,0),IF(AND(Main!A289&gt;=1,Main!A289&lt;=250),1,IF(AND(Main!A289&gt;=251,Main!A289&lt;=500),2,IF(AND(Main!A289&gt;=501,Main!A289&lt;=750),3,4))))</f>
        <v>Pak Budi</v>
      </c>
      <c r="W289" s="7" t="str">
        <f>_xlfn.XLOOKUP(B289,Detail!$G$1:$G$1001,Detail!$B$1:$B$1001)</f>
        <v>AB-</v>
      </c>
    </row>
    <row r="290" spans="1:23" ht="15.75" x14ac:dyDescent="0.25">
      <c r="A290" s="7">
        <v>829</v>
      </c>
      <c r="B290" s="33" t="str">
        <f t="shared" si="14"/>
        <v>B0829</v>
      </c>
      <c r="C290" s="7" t="s">
        <v>1014</v>
      </c>
      <c r="D290" s="33" t="str">
        <f>VLOOKUP(B290,Detail!$G$1:$H$1001,2,FALSE)</f>
        <v>Darimin Yuliarti</v>
      </c>
      <c r="E290" s="7">
        <v>54</v>
      </c>
      <c r="F290" s="7">
        <v>72</v>
      </c>
      <c r="G290" s="57">
        <v>40</v>
      </c>
      <c r="H290" s="7">
        <v>50</v>
      </c>
      <c r="I290" s="7">
        <v>64</v>
      </c>
      <c r="J290" s="7">
        <v>77</v>
      </c>
      <c r="K290" s="7">
        <v>62</v>
      </c>
      <c r="L290" s="56" t="str">
        <f>IFERROR(VLOOKUP(B290,Absen!$A$1:$C$501,2,FALSE),"No")</f>
        <v>No</v>
      </c>
      <c r="M290" s="58">
        <f t="shared" si="12"/>
        <v>6.2</v>
      </c>
      <c r="N290" s="57">
        <f t="shared" si="13"/>
        <v>59.6</v>
      </c>
      <c r="O290" s="7" t="str">
        <f>VLOOKUP(N290,Helper!$B$30:$C$35,2,TRUE)</f>
        <v>D</v>
      </c>
      <c r="P290" s="56">
        <f>INDEX(Detail!$A$1:$A$1001,MATCH(B290,Detail!$G$1:$G$1001,0))</f>
        <v>37662</v>
      </c>
      <c r="Q290" s="33" t="str">
        <f>INDEX(Detail!$F$1:$F$1001,MATCH(Main!B290,Detail!$G$1:$G$1001,0))</f>
        <v>Bekasi</v>
      </c>
      <c r="R290" s="7">
        <f>INDEX(Detail!$C$1:$C$1001,MATCH(B290,Detail!$G$1:$G$1001,0),1)</f>
        <v>159</v>
      </c>
      <c r="S290" s="7">
        <f>INDEX(Detail!$D$1:$D$1001,MATCH(B290,Detail!$G$1:$G$1001,0),1)</f>
        <v>58</v>
      </c>
      <c r="T290" s="7" t="str">
        <f>INDEX(Detail!$E$1:$E$1001,MATCH(Main!B290,Detail!$G$1:$G$1001,0))</f>
        <v>Jl. Kebonjati No. 12</v>
      </c>
      <c r="U290" s="7" t="str">
        <f>INDEX(Detail!$B$1:$B$1001,MATCH(B290,Detail!$G$1:$G$1001,0),1)</f>
        <v>O+</v>
      </c>
      <c r="V290" s="7" t="str" cm="1">
        <f t="array" ref="V290">INDEX(Dosen!$B$3:$E$8,MATCH(Main!C290,Dosen!$A$3:$A$8,0),IF(AND(Main!A290&gt;=1,Main!A290&lt;=250),1,IF(AND(Main!A290&gt;=251,Main!A290&lt;=500),2,IF(AND(Main!A290&gt;=501,Main!A290&lt;=750),3,4))))</f>
        <v>Pak Budi</v>
      </c>
      <c r="W290" s="7" t="str">
        <f>_xlfn.XLOOKUP(B290,Detail!$G$1:$G$1001,Detail!$B$1:$B$1001)</f>
        <v>O+</v>
      </c>
    </row>
    <row r="291" spans="1:23" ht="15.75" x14ac:dyDescent="0.25">
      <c r="A291" s="7">
        <v>830</v>
      </c>
      <c r="B291" s="33" t="str">
        <f t="shared" si="14"/>
        <v>B0830</v>
      </c>
      <c r="C291" s="7" t="s">
        <v>1014</v>
      </c>
      <c r="D291" s="33" t="str">
        <f>VLOOKUP(B291,Detail!$G$1:$H$1001,2,FALSE)</f>
        <v>Jayeng Putra</v>
      </c>
      <c r="E291" s="7">
        <v>93</v>
      </c>
      <c r="F291" s="7">
        <v>71</v>
      </c>
      <c r="G291" s="57">
        <v>83</v>
      </c>
      <c r="H291" s="7">
        <v>57</v>
      </c>
      <c r="I291" s="7">
        <v>92</v>
      </c>
      <c r="J291" s="7">
        <v>76</v>
      </c>
      <c r="K291" s="7">
        <v>80</v>
      </c>
      <c r="L291" s="56">
        <f>IFERROR(VLOOKUP(B291,Absen!$A$1:$C$501,2,FALSE),"No")</f>
        <v>44821</v>
      </c>
      <c r="M291" s="58">
        <f t="shared" si="12"/>
        <v>7</v>
      </c>
      <c r="N291" s="57">
        <f t="shared" si="13"/>
        <v>77.924999999999997</v>
      </c>
      <c r="O291" s="7" t="str">
        <f>VLOOKUP(N291,Helper!$B$30:$C$35,2,TRUE)</f>
        <v>B</v>
      </c>
      <c r="P291" s="56">
        <f>INDEX(Detail!$A$1:$A$1001,MATCH(B291,Detail!$G$1:$G$1001,0))</f>
        <v>37870</v>
      </c>
      <c r="Q291" s="33" t="str">
        <f>INDEX(Detail!$F$1:$F$1001,MATCH(Main!B291,Detail!$G$1:$G$1001,0))</f>
        <v>Parepare</v>
      </c>
      <c r="R291" s="7">
        <f>INDEX(Detail!$C$1:$C$1001,MATCH(B291,Detail!$G$1:$G$1001,0),1)</f>
        <v>177</v>
      </c>
      <c r="S291" s="7">
        <f>INDEX(Detail!$D$1:$D$1001,MATCH(B291,Detail!$G$1:$G$1001,0),1)</f>
        <v>69</v>
      </c>
      <c r="T291" s="7" t="str">
        <f>INDEX(Detail!$E$1:$E$1001,MATCH(Main!B291,Detail!$G$1:$G$1001,0))</f>
        <v>Jl. KH Amin Jasuta No. 34</v>
      </c>
      <c r="U291" s="7" t="str">
        <f>INDEX(Detail!$B$1:$B$1001,MATCH(B291,Detail!$G$1:$G$1001,0),1)</f>
        <v>O-</v>
      </c>
      <c r="V291" s="7" t="str" cm="1">
        <f t="array" ref="V291">INDEX(Dosen!$B$3:$E$8,MATCH(Main!C291,Dosen!$A$3:$A$8,0),IF(AND(Main!A291&gt;=1,Main!A291&lt;=250),1,IF(AND(Main!A291&gt;=251,Main!A291&lt;=500),2,IF(AND(Main!A291&gt;=501,Main!A291&lt;=750),3,4))))</f>
        <v>Pak Budi</v>
      </c>
      <c r="W291" s="7" t="str">
        <f>_xlfn.XLOOKUP(B291,Detail!$G$1:$G$1001,Detail!$B$1:$B$1001)</f>
        <v>O-</v>
      </c>
    </row>
    <row r="292" spans="1:23" ht="15.75" x14ac:dyDescent="0.25">
      <c r="A292" s="7">
        <v>831</v>
      </c>
      <c r="B292" s="33" t="str">
        <f t="shared" si="14"/>
        <v>B0831</v>
      </c>
      <c r="C292" s="7" t="s">
        <v>1014</v>
      </c>
      <c r="D292" s="33" t="str">
        <f>VLOOKUP(B292,Detail!$G$1:$H$1001,2,FALSE)</f>
        <v>Kamila Prayoga</v>
      </c>
      <c r="E292" s="7">
        <v>82</v>
      </c>
      <c r="F292" s="7">
        <v>49</v>
      </c>
      <c r="G292" s="57">
        <v>73</v>
      </c>
      <c r="H292" s="7">
        <v>56</v>
      </c>
      <c r="I292" s="7">
        <v>60</v>
      </c>
      <c r="J292" s="7">
        <v>63</v>
      </c>
      <c r="K292" s="7">
        <v>75</v>
      </c>
      <c r="L292" s="56">
        <f>IFERROR(VLOOKUP(B292,Absen!$A$1:$C$501,2,FALSE),"No")</f>
        <v>44830</v>
      </c>
      <c r="M292" s="58">
        <f t="shared" si="12"/>
        <v>6.5</v>
      </c>
      <c r="N292" s="57">
        <f t="shared" si="13"/>
        <v>64.575000000000003</v>
      </c>
      <c r="O292" s="7" t="str">
        <f>VLOOKUP(N292,Helper!$B$30:$C$35,2,TRUE)</f>
        <v>C</v>
      </c>
      <c r="P292" s="56">
        <f>INDEX(Detail!$A$1:$A$1001,MATCH(B292,Detail!$G$1:$G$1001,0))</f>
        <v>38429</v>
      </c>
      <c r="Q292" s="33" t="str">
        <f>INDEX(Detail!$F$1:$F$1001,MATCH(Main!B292,Detail!$G$1:$G$1001,0))</f>
        <v>Bandar Lampung</v>
      </c>
      <c r="R292" s="7">
        <f>INDEX(Detail!$C$1:$C$1001,MATCH(B292,Detail!$G$1:$G$1001,0),1)</f>
        <v>161</v>
      </c>
      <c r="S292" s="7">
        <f>INDEX(Detail!$D$1:$D$1001,MATCH(B292,Detail!$G$1:$G$1001,0),1)</f>
        <v>71</v>
      </c>
      <c r="T292" s="7" t="str">
        <f>INDEX(Detail!$E$1:$E$1001,MATCH(Main!B292,Detail!$G$1:$G$1001,0))</f>
        <v>Gang Waringin No. 28</v>
      </c>
      <c r="U292" s="7" t="str">
        <f>INDEX(Detail!$B$1:$B$1001,MATCH(B292,Detail!$G$1:$G$1001,0),1)</f>
        <v>B-</v>
      </c>
      <c r="V292" s="7" t="str" cm="1">
        <f t="array" ref="V292">INDEX(Dosen!$B$3:$E$8,MATCH(Main!C292,Dosen!$A$3:$A$8,0),IF(AND(Main!A292&gt;=1,Main!A292&lt;=250),1,IF(AND(Main!A292&gt;=251,Main!A292&lt;=500),2,IF(AND(Main!A292&gt;=501,Main!A292&lt;=750),3,4))))</f>
        <v>Pak Budi</v>
      </c>
      <c r="W292" s="7" t="str">
        <f>_xlfn.XLOOKUP(B292,Detail!$G$1:$G$1001,Detail!$B$1:$B$1001)</f>
        <v>B-</v>
      </c>
    </row>
    <row r="293" spans="1:23" ht="15.75" x14ac:dyDescent="0.25">
      <c r="A293" s="7">
        <v>847</v>
      </c>
      <c r="B293" s="33" t="str">
        <f t="shared" si="14"/>
        <v>B0847</v>
      </c>
      <c r="C293" s="7" t="s">
        <v>1014</v>
      </c>
      <c r="D293" s="33" t="str">
        <f>VLOOKUP(B293,Detail!$G$1:$H$1001,2,FALSE)</f>
        <v>Endah Purwanti</v>
      </c>
      <c r="E293" s="7">
        <v>71</v>
      </c>
      <c r="F293" s="7">
        <v>60</v>
      </c>
      <c r="G293" s="57">
        <v>80</v>
      </c>
      <c r="H293" s="7">
        <v>60</v>
      </c>
      <c r="I293" s="7">
        <v>52</v>
      </c>
      <c r="J293" s="7">
        <v>55</v>
      </c>
      <c r="K293" s="7">
        <v>91</v>
      </c>
      <c r="L293" s="56">
        <f>IFERROR(VLOOKUP(B293,Absen!$A$1:$C$501,2,FALSE),"No")</f>
        <v>44867</v>
      </c>
      <c r="M293" s="58">
        <f t="shared" si="12"/>
        <v>8.1</v>
      </c>
      <c r="N293" s="57">
        <f t="shared" si="13"/>
        <v>65.474999999999994</v>
      </c>
      <c r="O293" s="7" t="str">
        <f>VLOOKUP(N293,Helper!$B$30:$C$35,2,TRUE)</f>
        <v>C</v>
      </c>
      <c r="P293" s="56">
        <f>INDEX(Detail!$A$1:$A$1001,MATCH(B293,Detail!$G$1:$G$1001,0))</f>
        <v>38363</v>
      </c>
      <c r="Q293" s="33" t="str">
        <f>INDEX(Detail!$F$1:$F$1001,MATCH(Main!B293,Detail!$G$1:$G$1001,0))</f>
        <v>Cilegon</v>
      </c>
      <c r="R293" s="7">
        <f>INDEX(Detail!$C$1:$C$1001,MATCH(B293,Detail!$G$1:$G$1001,0),1)</f>
        <v>179</v>
      </c>
      <c r="S293" s="7">
        <f>INDEX(Detail!$D$1:$D$1001,MATCH(B293,Detail!$G$1:$G$1001,0),1)</f>
        <v>90</v>
      </c>
      <c r="T293" s="7" t="str">
        <f>INDEX(Detail!$E$1:$E$1001,MATCH(Main!B293,Detail!$G$1:$G$1001,0))</f>
        <v>Jalan Pelajar Pejuang No. 01</v>
      </c>
      <c r="U293" s="7" t="str">
        <f>INDEX(Detail!$B$1:$B$1001,MATCH(B293,Detail!$G$1:$G$1001,0),1)</f>
        <v>AB+</v>
      </c>
      <c r="V293" s="7" t="str" cm="1">
        <f t="array" ref="V293">INDEX(Dosen!$B$3:$E$8,MATCH(Main!C293,Dosen!$A$3:$A$8,0),IF(AND(Main!A293&gt;=1,Main!A293&lt;=250),1,IF(AND(Main!A293&gt;=251,Main!A293&lt;=500),2,IF(AND(Main!A293&gt;=501,Main!A293&lt;=750),3,4))))</f>
        <v>Pak Budi</v>
      </c>
      <c r="W293" s="7" t="str">
        <f>_xlfn.XLOOKUP(B293,Detail!$G$1:$G$1001,Detail!$B$1:$B$1001)</f>
        <v>AB+</v>
      </c>
    </row>
    <row r="294" spans="1:23" ht="15.75" x14ac:dyDescent="0.25">
      <c r="A294" s="7">
        <v>855</v>
      </c>
      <c r="B294" s="33" t="str">
        <f t="shared" si="14"/>
        <v>B0855</v>
      </c>
      <c r="C294" s="7" t="s">
        <v>1014</v>
      </c>
      <c r="D294" s="33" t="str">
        <f>VLOOKUP(B294,Detail!$G$1:$H$1001,2,FALSE)</f>
        <v>Rudi Zulkarnain</v>
      </c>
      <c r="E294" s="7">
        <v>59</v>
      </c>
      <c r="F294" s="7">
        <v>42</v>
      </c>
      <c r="G294" s="57">
        <v>71</v>
      </c>
      <c r="H294" s="7">
        <v>74</v>
      </c>
      <c r="I294" s="7">
        <v>50</v>
      </c>
      <c r="J294" s="7">
        <v>70</v>
      </c>
      <c r="K294" s="7">
        <v>77</v>
      </c>
      <c r="L294" s="56">
        <f>IFERROR(VLOOKUP(B294,Absen!$A$1:$C$501,2,FALSE),"No")</f>
        <v>44897</v>
      </c>
      <c r="M294" s="58">
        <f t="shared" si="12"/>
        <v>6.7</v>
      </c>
      <c r="N294" s="57">
        <f t="shared" si="13"/>
        <v>63.025000000000006</v>
      </c>
      <c r="O294" s="7" t="str">
        <f>VLOOKUP(N294,Helper!$B$30:$C$35,2,TRUE)</f>
        <v>C</v>
      </c>
      <c r="P294" s="56">
        <f>INDEX(Detail!$A$1:$A$1001,MATCH(B294,Detail!$G$1:$G$1001,0))</f>
        <v>37672</v>
      </c>
      <c r="Q294" s="33" t="str">
        <f>INDEX(Detail!$F$1:$F$1001,MATCH(Main!B294,Detail!$G$1:$G$1001,0))</f>
        <v>Pasuruan</v>
      </c>
      <c r="R294" s="7">
        <f>INDEX(Detail!$C$1:$C$1001,MATCH(B294,Detail!$G$1:$G$1001,0),1)</f>
        <v>156</v>
      </c>
      <c r="S294" s="7">
        <f>INDEX(Detail!$D$1:$D$1001,MATCH(B294,Detail!$G$1:$G$1001,0),1)</f>
        <v>90</v>
      </c>
      <c r="T294" s="7" t="str">
        <f>INDEX(Detail!$E$1:$E$1001,MATCH(Main!B294,Detail!$G$1:$G$1001,0))</f>
        <v xml:space="preserve">Jalan Antapani Lama No. 6
</v>
      </c>
      <c r="U294" s="7" t="str">
        <f>INDEX(Detail!$B$1:$B$1001,MATCH(B294,Detail!$G$1:$G$1001,0),1)</f>
        <v>AB+</v>
      </c>
      <c r="V294" s="7" t="str" cm="1">
        <f t="array" ref="V294">INDEX(Dosen!$B$3:$E$8,MATCH(Main!C294,Dosen!$A$3:$A$8,0),IF(AND(Main!A294&gt;=1,Main!A294&lt;=250),1,IF(AND(Main!A294&gt;=251,Main!A294&lt;=500),2,IF(AND(Main!A294&gt;=501,Main!A294&lt;=750),3,4))))</f>
        <v>Pak Budi</v>
      </c>
      <c r="W294" s="7" t="str">
        <f>_xlfn.XLOOKUP(B294,Detail!$G$1:$G$1001,Detail!$B$1:$B$1001)</f>
        <v>AB+</v>
      </c>
    </row>
    <row r="295" spans="1:23" ht="15.75" x14ac:dyDescent="0.25">
      <c r="A295" s="7">
        <v>857</v>
      </c>
      <c r="B295" s="33" t="str">
        <f t="shared" si="14"/>
        <v>B0857</v>
      </c>
      <c r="C295" s="7" t="s">
        <v>1014</v>
      </c>
      <c r="D295" s="33" t="str">
        <f>VLOOKUP(B295,Detail!$G$1:$H$1001,2,FALSE)</f>
        <v>Waluyo Riyanti</v>
      </c>
      <c r="E295" s="7">
        <v>62</v>
      </c>
      <c r="F295" s="7">
        <v>45</v>
      </c>
      <c r="G295" s="57">
        <v>35</v>
      </c>
      <c r="H295" s="7">
        <v>57</v>
      </c>
      <c r="I295" s="7">
        <v>95</v>
      </c>
      <c r="J295" s="7">
        <v>44</v>
      </c>
      <c r="K295" s="7">
        <v>96</v>
      </c>
      <c r="L295" s="56" t="str">
        <f>IFERROR(VLOOKUP(B295,Absen!$A$1:$C$501,2,FALSE),"No")</f>
        <v>No</v>
      </c>
      <c r="M295" s="58">
        <f t="shared" si="12"/>
        <v>9.6000000000000014</v>
      </c>
      <c r="N295" s="57">
        <f t="shared" si="13"/>
        <v>57.774999999999999</v>
      </c>
      <c r="O295" s="7" t="str">
        <f>VLOOKUP(N295,Helper!$B$30:$C$35,2,TRUE)</f>
        <v>D</v>
      </c>
      <c r="P295" s="56">
        <f>INDEX(Detail!$A$1:$A$1001,MATCH(B295,Detail!$G$1:$G$1001,0))</f>
        <v>37200</v>
      </c>
      <c r="Q295" s="33" t="str">
        <f>INDEX(Detail!$F$1:$F$1001,MATCH(Main!B295,Detail!$G$1:$G$1001,0))</f>
        <v>Blitar</v>
      </c>
      <c r="R295" s="7">
        <f>INDEX(Detail!$C$1:$C$1001,MATCH(B295,Detail!$G$1:$G$1001,0),1)</f>
        <v>154</v>
      </c>
      <c r="S295" s="7">
        <f>INDEX(Detail!$D$1:$D$1001,MATCH(B295,Detail!$G$1:$G$1001,0),1)</f>
        <v>50</v>
      </c>
      <c r="T295" s="7" t="str">
        <f>INDEX(Detail!$E$1:$E$1001,MATCH(Main!B295,Detail!$G$1:$G$1001,0))</f>
        <v xml:space="preserve">Gg. Kutisari Selatan No. 5
</v>
      </c>
      <c r="U295" s="7" t="str">
        <f>INDEX(Detail!$B$1:$B$1001,MATCH(B295,Detail!$G$1:$G$1001,0),1)</f>
        <v>B+</v>
      </c>
      <c r="V295" s="7" t="str" cm="1">
        <f t="array" ref="V295">INDEX(Dosen!$B$3:$E$8,MATCH(Main!C295,Dosen!$A$3:$A$8,0),IF(AND(Main!A295&gt;=1,Main!A295&lt;=250),1,IF(AND(Main!A295&gt;=251,Main!A295&lt;=500),2,IF(AND(Main!A295&gt;=501,Main!A295&lt;=750),3,4))))</f>
        <v>Pak Budi</v>
      </c>
      <c r="W295" s="7" t="str">
        <f>_xlfn.XLOOKUP(B295,Detail!$G$1:$G$1001,Detail!$B$1:$B$1001)</f>
        <v>B+</v>
      </c>
    </row>
    <row r="296" spans="1:23" ht="15.75" x14ac:dyDescent="0.25">
      <c r="A296" s="7">
        <v>864</v>
      </c>
      <c r="B296" s="33" t="str">
        <f t="shared" si="14"/>
        <v>B0864</v>
      </c>
      <c r="C296" s="7" t="s">
        <v>1014</v>
      </c>
      <c r="D296" s="33" t="str">
        <f>VLOOKUP(B296,Detail!$G$1:$H$1001,2,FALSE)</f>
        <v>Vanesa Agustina</v>
      </c>
      <c r="E296" s="7">
        <v>93</v>
      </c>
      <c r="F296" s="7">
        <v>47</v>
      </c>
      <c r="G296" s="57">
        <v>59</v>
      </c>
      <c r="H296" s="7">
        <v>55</v>
      </c>
      <c r="I296" s="7">
        <v>56</v>
      </c>
      <c r="J296" s="7">
        <v>65</v>
      </c>
      <c r="K296" s="7">
        <v>78</v>
      </c>
      <c r="L296" s="56">
        <f>IFERROR(VLOOKUP(B296,Absen!$A$1:$C$501,2,FALSE),"No")</f>
        <v>44844</v>
      </c>
      <c r="M296" s="58">
        <f t="shared" si="12"/>
        <v>6.8000000000000007</v>
      </c>
      <c r="N296" s="57">
        <f t="shared" si="13"/>
        <v>62.974999999999994</v>
      </c>
      <c r="O296" s="7" t="str">
        <f>VLOOKUP(N296,Helper!$B$30:$C$35,2,TRUE)</f>
        <v>C</v>
      </c>
      <c r="P296" s="56">
        <f>INDEX(Detail!$A$1:$A$1001,MATCH(B296,Detail!$G$1:$G$1001,0))</f>
        <v>37478</v>
      </c>
      <c r="Q296" s="33" t="str">
        <f>INDEX(Detail!$F$1:$F$1001,MATCH(Main!B296,Detail!$G$1:$G$1001,0))</f>
        <v>Cimahi</v>
      </c>
      <c r="R296" s="7">
        <f>INDEX(Detail!$C$1:$C$1001,MATCH(B296,Detail!$G$1:$G$1001,0),1)</f>
        <v>178</v>
      </c>
      <c r="S296" s="7">
        <f>INDEX(Detail!$D$1:$D$1001,MATCH(B296,Detail!$G$1:$G$1001,0),1)</f>
        <v>51</v>
      </c>
      <c r="T296" s="7" t="str">
        <f>INDEX(Detail!$E$1:$E$1001,MATCH(Main!B296,Detail!$G$1:$G$1001,0))</f>
        <v xml:space="preserve">Gang Moch. Ramdan No. 0
</v>
      </c>
      <c r="U296" s="7" t="str">
        <f>INDEX(Detail!$B$1:$B$1001,MATCH(B296,Detail!$G$1:$G$1001,0),1)</f>
        <v>O+</v>
      </c>
      <c r="V296" s="7" t="str" cm="1">
        <f t="array" ref="V296">INDEX(Dosen!$B$3:$E$8,MATCH(Main!C296,Dosen!$A$3:$A$8,0),IF(AND(Main!A296&gt;=1,Main!A296&lt;=250),1,IF(AND(Main!A296&gt;=251,Main!A296&lt;=500),2,IF(AND(Main!A296&gt;=501,Main!A296&lt;=750),3,4))))</f>
        <v>Pak Budi</v>
      </c>
      <c r="W296" s="7" t="str">
        <f>_xlfn.XLOOKUP(B296,Detail!$G$1:$G$1001,Detail!$B$1:$B$1001)</f>
        <v>O+</v>
      </c>
    </row>
    <row r="297" spans="1:23" ht="15.75" x14ac:dyDescent="0.25">
      <c r="A297" s="7">
        <v>881</v>
      </c>
      <c r="B297" s="33" t="str">
        <f t="shared" si="14"/>
        <v>B0881</v>
      </c>
      <c r="C297" s="7" t="s">
        <v>1014</v>
      </c>
      <c r="D297" s="33" t="str">
        <f>VLOOKUP(B297,Detail!$G$1:$H$1001,2,FALSE)</f>
        <v>Raihan Nasyiah</v>
      </c>
      <c r="E297" s="7">
        <v>69</v>
      </c>
      <c r="F297" s="7">
        <v>50</v>
      </c>
      <c r="G297" s="57">
        <v>45</v>
      </c>
      <c r="H297" s="7">
        <v>60</v>
      </c>
      <c r="I297" s="7">
        <v>73</v>
      </c>
      <c r="J297" s="7">
        <v>99</v>
      </c>
      <c r="K297" s="7">
        <v>85</v>
      </c>
      <c r="L297" s="56" t="str">
        <f>IFERROR(VLOOKUP(B297,Absen!$A$1:$C$501,2,FALSE),"No")</f>
        <v>No</v>
      </c>
      <c r="M297" s="58">
        <f t="shared" si="12"/>
        <v>8.5</v>
      </c>
      <c r="N297" s="57">
        <f t="shared" si="13"/>
        <v>68.8</v>
      </c>
      <c r="O297" s="7" t="str">
        <f>VLOOKUP(N297,Helper!$B$30:$C$35,2,TRUE)</f>
        <v>C</v>
      </c>
      <c r="P297" s="56">
        <f>INDEX(Detail!$A$1:$A$1001,MATCH(B297,Detail!$G$1:$G$1001,0))</f>
        <v>37676</v>
      </c>
      <c r="Q297" s="33" t="str">
        <f>INDEX(Detail!$F$1:$F$1001,MATCH(Main!B297,Detail!$G$1:$G$1001,0))</f>
        <v>Bau-Bau</v>
      </c>
      <c r="R297" s="7">
        <f>INDEX(Detail!$C$1:$C$1001,MATCH(B297,Detail!$G$1:$G$1001,0),1)</f>
        <v>161</v>
      </c>
      <c r="S297" s="7">
        <f>INDEX(Detail!$D$1:$D$1001,MATCH(B297,Detail!$G$1:$G$1001,0),1)</f>
        <v>51</v>
      </c>
      <c r="T297" s="7" t="str">
        <f>INDEX(Detail!$E$1:$E$1001,MATCH(Main!B297,Detail!$G$1:$G$1001,0))</f>
        <v xml:space="preserve">Jl. Laswi No. 8
</v>
      </c>
      <c r="U297" s="7" t="str">
        <f>INDEX(Detail!$B$1:$B$1001,MATCH(B297,Detail!$G$1:$G$1001,0),1)</f>
        <v>A+</v>
      </c>
      <c r="V297" s="7" t="str" cm="1">
        <f t="array" ref="V297">INDEX(Dosen!$B$3:$E$8,MATCH(Main!C297,Dosen!$A$3:$A$8,0),IF(AND(Main!A297&gt;=1,Main!A297&lt;=250),1,IF(AND(Main!A297&gt;=251,Main!A297&lt;=500),2,IF(AND(Main!A297&gt;=501,Main!A297&lt;=750),3,4))))</f>
        <v>Pak Budi</v>
      </c>
      <c r="W297" s="7" t="str">
        <f>_xlfn.XLOOKUP(B297,Detail!$G$1:$G$1001,Detail!$B$1:$B$1001)</f>
        <v>A+</v>
      </c>
    </row>
    <row r="298" spans="1:23" ht="15.75" x14ac:dyDescent="0.25">
      <c r="A298" s="7">
        <v>885</v>
      </c>
      <c r="B298" s="33" t="str">
        <f t="shared" si="14"/>
        <v>B0885</v>
      </c>
      <c r="C298" s="7" t="s">
        <v>1014</v>
      </c>
      <c r="D298" s="33" t="str">
        <f>VLOOKUP(B298,Detail!$G$1:$H$1001,2,FALSE)</f>
        <v>Karsa Padmasari</v>
      </c>
      <c r="E298" s="7">
        <v>72</v>
      </c>
      <c r="F298" s="7">
        <v>69</v>
      </c>
      <c r="G298" s="57">
        <v>94</v>
      </c>
      <c r="H298" s="7">
        <v>68</v>
      </c>
      <c r="I298" s="7">
        <v>76</v>
      </c>
      <c r="J298" s="7">
        <v>77</v>
      </c>
      <c r="K298" s="7">
        <v>87</v>
      </c>
      <c r="L298" s="56" t="str">
        <f>IFERROR(VLOOKUP(B298,Absen!$A$1:$C$501,2,FALSE),"No")</f>
        <v>No</v>
      </c>
      <c r="M298" s="58">
        <f t="shared" si="12"/>
        <v>8.7000000000000011</v>
      </c>
      <c r="N298" s="57">
        <f t="shared" si="13"/>
        <v>78.525000000000006</v>
      </c>
      <c r="O298" s="7" t="str">
        <f>VLOOKUP(N298,Helper!$B$30:$C$35,2,TRUE)</f>
        <v>B</v>
      </c>
      <c r="P298" s="56">
        <f>INDEX(Detail!$A$1:$A$1001,MATCH(B298,Detail!$G$1:$G$1001,0))</f>
        <v>37566</v>
      </c>
      <c r="Q298" s="33" t="str">
        <f>INDEX(Detail!$F$1:$F$1001,MATCH(Main!B298,Detail!$G$1:$G$1001,0))</f>
        <v>Mataram</v>
      </c>
      <c r="R298" s="7">
        <f>INDEX(Detail!$C$1:$C$1001,MATCH(B298,Detail!$G$1:$G$1001,0),1)</f>
        <v>170</v>
      </c>
      <c r="S298" s="7">
        <f>INDEX(Detail!$D$1:$D$1001,MATCH(B298,Detail!$G$1:$G$1001,0),1)</f>
        <v>52</v>
      </c>
      <c r="T298" s="7" t="str">
        <f>INDEX(Detail!$E$1:$E$1001,MATCH(Main!B298,Detail!$G$1:$G$1001,0))</f>
        <v xml:space="preserve">Gg. Cikutra Barat No. 2
</v>
      </c>
      <c r="U298" s="7" t="str">
        <f>INDEX(Detail!$B$1:$B$1001,MATCH(B298,Detail!$G$1:$G$1001,0),1)</f>
        <v>O-</v>
      </c>
      <c r="V298" s="7" t="str" cm="1">
        <f t="array" ref="V298">INDEX(Dosen!$B$3:$E$8,MATCH(Main!C298,Dosen!$A$3:$A$8,0),IF(AND(Main!A298&gt;=1,Main!A298&lt;=250),1,IF(AND(Main!A298&gt;=251,Main!A298&lt;=500),2,IF(AND(Main!A298&gt;=501,Main!A298&lt;=750),3,4))))</f>
        <v>Pak Budi</v>
      </c>
      <c r="W298" s="7" t="str">
        <f>_xlfn.XLOOKUP(B298,Detail!$G$1:$G$1001,Detail!$B$1:$B$1001)</f>
        <v>O-</v>
      </c>
    </row>
    <row r="299" spans="1:23" ht="15.75" x14ac:dyDescent="0.25">
      <c r="A299" s="7">
        <v>886</v>
      </c>
      <c r="B299" s="33" t="str">
        <f t="shared" si="14"/>
        <v>B0886</v>
      </c>
      <c r="C299" s="7" t="s">
        <v>1014</v>
      </c>
      <c r="D299" s="33" t="str">
        <f>VLOOKUP(B299,Detail!$G$1:$H$1001,2,FALSE)</f>
        <v>Muhammad Wijaya</v>
      </c>
      <c r="E299" s="7">
        <v>64</v>
      </c>
      <c r="F299" s="7">
        <v>63</v>
      </c>
      <c r="G299" s="57">
        <v>35</v>
      </c>
      <c r="H299" s="7">
        <v>63</v>
      </c>
      <c r="I299" s="7">
        <v>54</v>
      </c>
      <c r="J299" s="7">
        <v>77</v>
      </c>
      <c r="K299" s="7">
        <v>82</v>
      </c>
      <c r="L299" s="56" t="str">
        <f>IFERROR(VLOOKUP(B299,Absen!$A$1:$C$501,2,FALSE),"No")</f>
        <v>No</v>
      </c>
      <c r="M299" s="58">
        <f t="shared" si="12"/>
        <v>8.2000000000000011</v>
      </c>
      <c r="N299" s="57">
        <f t="shared" si="13"/>
        <v>61.1</v>
      </c>
      <c r="O299" s="7" t="str">
        <f>VLOOKUP(N299,Helper!$B$30:$C$35,2,TRUE)</f>
        <v>C</v>
      </c>
      <c r="P299" s="56">
        <f>INDEX(Detail!$A$1:$A$1001,MATCH(B299,Detail!$G$1:$G$1001,0))</f>
        <v>37583</v>
      </c>
      <c r="Q299" s="33" t="str">
        <f>INDEX(Detail!$F$1:$F$1001,MATCH(Main!B299,Detail!$G$1:$G$1001,0))</f>
        <v>Bogor</v>
      </c>
      <c r="R299" s="7">
        <f>INDEX(Detail!$C$1:$C$1001,MATCH(B299,Detail!$G$1:$G$1001,0),1)</f>
        <v>168</v>
      </c>
      <c r="S299" s="7">
        <f>INDEX(Detail!$D$1:$D$1001,MATCH(B299,Detail!$G$1:$G$1001,0),1)</f>
        <v>87</v>
      </c>
      <c r="T299" s="7" t="str">
        <f>INDEX(Detail!$E$1:$E$1001,MATCH(Main!B299,Detail!$G$1:$G$1001,0))</f>
        <v xml:space="preserve">Gang Laswi No. 2
</v>
      </c>
      <c r="U299" s="7" t="str">
        <f>INDEX(Detail!$B$1:$B$1001,MATCH(B299,Detail!$G$1:$G$1001,0),1)</f>
        <v>B+</v>
      </c>
      <c r="V299" s="7" t="str" cm="1">
        <f t="array" ref="V299">INDEX(Dosen!$B$3:$E$8,MATCH(Main!C299,Dosen!$A$3:$A$8,0),IF(AND(Main!A299&gt;=1,Main!A299&lt;=250),1,IF(AND(Main!A299&gt;=251,Main!A299&lt;=500),2,IF(AND(Main!A299&gt;=501,Main!A299&lt;=750),3,4))))</f>
        <v>Pak Budi</v>
      </c>
      <c r="W299" s="7" t="str">
        <f>_xlfn.XLOOKUP(B299,Detail!$G$1:$G$1001,Detail!$B$1:$B$1001)</f>
        <v>B+</v>
      </c>
    </row>
    <row r="300" spans="1:23" ht="15.75" x14ac:dyDescent="0.25">
      <c r="A300" s="7">
        <v>887</v>
      </c>
      <c r="B300" s="33" t="str">
        <f t="shared" si="14"/>
        <v>B0887</v>
      </c>
      <c r="C300" s="7" t="s">
        <v>1014</v>
      </c>
      <c r="D300" s="33" t="str">
        <f>VLOOKUP(B300,Detail!$G$1:$H$1001,2,FALSE)</f>
        <v>Cemplunk Rajata</v>
      </c>
      <c r="E300" s="7">
        <v>69</v>
      </c>
      <c r="F300" s="7">
        <v>68</v>
      </c>
      <c r="G300" s="57">
        <v>77</v>
      </c>
      <c r="H300" s="7">
        <v>74</v>
      </c>
      <c r="I300" s="7">
        <v>90</v>
      </c>
      <c r="J300" s="7">
        <v>41</v>
      </c>
      <c r="K300" s="7">
        <v>87</v>
      </c>
      <c r="L300" s="56">
        <f>IFERROR(VLOOKUP(B300,Absen!$A$1:$C$501,2,FALSE),"No")</f>
        <v>44754</v>
      </c>
      <c r="M300" s="58">
        <f t="shared" si="12"/>
        <v>7.7</v>
      </c>
      <c r="N300" s="57">
        <f t="shared" si="13"/>
        <v>68.924999999999997</v>
      </c>
      <c r="O300" s="7" t="str">
        <f>VLOOKUP(N300,Helper!$B$30:$C$35,2,TRUE)</f>
        <v>C</v>
      </c>
      <c r="P300" s="56">
        <f>INDEX(Detail!$A$1:$A$1001,MATCH(B300,Detail!$G$1:$G$1001,0))</f>
        <v>37355</v>
      </c>
      <c r="Q300" s="33" t="str">
        <f>INDEX(Detail!$F$1:$F$1001,MATCH(Main!B300,Detail!$G$1:$G$1001,0))</f>
        <v>Tidore Kepulauan</v>
      </c>
      <c r="R300" s="7">
        <f>INDEX(Detail!$C$1:$C$1001,MATCH(B300,Detail!$G$1:$G$1001,0),1)</f>
        <v>178</v>
      </c>
      <c r="S300" s="7">
        <f>INDEX(Detail!$D$1:$D$1001,MATCH(B300,Detail!$G$1:$G$1001,0),1)</f>
        <v>69</v>
      </c>
      <c r="T300" s="7" t="str">
        <f>INDEX(Detail!$E$1:$E$1001,MATCH(Main!B300,Detail!$G$1:$G$1001,0))</f>
        <v>Jalan Ronggowarsito No. 42</v>
      </c>
      <c r="U300" s="7" t="str">
        <f>INDEX(Detail!$B$1:$B$1001,MATCH(B300,Detail!$G$1:$G$1001,0),1)</f>
        <v>O-</v>
      </c>
      <c r="V300" s="7" t="str" cm="1">
        <f t="array" ref="V300">INDEX(Dosen!$B$3:$E$8,MATCH(Main!C300,Dosen!$A$3:$A$8,0),IF(AND(Main!A300&gt;=1,Main!A300&lt;=250),1,IF(AND(Main!A300&gt;=251,Main!A300&lt;=500),2,IF(AND(Main!A300&gt;=501,Main!A300&lt;=750),3,4))))</f>
        <v>Pak Budi</v>
      </c>
      <c r="W300" s="7" t="str">
        <f>_xlfn.XLOOKUP(B300,Detail!$G$1:$G$1001,Detail!$B$1:$B$1001)</f>
        <v>O-</v>
      </c>
    </row>
    <row r="301" spans="1:23" ht="15.75" x14ac:dyDescent="0.25">
      <c r="A301" s="7">
        <v>891</v>
      </c>
      <c r="B301" s="33" t="str">
        <f t="shared" si="14"/>
        <v>B0891</v>
      </c>
      <c r="C301" s="7" t="s">
        <v>1014</v>
      </c>
      <c r="D301" s="33" t="str">
        <f>VLOOKUP(B301,Detail!$G$1:$H$1001,2,FALSE)</f>
        <v>Artawan Zulaika</v>
      </c>
      <c r="E301" s="7">
        <v>63</v>
      </c>
      <c r="F301" s="7">
        <v>43</v>
      </c>
      <c r="G301" s="57">
        <v>86</v>
      </c>
      <c r="H301" s="7">
        <v>58</v>
      </c>
      <c r="I301" s="7">
        <v>86</v>
      </c>
      <c r="J301" s="7">
        <v>76</v>
      </c>
      <c r="K301" s="7">
        <v>69</v>
      </c>
      <c r="L301" s="56" t="str">
        <f>IFERROR(VLOOKUP(B301,Absen!$A$1:$C$501,2,FALSE),"No")</f>
        <v>No</v>
      </c>
      <c r="M301" s="58">
        <f t="shared" si="12"/>
        <v>6.9</v>
      </c>
      <c r="N301" s="57">
        <f t="shared" si="13"/>
        <v>70.550000000000011</v>
      </c>
      <c r="O301" s="7" t="str">
        <f>VLOOKUP(N301,Helper!$B$30:$C$35,2,TRUE)</f>
        <v>B</v>
      </c>
      <c r="P301" s="56">
        <f>INDEX(Detail!$A$1:$A$1001,MATCH(B301,Detail!$G$1:$G$1001,0))</f>
        <v>38431</v>
      </c>
      <c r="Q301" s="33" t="str">
        <f>INDEX(Detail!$F$1:$F$1001,MATCH(Main!B301,Detail!$G$1:$G$1001,0))</f>
        <v>Gorontalo</v>
      </c>
      <c r="R301" s="7">
        <f>INDEX(Detail!$C$1:$C$1001,MATCH(B301,Detail!$G$1:$G$1001,0),1)</f>
        <v>159</v>
      </c>
      <c r="S301" s="7">
        <f>INDEX(Detail!$D$1:$D$1001,MATCH(B301,Detail!$G$1:$G$1001,0),1)</f>
        <v>86</v>
      </c>
      <c r="T301" s="7" t="str">
        <f>INDEX(Detail!$E$1:$E$1001,MATCH(Main!B301,Detail!$G$1:$G$1001,0))</f>
        <v xml:space="preserve">Gang W.R. Supratman No. 6
</v>
      </c>
      <c r="U301" s="7" t="str">
        <f>INDEX(Detail!$B$1:$B$1001,MATCH(B301,Detail!$G$1:$G$1001,0),1)</f>
        <v>O+</v>
      </c>
      <c r="V301" s="7" t="str" cm="1">
        <f t="array" ref="V301">INDEX(Dosen!$B$3:$E$8,MATCH(Main!C301,Dosen!$A$3:$A$8,0),IF(AND(Main!A301&gt;=1,Main!A301&lt;=250),1,IF(AND(Main!A301&gt;=251,Main!A301&lt;=500),2,IF(AND(Main!A301&gt;=501,Main!A301&lt;=750),3,4))))</f>
        <v>Pak Budi</v>
      </c>
      <c r="W301" s="7" t="str">
        <f>_xlfn.XLOOKUP(B301,Detail!$G$1:$G$1001,Detail!$B$1:$B$1001)</f>
        <v>O+</v>
      </c>
    </row>
    <row r="302" spans="1:23" ht="15.75" x14ac:dyDescent="0.25">
      <c r="A302" s="7">
        <v>893</v>
      </c>
      <c r="B302" s="33" t="str">
        <f t="shared" si="14"/>
        <v>B0893</v>
      </c>
      <c r="C302" s="7" t="s">
        <v>1014</v>
      </c>
      <c r="D302" s="33" t="str">
        <f>VLOOKUP(B302,Detail!$G$1:$H$1001,2,FALSE)</f>
        <v>Sari Wulandari</v>
      </c>
      <c r="E302" s="7">
        <v>77</v>
      </c>
      <c r="F302" s="7">
        <v>44</v>
      </c>
      <c r="G302" s="57">
        <v>46</v>
      </c>
      <c r="H302" s="7">
        <v>75</v>
      </c>
      <c r="I302" s="7">
        <v>52</v>
      </c>
      <c r="J302" s="7">
        <v>59</v>
      </c>
      <c r="K302" s="7">
        <v>82</v>
      </c>
      <c r="L302" s="56">
        <f>IFERROR(VLOOKUP(B302,Absen!$A$1:$C$501,2,FALSE),"No")</f>
        <v>44837</v>
      </c>
      <c r="M302" s="58">
        <f t="shared" si="12"/>
        <v>7.2</v>
      </c>
      <c r="N302" s="57">
        <f t="shared" si="13"/>
        <v>59.2</v>
      </c>
      <c r="O302" s="7" t="str">
        <f>VLOOKUP(N302,Helper!$B$30:$C$35,2,TRUE)</f>
        <v>D</v>
      </c>
      <c r="P302" s="56">
        <f>INDEX(Detail!$A$1:$A$1001,MATCH(B302,Detail!$G$1:$G$1001,0))</f>
        <v>37429</v>
      </c>
      <c r="Q302" s="33" t="str">
        <f>INDEX(Detail!$F$1:$F$1001,MATCH(Main!B302,Detail!$G$1:$G$1001,0))</f>
        <v>Medan</v>
      </c>
      <c r="R302" s="7">
        <f>INDEX(Detail!$C$1:$C$1001,MATCH(B302,Detail!$G$1:$G$1001,0),1)</f>
        <v>153</v>
      </c>
      <c r="S302" s="7">
        <f>INDEX(Detail!$D$1:$D$1001,MATCH(B302,Detail!$G$1:$G$1001,0),1)</f>
        <v>89</v>
      </c>
      <c r="T302" s="7" t="str">
        <f>INDEX(Detail!$E$1:$E$1001,MATCH(Main!B302,Detail!$G$1:$G$1001,0))</f>
        <v xml:space="preserve">Gg. Monginsidi No. 5
</v>
      </c>
      <c r="U302" s="7" t="str">
        <f>INDEX(Detail!$B$1:$B$1001,MATCH(B302,Detail!$G$1:$G$1001,0),1)</f>
        <v>B-</v>
      </c>
      <c r="V302" s="7" t="str" cm="1">
        <f t="array" ref="V302">INDEX(Dosen!$B$3:$E$8,MATCH(Main!C302,Dosen!$A$3:$A$8,0),IF(AND(Main!A302&gt;=1,Main!A302&lt;=250),1,IF(AND(Main!A302&gt;=251,Main!A302&lt;=500),2,IF(AND(Main!A302&gt;=501,Main!A302&lt;=750),3,4))))</f>
        <v>Pak Budi</v>
      </c>
      <c r="W302" s="7" t="str">
        <f>_xlfn.XLOOKUP(B302,Detail!$G$1:$G$1001,Detail!$B$1:$B$1001)</f>
        <v>B-</v>
      </c>
    </row>
    <row r="303" spans="1:23" ht="15.75" x14ac:dyDescent="0.25">
      <c r="A303" s="7">
        <v>910</v>
      </c>
      <c r="B303" s="33" t="str">
        <f t="shared" si="14"/>
        <v>B0910</v>
      </c>
      <c r="C303" s="7" t="s">
        <v>1014</v>
      </c>
      <c r="D303" s="33" t="str">
        <f>VLOOKUP(B303,Detail!$G$1:$H$1001,2,FALSE)</f>
        <v>Parman Kurniawan</v>
      </c>
      <c r="E303" s="7">
        <v>57</v>
      </c>
      <c r="F303" s="7">
        <v>60</v>
      </c>
      <c r="G303" s="57">
        <v>60</v>
      </c>
      <c r="H303" s="7">
        <v>55</v>
      </c>
      <c r="I303" s="7">
        <v>68</v>
      </c>
      <c r="J303" s="7">
        <v>97</v>
      </c>
      <c r="K303" s="7">
        <v>97</v>
      </c>
      <c r="L303" s="56" t="str">
        <f>IFERROR(VLOOKUP(B303,Absen!$A$1:$C$501,2,FALSE),"No")</f>
        <v>No</v>
      </c>
      <c r="M303" s="58">
        <f t="shared" si="12"/>
        <v>9.7000000000000011</v>
      </c>
      <c r="N303" s="57">
        <f t="shared" si="13"/>
        <v>71.100000000000009</v>
      </c>
      <c r="O303" s="7" t="str">
        <f>VLOOKUP(N303,Helper!$B$30:$C$35,2,TRUE)</f>
        <v>B</v>
      </c>
      <c r="P303" s="56">
        <f>INDEX(Detail!$A$1:$A$1001,MATCH(B303,Detail!$G$1:$G$1001,0))</f>
        <v>37117</v>
      </c>
      <c r="Q303" s="33" t="str">
        <f>INDEX(Detail!$F$1:$F$1001,MATCH(Main!B303,Detail!$G$1:$G$1001,0))</f>
        <v>Meulaboh</v>
      </c>
      <c r="R303" s="7">
        <f>INDEX(Detail!$C$1:$C$1001,MATCH(B303,Detail!$G$1:$G$1001,0),1)</f>
        <v>163</v>
      </c>
      <c r="S303" s="7">
        <f>INDEX(Detail!$D$1:$D$1001,MATCH(B303,Detail!$G$1:$G$1001,0),1)</f>
        <v>93</v>
      </c>
      <c r="T303" s="7" t="str">
        <f>INDEX(Detail!$E$1:$E$1001,MATCH(Main!B303,Detail!$G$1:$G$1001,0))</f>
        <v>Gg. Ciwastra No. 36</v>
      </c>
      <c r="U303" s="7" t="str">
        <f>INDEX(Detail!$B$1:$B$1001,MATCH(B303,Detail!$G$1:$G$1001,0),1)</f>
        <v>AB+</v>
      </c>
      <c r="V303" s="7" t="str" cm="1">
        <f t="array" ref="V303">INDEX(Dosen!$B$3:$E$8,MATCH(Main!C303,Dosen!$A$3:$A$8,0),IF(AND(Main!A303&gt;=1,Main!A303&lt;=250),1,IF(AND(Main!A303&gt;=251,Main!A303&lt;=500),2,IF(AND(Main!A303&gt;=501,Main!A303&lt;=750),3,4))))</f>
        <v>Pak Budi</v>
      </c>
      <c r="W303" s="7" t="str">
        <f>_xlfn.XLOOKUP(B303,Detail!$G$1:$G$1001,Detail!$B$1:$B$1001)</f>
        <v>AB+</v>
      </c>
    </row>
    <row r="304" spans="1:23" ht="15.75" x14ac:dyDescent="0.25">
      <c r="A304" s="7">
        <v>920</v>
      </c>
      <c r="B304" s="33" t="str">
        <f t="shared" si="14"/>
        <v>B0920</v>
      </c>
      <c r="C304" s="7" t="s">
        <v>1014</v>
      </c>
      <c r="D304" s="33" t="str">
        <f>VLOOKUP(B304,Detail!$G$1:$H$1001,2,FALSE)</f>
        <v>Jaswadi Dabukke</v>
      </c>
      <c r="E304" s="7">
        <v>68</v>
      </c>
      <c r="F304" s="7">
        <v>56</v>
      </c>
      <c r="G304" s="57">
        <v>75</v>
      </c>
      <c r="H304" s="7">
        <v>59</v>
      </c>
      <c r="I304" s="7">
        <v>70</v>
      </c>
      <c r="J304" s="7">
        <v>63</v>
      </c>
      <c r="K304" s="7">
        <v>63</v>
      </c>
      <c r="L304" s="56" t="str">
        <f>IFERROR(VLOOKUP(B304,Absen!$A$1:$C$501,2,FALSE),"No")</f>
        <v>No</v>
      </c>
      <c r="M304" s="58">
        <f t="shared" si="12"/>
        <v>6.3000000000000007</v>
      </c>
      <c r="N304" s="57">
        <f t="shared" si="13"/>
        <v>65.525000000000006</v>
      </c>
      <c r="O304" s="7" t="str">
        <f>VLOOKUP(N304,Helper!$B$30:$C$35,2,TRUE)</f>
        <v>C</v>
      </c>
      <c r="P304" s="56">
        <f>INDEX(Detail!$A$1:$A$1001,MATCH(B304,Detail!$G$1:$G$1001,0))</f>
        <v>38060</v>
      </c>
      <c r="Q304" s="33" t="str">
        <f>INDEX(Detail!$F$1:$F$1001,MATCH(Main!B304,Detail!$G$1:$G$1001,0))</f>
        <v>Banda Aceh</v>
      </c>
      <c r="R304" s="7">
        <f>INDEX(Detail!$C$1:$C$1001,MATCH(B304,Detail!$G$1:$G$1001,0),1)</f>
        <v>168</v>
      </c>
      <c r="S304" s="7">
        <f>INDEX(Detail!$D$1:$D$1001,MATCH(B304,Detail!$G$1:$G$1001,0),1)</f>
        <v>49</v>
      </c>
      <c r="T304" s="7" t="str">
        <f>INDEX(Detail!$E$1:$E$1001,MATCH(Main!B304,Detail!$G$1:$G$1001,0))</f>
        <v xml:space="preserve">Jalan Cempaka No. 8
</v>
      </c>
      <c r="U304" s="7" t="str">
        <f>INDEX(Detail!$B$1:$B$1001,MATCH(B304,Detail!$G$1:$G$1001,0),1)</f>
        <v>AB-</v>
      </c>
      <c r="V304" s="7" t="str" cm="1">
        <f t="array" ref="V304">INDEX(Dosen!$B$3:$E$8,MATCH(Main!C304,Dosen!$A$3:$A$8,0),IF(AND(Main!A304&gt;=1,Main!A304&lt;=250),1,IF(AND(Main!A304&gt;=251,Main!A304&lt;=500),2,IF(AND(Main!A304&gt;=501,Main!A304&lt;=750),3,4))))</f>
        <v>Pak Budi</v>
      </c>
      <c r="W304" s="7" t="str">
        <f>_xlfn.XLOOKUP(B304,Detail!$G$1:$G$1001,Detail!$B$1:$B$1001)</f>
        <v>AB-</v>
      </c>
    </row>
    <row r="305" spans="1:23" ht="15.75" x14ac:dyDescent="0.25">
      <c r="A305" s="7">
        <v>921</v>
      </c>
      <c r="B305" s="33" t="str">
        <f t="shared" si="14"/>
        <v>B0921</v>
      </c>
      <c r="C305" s="7" t="s">
        <v>1014</v>
      </c>
      <c r="D305" s="33" t="str">
        <f>VLOOKUP(B305,Detail!$G$1:$H$1001,2,FALSE)</f>
        <v>Warta Astuti</v>
      </c>
      <c r="E305" s="7">
        <v>58</v>
      </c>
      <c r="F305" s="7">
        <v>48</v>
      </c>
      <c r="G305" s="57">
        <v>49</v>
      </c>
      <c r="H305" s="7">
        <v>59</v>
      </c>
      <c r="I305" s="7">
        <v>76</v>
      </c>
      <c r="J305" s="7">
        <v>56</v>
      </c>
      <c r="K305" s="7">
        <v>67</v>
      </c>
      <c r="L305" s="56">
        <f>IFERROR(VLOOKUP(B305,Absen!$A$1:$C$501,2,FALSE),"No")</f>
        <v>44908</v>
      </c>
      <c r="M305" s="58">
        <f t="shared" si="12"/>
        <v>5.7</v>
      </c>
      <c r="N305" s="57">
        <f t="shared" si="13"/>
        <v>56.825000000000003</v>
      </c>
      <c r="O305" s="7" t="str">
        <f>VLOOKUP(N305,Helper!$B$30:$C$35,2,TRUE)</f>
        <v>D</v>
      </c>
      <c r="P305" s="56">
        <f>INDEX(Detail!$A$1:$A$1001,MATCH(B305,Detail!$G$1:$G$1001,0))</f>
        <v>37357</v>
      </c>
      <c r="Q305" s="33" t="str">
        <f>INDEX(Detail!$F$1:$F$1001,MATCH(Main!B305,Detail!$G$1:$G$1001,0))</f>
        <v>Ambon</v>
      </c>
      <c r="R305" s="7">
        <f>INDEX(Detail!$C$1:$C$1001,MATCH(B305,Detail!$G$1:$G$1001,0),1)</f>
        <v>157</v>
      </c>
      <c r="S305" s="7">
        <f>INDEX(Detail!$D$1:$D$1001,MATCH(B305,Detail!$G$1:$G$1001,0),1)</f>
        <v>56</v>
      </c>
      <c r="T305" s="7" t="str">
        <f>INDEX(Detail!$E$1:$E$1001,MATCH(Main!B305,Detail!$G$1:$G$1001,0))</f>
        <v>Jl. Pacuan Kuda No. 72</v>
      </c>
      <c r="U305" s="7" t="str">
        <f>INDEX(Detail!$B$1:$B$1001,MATCH(B305,Detail!$G$1:$G$1001,0),1)</f>
        <v>AB-</v>
      </c>
      <c r="V305" s="7" t="str" cm="1">
        <f t="array" ref="V305">INDEX(Dosen!$B$3:$E$8,MATCH(Main!C305,Dosen!$A$3:$A$8,0),IF(AND(Main!A305&gt;=1,Main!A305&lt;=250),1,IF(AND(Main!A305&gt;=251,Main!A305&lt;=500),2,IF(AND(Main!A305&gt;=501,Main!A305&lt;=750),3,4))))</f>
        <v>Pak Budi</v>
      </c>
      <c r="W305" s="7" t="str">
        <f>_xlfn.XLOOKUP(B305,Detail!$G$1:$G$1001,Detail!$B$1:$B$1001)</f>
        <v>AB-</v>
      </c>
    </row>
    <row r="306" spans="1:23" ht="15.75" x14ac:dyDescent="0.25">
      <c r="A306" s="7">
        <v>924</v>
      </c>
      <c r="B306" s="33" t="str">
        <f t="shared" si="14"/>
        <v>B0924</v>
      </c>
      <c r="C306" s="7" t="s">
        <v>1014</v>
      </c>
      <c r="D306" s="33" t="str">
        <f>VLOOKUP(B306,Detail!$G$1:$H$1001,2,FALSE)</f>
        <v>Cindy Januar</v>
      </c>
      <c r="E306" s="7">
        <v>51</v>
      </c>
      <c r="F306" s="7">
        <v>45</v>
      </c>
      <c r="G306" s="57">
        <v>84</v>
      </c>
      <c r="H306" s="7">
        <v>71</v>
      </c>
      <c r="I306" s="7">
        <v>85</v>
      </c>
      <c r="J306" s="7">
        <v>62</v>
      </c>
      <c r="K306" s="7">
        <v>82</v>
      </c>
      <c r="L306" s="56" t="str">
        <f>IFERROR(VLOOKUP(B306,Absen!$A$1:$C$501,2,FALSE),"No")</f>
        <v>No</v>
      </c>
      <c r="M306" s="58">
        <f t="shared" si="12"/>
        <v>8.2000000000000011</v>
      </c>
      <c r="N306" s="57">
        <f t="shared" si="13"/>
        <v>68.899999999999991</v>
      </c>
      <c r="O306" s="7" t="str">
        <f>VLOOKUP(N306,Helper!$B$30:$C$35,2,TRUE)</f>
        <v>C</v>
      </c>
      <c r="P306" s="56">
        <f>INDEX(Detail!$A$1:$A$1001,MATCH(B306,Detail!$G$1:$G$1001,0))</f>
        <v>38304</v>
      </c>
      <c r="Q306" s="33" t="str">
        <f>INDEX(Detail!$F$1:$F$1001,MATCH(Main!B306,Detail!$G$1:$G$1001,0))</f>
        <v>Medan</v>
      </c>
      <c r="R306" s="7">
        <f>INDEX(Detail!$C$1:$C$1001,MATCH(B306,Detail!$G$1:$G$1001,0),1)</f>
        <v>178</v>
      </c>
      <c r="S306" s="7">
        <f>INDEX(Detail!$D$1:$D$1001,MATCH(B306,Detail!$G$1:$G$1001,0),1)</f>
        <v>59</v>
      </c>
      <c r="T306" s="7" t="str">
        <f>INDEX(Detail!$E$1:$E$1001,MATCH(Main!B306,Detail!$G$1:$G$1001,0))</f>
        <v xml:space="preserve">Gang Cempaka No. 2
</v>
      </c>
      <c r="U306" s="7" t="str">
        <f>INDEX(Detail!$B$1:$B$1001,MATCH(B306,Detail!$G$1:$G$1001,0),1)</f>
        <v>O-</v>
      </c>
      <c r="V306" s="7" t="str" cm="1">
        <f t="array" ref="V306">INDEX(Dosen!$B$3:$E$8,MATCH(Main!C306,Dosen!$A$3:$A$8,0),IF(AND(Main!A306&gt;=1,Main!A306&lt;=250),1,IF(AND(Main!A306&gt;=251,Main!A306&lt;=500),2,IF(AND(Main!A306&gt;=501,Main!A306&lt;=750),3,4))))</f>
        <v>Pak Budi</v>
      </c>
      <c r="W306" s="7" t="str">
        <f>_xlfn.XLOOKUP(B306,Detail!$G$1:$G$1001,Detail!$B$1:$B$1001)</f>
        <v>O-</v>
      </c>
    </row>
    <row r="307" spans="1:23" ht="15.75" x14ac:dyDescent="0.25">
      <c r="A307" s="7">
        <v>925</v>
      </c>
      <c r="B307" s="33" t="str">
        <f t="shared" si="14"/>
        <v>B0925</v>
      </c>
      <c r="C307" s="7" t="s">
        <v>1014</v>
      </c>
      <c r="D307" s="33" t="str">
        <f>VLOOKUP(B307,Detail!$G$1:$H$1001,2,FALSE)</f>
        <v>Olivia Anggraini</v>
      </c>
      <c r="E307" s="7">
        <v>62</v>
      </c>
      <c r="F307" s="7">
        <v>51</v>
      </c>
      <c r="G307" s="57">
        <v>57</v>
      </c>
      <c r="H307" s="7">
        <v>60</v>
      </c>
      <c r="I307" s="7">
        <v>67</v>
      </c>
      <c r="J307" s="7">
        <v>59</v>
      </c>
      <c r="K307" s="7">
        <v>82</v>
      </c>
      <c r="L307" s="56" t="str">
        <f>IFERROR(VLOOKUP(B307,Absen!$A$1:$C$501,2,FALSE),"No")</f>
        <v>No</v>
      </c>
      <c r="M307" s="58">
        <f t="shared" si="12"/>
        <v>8.2000000000000011</v>
      </c>
      <c r="N307" s="57">
        <f t="shared" si="13"/>
        <v>61.400000000000006</v>
      </c>
      <c r="O307" s="7" t="str">
        <f>VLOOKUP(N307,Helper!$B$30:$C$35,2,TRUE)</f>
        <v>C</v>
      </c>
      <c r="P307" s="56">
        <f>INDEX(Detail!$A$1:$A$1001,MATCH(B307,Detail!$G$1:$G$1001,0))</f>
        <v>37331</v>
      </c>
      <c r="Q307" s="33" t="str">
        <f>INDEX(Detail!$F$1:$F$1001,MATCH(Main!B307,Detail!$G$1:$G$1001,0))</f>
        <v>Sorong</v>
      </c>
      <c r="R307" s="7">
        <f>INDEX(Detail!$C$1:$C$1001,MATCH(B307,Detail!$G$1:$G$1001,0),1)</f>
        <v>173</v>
      </c>
      <c r="S307" s="7">
        <f>INDEX(Detail!$D$1:$D$1001,MATCH(B307,Detail!$G$1:$G$1001,0),1)</f>
        <v>57</v>
      </c>
      <c r="T307" s="7" t="str">
        <f>INDEX(Detail!$E$1:$E$1001,MATCH(Main!B307,Detail!$G$1:$G$1001,0))</f>
        <v>Gang Kendalsari No. 85</v>
      </c>
      <c r="U307" s="7" t="str">
        <f>INDEX(Detail!$B$1:$B$1001,MATCH(B307,Detail!$G$1:$G$1001,0),1)</f>
        <v>A+</v>
      </c>
      <c r="V307" s="7" t="str" cm="1">
        <f t="array" ref="V307">INDEX(Dosen!$B$3:$E$8,MATCH(Main!C307,Dosen!$A$3:$A$8,0),IF(AND(Main!A307&gt;=1,Main!A307&lt;=250),1,IF(AND(Main!A307&gt;=251,Main!A307&lt;=500),2,IF(AND(Main!A307&gt;=501,Main!A307&lt;=750),3,4))))</f>
        <v>Pak Budi</v>
      </c>
      <c r="W307" s="7" t="str">
        <f>_xlfn.XLOOKUP(B307,Detail!$G$1:$G$1001,Detail!$B$1:$B$1001)</f>
        <v>A+</v>
      </c>
    </row>
    <row r="308" spans="1:23" ht="15.75" x14ac:dyDescent="0.25">
      <c r="A308" s="7">
        <v>935</v>
      </c>
      <c r="B308" s="33" t="str">
        <f t="shared" si="14"/>
        <v>B0935</v>
      </c>
      <c r="C308" s="7" t="s">
        <v>1014</v>
      </c>
      <c r="D308" s="33" t="str">
        <f>VLOOKUP(B308,Detail!$G$1:$H$1001,2,FALSE)</f>
        <v>Humaira Marpaung</v>
      </c>
      <c r="E308" s="7">
        <v>61</v>
      </c>
      <c r="F308" s="7">
        <v>64</v>
      </c>
      <c r="G308" s="57">
        <v>77</v>
      </c>
      <c r="H308" s="7">
        <v>61</v>
      </c>
      <c r="I308" s="7">
        <v>83</v>
      </c>
      <c r="J308" s="7">
        <v>83</v>
      </c>
      <c r="K308" s="7">
        <v>61</v>
      </c>
      <c r="L308" s="56">
        <f>IFERROR(VLOOKUP(B308,Absen!$A$1:$C$501,2,FALSE),"No")</f>
        <v>44883</v>
      </c>
      <c r="M308" s="58">
        <f t="shared" si="12"/>
        <v>5.1000000000000005</v>
      </c>
      <c r="N308" s="57">
        <f t="shared" si="13"/>
        <v>70.724999999999994</v>
      </c>
      <c r="O308" s="7" t="str">
        <f>VLOOKUP(N308,Helper!$B$30:$C$35,2,TRUE)</f>
        <v>B</v>
      </c>
      <c r="P308" s="56">
        <f>INDEX(Detail!$A$1:$A$1001,MATCH(B308,Detail!$G$1:$G$1001,0))</f>
        <v>37581</v>
      </c>
      <c r="Q308" s="33" t="str">
        <f>INDEX(Detail!$F$1:$F$1001,MATCH(Main!B308,Detail!$G$1:$G$1001,0))</f>
        <v>Probolinggo</v>
      </c>
      <c r="R308" s="7">
        <f>INDEX(Detail!$C$1:$C$1001,MATCH(B308,Detail!$G$1:$G$1001,0),1)</f>
        <v>157</v>
      </c>
      <c r="S308" s="7">
        <f>INDEX(Detail!$D$1:$D$1001,MATCH(B308,Detail!$G$1:$G$1001,0),1)</f>
        <v>90</v>
      </c>
      <c r="T308" s="7" t="str">
        <f>INDEX(Detail!$E$1:$E$1001,MATCH(Main!B308,Detail!$G$1:$G$1001,0))</f>
        <v xml:space="preserve">Gang K.H. Wahid Hasyim No. 1
</v>
      </c>
      <c r="U308" s="7" t="str">
        <f>INDEX(Detail!$B$1:$B$1001,MATCH(B308,Detail!$G$1:$G$1001,0),1)</f>
        <v>A+</v>
      </c>
      <c r="V308" s="7" t="str" cm="1">
        <f t="array" ref="V308">INDEX(Dosen!$B$3:$E$8,MATCH(Main!C308,Dosen!$A$3:$A$8,0),IF(AND(Main!A308&gt;=1,Main!A308&lt;=250),1,IF(AND(Main!A308&gt;=251,Main!A308&lt;=500),2,IF(AND(Main!A308&gt;=501,Main!A308&lt;=750),3,4))))</f>
        <v>Pak Budi</v>
      </c>
      <c r="W308" s="7" t="str">
        <f>_xlfn.XLOOKUP(B308,Detail!$G$1:$G$1001,Detail!$B$1:$B$1001)</f>
        <v>A+</v>
      </c>
    </row>
    <row r="309" spans="1:23" ht="15.75" x14ac:dyDescent="0.25">
      <c r="A309" s="7">
        <v>939</v>
      </c>
      <c r="B309" s="33" t="str">
        <f t="shared" si="14"/>
        <v>B0939</v>
      </c>
      <c r="C309" s="7" t="s">
        <v>1014</v>
      </c>
      <c r="D309" s="33" t="str">
        <f>VLOOKUP(B309,Detail!$G$1:$H$1001,2,FALSE)</f>
        <v>Saka Hidayat</v>
      </c>
      <c r="E309" s="7">
        <v>74</v>
      </c>
      <c r="F309" s="7">
        <v>60</v>
      </c>
      <c r="G309" s="57">
        <v>87</v>
      </c>
      <c r="H309" s="7">
        <v>74</v>
      </c>
      <c r="I309" s="7">
        <v>87</v>
      </c>
      <c r="J309" s="7">
        <v>42</v>
      </c>
      <c r="K309" s="7">
        <v>99</v>
      </c>
      <c r="L309" s="56" t="str">
        <f>IFERROR(VLOOKUP(B309,Absen!$A$1:$C$501,2,FALSE),"No")</f>
        <v>No</v>
      </c>
      <c r="M309" s="58">
        <f t="shared" si="12"/>
        <v>9.9</v>
      </c>
      <c r="N309" s="57">
        <f t="shared" si="13"/>
        <v>72.575000000000003</v>
      </c>
      <c r="O309" s="7" t="str">
        <f>VLOOKUP(N309,Helper!$B$30:$C$35,2,TRUE)</f>
        <v>B</v>
      </c>
      <c r="P309" s="56">
        <f>INDEX(Detail!$A$1:$A$1001,MATCH(B309,Detail!$G$1:$G$1001,0))</f>
        <v>38437</v>
      </c>
      <c r="Q309" s="33" t="str">
        <f>INDEX(Detail!$F$1:$F$1001,MATCH(Main!B309,Detail!$G$1:$G$1001,0))</f>
        <v>Pekalongan</v>
      </c>
      <c r="R309" s="7">
        <f>INDEX(Detail!$C$1:$C$1001,MATCH(B309,Detail!$G$1:$G$1001,0),1)</f>
        <v>175</v>
      </c>
      <c r="S309" s="7">
        <f>INDEX(Detail!$D$1:$D$1001,MATCH(B309,Detail!$G$1:$G$1001,0),1)</f>
        <v>49</v>
      </c>
      <c r="T309" s="7" t="str">
        <f>INDEX(Detail!$E$1:$E$1001,MATCH(Main!B309,Detail!$G$1:$G$1001,0))</f>
        <v>Jl. Indragiri No. 66</v>
      </c>
      <c r="U309" s="7" t="str">
        <f>INDEX(Detail!$B$1:$B$1001,MATCH(B309,Detail!$G$1:$G$1001,0),1)</f>
        <v>B+</v>
      </c>
      <c r="V309" s="7" t="str" cm="1">
        <f t="array" ref="V309">INDEX(Dosen!$B$3:$E$8,MATCH(Main!C309,Dosen!$A$3:$A$8,0),IF(AND(Main!A309&gt;=1,Main!A309&lt;=250),1,IF(AND(Main!A309&gt;=251,Main!A309&lt;=500),2,IF(AND(Main!A309&gt;=501,Main!A309&lt;=750),3,4))))</f>
        <v>Pak Budi</v>
      </c>
      <c r="W309" s="7" t="str">
        <f>_xlfn.XLOOKUP(B309,Detail!$G$1:$G$1001,Detail!$B$1:$B$1001)</f>
        <v>B+</v>
      </c>
    </row>
    <row r="310" spans="1:23" ht="15.75" x14ac:dyDescent="0.25">
      <c r="A310" s="7">
        <v>943</v>
      </c>
      <c r="B310" s="33" t="str">
        <f t="shared" si="14"/>
        <v>B0943</v>
      </c>
      <c r="C310" s="7" t="s">
        <v>1014</v>
      </c>
      <c r="D310" s="33" t="str">
        <f>VLOOKUP(B310,Detail!$G$1:$H$1001,2,FALSE)</f>
        <v>Gawati Purwanti</v>
      </c>
      <c r="E310" s="7">
        <v>56</v>
      </c>
      <c r="F310" s="7">
        <v>63</v>
      </c>
      <c r="G310" s="57">
        <v>45</v>
      </c>
      <c r="H310" s="7">
        <v>74</v>
      </c>
      <c r="I310" s="7">
        <v>55</v>
      </c>
      <c r="J310" s="7">
        <v>54</v>
      </c>
      <c r="K310" s="7">
        <v>83</v>
      </c>
      <c r="L310" s="56">
        <f>IFERROR(VLOOKUP(B310,Absen!$A$1:$C$501,2,FALSE),"No")</f>
        <v>44828</v>
      </c>
      <c r="M310" s="58">
        <f t="shared" si="12"/>
        <v>7.3000000000000007</v>
      </c>
      <c r="N310" s="57">
        <f t="shared" si="13"/>
        <v>58.099999999999994</v>
      </c>
      <c r="O310" s="7" t="str">
        <f>VLOOKUP(N310,Helper!$B$30:$C$35,2,TRUE)</f>
        <v>D</v>
      </c>
      <c r="P310" s="56">
        <f>INDEX(Detail!$A$1:$A$1001,MATCH(B310,Detail!$G$1:$G$1001,0))</f>
        <v>38347</v>
      </c>
      <c r="Q310" s="33" t="str">
        <f>INDEX(Detail!$F$1:$F$1001,MATCH(Main!B310,Detail!$G$1:$G$1001,0))</f>
        <v>Tegal</v>
      </c>
      <c r="R310" s="7">
        <f>INDEX(Detail!$C$1:$C$1001,MATCH(B310,Detail!$G$1:$G$1001,0),1)</f>
        <v>161</v>
      </c>
      <c r="S310" s="7">
        <f>INDEX(Detail!$D$1:$D$1001,MATCH(B310,Detail!$G$1:$G$1001,0),1)</f>
        <v>51</v>
      </c>
      <c r="T310" s="7" t="str">
        <f>INDEX(Detail!$E$1:$E$1001,MATCH(Main!B310,Detail!$G$1:$G$1001,0))</f>
        <v>Gg. Monginsidi No. 39</v>
      </c>
      <c r="U310" s="7" t="str">
        <f>INDEX(Detail!$B$1:$B$1001,MATCH(B310,Detail!$G$1:$G$1001,0),1)</f>
        <v>AB+</v>
      </c>
      <c r="V310" s="7" t="str" cm="1">
        <f t="array" ref="V310">INDEX(Dosen!$B$3:$E$8,MATCH(Main!C310,Dosen!$A$3:$A$8,0),IF(AND(Main!A310&gt;=1,Main!A310&lt;=250),1,IF(AND(Main!A310&gt;=251,Main!A310&lt;=500),2,IF(AND(Main!A310&gt;=501,Main!A310&lt;=750),3,4))))</f>
        <v>Pak Budi</v>
      </c>
      <c r="W310" s="7" t="str">
        <f>_xlfn.XLOOKUP(B310,Detail!$G$1:$G$1001,Detail!$B$1:$B$1001)</f>
        <v>AB+</v>
      </c>
    </row>
    <row r="311" spans="1:23" ht="15.75" x14ac:dyDescent="0.25">
      <c r="A311" s="7">
        <v>945</v>
      </c>
      <c r="B311" s="33" t="str">
        <f t="shared" si="14"/>
        <v>B0945</v>
      </c>
      <c r="C311" s="7" t="s">
        <v>1014</v>
      </c>
      <c r="D311" s="33" t="str">
        <f>VLOOKUP(B311,Detail!$G$1:$H$1001,2,FALSE)</f>
        <v>Jaeman Sinaga</v>
      </c>
      <c r="E311" s="7">
        <v>90</v>
      </c>
      <c r="F311" s="7">
        <v>45</v>
      </c>
      <c r="G311" s="57">
        <v>67</v>
      </c>
      <c r="H311" s="7">
        <v>70</v>
      </c>
      <c r="I311" s="7">
        <v>81</v>
      </c>
      <c r="J311" s="7">
        <v>74</v>
      </c>
      <c r="K311" s="7">
        <v>90</v>
      </c>
      <c r="L311" s="56" t="str">
        <f>IFERROR(VLOOKUP(B311,Absen!$A$1:$C$501,2,FALSE),"No")</f>
        <v>No</v>
      </c>
      <c r="M311" s="58">
        <f t="shared" si="12"/>
        <v>9</v>
      </c>
      <c r="N311" s="57">
        <f t="shared" si="13"/>
        <v>72.95</v>
      </c>
      <c r="O311" s="7" t="str">
        <f>VLOOKUP(N311,Helper!$B$30:$C$35,2,TRUE)</f>
        <v>B</v>
      </c>
      <c r="P311" s="56">
        <f>INDEX(Detail!$A$1:$A$1001,MATCH(B311,Detail!$G$1:$G$1001,0))</f>
        <v>38185</v>
      </c>
      <c r="Q311" s="33" t="str">
        <f>INDEX(Detail!$F$1:$F$1001,MATCH(Main!B311,Detail!$G$1:$G$1001,0))</f>
        <v>Kota Administrasi Jakarta Utara</v>
      </c>
      <c r="R311" s="7">
        <f>INDEX(Detail!$C$1:$C$1001,MATCH(B311,Detail!$G$1:$G$1001,0),1)</f>
        <v>171</v>
      </c>
      <c r="S311" s="7">
        <f>INDEX(Detail!$D$1:$D$1001,MATCH(B311,Detail!$G$1:$G$1001,0),1)</f>
        <v>58</v>
      </c>
      <c r="T311" s="7" t="str">
        <f>INDEX(Detail!$E$1:$E$1001,MATCH(Main!B311,Detail!$G$1:$G$1001,0))</f>
        <v>Jl. Medokan Ayu No. 73</v>
      </c>
      <c r="U311" s="7" t="str">
        <f>INDEX(Detail!$B$1:$B$1001,MATCH(B311,Detail!$G$1:$G$1001,0),1)</f>
        <v>AB-</v>
      </c>
      <c r="V311" s="7" t="str" cm="1">
        <f t="array" ref="V311">INDEX(Dosen!$B$3:$E$8,MATCH(Main!C311,Dosen!$A$3:$A$8,0),IF(AND(Main!A311&gt;=1,Main!A311&lt;=250),1,IF(AND(Main!A311&gt;=251,Main!A311&lt;=500),2,IF(AND(Main!A311&gt;=501,Main!A311&lt;=750),3,4))))</f>
        <v>Pak Budi</v>
      </c>
      <c r="W311" s="7" t="str">
        <f>_xlfn.XLOOKUP(B311,Detail!$G$1:$G$1001,Detail!$B$1:$B$1001)</f>
        <v>AB-</v>
      </c>
    </row>
    <row r="312" spans="1:23" ht="15.75" x14ac:dyDescent="0.25">
      <c r="A312" s="7">
        <v>954</v>
      </c>
      <c r="B312" s="33" t="str">
        <f t="shared" si="14"/>
        <v>B0954</v>
      </c>
      <c r="C312" s="7" t="s">
        <v>1014</v>
      </c>
      <c r="D312" s="33" t="str">
        <f>VLOOKUP(B312,Detail!$G$1:$H$1001,2,FALSE)</f>
        <v>Zamira Simanjuntak</v>
      </c>
      <c r="E312" s="7">
        <v>93</v>
      </c>
      <c r="F312" s="7">
        <v>73</v>
      </c>
      <c r="G312" s="57">
        <v>41</v>
      </c>
      <c r="H312" s="7">
        <v>50</v>
      </c>
      <c r="I312" s="7">
        <v>53</v>
      </c>
      <c r="J312" s="7">
        <v>82</v>
      </c>
      <c r="K312" s="7">
        <v>74</v>
      </c>
      <c r="L312" s="56" t="str">
        <f>IFERROR(VLOOKUP(B312,Absen!$A$1:$C$501,2,FALSE),"No")</f>
        <v>No</v>
      </c>
      <c r="M312" s="58">
        <f t="shared" si="12"/>
        <v>7.4</v>
      </c>
      <c r="N312" s="57">
        <f t="shared" si="13"/>
        <v>65.625000000000014</v>
      </c>
      <c r="O312" s="7" t="str">
        <f>VLOOKUP(N312,Helper!$B$30:$C$35,2,TRUE)</f>
        <v>C</v>
      </c>
      <c r="P312" s="56">
        <f>INDEX(Detail!$A$1:$A$1001,MATCH(B312,Detail!$G$1:$G$1001,0))</f>
        <v>37996</v>
      </c>
      <c r="Q312" s="33" t="str">
        <f>INDEX(Detail!$F$1:$F$1001,MATCH(Main!B312,Detail!$G$1:$G$1001,0))</f>
        <v>Pasuruan</v>
      </c>
      <c r="R312" s="7">
        <f>INDEX(Detail!$C$1:$C$1001,MATCH(B312,Detail!$G$1:$G$1001,0),1)</f>
        <v>150</v>
      </c>
      <c r="S312" s="7">
        <f>INDEX(Detail!$D$1:$D$1001,MATCH(B312,Detail!$G$1:$G$1001,0),1)</f>
        <v>86</v>
      </c>
      <c r="T312" s="7" t="str">
        <f>INDEX(Detail!$E$1:$E$1001,MATCH(Main!B312,Detail!$G$1:$G$1001,0))</f>
        <v xml:space="preserve">Jalan Cihampelas No. 5
</v>
      </c>
      <c r="U312" s="7" t="str">
        <f>INDEX(Detail!$B$1:$B$1001,MATCH(B312,Detail!$G$1:$G$1001,0),1)</f>
        <v>A-</v>
      </c>
      <c r="V312" s="7" t="str" cm="1">
        <f t="array" ref="V312">INDEX(Dosen!$B$3:$E$8,MATCH(Main!C312,Dosen!$A$3:$A$8,0),IF(AND(Main!A312&gt;=1,Main!A312&lt;=250),1,IF(AND(Main!A312&gt;=251,Main!A312&lt;=500),2,IF(AND(Main!A312&gt;=501,Main!A312&lt;=750),3,4))))</f>
        <v>Pak Budi</v>
      </c>
      <c r="W312" s="7" t="str">
        <f>_xlfn.XLOOKUP(B312,Detail!$G$1:$G$1001,Detail!$B$1:$B$1001)</f>
        <v>A-</v>
      </c>
    </row>
    <row r="313" spans="1:23" ht="15.75" x14ac:dyDescent="0.25">
      <c r="A313" s="7">
        <v>955</v>
      </c>
      <c r="B313" s="33" t="str">
        <f t="shared" si="14"/>
        <v>B0955</v>
      </c>
      <c r="C313" s="7" t="s">
        <v>1014</v>
      </c>
      <c r="D313" s="33" t="str">
        <f>VLOOKUP(B313,Detail!$G$1:$H$1001,2,FALSE)</f>
        <v>Adhiarja Hartati</v>
      </c>
      <c r="E313" s="7">
        <v>82</v>
      </c>
      <c r="F313" s="7">
        <v>43</v>
      </c>
      <c r="G313" s="57">
        <v>86</v>
      </c>
      <c r="H313" s="7">
        <v>56</v>
      </c>
      <c r="I313" s="7">
        <v>50</v>
      </c>
      <c r="J313" s="7">
        <v>63</v>
      </c>
      <c r="K313" s="7">
        <v>94</v>
      </c>
      <c r="L313" s="56" t="str">
        <f>IFERROR(VLOOKUP(B313,Absen!$A$1:$C$501,2,FALSE),"No")</f>
        <v>No</v>
      </c>
      <c r="M313" s="58">
        <f t="shared" si="12"/>
        <v>9.4</v>
      </c>
      <c r="N313" s="57">
        <f t="shared" si="13"/>
        <v>68.075000000000003</v>
      </c>
      <c r="O313" s="7" t="str">
        <f>VLOOKUP(N313,Helper!$B$30:$C$35,2,TRUE)</f>
        <v>C</v>
      </c>
      <c r="P313" s="56">
        <f>INDEX(Detail!$A$1:$A$1001,MATCH(B313,Detail!$G$1:$G$1001,0))</f>
        <v>37859</v>
      </c>
      <c r="Q313" s="33" t="str">
        <f>INDEX(Detail!$F$1:$F$1001,MATCH(Main!B313,Detail!$G$1:$G$1001,0))</f>
        <v>Samarinda</v>
      </c>
      <c r="R313" s="7">
        <f>INDEX(Detail!$C$1:$C$1001,MATCH(B313,Detail!$G$1:$G$1001,0),1)</f>
        <v>162</v>
      </c>
      <c r="S313" s="7">
        <f>INDEX(Detail!$D$1:$D$1001,MATCH(B313,Detail!$G$1:$G$1001,0),1)</f>
        <v>86</v>
      </c>
      <c r="T313" s="7" t="str">
        <f>INDEX(Detail!$E$1:$E$1001,MATCH(Main!B313,Detail!$G$1:$G$1001,0))</f>
        <v>Gg. Gedebage Selatan No. 16</v>
      </c>
      <c r="U313" s="7" t="str">
        <f>INDEX(Detail!$B$1:$B$1001,MATCH(B313,Detail!$G$1:$G$1001,0),1)</f>
        <v>A+</v>
      </c>
      <c r="V313" s="7" t="str" cm="1">
        <f t="array" ref="V313">INDEX(Dosen!$B$3:$E$8,MATCH(Main!C313,Dosen!$A$3:$A$8,0),IF(AND(Main!A313&gt;=1,Main!A313&lt;=250),1,IF(AND(Main!A313&gt;=251,Main!A313&lt;=500),2,IF(AND(Main!A313&gt;=501,Main!A313&lt;=750),3,4))))</f>
        <v>Pak Budi</v>
      </c>
      <c r="W313" s="7" t="str">
        <f>_xlfn.XLOOKUP(B313,Detail!$G$1:$G$1001,Detail!$B$1:$B$1001)</f>
        <v>A+</v>
      </c>
    </row>
    <row r="314" spans="1:23" ht="15.75" x14ac:dyDescent="0.25">
      <c r="A314" s="7">
        <v>956</v>
      </c>
      <c r="B314" s="33" t="str">
        <f t="shared" si="14"/>
        <v>B0956</v>
      </c>
      <c r="C314" s="7" t="s">
        <v>1014</v>
      </c>
      <c r="D314" s="33" t="str">
        <f>VLOOKUP(B314,Detail!$G$1:$H$1001,2,FALSE)</f>
        <v>Bahuwirya Novitasari</v>
      </c>
      <c r="E314" s="7">
        <v>65</v>
      </c>
      <c r="F314" s="7">
        <v>58</v>
      </c>
      <c r="G314" s="57">
        <v>77</v>
      </c>
      <c r="H314" s="7">
        <v>55</v>
      </c>
      <c r="I314" s="7">
        <v>88</v>
      </c>
      <c r="J314" s="7">
        <v>80</v>
      </c>
      <c r="K314" s="7">
        <v>80</v>
      </c>
      <c r="L314" s="56" t="str">
        <f>IFERROR(VLOOKUP(B314,Absen!$A$1:$C$501,2,FALSE),"No")</f>
        <v>No</v>
      </c>
      <c r="M314" s="58">
        <f t="shared" si="12"/>
        <v>8</v>
      </c>
      <c r="N314" s="57">
        <f t="shared" si="13"/>
        <v>72.650000000000006</v>
      </c>
      <c r="O314" s="7" t="str">
        <f>VLOOKUP(N314,Helper!$B$30:$C$35,2,TRUE)</f>
        <v>B</v>
      </c>
      <c r="P314" s="56">
        <f>INDEX(Detail!$A$1:$A$1001,MATCH(B314,Detail!$G$1:$G$1001,0))</f>
        <v>37061</v>
      </c>
      <c r="Q314" s="33" t="str">
        <f>INDEX(Detail!$F$1:$F$1001,MATCH(Main!B314,Detail!$G$1:$G$1001,0))</f>
        <v>Denpasar</v>
      </c>
      <c r="R314" s="7">
        <f>INDEX(Detail!$C$1:$C$1001,MATCH(B314,Detail!$G$1:$G$1001,0),1)</f>
        <v>177</v>
      </c>
      <c r="S314" s="7">
        <f>INDEX(Detail!$D$1:$D$1001,MATCH(B314,Detail!$G$1:$G$1001,0),1)</f>
        <v>93</v>
      </c>
      <c r="T314" s="7" t="str">
        <f>INDEX(Detail!$E$1:$E$1001,MATCH(Main!B314,Detail!$G$1:$G$1001,0))</f>
        <v>Gang Cikutra Barat No. 03</v>
      </c>
      <c r="U314" s="7" t="str">
        <f>INDEX(Detail!$B$1:$B$1001,MATCH(B314,Detail!$G$1:$G$1001,0),1)</f>
        <v>AB-</v>
      </c>
      <c r="V314" s="7" t="str" cm="1">
        <f t="array" ref="V314">INDEX(Dosen!$B$3:$E$8,MATCH(Main!C314,Dosen!$A$3:$A$8,0),IF(AND(Main!A314&gt;=1,Main!A314&lt;=250),1,IF(AND(Main!A314&gt;=251,Main!A314&lt;=500),2,IF(AND(Main!A314&gt;=501,Main!A314&lt;=750),3,4))))</f>
        <v>Pak Budi</v>
      </c>
      <c r="W314" s="7" t="str">
        <f>_xlfn.XLOOKUP(B314,Detail!$G$1:$G$1001,Detail!$B$1:$B$1001)</f>
        <v>AB-</v>
      </c>
    </row>
    <row r="315" spans="1:23" ht="15.75" x14ac:dyDescent="0.25">
      <c r="A315" s="7">
        <v>960</v>
      </c>
      <c r="B315" s="33" t="str">
        <f t="shared" si="14"/>
        <v>B0960</v>
      </c>
      <c r="C315" s="7" t="s">
        <v>1014</v>
      </c>
      <c r="D315" s="33" t="str">
        <f>VLOOKUP(B315,Detail!$G$1:$H$1001,2,FALSE)</f>
        <v>Aris Purnawati</v>
      </c>
      <c r="E315" s="7">
        <v>94</v>
      </c>
      <c r="F315" s="7">
        <v>73</v>
      </c>
      <c r="G315" s="57">
        <v>59</v>
      </c>
      <c r="H315" s="7">
        <v>71</v>
      </c>
      <c r="I315" s="7">
        <v>95</v>
      </c>
      <c r="J315" s="7">
        <v>78</v>
      </c>
      <c r="K315" s="7">
        <v>98</v>
      </c>
      <c r="L315" s="56" t="str">
        <f>IFERROR(VLOOKUP(B315,Absen!$A$1:$C$501,2,FALSE),"No")</f>
        <v>No</v>
      </c>
      <c r="M315" s="58">
        <f t="shared" si="12"/>
        <v>9.8000000000000007</v>
      </c>
      <c r="N315" s="57">
        <f t="shared" si="13"/>
        <v>78.825000000000003</v>
      </c>
      <c r="O315" s="7" t="str">
        <f>VLOOKUP(N315,Helper!$B$30:$C$35,2,TRUE)</f>
        <v>B</v>
      </c>
      <c r="P315" s="56">
        <f>INDEX(Detail!$A$1:$A$1001,MATCH(B315,Detail!$G$1:$G$1001,0))</f>
        <v>38014</v>
      </c>
      <c r="Q315" s="33" t="str">
        <f>INDEX(Detail!$F$1:$F$1001,MATCH(Main!B315,Detail!$G$1:$G$1001,0))</f>
        <v>Prabumulih</v>
      </c>
      <c r="R315" s="7">
        <f>INDEX(Detail!$C$1:$C$1001,MATCH(B315,Detail!$G$1:$G$1001,0),1)</f>
        <v>154</v>
      </c>
      <c r="S315" s="7">
        <f>INDEX(Detail!$D$1:$D$1001,MATCH(B315,Detail!$G$1:$G$1001,0),1)</f>
        <v>71</v>
      </c>
      <c r="T315" s="7" t="str">
        <f>INDEX(Detail!$E$1:$E$1001,MATCH(Main!B315,Detail!$G$1:$G$1001,0))</f>
        <v>Gang HOS. Cokroaminoto No. 41</v>
      </c>
      <c r="U315" s="7" t="str">
        <f>INDEX(Detail!$B$1:$B$1001,MATCH(B315,Detail!$G$1:$G$1001,0),1)</f>
        <v>A-</v>
      </c>
      <c r="V315" s="7" t="str" cm="1">
        <f t="array" ref="V315">INDEX(Dosen!$B$3:$E$8,MATCH(Main!C315,Dosen!$A$3:$A$8,0),IF(AND(Main!A315&gt;=1,Main!A315&lt;=250),1,IF(AND(Main!A315&gt;=251,Main!A315&lt;=500),2,IF(AND(Main!A315&gt;=501,Main!A315&lt;=750),3,4))))</f>
        <v>Pak Budi</v>
      </c>
      <c r="W315" s="7" t="str">
        <f>_xlfn.XLOOKUP(B315,Detail!$G$1:$G$1001,Detail!$B$1:$B$1001)</f>
        <v>A-</v>
      </c>
    </row>
    <row r="316" spans="1:23" ht="15.75" x14ac:dyDescent="0.25">
      <c r="A316" s="7">
        <v>962</v>
      </c>
      <c r="B316" s="33" t="str">
        <f t="shared" si="14"/>
        <v>B0962</v>
      </c>
      <c r="C316" s="7" t="s">
        <v>1014</v>
      </c>
      <c r="D316" s="33" t="str">
        <f>VLOOKUP(B316,Detail!$G$1:$H$1001,2,FALSE)</f>
        <v>Damu Pradana</v>
      </c>
      <c r="E316" s="7">
        <v>64</v>
      </c>
      <c r="F316" s="7">
        <v>53</v>
      </c>
      <c r="G316" s="57">
        <v>49</v>
      </c>
      <c r="H316" s="7">
        <v>56</v>
      </c>
      <c r="I316" s="7">
        <v>74</v>
      </c>
      <c r="J316" s="7">
        <v>56</v>
      </c>
      <c r="K316" s="7">
        <v>84</v>
      </c>
      <c r="L316" s="56" t="str">
        <f>IFERROR(VLOOKUP(B316,Absen!$A$1:$C$501,2,FALSE),"No")</f>
        <v>No</v>
      </c>
      <c r="M316" s="58">
        <f t="shared" si="12"/>
        <v>8.4</v>
      </c>
      <c r="N316" s="57">
        <f t="shared" si="13"/>
        <v>60.274999999999999</v>
      </c>
      <c r="O316" s="7" t="str">
        <f>VLOOKUP(N316,Helper!$B$30:$C$35,2,TRUE)</f>
        <v>C</v>
      </c>
      <c r="P316" s="56">
        <f>INDEX(Detail!$A$1:$A$1001,MATCH(B316,Detail!$G$1:$G$1001,0))</f>
        <v>37142</v>
      </c>
      <c r="Q316" s="33" t="str">
        <f>INDEX(Detail!$F$1:$F$1001,MATCH(Main!B316,Detail!$G$1:$G$1001,0))</f>
        <v>Jayapura</v>
      </c>
      <c r="R316" s="7">
        <f>INDEX(Detail!$C$1:$C$1001,MATCH(B316,Detail!$G$1:$G$1001,0),1)</f>
        <v>177</v>
      </c>
      <c r="S316" s="7">
        <f>INDEX(Detail!$D$1:$D$1001,MATCH(B316,Detail!$G$1:$G$1001,0),1)</f>
        <v>80</v>
      </c>
      <c r="T316" s="7" t="str">
        <f>INDEX(Detail!$E$1:$E$1001,MATCH(Main!B316,Detail!$G$1:$G$1001,0))</f>
        <v xml:space="preserve">Jl. M.T Haryono No. 0
</v>
      </c>
      <c r="U316" s="7" t="str">
        <f>INDEX(Detail!$B$1:$B$1001,MATCH(B316,Detail!$G$1:$G$1001,0),1)</f>
        <v>A-</v>
      </c>
      <c r="V316" s="7" t="str" cm="1">
        <f t="array" ref="V316">INDEX(Dosen!$B$3:$E$8,MATCH(Main!C316,Dosen!$A$3:$A$8,0),IF(AND(Main!A316&gt;=1,Main!A316&lt;=250),1,IF(AND(Main!A316&gt;=251,Main!A316&lt;=500),2,IF(AND(Main!A316&gt;=501,Main!A316&lt;=750),3,4))))</f>
        <v>Pak Budi</v>
      </c>
      <c r="W316" s="7" t="str">
        <f>_xlfn.XLOOKUP(B316,Detail!$G$1:$G$1001,Detail!$B$1:$B$1001)</f>
        <v>A-</v>
      </c>
    </row>
    <row r="317" spans="1:23" ht="15.75" x14ac:dyDescent="0.25">
      <c r="A317" s="7">
        <v>963</v>
      </c>
      <c r="B317" s="33" t="str">
        <f t="shared" si="14"/>
        <v>B0963</v>
      </c>
      <c r="C317" s="7" t="s">
        <v>1014</v>
      </c>
      <c r="D317" s="33" t="str">
        <f>VLOOKUP(B317,Detail!$G$1:$H$1001,2,FALSE)</f>
        <v>Alambana Purwanti</v>
      </c>
      <c r="E317" s="7">
        <v>82</v>
      </c>
      <c r="F317" s="7">
        <v>59</v>
      </c>
      <c r="G317" s="57">
        <v>61</v>
      </c>
      <c r="H317" s="7">
        <v>74</v>
      </c>
      <c r="I317" s="7">
        <v>53</v>
      </c>
      <c r="J317" s="7">
        <v>82</v>
      </c>
      <c r="K317" s="7">
        <v>78</v>
      </c>
      <c r="L317" s="56">
        <f>IFERROR(VLOOKUP(B317,Absen!$A$1:$C$501,2,FALSE),"No")</f>
        <v>44823</v>
      </c>
      <c r="M317" s="58">
        <f t="shared" si="12"/>
        <v>6.8000000000000007</v>
      </c>
      <c r="N317" s="57">
        <f t="shared" si="13"/>
        <v>68.900000000000006</v>
      </c>
      <c r="O317" s="7" t="str">
        <f>VLOOKUP(N317,Helper!$B$30:$C$35,2,TRUE)</f>
        <v>C</v>
      </c>
      <c r="P317" s="56">
        <f>INDEX(Detail!$A$1:$A$1001,MATCH(B317,Detail!$G$1:$G$1001,0))</f>
        <v>37219</v>
      </c>
      <c r="Q317" s="33" t="str">
        <f>INDEX(Detail!$F$1:$F$1001,MATCH(Main!B317,Detail!$G$1:$G$1001,0))</f>
        <v>Tangerang</v>
      </c>
      <c r="R317" s="7">
        <f>INDEX(Detail!$C$1:$C$1001,MATCH(B317,Detail!$G$1:$G$1001,0),1)</f>
        <v>155</v>
      </c>
      <c r="S317" s="7">
        <f>INDEX(Detail!$D$1:$D$1001,MATCH(B317,Detail!$G$1:$G$1001,0),1)</f>
        <v>49</v>
      </c>
      <c r="T317" s="7" t="str">
        <f>INDEX(Detail!$E$1:$E$1001,MATCH(Main!B317,Detail!$G$1:$G$1001,0))</f>
        <v>Jl. Sadang Serang No. 28</v>
      </c>
      <c r="U317" s="7" t="str">
        <f>INDEX(Detail!$B$1:$B$1001,MATCH(B317,Detail!$G$1:$G$1001,0),1)</f>
        <v>AB+</v>
      </c>
      <c r="V317" s="7" t="str" cm="1">
        <f t="array" ref="V317">INDEX(Dosen!$B$3:$E$8,MATCH(Main!C317,Dosen!$A$3:$A$8,0),IF(AND(Main!A317&gt;=1,Main!A317&lt;=250),1,IF(AND(Main!A317&gt;=251,Main!A317&lt;=500),2,IF(AND(Main!A317&gt;=501,Main!A317&lt;=750),3,4))))</f>
        <v>Pak Budi</v>
      </c>
      <c r="W317" s="7" t="str">
        <f>_xlfn.XLOOKUP(B317,Detail!$G$1:$G$1001,Detail!$B$1:$B$1001)</f>
        <v>AB+</v>
      </c>
    </row>
    <row r="318" spans="1:23" ht="15.75" x14ac:dyDescent="0.25">
      <c r="A318" s="7">
        <v>973</v>
      </c>
      <c r="B318" s="33" t="str">
        <f t="shared" si="14"/>
        <v>B0973</v>
      </c>
      <c r="C318" s="7" t="s">
        <v>1014</v>
      </c>
      <c r="D318" s="33" t="str">
        <f>VLOOKUP(B318,Detail!$G$1:$H$1001,2,FALSE)</f>
        <v>Martani Mulyani</v>
      </c>
      <c r="E318" s="7">
        <v>91</v>
      </c>
      <c r="F318" s="7">
        <v>62</v>
      </c>
      <c r="G318" s="57">
        <v>68</v>
      </c>
      <c r="H318" s="7">
        <v>69</v>
      </c>
      <c r="I318" s="7">
        <v>72</v>
      </c>
      <c r="J318" s="7">
        <v>81</v>
      </c>
      <c r="K318" s="7">
        <v>71</v>
      </c>
      <c r="L318" s="56">
        <f>IFERROR(VLOOKUP(B318,Absen!$A$1:$C$501,2,FALSE),"No")</f>
        <v>44823</v>
      </c>
      <c r="M318" s="58">
        <f t="shared" si="12"/>
        <v>6.1000000000000005</v>
      </c>
      <c r="N318" s="57">
        <f t="shared" si="13"/>
        <v>72.649999999999991</v>
      </c>
      <c r="O318" s="7" t="str">
        <f>VLOOKUP(N318,Helper!$B$30:$C$35,2,TRUE)</f>
        <v>B</v>
      </c>
      <c r="P318" s="56">
        <f>INDEX(Detail!$A$1:$A$1001,MATCH(B318,Detail!$G$1:$G$1001,0))</f>
        <v>37924</v>
      </c>
      <c r="Q318" s="33" t="str">
        <f>INDEX(Detail!$F$1:$F$1001,MATCH(Main!B318,Detail!$G$1:$G$1001,0))</f>
        <v>Tangerang Selatan</v>
      </c>
      <c r="R318" s="7">
        <f>INDEX(Detail!$C$1:$C$1001,MATCH(B318,Detail!$G$1:$G$1001,0),1)</f>
        <v>172</v>
      </c>
      <c r="S318" s="7">
        <f>INDEX(Detail!$D$1:$D$1001,MATCH(B318,Detail!$G$1:$G$1001,0),1)</f>
        <v>93</v>
      </c>
      <c r="T318" s="7" t="str">
        <f>INDEX(Detail!$E$1:$E$1001,MATCH(Main!B318,Detail!$G$1:$G$1001,0))</f>
        <v xml:space="preserve">Gang Sadang Serang No. 5
</v>
      </c>
      <c r="U318" s="7" t="str">
        <f>INDEX(Detail!$B$1:$B$1001,MATCH(B318,Detail!$G$1:$G$1001,0),1)</f>
        <v>AB+</v>
      </c>
      <c r="V318" s="7" t="str" cm="1">
        <f t="array" ref="V318">INDEX(Dosen!$B$3:$E$8,MATCH(Main!C318,Dosen!$A$3:$A$8,0),IF(AND(Main!A318&gt;=1,Main!A318&lt;=250),1,IF(AND(Main!A318&gt;=251,Main!A318&lt;=500),2,IF(AND(Main!A318&gt;=501,Main!A318&lt;=750),3,4))))</f>
        <v>Pak Budi</v>
      </c>
      <c r="W318" s="7" t="str">
        <f>_xlfn.XLOOKUP(B318,Detail!$G$1:$G$1001,Detail!$B$1:$B$1001)</f>
        <v>AB+</v>
      </c>
    </row>
    <row r="319" spans="1:23" ht="15.75" x14ac:dyDescent="0.25">
      <c r="A319" s="7">
        <v>982</v>
      </c>
      <c r="B319" s="33" t="str">
        <f t="shared" si="14"/>
        <v>B0982</v>
      </c>
      <c r="C319" s="7" t="s">
        <v>1014</v>
      </c>
      <c r="D319" s="33" t="str">
        <f>VLOOKUP(B319,Detail!$G$1:$H$1001,2,FALSE)</f>
        <v>Damu Suwarno</v>
      </c>
      <c r="E319" s="7">
        <v>95</v>
      </c>
      <c r="F319" s="7">
        <v>45</v>
      </c>
      <c r="G319" s="57">
        <v>94</v>
      </c>
      <c r="H319" s="7">
        <v>66</v>
      </c>
      <c r="I319" s="7">
        <v>94</v>
      </c>
      <c r="J319" s="7">
        <v>90</v>
      </c>
      <c r="K319" s="7">
        <v>99</v>
      </c>
      <c r="L319" s="56">
        <f>IFERROR(VLOOKUP(B319,Absen!$A$1:$C$501,2,FALSE),"No")</f>
        <v>44859</v>
      </c>
      <c r="M319" s="58">
        <f t="shared" si="12"/>
        <v>8.9</v>
      </c>
      <c r="N319" s="57">
        <f t="shared" si="13"/>
        <v>83.2</v>
      </c>
      <c r="O319" s="7" t="str">
        <f>VLOOKUP(N319,Helper!$B$30:$C$35,2,TRUE)</f>
        <v>A</v>
      </c>
      <c r="P319" s="56">
        <f>INDEX(Detail!$A$1:$A$1001,MATCH(B319,Detail!$G$1:$G$1001,0))</f>
        <v>37163</v>
      </c>
      <c r="Q319" s="33" t="str">
        <f>INDEX(Detail!$F$1:$F$1001,MATCH(Main!B319,Detail!$G$1:$G$1001,0))</f>
        <v>Bontang</v>
      </c>
      <c r="R319" s="7">
        <f>INDEX(Detail!$C$1:$C$1001,MATCH(B319,Detail!$G$1:$G$1001,0),1)</f>
        <v>158</v>
      </c>
      <c r="S319" s="7">
        <f>INDEX(Detail!$D$1:$D$1001,MATCH(B319,Detail!$G$1:$G$1001,0),1)</f>
        <v>85</v>
      </c>
      <c r="T319" s="7" t="str">
        <f>INDEX(Detail!$E$1:$E$1001,MATCH(Main!B319,Detail!$G$1:$G$1001,0))</f>
        <v>Gg. Ciumbuleuit No. 29</v>
      </c>
      <c r="U319" s="7" t="str">
        <f>INDEX(Detail!$B$1:$B$1001,MATCH(B319,Detail!$G$1:$G$1001,0),1)</f>
        <v>B-</v>
      </c>
      <c r="V319" s="7" t="str" cm="1">
        <f t="array" ref="V319">INDEX(Dosen!$B$3:$E$8,MATCH(Main!C319,Dosen!$A$3:$A$8,0),IF(AND(Main!A319&gt;=1,Main!A319&lt;=250),1,IF(AND(Main!A319&gt;=251,Main!A319&lt;=500),2,IF(AND(Main!A319&gt;=501,Main!A319&lt;=750),3,4))))</f>
        <v>Pak Budi</v>
      </c>
      <c r="W319" s="7" t="str">
        <f>_xlfn.XLOOKUP(B319,Detail!$G$1:$G$1001,Detail!$B$1:$B$1001)</f>
        <v>B-</v>
      </c>
    </row>
    <row r="320" spans="1:23" ht="15.75" x14ac:dyDescent="0.25">
      <c r="A320" s="7">
        <v>993</v>
      </c>
      <c r="B320" s="33" t="str">
        <f t="shared" si="14"/>
        <v>B0993</v>
      </c>
      <c r="C320" s="7" t="s">
        <v>1014</v>
      </c>
      <c r="D320" s="33" t="str">
        <f>VLOOKUP(B320,Detail!$G$1:$H$1001,2,FALSE)</f>
        <v>Novi Prabowo</v>
      </c>
      <c r="E320" s="7">
        <v>89</v>
      </c>
      <c r="F320" s="7">
        <v>63</v>
      </c>
      <c r="G320" s="57">
        <v>66</v>
      </c>
      <c r="H320" s="7">
        <v>55</v>
      </c>
      <c r="I320" s="7">
        <v>95</v>
      </c>
      <c r="J320" s="7">
        <v>75</v>
      </c>
      <c r="K320" s="7">
        <v>93</v>
      </c>
      <c r="L320" s="56">
        <f>IFERROR(VLOOKUP(B320,Absen!$A$1:$C$501,2,FALSE),"No")</f>
        <v>44810</v>
      </c>
      <c r="M320" s="58">
        <f t="shared" si="12"/>
        <v>8.3000000000000007</v>
      </c>
      <c r="N320" s="57">
        <f t="shared" si="13"/>
        <v>74.25</v>
      </c>
      <c r="O320" s="7" t="str">
        <f>VLOOKUP(N320,Helper!$B$30:$C$35,2,TRUE)</f>
        <v>B</v>
      </c>
      <c r="P320" s="56">
        <f>INDEX(Detail!$A$1:$A$1001,MATCH(B320,Detail!$G$1:$G$1001,0))</f>
        <v>38204</v>
      </c>
      <c r="Q320" s="33" t="str">
        <f>INDEX(Detail!$F$1:$F$1001,MATCH(Main!B320,Detail!$G$1:$G$1001,0))</f>
        <v>Pariaman</v>
      </c>
      <c r="R320" s="7">
        <f>INDEX(Detail!$C$1:$C$1001,MATCH(B320,Detail!$G$1:$G$1001,0),1)</f>
        <v>157</v>
      </c>
      <c r="S320" s="7">
        <f>INDEX(Detail!$D$1:$D$1001,MATCH(B320,Detail!$G$1:$G$1001,0),1)</f>
        <v>51</v>
      </c>
      <c r="T320" s="7" t="str">
        <f>INDEX(Detail!$E$1:$E$1001,MATCH(Main!B320,Detail!$G$1:$G$1001,0))</f>
        <v xml:space="preserve">Gang Cihampelas No. 1
</v>
      </c>
      <c r="U320" s="7" t="str">
        <f>INDEX(Detail!$B$1:$B$1001,MATCH(B320,Detail!$G$1:$G$1001,0),1)</f>
        <v>A-</v>
      </c>
      <c r="V320" s="7" t="str" cm="1">
        <f t="array" ref="V320">INDEX(Dosen!$B$3:$E$8,MATCH(Main!C320,Dosen!$A$3:$A$8,0),IF(AND(Main!A320&gt;=1,Main!A320&lt;=250),1,IF(AND(Main!A320&gt;=251,Main!A320&lt;=500),2,IF(AND(Main!A320&gt;=501,Main!A320&lt;=750),3,4))))</f>
        <v>Pak Budi</v>
      </c>
      <c r="W320" s="7" t="str">
        <f>_xlfn.XLOOKUP(B320,Detail!$G$1:$G$1001,Detail!$B$1:$B$1001)</f>
        <v>A-</v>
      </c>
    </row>
    <row r="321" spans="1:23" ht="15.75" x14ac:dyDescent="0.25">
      <c r="A321" s="7">
        <v>19</v>
      </c>
      <c r="B321" s="33" t="str">
        <f t="shared" ref="B321:B352" si="15">CONCATENATE("C",TEXT(A321,"0000"))</f>
        <v>C0019</v>
      </c>
      <c r="C321" s="7" t="s">
        <v>1012</v>
      </c>
      <c r="D321" s="33" t="str">
        <f>VLOOKUP(B321,Detail!$G$1:$H$1001,2,FALSE)</f>
        <v>Daniswara Manullang</v>
      </c>
      <c r="E321" s="7">
        <v>85</v>
      </c>
      <c r="F321" s="7">
        <v>63</v>
      </c>
      <c r="G321" s="57">
        <v>93</v>
      </c>
      <c r="H321" s="7">
        <v>65</v>
      </c>
      <c r="I321" s="7">
        <v>84</v>
      </c>
      <c r="J321" s="7">
        <v>48</v>
      </c>
      <c r="K321" s="7">
        <v>89</v>
      </c>
      <c r="L321" s="56">
        <f>IFERROR(VLOOKUP(B321,Absen!$A$1:$C$501,2,FALSE),"No")</f>
        <v>44846</v>
      </c>
      <c r="M321" s="58">
        <f t="shared" si="12"/>
        <v>7.9</v>
      </c>
      <c r="N321" s="57">
        <f t="shared" si="13"/>
        <v>73.225000000000009</v>
      </c>
      <c r="O321" s="7" t="str">
        <f>VLOOKUP(N321,Helper!$B$30:$C$35,2,TRUE)</f>
        <v>B</v>
      </c>
      <c r="P321" s="56">
        <f>INDEX(Detail!$A$1:$A$1001,MATCH(B321,Detail!$G$1:$G$1001,0))</f>
        <v>38185</v>
      </c>
      <c r="Q321" s="33" t="str">
        <f>INDEX(Detail!$F$1:$F$1001,MATCH(Main!B321,Detail!$G$1:$G$1001,0))</f>
        <v>Banda Aceh</v>
      </c>
      <c r="R321" s="7">
        <f>INDEX(Detail!$C$1:$C$1001,MATCH(B321,Detail!$G$1:$G$1001,0),1)</f>
        <v>161</v>
      </c>
      <c r="S321" s="7">
        <f>INDEX(Detail!$D$1:$D$1001,MATCH(B321,Detail!$G$1:$G$1001,0),1)</f>
        <v>89</v>
      </c>
      <c r="T321" s="7" t="str">
        <f>INDEX(Detail!$E$1:$E$1001,MATCH(Main!B321,Detail!$G$1:$G$1001,0))</f>
        <v>Jalan Dipenogoro No. 70</v>
      </c>
      <c r="U321" s="7" t="str">
        <f>INDEX(Detail!$B$1:$B$1001,MATCH(B321,Detail!$G$1:$G$1001,0),1)</f>
        <v>AB+</v>
      </c>
      <c r="V321" s="7" t="str" cm="1">
        <f t="array" ref="V321">INDEX(Dosen!$B$3:$E$8,MATCH(Main!C321,Dosen!$A$3:$A$8,0),IF(AND(Main!A321&gt;=1,Main!A321&lt;=250),1,IF(AND(Main!A321&gt;=251,Main!A321&lt;=500),2,IF(AND(Main!A321&gt;=501,Main!A321&lt;=750),3,4))))</f>
        <v>Pak Budi</v>
      </c>
      <c r="W321" s="7" t="str">
        <f>_xlfn.XLOOKUP(B321,Detail!$G$1:$G$1001,Detail!$B$1:$B$1001)</f>
        <v>AB+</v>
      </c>
    </row>
    <row r="322" spans="1:23" ht="15.75" x14ac:dyDescent="0.25">
      <c r="A322" s="7">
        <v>29</v>
      </c>
      <c r="B322" s="33" t="str">
        <f t="shared" si="15"/>
        <v>C0029</v>
      </c>
      <c r="C322" s="7" t="s">
        <v>1012</v>
      </c>
      <c r="D322" s="33" t="str">
        <f>VLOOKUP(B322,Detail!$G$1:$H$1001,2,FALSE)</f>
        <v>Banawi Laksita</v>
      </c>
      <c r="E322" s="7">
        <v>72</v>
      </c>
      <c r="F322" s="7">
        <v>51</v>
      </c>
      <c r="G322" s="57">
        <v>43</v>
      </c>
      <c r="H322" s="7">
        <v>74</v>
      </c>
      <c r="I322" s="7">
        <v>56</v>
      </c>
      <c r="J322" s="7">
        <v>50</v>
      </c>
      <c r="K322" s="7">
        <v>79</v>
      </c>
      <c r="L322" s="56">
        <f>IFERROR(VLOOKUP(B322,Absen!$A$1:$C$501,2,FALSE),"No")</f>
        <v>44772</v>
      </c>
      <c r="M322" s="58">
        <f t="shared" ref="M322:M385" si="16">IF(L322="no",K322,K322-10)*10%</f>
        <v>6.9</v>
      </c>
      <c r="N322" s="57">
        <f t="shared" ref="N322:N385" si="17">SUM(E322*12.5%,F322*12.5%,H322*12.5%,I322*12.5%,G322*20%,J322*20%,M322)</f>
        <v>57.125</v>
      </c>
      <c r="O322" s="7" t="str">
        <f>VLOOKUP(N322,Helper!$B$30:$C$35,2,TRUE)</f>
        <v>D</v>
      </c>
      <c r="P322" s="56">
        <f>INDEX(Detail!$A$1:$A$1001,MATCH(B322,Detail!$G$1:$G$1001,0))</f>
        <v>37209</v>
      </c>
      <c r="Q322" s="33" t="str">
        <f>INDEX(Detail!$F$1:$F$1001,MATCH(Main!B322,Detail!$G$1:$G$1001,0))</f>
        <v>Langsa</v>
      </c>
      <c r="R322" s="7">
        <f>INDEX(Detail!$C$1:$C$1001,MATCH(B322,Detail!$G$1:$G$1001,0),1)</f>
        <v>150</v>
      </c>
      <c r="S322" s="7">
        <f>INDEX(Detail!$D$1:$D$1001,MATCH(B322,Detail!$G$1:$G$1001,0),1)</f>
        <v>82</v>
      </c>
      <c r="T322" s="7" t="str">
        <f>INDEX(Detail!$E$1:$E$1001,MATCH(Main!B322,Detail!$G$1:$G$1001,0))</f>
        <v xml:space="preserve">Gang Rajawali Timur No. 4
</v>
      </c>
      <c r="U322" s="7" t="str">
        <f>INDEX(Detail!$B$1:$B$1001,MATCH(B322,Detail!$G$1:$G$1001,0),1)</f>
        <v>A-</v>
      </c>
      <c r="V322" s="7" t="str" cm="1">
        <f t="array" ref="V322">INDEX(Dosen!$B$3:$E$8,MATCH(Main!C322,Dosen!$A$3:$A$8,0),IF(AND(Main!A322&gt;=1,Main!A322&lt;=250),1,IF(AND(Main!A322&gt;=251,Main!A322&lt;=500),2,IF(AND(Main!A322&gt;=501,Main!A322&lt;=750),3,4))))</f>
        <v>Pak Budi</v>
      </c>
      <c r="W322" s="7" t="str">
        <f>_xlfn.XLOOKUP(B322,Detail!$G$1:$G$1001,Detail!$B$1:$B$1001)</f>
        <v>A-</v>
      </c>
    </row>
    <row r="323" spans="1:23" ht="15.75" x14ac:dyDescent="0.25">
      <c r="A323" s="7">
        <v>30</v>
      </c>
      <c r="B323" s="33" t="str">
        <f t="shared" si="15"/>
        <v>C0030</v>
      </c>
      <c r="C323" s="7" t="s">
        <v>1012</v>
      </c>
      <c r="D323" s="33" t="str">
        <f>VLOOKUP(B323,Detail!$G$1:$H$1001,2,FALSE)</f>
        <v>Dewi Budiman</v>
      </c>
      <c r="E323" s="7">
        <v>59</v>
      </c>
      <c r="F323" s="7">
        <v>46</v>
      </c>
      <c r="G323" s="57">
        <v>87</v>
      </c>
      <c r="H323" s="7">
        <v>71</v>
      </c>
      <c r="I323" s="7">
        <v>57</v>
      </c>
      <c r="J323" s="7">
        <v>48</v>
      </c>
      <c r="K323" s="7">
        <v>71</v>
      </c>
      <c r="L323" s="56">
        <f>IFERROR(VLOOKUP(B323,Absen!$A$1:$C$501,2,FALSE),"No")</f>
        <v>44883</v>
      </c>
      <c r="M323" s="58">
        <f t="shared" si="16"/>
        <v>6.1000000000000005</v>
      </c>
      <c r="N323" s="57">
        <f t="shared" si="17"/>
        <v>62.225000000000009</v>
      </c>
      <c r="O323" s="7" t="str">
        <f>VLOOKUP(N323,Helper!$B$30:$C$35,2,TRUE)</f>
        <v>C</v>
      </c>
      <c r="P323" s="56">
        <f>INDEX(Detail!$A$1:$A$1001,MATCH(B323,Detail!$G$1:$G$1001,0))</f>
        <v>38444</v>
      </c>
      <c r="Q323" s="33" t="str">
        <f>INDEX(Detail!$F$1:$F$1001,MATCH(Main!B323,Detail!$G$1:$G$1001,0))</f>
        <v>Samarinda</v>
      </c>
      <c r="R323" s="7">
        <f>INDEX(Detail!$C$1:$C$1001,MATCH(B323,Detail!$G$1:$G$1001,0),1)</f>
        <v>180</v>
      </c>
      <c r="S323" s="7">
        <f>INDEX(Detail!$D$1:$D$1001,MATCH(B323,Detail!$G$1:$G$1001,0),1)</f>
        <v>86</v>
      </c>
      <c r="T323" s="7" t="str">
        <f>INDEX(Detail!$E$1:$E$1001,MATCH(Main!B323,Detail!$G$1:$G$1001,0))</f>
        <v>Jl. Medokan Ayu No. 73</v>
      </c>
      <c r="U323" s="7" t="str">
        <f>INDEX(Detail!$B$1:$B$1001,MATCH(B323,Detail!$G$1:$G$1001,0),1)</f>
        <v>A-</v>
      </c>
      <c r="V323" s="7" t="str" cm="1">
        <f t="array" ref="V323">INDEX(Dosen!$B$3:$E$8,MATCH(Main!C323,Dosen!$A$3:$A$8,0),IF(AND(Main!A323&gt;=1,Main!A323&lt;=250),1,IF(AND(Main!A323&gt;=251,Main!A323&lt;=500),2,IF(AND(Main!A323&gt;=501,Main!A323&lt;=750),3,4))))</f>
        <v>Pak Budi</v>
      </c>
      <c r="W323" s="7" t="str">
        <f>_xlfn.XLOOKUP(B323,Detail!$G$1:$G$1001,Detail!$B$1:$B$1001)</f>
        <v>A-</v>
      </c>
    </row>
    <row r="324" spans="1:23" ht="15.75" x14ac:dyDescent="0.25">
      <c r="A324" s="7">
        <v>49</v>
      </c>
      <c r="B324" s="33" t="str">
        <f t="shared" si="15"/>
        <v>C0049</v>
      </c>
      <c r="C324" s="7" t="s">
        <v>1012</v>
      </c>
      <c r="D324" s="33" t="str">
        <f>VLOOKUP(B324,Detail!$G$1:$H$1001,2,FALSE)</f>
        <v>Cecep Mansur</v>
      </c>
      <c r="E324" s="7">
        <v>51</v>
      </c>
      <c r="F324" s="7">
        <v>62</v>
      </c>
      <c r="G324" s="57">
        <v>51</v>
      </c>
      <c r="H324" s="7">
        <v>54</v>
      </c>
      <c r="I324" s="7">
        <v>68</v>
      </c>
      <c r="J324" s="7">
        <v>100</v>
      </c>
      <c r="K324" s="7">
        <v>82</v>
      </c>
      <c r="L324" s="56" t="str">
        <f>IFERROR(VLOOKUP(B324,Absen!$A$1:$C$501,2,FALSE),"No")</f>
        <v>No</v>
      </c>
      <c r="M324" s="58">
        <f t="shared" si="16"/>
        <v>8.2000000000000011</v>
      </c>
      <c r="N324" s="57">
        <f t="shared" si="17"/>
        <v>67.775000000000006</v>
      </c>
      <c r="O324" s="7" t="str">
        <f>VLOOKUP(N324,Helper!$B$30:$C$35,2,TRUE)</f>
        <v>C</v>
      </c>
      <c r="P324" s="56">
        <f>INDEX(Detail!$A$1:$A$1001,MATCH(B324,Detail!$G$1:$G$1001,0))</f>
        <v>37102</v>
      </c>
      <c r="Q324" s="33" t="str">
        <f>INDEX(Detail!$F$1:$F$1001,MATCH(Main!B324,Detail!$G$1:$G$1001,0))</f>
        <v>Magelang</v>
      </c>
      <c r="R324" s="7">
        <f>INDEX(Detail!$C$1:$C$1001,MATCH(B324,Detail!$G$1:$G$1001,0),1)</f>
        <v>180</v>
      </c>
      <c r="S324" s="7">
        <f>INDEX(Detail!$D$1:$D$1001,MATCH(B324,Detail!$G$1:$G$1001,0),1)</f>
        <v>56</v>
      </c>
      <c r="T324" s="7" t="str">
        <f>INDEX(Detail!$E$1:$E$1001,MATCH(Main!B324,Detail!$G$1:$G$1001,0))</f>
        <v>Jl. Indragiri No. 50</v>
      </c>
      <c r="U324" s="7" t="str">
        <f>INDEX(Detail!$B$1:$B$1001,MATCH(B324,Detail!$G$1:$G$1001,0),1)</f>
        <v>A+</v>
      </c>
      <c r="V324" s="7" t="str" cm="1">
        <f t="array" ref="V324">INDEX(Dosen!$B$3:$E$8,MATCH(Main!C324,Dosen!$A$3:$A$8,0),IF(AND(Main!A324&gt;=1,Main!A324&lt;=250),1,IF(AND(Main!A324&gt;=251,Main!A324&lt;=500),2,IF(AND(Main!A324&gt;=501,Main!A324&lt;=750),3,4))))</f>
        <v>Pak Budi</v>
      </c>
      <c r="W324" s="7" t="str">
        <f>_xlfn.XLOOKUP(B324,Detail!$G$1:$G$1001,Detail!$B$1:$B$1001)</f>
        <v>A+</v>
      </c>
    </row>
    <row r="325" spans="1:23" ht="15.75" x14ac:dyDescent="0.25">
      <c r="A325" s="7">
        <v>54</v>
      </c>
      <c r="B325" s="33" t="str">
        <f t="shared" si="15"/>
        <v>C0054</v>
      </c>
      <c r="C325" s="7" t="s">
        <v>1012</v>
      </c>
      <c r="D325" s="33" t="str">
        <f>VLOOKUP(B325,Detail!$G$1:$H$1001,2,FALSE)</f>
        <v>Radika Aryani</v>
      </c>
      <c r="E325" s="7">
        <v>77</v>
      </c>
      <c r="F325" s="7">
        <v>69</v>
      </c>
      <c r="G325" s="57">
        <v>61</v>
      </c>
      <c r="H325" s="7">
        <v>73</v>
      </c>
      <c r="I325" s="7">
        <v>52</v>
      </c>
      <c r="J325" s="7">
        <v>99</v>
      </c>
      <c r="K325" s="7">
        <v>91</v>
      </c>
      <c r="L325" s="56">
        <f>IFERROR(VLOOKUP(B325,Absen!$A$1:$C$501,2,FALSE),"No")</f>
        <v>44847</v>
      </c>
      <c r="M325" s="58">
        <f t="shared" si="16"/>
        <v>8.1</v>
      </c>
      <c r="N325" s="57">
        <f t="shared" si="17"/>
        <v>73.974999999999994</v>
      </c>
      <c r="O325" s="7" t="str">
        <f>VLOOKUP(N325,Helper!$B$30:$C$35,2,TRUE)</f>
        <v>B</v>
      </c>
      <c r="P325" s="56">
        <f>INDEX(Detail!$A$1:$A$1001,MATCH(B325,Detail!$G$1:$G$1001,0))</f>
        <v>37113</v>
      </c>
      <c r="Q325" s="33" t="str">
        <f>INDEX(Detail!$F$1:$F$1001,MATCH(Main!B325,Detail!$G$1:$G$1001,0))</f>
        <v>Cimahi</v>
      </c>
      <c r="R325" s="7">
        <f>INDEX(Detail!$C$1:$C$1001,MATCH(B325,Detail!$G$1:$G$1001,0),1)</f>
        <v>179</v>
      </c>
      <c r="S325" s="7">
        <f>INDEX(Detail!$D$1:$D$1001,MATCH(B325,Detail!$G$1:$G$1001,0),1)</f>
        <v>57</v>
      </c>
      <c r="T325" s="7" t="str">
        <f>INDEX(Detail!$E$1:$E$1001,MATCH(Main!B325,Detail!$G$1:$G$1001,0))</f>
        <v xml:space="preserve">Jl. Suniaraja No. 5
</v>
      </c>
      <c r="U325" s="7" t="str">
        <f>INDEX(Detail!$B$1:$B$1001,MATCH(B325,Detail!$G$1:$G$1001,0),1)</f>
        <v>O-</v>
      </c>
      <c r="V325" s="7" t="str" cm="1">
        <f t="array" ref="V325">INDEX(Dosen!$B$3:$E$8,MATCH(Main!C325,Dosen!$A$3:$A$8,0),IF(AND(Main!A325&gt;=1,Main!A325&lt;=250),1,IF(AND(Main!A325&gt;=251,Main!A325&lt;=500),2,IF(AND(Main!A325&gt;=501,Main!A325&lt;=750),3,4))))</f>
        <v>Pak Budi</v>
      </c>
      <c r="W325" s="7" t="str">
        <f>_xlfn.XLOOKUP(B325,Detail!$G$1:$G$1001,Detail!$B$1:$B$1001)</f>
        <v>O-</v>
      </c>
    </row>
    <row r="326" spans="1:23" ht="15.75" x14ac:dyDescent="0.25">
      <c r="A326" s="7">
        <v>55</v>
      </c>
      <c r="B326" s="33" t="str">
        <f t="shared" si="15"/>
        <v>C0055</v>
      </c>
      <c r="C326" s="7" t="s">
        <v>1012</v>
      </c>
      <c r="D326" s="33" t="str">
        <f>VLOOKUP(B326,Detail!$G$1:$H$1001,2,FALSE)</f>
        <v>Warji Wahyudin</v>
      </c>
      <c r="E326" s="7">
        <v>68</v>
      </c>
      <c r="F326" s="7">
        <v>72</v>
      </c>
      <c r="G326" s="57">
        <v>58</v>
      </c>
      <c r="H326" s="7">
        <v>64</v>
      </c>
      <c r="I326" s="7">
        <v>56</v>
      </c>
      <c r="J326" s="7">
        <v>42</v>
      </c>
      <c r="K326" s="7">
        <v>74</v>
      </c>
      <c r="L326" s="56" t="str">
        <f>IFERROR(VLOOKUP(B326,Absen!$A$1:$C$501,2,FALSE),"No")</f>
        <v>No</v>
      </c>
      <c r="M326" s="58">
        <f t="shared" si="16"/>
        <v>7.4</v>
      </c>
      <c r="N326" s="57">
        <f t="shared" si="17"/>
        <v>59.9</v>
      </c>
      <c r="O326" s="7" t="str">
        <f>VLOOKUP(N326,Helper!$B$30:$C$35,2,TRUE)</f>
        <v>D</v>
      </c>
      <c r="P326" s="56">
        <f>INDEX(Detail!$A$1:$A$1001,MATCH(B326,Detail!$G$1:$G$1001,0))</f>
        <v>38369</v>
      </c>
      <c r="Q326" s="33" t="str">
        <f>INDEX(Detail!$F$1:$F$1001,MATCH(Main!B326,Detail!$G$1:$G$1001,0))</f>
        <v>Lhokseumawe</v>
      </c>
      <c r="R326" s="7">
        <f>INDEX(Detail!$C$1:$C$1001,MATCH(B326,Detail!$G$1:$G$1001,0),1)</f>
        <v>155</v>
      </c>
      <c r="S326" s="7">
        <f>INDEX(Detail!$D$1:$D$1001,MATCH(B326,Detail!$G$1:$G$1001,0),1)</f>
        <v>73</v>
      </c>
      <c r="T326" s="7" t="str">
        <f>INDEX(Detail!$E$1:$E$1001,MATCH(Main!B326,Detail!$G$1:$G$1001,0))</f>
        <v>Jalan Kebonjati No. 08</v>
      </c>
      <c r="U326" s="7" t="str">
        <f>INDEX(Detail!$B$1:$B$1001,MATCH(B326,Detail!$G$1:$G$1001,0),1)</f>
        <v>B-</v>
      </c>
      <c r="V326" s="7" t="str" cm="1">
        <f t="array" ref="V326">INDEX(Dosen!$B$3:$E$8,MATCH(Main!C326,Dosen!$A$3:$A$8,0),IF(AND(Main!A326&gt;=1,Main!A326&lt;=250),1,IF(AND(Main!A326&gt;=251,Main!A326&lt;=500),2,IF(AND(Main!A326&gt;=501,Main!A326&lt;=750),3,4))))</f>
        <v>Pak Budi</v>
      </c>
      <c r="W326" s="7" t="str">
        <f>_xlfn.XLOOKUP(B326,Detail!$G$1:$G$1001,Detail!$B$1:$B$1001)</f>
        <v>B-</v>
      </c>
    </row>
    <row r="327" spans="1:23" ht="15.75" x14ac:dyDescent="0.25">
      <c r="A327" s="7">
        <v>64</v>
      </c>
      <c r="B327" s="33" t="str">
        <f t="shared" si="15"/>
        <v>C0064</v>
      </c>
      <c r="C327" s="7" t="s">
        <v>1012</v>
      </c>
      <c r="D327" s="33" t="str">
        <f>VLOOKUP(B327,Detail!$G$1:$H$1001,2,FALSE)</f>
        <v>Gantar Sihombing</v>
      </c>
      <c r="E327" s="7">
        <v>68</v>
      </c>
      <c r="F327" s="7">
        <v>53</v>
      </c>
      <c r="G327" s="57">
        <v>87</v>
      </c>
      <c r="H327" s="7">
        <v>55</v>
      </c>
      <c r="I327" s="7">
        <v>91</v>
      </c>
      <c r="J327" s="7">
        <v>78</v>
      </c>
      <c r="K327" s="7">
        <v>90</v>
      </c>
      <c r="L327" s="56">
        <f>IFERROR(VLOOKUP(B327,Absen!$A$1:$C$501,2,FALSE),"No")</f>
        <v>44887</v>
      </c>
      <c r="M327" s="58">
        <f t="shared" si="16"/>
        <v>8</v>
      </c>
      <c r="N327" s="57">
        <f t="shared" si="17"/>
        <v>74.375</v>
      </c>
      <c r="O327" s="7" t="str">
        <f>VLOOKUP(N327,Helper!$B$30:$C$35,2,TRUE)</f>
        <v>B</v>
      </c>
      <c r="P327" s="56">
        <f>INDEX(Detail!$A$1:$A$1001,MATCH(B327,Detail!$G$1:$G$1001,0))</f>
        <v>37710</v>
      </c>
      <c r="Q327" s="33" t="str">
        <f>INDEX(Detail!$F$1:$F$1001,MATCH(Main!B327,Detail!$G$1:$G$1001,0))</f>
        <v>Pasuruan</v>
      </c>
      <c r="R327" s="7">
        <f>INDEX(Detail!$C$1:$C$1001,MATCH(B327,Detail!$G$1:$G$1001,0),1)</f>
        <v>158</v>
      </c>
      <c r="S327" s="7">
        <f>INDEX(Detail!$D$1:$D$1001,MATCH(B327,Detail!$G$1:$G$1001,0),1)</f>
        <v>52</v>
      </c>
      <c r="T327" s="7" t="str">
        <f>INDEX(Detail!$E$1:$E$1001,MATCH(Main!B327,Detail!$G$1:$G$1001,0))</f>
        <v xml:space="preserve">Gang Waringin No. 6
</v>
      </c>
      <c r="U327" s="7" t="str">
        <f>INDEX(Detail!$B$1:$B$1001,MATCH(B327,Detail!$G$1:$G$1001,0),1)</f>
        <v>AB+</v>
      </c>
      <c r="V327" s="7" t="str" cm="1">
        <f t="array" ref="V327">INDEX(Dosen!$B$3:$E$8,MATCH(Main!C327,Dosen!$A$3:$A$8,0),IF(AND(Main!A327&gt;=1,Main!A327&lt;=250),1,IF(AND(Main!A327&gt;=251,Main!A327&lt;=500),2,IF(AND(Main!A327&gt;=501,Main!A327&lt;=750),3,4))))</f>
        <v>Pak Budi</v>
      </c>
      <c r="W327" s="7" t="str">
        <f>_xlfn.XLOOKUP(B327,Detail!$G$1:$G$1001,Detail!$B$1:$B$1001)</f>
        <v>AB+</v>
      </c>
    </row>
    <row r="328" spans="1:23" ht="15.75" x14ac:dyDescent="0.25">
      <c r="A328" s="7">
        <v>67</v>
      </c>
      <c r="B328" s="33" t="str">
        <f t="shared" si="15"/>
        <v>C0067</v>
      </c>
      <c r="C328" s="7" t="s">
        <v>1012</v>
      </c>
      <c r="D328" s="33" t="str">
        <f>VLOOKUP(B328,Detail!$G$1:$H$1001,2,FALSE)</f>
        <v>Siti Manullang</v>
      </c>
      <c r="E328" s="7">
        <v>60</v>
      </c>
      <c r="F328" s="7">
        <v>65</v>
      </c>
      <c r="G328" s="57">
        <v>51</v>
      </c>
      <c r="H328" s="7">
        <v>58</v>
      </c>
      <c r="I328" s="7">
        <v>78</v>
      </c>
      <c r="J328" s="7">
        <v>72</v>
      </c>
      <c r="K328" s="7">
        <v>77</v>
      </c>
      <c r="L328" s="56" t="str">
        <f>IFERROR(VLOOKUP(B328,Absen!$A$1:$C$501,2,FALSE),"No")</f>
        <v>No</v>
      </c>
      <c r="M328" s="58">
        <f t="shared" si="16"/>
        <v>7.7</v>
      </c>
      <c r="N328" s="57">
        <f t="shared" si="17"/>
        <v>64.924999999999997</v>
      </c>
      <c r="O328" s="7" t="str">
        <f>VLOOKUP(N328,Helper!$B$30:$C$35,2,TRUE)</f>
        <v>C</v>
      </c>
      <c r="P328" s="56">
        <f>INDEX(Detail!$A$1:$A$1001,MATCH(B328,Detail!$G$1:$G$1001,0))</f>
        <v>37133</v>
      </c>
      <c r="Q328" s="33" t="str">
        <f>INDEX(Detail!$F$1:$F$1001,MATCH(Main!B328,Detail!$G$1:$G$1001,0))</f>
        <v>Binjai</v>
      </c>
      <c r="R328" s="7">
        <f>INDEX(Detail!$C$1:$C$1001,MATCH(B328,Detail!$G$1:$G$1001,0),1)</f>
        <v>173</v>
      </c>
      <c r="S328" s="7">
        <f>INDEX(Detail!$D$1:$D$1001,MATCH(B328,Detail!$G$1:$G$1001,0),1)</f>
        <v>93</v>
      </c>
      <c r="T328" s="7" t="str">
        <f>INDEX(Detail!$E$1:$E$1001,MATCH(Main!B328,Detail!$G$1:$G$1001,0))</f>
        <v xml:space="preserve">Gg. Dipenogoro No. 2
</v>
      </c>
      <c r="U328" s="7" t="str">
        <f>INDEX(Detail!$B$1:$B$1001,MATCH(B328,Detail!$G$1:$G$1001,0),1)</f>
        <v>A-</v>
      </c>
      <c r="V328" s="7" t="str" cm="1">
        <f t="array" ref="V328">INDEX(Dosen!$B$3:$E$8,MATCH(Main!C328,Dosen!$A$3:$A$8,0),IF(AND(Main!A328&gt;=1,Main!A328&lt;=250),1,IF(AND(Main!A328&gt;=251,Main!A328&lt;=500),2,IF(AND(Main!A328&gt;=501,Main!A328&lt;=750),3,4))))</f>
        <v>Pak Budi</v>
      </c>
      <c r="W328" s="7" t="str">
        <f>_xlfn.XLOOKUP(B328,Detail!$G$1:$G$1001,Detail!$B$1:$B$1001)</f>
        <v>A-</v>
      </c>
    </row>
    <row r="329" spans="1:23" ht="15.75" x14ac:dyDescent="0.25">
      <c r="A329" s="7">
        <v>69</v>
      </c>
      <c r="B329" s="33" t="str">
        <f t="shared" si="15"/>
        <v>C0069</v>
      </c>
      <c r="C329" s="7" t="s">
        <v>1012</v>
      </c>
      <c r="D329" s="33" t="str">
        <f>VLOOKUP(B329,Detail!$G$1:$H$1001,2,FALSE)</f>
        <v>Niyaga Pradipta</v>
      </c>
      <c r="E329" s="7">
        <v>78</v>
      </c>
      <c r="F329" s="7">
        <v>68</v>
      </c>
      <c r="G329" s="57">
        <v>38</v>
      </c>
      <c r="H329" s="7">
        <v>59</v>
      </c>
      <c r="I329" s="7">
        <v>56</v>
      </c>
      <c r="J329" s="7">
        <v>78</v>
      </c>
      <c r="K329" s="7">
        <v>91</v>
      </c>
      <c r="L329" s="56" t="str">
        <f>IFERROR(VLOOKUP(B329,Absen!$A$1:$C$501,2,FALSE),"No")</f>
        <v>No</v>
      </c>
      <c r="M329" s="58">
        <f t="shared" si="16"/>
        <v>9.1</v>
      </c>
      <c r="N329" s="57">
        <f t="shared" si="17"/>
        <v>64.924999999999997</v>
      </c>
      <c r="O329" s="7" t="str">
        <f>VLOOKUP(N329,Helper!$B$30:$C$35,2,TRUE)</f>
        <v>C</v>
      </c>
      <c r="P329" s="56">
        <f>INDEX(Detail!$A$1:$A$1001,MATCH(B329,Detail!$G$1:$G$1001,0))</f>
        <v>38030</v>
      </c>
      <c r="Q329" s="33" t="str">
        <f>INDEX(Detail!$F$1:$F$1001,MATCH(Main!B329,Detail!$G$1:$G$1001,0))</f>
        <v>Surakarta</v>
      </c>
      <c r="R329" s="7">
        <f>INDEX(Detail!$C$1:$C$1001,MATCH(B329,Detail!$G$1:$G$1001,0),1)</f>
        <v>163</v>
      </c>
      <c r="S329" s="7">
        <f>INDEX(Detail!$D$1:$D$1001,MATCH(B329,Detail!$G$1:$G$1001,0),1)</f>
        <v>48</v>
      </c>
      <c r="T329" s="7" t="str">
        <f>INDEX(Detail!$E$1:$E$1001,MATCH(Main!B329,Detail!$G$1:$G$1001,0))</f>
        <v>Gg. Rawamangun No. 30</v>
      </c>
      <c r="U329" s="7" t="str">
        <f>INDEX(Detail!$B$1:$B$1001,MATCH(B329,Detail!$G$1:$G$1001,0),1)</f>
        <v>B+</v>
      </c>
      <c r="V329" s="7" t="str" cm="1">
        <f t="array" ref="V329">INDEX(Dosen!$B$3:$E$8,MATCH(Main!C329,Dosen!$A$3:$A$8,0),IF(AND(Main!A329&gt;=1,Main!A329&lt;=250),1,IF(AND(Main!A329&gt;=251,Main!A329&lt;=500),2,IF(AND(Main!A329&gt;=501,Main!A329&lt;=750),3,4))))</f>
        <v>Pak Budi</v>
      </c>
      <c r="W329" s="7" t="str">
        <f>_xlfn.XLOOKUP(B329,Detail!$G$1:$G$1001,Detail!$B$1:$B$1001)</f>
        <v>B+</v>
      </c>
    </row>
    <row r="330" spans="1:23" ht="15.75" x14ac:dyDescent="0.25">
      <c r="A330" s="7">
        <v>85</v>
      </c>
      <c r="B330" s="33" t="str">
        <f t="shared" si="15"/>
        <v>C0085</v>
      </c>
      <c r="C330" s="7" t="s">
        <v>1012</v>
      </c>
      <c r="D330" s="33" t="str">
        <f>VLOOKUP(B330,Detail!$G$1:$H$1001,2,FALSE)</f>
        <v>Gamani Susanti</v>
      </c>
      <c r="E330" s="7">
        <v>61</v>
      </c>
      <c r="F330" s="7">
        <v>49</v>
      </c>
      <c r="G330" s="57">
        <v>56</v>
      </c>
      <c r="H330" s="7">
        <v>56</v>
      </c>
      <c r="I330" s="7">
        <v>52</v>
      </c>
      <c r="J330" s="7">
        <v>97</v>
      </c>
      <c r="K330" s="7">
        <v>63</v>
      </c>
      <c r="L330" s="56" t="str">
        <f>IFERROR(VLOOKUP(B330,Absen!$A$1:$C$501,2,FALSE),"No")</f>
        <v>No</v>
      </c>
      <c r="M330" s="58">
        <f t="shared" si="16"/>
        <v>6.3000000000000007</v>
      </c>
      <c r="N330" s="57">
        <f t="shared" si="17"/>
        <v>64.150000000000006</v>
      </c>
      <c r="O330" s="7" t="str">
        <f>VLOOKUP(N330,Helper!$B$30:$C$35,2,TRUE)</f>
        <v>C</v>
      </c>
      <c r="P330" s="56">
        <f>INDEX(Detail!$A$1:$A$1001,MATCH(B330,Detail!$G$1:$G$1001,0))</f>
        <v>38394</v>
      </c>
      <c r="Q330" s="33" t="str">
        <f>INDEX(Detail!$F$1:$F$1001,MATCH(Main!B330,Detail!$G$1:$G$1001,0))</f>
        <v>Pekanbaru</v>
      </c>
      <c r="R330" s="7">
        <f>INDEX(Detail!$C$1:$C$1001,MATCH(B330,Detail!$G$1:$G$1001,0),1)</f>
        <v>167</v>
      </c>
      <c r="S330" s="7">
        <f>INDEX(Detail!$D$1:$D$1001,MATCH(B330,Detail!$G$1:$G$1001,0),1)</f>
        <v>91</v>
      </c>
      <c r="T330" s="7" t="str">
        <f>INDEX(Detail!$E$1:$E$1001,MATCH(Main!B330,Detail!$G$1:$G$1001,0))</f>
        <v>Jalan Surapati No. 19</v>
      </c>
      <c r="U330" s="7" t="str">
        <f>INDEX(Detail!$B$1:$B$1001,MATCH(B330,Detail!$G$1:$G$1001,0),1)</f>
        <v>O+</v>
      </c>
      <c r="V330" s="7" t="str" cm="1">
        <f t="array" ref="V330">INDEX(Dosen!$B$3:$E$8,MATCH(Main!C330,Dosen!$A$3:$A$8,0),IF(AND(Main!A330&gt;=1,Main!A330&lt;=250),1,IF(AND(Main!A330&gt;=251,Main!A330&lt;=500),2,IF(AND(Main!A330&gt;=501,Main!A330&lt;=750),3,4))))</f>
        <v>Pak Budi</v>
      </c>
      <c r="W330" s="7" t="str">
        <f>_xlfn.XLOOKUP(B330,Detail!$G$1:$G$1001,Detail!$B$1:$B$1001)</f>
        <v>O+</v>
      </c>
    </row>
    <row r="331" spans="1:23" ht="15.75" x14ac:dyDescent="0.25">
      <c r="A331" s="7">
        <v>86</v>
      </c>
      <c r="B331" s="33" t="str">
        <f t="shared" si="15"/>
        <v>C0086</v>
      </c>
      <c r="C331" s="7" t="s">
        <v>1012</v>
      </c>
      <c r="D331" s="33" t="str">
        <f>VLOOKUP(B331,Detail!$G$1:$H$1001,2,FALSE)</f>
        <v>Elvin Tarihoran</v>
      </c>
      <c r="E331" s="7">
        <v>81</v>
      </c>
      <c r="F331" s="7">
        <v>52</v>
      </c>
      <c r="G331" s="57">
        <v>56</v>
      </c>
      <c r="H331" s="7">
        <v>63</v>
      </c>
      <c r="I331" s="7">
        <v>80</v>
      </c>
      <c r="J331" s="7">
        <v>94</v>
      </c>
      <c r="K331" s="7">
        <v>71</v>
      </c>
      <c r="L331" s="56" t="str">
        <f>IFERROR(VLOOKUP(B331,Absen!$A$1:$C$501,2,FALSE),"No")</f>
        <v>No</v>
      </c>
      <c r="M331" s="58">
        <f t="shared" si="16"/>
        <v>7.1000000000000005</v>
      </c>
      <c r="N331" s="57">
        <f t="shared" si="17"/>
        <v>71.599999999999994</v>
      </c>
      <c r="O331" s="7" t="str">
        <f>VLOOKUP(N331,Helper!$B$30:$C$35,2,TRUE)</f>
        <v>B</v>
      </c>
      <c r="P331" s="56">
        <f>INDEX(Detail!$A$1:$A$1001,MATCH(B331,Detail!$G$1:$G$1001,0))</f>
        <v>37793</v>
      </c>
      <c r="Q331" s="33" t="str">
        <f>INDEX(Detail!$F$1:$F$1001,MATCH(Main!B331,Detail!$G$1:$G$1001,0))</f>
        <v>Bogor</v>
      </c>
      <c r="R331" s="7">
        <f>INDEX(Detail!$C$1:$C$1001,MATCH(B331,Detail!$G$1:$G$1001,0),1)</f>
        <v>167</v>
      </c>
      <c r="S331" s="7">
        <f>INDEX(Detail!$D$1:$D$1001,MATCH(B331,Detail!$G$1:$G$1001,0),1)</f>
        <v>76</v>
      </c>
      <c r="T331" s="7" t="str">
        <f>INDEX(Detail!$E$1:$E$1001,MATCH(Main!B331,Detail!$G$1:$G$1001,0))</f>
        <v>Gg. Monginsidi No. 76</v>
      </c>
      <c r="U331" s="7" t="str">
        <f>INDEX(Detail!$B$1:$B$1001,MATCH(B331,Detail!$G$1:$G$1001,0),1)</f>
        <v>O-</v>
      </c>
      <c r="V331" s="7" t="str" cm="1">
        <f t="array" ref="V331">INDEX(Dosen!$B$3:$E$8,MATCH(Main!C331,Dosen!$A$3:$A$8,0),IF(AND(Main!A331&gt;=1,Main!A331&lt;=250),1,IF(AND(Main!A331&gt;=251,Main!A331&lt;=500),2,IF(AND(Main!A331&gt;=501,Main!A331&lt;=750),3,4))))</f>
        <v>Pak Budi</v>
      </c>
      <c r="W331" s="7" t="str">
        <f>_xlfn.XLOOKUP(B331,Detail!$G$1:$G$1001,Detail!$B$1:$B$1001)</f>
        <v>O-</v>
      </c>
    </row>
    <row r="332" spans="1:23" ht="15.75" x14ac:dyDescent="0.25">
      <c r="A332" s="7">
        <v>101</v>
      </c>
      <c r="B332" s="33" t="str">
        <f t="shared" si="15"/>
        <v>C0101</v>
      </c>
      <c r="C332" s="7" t="s">
        <v>1012</v>
      </c>
      <c r="D332" s="33" t="str">
        <f>VLOOKUP(B332,Detail!$G$1:$H$1001,2,FALSE)</f>
        <v>Dodo Hassanah</v>
      </c>
      <c r="E332" s="7">
        <v>57</v>
      </c>
      <c r="F332" s="7">
        <v>43</v>
      </c>
      <c r="G332" s="57">
        <v>61</v>
      </c>
      <c r="H332" s="7">
        <v>50</v>
      </c>
      <c r="I332" s="7">
        <v>79</v>
      </c>
      <c r="J332" s="7">
        <v>82</v>
      </c>
      <c r="K332" s="7">
        <v>60</v>
      </c>
      <c r="L332" s="56" t="str">
        <f>IFERROR(VLOOKUP(B332,Absen!$A$1:$C$501,2,FALSE),"No")</f>
        <v>No</v>
      </c>
      <c r="M332" s="58">
        <f t="shared" si="16"/>
        <v>6</v>
      </c>
      <c r="N332" s="57">
        <f t="shared" si="17"/>
        <v>63.225000000000009</v>
      </c>
      <c r="O332" s="7" t="str">
        <f>VLOOKUP(N332,Helper!$B$30:$C$35,2,TRUE)</f>
        <v>C</v>
      </c>
      <c r="P332" s="56">
        <f>INDEX(Detail!$A$1:$A$1001,MATCH(B332,Detail!$G$1:$G$1001,0))</f>
        <v>37705</v>
      </c>
      <c r="Q332" s="33" t="str">
        <f>INDEX(Detail!$F$1:$F$1001,MATCH(Main!B332,Detail!$G$1:$G$1001,0))</f>
        <v>Ternate</v>
      </c>
      <c r="R332" s="7">
        <f>INDEX(Detail!$C$1:$C$1001,MATCH(B332,Detail!$G$1:$G$1001,0),1)</f>
        <v>157</v>
      </c>
      <c r="S332" s="7">
        <f>INDEX(Detail!$D$1:$D$1001,MATCH(B332,Detail!$G$1:$G$1001,0),1)</f>
        <v>91</v>
      </c>
      <c r="T332" s="7" t="str">
        <f>INDEX(Detail!$E$1:$E$1001,MATCH(Main!B332,Detail!$G$1:$G$1001,0))</f>
        <v xml:space="preserve">Jalan Medokan Ayu No. 3
</v>
      </c>
      <c r="U332" s="7" t="str">
        <f>INDEX(Detail!$B$1:$B$1001,MATCH(B332,Detail!$G$1:$G$1001,0),1)</f>
        <v>O+</v>
      </c>
      <c r="V332" s="7" t="str" cm="1">
        <f t="array" ref="V332">INDEX(Dosen!$B$3:$E$8,MATCH(Main!C332,Dosen!$A$3:$A$8,0),IF(AND(Main!A332&gt;=1,Main!A332&lt;=250),1,IF(AND(Main!A332&gt;=251,Main!A332&lt;=500),2,IF(AND(Main!A332&gt;=501,Main!A332&lt;=750),3,4))))</f>
        <v>Pak Budi</v>
      </c>
      <c r="W332" s="7" t="str">
        <f>_xlfn.XLOOKUP(B332,Detail!$G$1:$G$1001,Detail!$B$1:$B$1001)</f>
        <v>O+</v>
      </c>
    </row>
    <row r="333" spans="1:23" ht="15.75" x14ac:dyDescent="0.25">
      <c r="A333" s="7">
        <v>112</v>
      </c>
      <c r="B333" s="33" t="str">
        <f t="shared" si="15"/>
        <v>C0112</v>
      </c>
      <c r="C333" s="7" t="s">
        <v>1012</v>
      </c>
      <c r="D333" s="33" t="str">
        <f>VLOOKUP(B333,Detail!$G$1:$H$1001,2,FALSE)</f>
        <v>Kania Mandasari</v>
      </c>
      <c r="E333" s="7">
        <v>58</v>
      </c>
      <c r="F333" s="7">
        <v>72</v>
      </c>
      <c r="G333" s="57">
        <v>74</v>
      </c>
      <c r="H333" s="7">
        <v>57</v>
      </c>
      <c r="I333" s="7">
        <v>93</v>
      </c>
      <c r="J333" s="7">
        <v>67</v>
      </c>
      <c r="K333" s="7">
        <v>65</v>
      </c>
      <c r="L333" s="56" t="str">
        <f>IFERROR(VLOOKUP(B333,Absen!$A$1:$C$501,2,FALSE),"No")</f>
        <v>No</v>
      </c>
      <c r="M333" s="58">
        <f t="shared" si="16"/>
        <v>6.5</v>
      </c>
      <c r="N333" s="57">
        <f t="shared" si="17"/>
        <v>69.699999999999989</v>
      </c>
      <c r="O333" s="7" t="str">
        <f>VLOOKUP(N333,Helper!$B$30:$C$35,2,TRUE)</f>
        <v>C</v>
      </c>
      <c r="P333" s="56">
        <f>INDEX(Detail!$A$1:$A$1001,MATCH(B333,Detail!$G$1:$G$1001,0))</f>
        <v>37835</v>
      </c>
      <c r="Q333" s="33" t="str">
        <f>INDEX(Detail!$F$1:$F$1001,MATCH(Main!B333,Detail!$G$1:$G$1001,0))</f>
        <v>Tangerang</v>
      </c>
      <c r="R333" s="7">
        <f>INDEX(Detail!$C$1:$C$1001,MATCH(B333,Detail!$G$1:$G$1001,0),1)</f>
        <v>173</v>
      </c>
      <c r="S333" s="7">
        <f>INDEX(Detail!$D$1:$D$1001,MATCH(B333,Detail!$G$1:$G$1001,0),1)</f>
        <v>84</v>
      </c>
      <c r="T333" s="7" t="str">
        <f>INDEX(Detail!$E$1:$E$1001,MATCH(Main!B333,Detail!$G$1:$G$1001,0))</f>
        <v>Jl. Rajiman No. 09</v>
      </c>
      <c r="U333" s="7" t="str">
        <f>INDEX(Detail!$B$1:$B$1001,MATCH(B333,Detail!$G$1:$G$1001,0),1)</f>
        <v>A+</v>
      </c>
      <c r="V333" s="7" t="str" cm="1">
        <f t="array" ref="V333">INDEX(Dosen!$B$3:$E$8,MATCH(Main!C333,Dosen!$A$3:$A$8,0),IF(AND(Main!A333&gt;=1,Main!A333&lt;=250),1,IF(AND(Main!A333&gt;=251,Main!A333&lt;=500),2,IF(AND(Main!A333&gt;=501,Main!A333&lt;=750),3,4))))</f>
        <v>Pak Budi</v>
      </c>
      <c r="W333" s="7" t="str">
        <f>_xlfn.XLOOKUP(B333,Detail!$G$1:$G$1001,Detail!$B$1:$B$1001)</f>
        <v>A+</v>
      </c>
    </row>
    <row r="334" spans="1:23" ht="15.75" x14ac:dyDescent="0.25">
      <c r="A334" s="7">
        <v>113</v>
      </c>
      <c r="B334" s="33" t="str">
        <f t="shared" si="15"/>
        <v>C0113</v>
      </c>
      <c r="C334" s="7" t="s">
        <v>1012</v>
      </c>
      <c r="D334" s="33" t="str">
        <f>VLOOKUP(B334,Detail!$G$1:$H$1001,2,FALSE)</f>
        <v>Lantar Prakasa</v>
      </c>
      <c r="E334" s="7">
        <v>87</v>
      </c>
      <c r="F334" s="7">
        <v>64</v>
      </c>
      <c r="G334" s="57">
        <v>50</v>
      </c>
      <c r="H334" s="7">
        <v>72</v>
      </c>
      <c r="I334" s="7">
        <v>73</v>
      </c>
      <c r="J334" s="7">
        <v>76</v>
      </c>
      <c r="K334" s="7">
        <v>68</v>
      </c>
      <c r="L334" s="56" t="str">
        <f>IFERROR(VLOOKUP(B334,Absen!$A$1:$C$501,2,FALSE),"No")</f>
        <v>No</v>
      </c>
      <c r="M334" s="58">
        <f t="shared" si="16"/>
        <v>6.8000000000000007</v>
      </c>
      <c r="N334" s="57">
        <f t="shared" si="17"/>
        <v>69</v>
      </c>
      <c r="O334" s="7" t="str">
        <f>VLOOKUP(N334,Helper!$B$30:$C$35,2,TRUE)</f>
        <v>C</v>
      </c>
      <c r="P334" s="56">
        <f>INDEX(Detail!$A$1:$A$1001,MATCH(B334,Detail!$G$1:$G$1001,0))</f>
        <v>37112</v>
      </c>
      <c r="Q334" s="33" t="str">
        <f>INDEX(Detail!$F$1:$F$1001,MATCH(Main!B334,Detail!$G$1:$G$1001,0))</f>
        <v>Tebingtinggi</v>
      </c>
      <c r="R334" s="7">
        <f>INDEX(Detail!$C$1:$C$1001,MATCH(B334,Detail!$G$1:$G$1001,0),1)</f>
        <v>177</v>
      </c>
      <c r="S334" s="7">
        <f>INDEX(Detail!$D$1:$D$1001,MATCH(B334,Detail!$G$1:$G$1001,0),1)</f>
        <v>47</v>
      </c>
      <c r="T334" s="7" t="str">
        <f>INDEX(Detail!$E$1:$E$1001,MATCH(Main!B334,Detail!$G$1:$G$1001,0))</f>
        <v xml:space="preserve">Jalan Ahmad Dahlan No. 4
</v>
      </c>
      <c r="U334" s="7" t="str">
        <f>INDEX(Detail!$B$1:$B$1001,MATCH(B334,Detail!$G$1:$G$1001,0),1)</f>
        <v>AB+</v>
      </c>
      <c r="V334" s="7" t="str" cm="1">
        <f t="array" ref="V334">INDEX(Dosen!$B$3:$E$8,MATCH(Main!C334,Dosen!$A$3:$A$8,0),IF(AND(Main!A334&gt;=1,Main!A334&lt;=250),1,IF(AND(Main!A334&gt;=251,Main!A334&lt;=500),2,IF(AND(Main!A334&gt;=501,Main!A334&lt;=750),3,4))))</f>
        <v>Pak Budi</v>
      </c>
      <c r="W334" s="7" t="str">
        <f>_xlfn.XLOOKUP(B334,Detail!$G$1:$G$1001,Detail!$B$1:$B$1001)</f>
        <v>AB+</v>
      </c>
    </row>
    <row r="335" spans="1:23" ht="15.75" x14ac:dyDescent="0.25">
      <c r="A335" s="7">
        <v>118</v>
      </c>
      <c r="B335" s="33" t="str">
        <f t="shared" si="15"/>
        <v>C0118</v>
      </c>
      <c r="C335" s="7" t="s">
        <v>1012</v>
      </c>
      <c r="D335" s="33" t="str">
        <f>VLOOKUP(B335,Detail!$G$1:$H$1001,2,FALSE)</f>
        <v>Kiandra Megantara</v>
      </c>
      <c r="E335" s="7">
        <v>94</v>
      </c>
      <c r="F335" s="7">
        <v>64</v>
      </c>
      <c r="G335" s="57">
        <v>31</v>
      </c>
      <c r="H335" s="7">
        <v>52</v>
      </c>
      <c r="I335" s="7">
        <v>68</v>
      </c>
      <c r="J335" s="7">
        <v>40</v>
      </c>
      <c r="K335" s="7">
        <v>69</v>
      </c>
      <c r="L335" s="56" t="str">
        <f>IFERROR(VLOOKUP(B335,Absen!$A$1:$C$501,2,FALSE),"No")</f>
        <v>No</v>
      </c>
      <c r="M335" s="58">
        <f t="shared" si="16"/>
        <v>6.9</v>
      </c>
      <c r="N335" s="57">
        <f t="shared" si="17"/>
        <v>55.85</v>
      </c>
      <c r="O335" s="7" t="str">
        <f>VLOOKUP(N335,Helper!$B$30:$C$35,2,TRUE)</f>
        <v>D</v>
      </c>
      <c r="P335" s="56">
        <f>INDEX(Detail!$A$1:$A$1001,MATCH(B335,Detail!$G$1:$G$1001,0))</f>
        <v>37964</v>
      </c>
      <c r="Q335" s="33" t="str">
        <f>INDEX(Detail!$F$1:$F$1001,MATCH(Main!B335,Detail!$G$1:$G$1001,0))</f>
        <v>Kediri</v>
      </c>
      <c r="R335" s="7">
        <f>INDEX(Detail!$C$1:$C$1001,MATCH(B335,Detail!$G$1:$G$1001,0),1)</f>
        <v>174</v>
      </c>
      <c r="S335" s="7">
        <f>INDEX(Detail!$D$1:$D$1001,MATCH(B335,Detail!$G$1:$G$1001,0),1)</f>
        <v>49</v>
      </c>
      <c r="T335" s="7" t="str">
        <f>INDEX(Detail!$E$1:$E$1001,MATCH(Main!B335,Detail!$G$1:$G$1001,0))</f>
        <v xml:space="preserve">Jalan Waringin No. 6
</v>
      </c>
      <c r="U335" s="7" t="str">
        <f>INDEX(Detail!$B$1:$B$1001,MATCH(B335,Detail!$G$1:$G$1001,0),1)</f>
        <v>O-</v>
      </c>
      <c r="V335" s="7" t="str" cm="1">
        <f t="array" ref="V335">INDEX(Dosen!$B$3:$E$8,MATCH(Main!C335,Dosen!$A$3:$A$8,0),IF(AND(Main!A335&gt;=1,Main!A335&lt;=250),1,IF(AND(Main!A335&gt;=251,Main!A335&lt;=500),2,IF(AND(Main!A335&gt;=501,Main!A335&lt;=750),3,4))))</f>
        <v>Pak Budi</v>
      </c>
      <c r="W335" s="7" t="str">
        <f>_xlfn.XLOOKUP(B335,Detail!$G$1:$G$1001,Detail!$B$1:$B$1001)</f>
        <v>O-</v>
      </c>
    </row>
    <row r="336" spans="1:23" ht="15.75" x14ac:dyDescent="0.25">
      <c r="A336" s="7">
        <v>121</v>
      </c>
      <c r="B336" s="33" t="str">
        <f t="shared" si="15"/>
        <v>C0121</v>
      </c>
      <c r="C336" s="7" t="s">
        <v>1012</v>
      </c>
      <c r="D336" s="33" t="str">
        <f>VLOOKUP(B336,Detail!$G$1:$H$1001,2,FALSE)</f>
        <v>Galak Saefullah</v>
      </c>
      <c r="E336" s="7">
        <v>65</v>
      </c>
      <c r="F336" s="7">
        <v>48</v>
      </c>
      <c r="G336" s="57">
        <v>86</v>
      </c>
      <c r="H336" s="7">
        <v>73</v>
      </c>
      <c r="I336" s="7">
        <v>77</v>
      </c>
      <c r="J336" s="7">
        <v>93</v>
      </c>
      <c r="K336" s="7">
        <v>81</v>
      </c>
      <c r="L336" s="56">
        <f>IFERROR(VLOOKUP(B336,Absen!$A$1:$C$501,2,FALSE),"No")</f>
        <v>44837</v>
      </c>
      <c r="M336" s="58">
        <f t="shared" si="16"/>
        <v>7.1000000000000005</v>
      </c>
      <c r="N336" s="57">
        <f t="shared" si="17"/>
        <v>75.775000000000006</v>
      </c>
      <c r="O336" s="7" t="str">
        <f>VLOOKUP(N336,Helper!$B$30:$C$35,2,TRUE)</f>
        <v>B</v>
      </c>
      <c r="P336" s="56">
        <f>INDEX(Detail!$A$1:$A$1001,MATCH(B336,Detail!$G$1:$G$1001,0))</f>
        <v>38040</v>
      </c>
      <c r="Q336" s="33" t="str">
        <f>INDEX(Detail!$F$1:$F$1001,MATCH(Main!B336,Detail!$G$1:$G$1001,0))</f>
        <v>Sibolga</v>
      </c>
      <c r="R336" s="7">
        <f>INDEX(Detail!$C$1:$C$1001,MATCH(B336,Detail!$G$1:$G$1001,0),1)</f>
        <v>165</v>
      </c>
      <c r="S336" s="7">
        <f>INDEX(Detail!$D$1:$D$1001,MATCH(B336,Detail!$G$1:$G$1001,0),1)</f>
        <v>79</v>
      </c>
      <c r="T336" s="7" t="str">
        <f>INDEX(Detail!$E$1:$E$1001,MATCH(Main!B336,Detail!$G$1:$G$1001,0))</f>
        <v>Gang Siliwangi No. 32</v>
      </c>
      <c r="U336" s="7" t="str">
        <f>INDEX(Detail!$B$1:$B$1001,MATCH(B336,Detail!$G$1:$G$1001,0),1)</f>
        <v>A+</v>
      </c>
      <c r="V336" s="7" t="str" cm="1">
        <f t="array" ref="V336">INDEX(Dosen!$B$3:$E$8,MATCH(Main!C336,Dosen!$A$3:$A$8,0),IF(AND(Main!A336&gt;=1,Main!A336&lt;=250),1,IF(AND(Main!A336&gt;=251,Main!A336&lt;=500),2,IF(AND(Main!A336&gt;=501,Main!A336&lt;=750),3,4))))</f>
        <v>Pak Budi</v>
      </c>
      <c r="W336" s="7" t="str">
        <f>_xlfn.XLOOKUP(B336,Detail!$G$1:$G$1001,Detail!$B$1:$B$1001)</f>
        <v>A+</v>
      </c>
    </row>
    <row r="337" spans="1:23" ht="15.75" x14ac:dyDescent="0.25">
      <c r="A337" s="7">
        <v>122</v>
      </c>
      <c r="B337" s="33" t="str">
        <f t="shared" si="15"/>
        <v>C0122</v>
      </c>
      <c r="C337" s="7" t="s">
        <v>1012</v>
      </c>
      <c r="D337" s="33" t="str">
        <f>VLOOKUP(B337,Detail!$G$1:$H$1001,2,FALSE)</f>
        <v>Yoga Suryono</v>
      </c>
      <c r="E337" s="7">
        <v>85</v>
      </c>
      <c r="F337" s="7">
        <v>41</v>
      </c>
      <c r="G337" s="57">
        <v>81</v>
      </c>
      <c r="H337" s="7">
        <v>64</v>
      </c>
      <c r="I337" s="7">
        <v>55</v>
      </c>
      <c r="J337" s="7">
        <v>74</v>
      </c>
      <c r="K337" s="7">
        <v>76</v>
      </c>
      <c r="L337" s="56" t="str">
        <f>IFERROR(VLOOKUP(B337,Absen!$A$1:$C$501,2,FALSE),"No")</f>
        <v>No</v>
      </c>
      <c r="M337" s="58">
        <f t="shared" si="16"/>
        <v>7.6000000000000005</v>
      </c>
      <c r="N337" s="57">
        <f t="shared" si="17"/>
        <v>69.224999999999994</v>
      </c>
      <c r="O337" s="7" t="str">
        <f>VLOOKUP(N337,Helper!$B$30:$C$35,2,TRUE)</f>
        <v>C</v>
      </c>
      <c r="P337" s="56">
        <f>INDEX(Detail!$A$1:$A$1001,MATCH(B337,Detail!$G$1:$G$1001,0))</f>
        <v>37139</v>
      </c>
      <c r="Q337" s="33" t="str">
        <f>INDEX(Detail!$F$1:$F$1001,MATCH(Main!B337,Detail!$G$1:$G$1001,0))</f>
        <v>Serang</v>
      </c>
      <c r="R337" s="7">
        <f>INDEX(Detail!$C$1:$C$1001,MATCH(B337,Detail!$G$1:$G$1001,0),1)</f>
        <v>157</v>
      </c>
      <c r="S337" s="7">
        <f>INDEX(Detail!$D$1:$D$1001,MATCH(B337,Detail!$G$1:$G$1001,0),1)</f>
        <v>72</v>
      </c>
      <c r="T337" s="7" t="str">
        <f>INDEX(Detail!$E$1:$E$1001,MATCH(Main!B337,Detail!$G$1:$G$1001,0))</f>
        <v>Jl. Sukajadi No. 34</v>
      </c>
      <c r="U337" s="7" t="str">
        <f>INDEX(Detail!$B$1:$B$1001,MATCH(B337,Detail!$G$1:$G$1001,0),1)</f>
        <v>AB-</v>
      </c>
      <c r="V337" s="7" t="str" cm="1">
        <f t="array" ref="V337">INDEX(Dosen!$B$3:$E$8,MATCH(Main!C337,Dosen!$A$3:$A$8,0),IF(AND(Main!A337&gt;=1,Main!A337&lt;=250),1,IF(AND(Main!A337&gt;=251,Main!A337&lt;=500),2,IF(AND(Main!A337&gt;=501,Main!A337&lt;=750),3,4))))</f>
        <v>Pak Budi</v>
      </c>
      <c r="W337" s="7" t="str">
        <f>_xlfn.XLOOKUP(B337,Detail!$G$1:$G$1001,Detail!$B$1:$B$1001)</f>
        <v>AB-</v>
      </c>
    </row>
    <row r="338" spans="1:23" ht="15.75" x14ac:dyDescent="0.25">
      <c r="A338" s="7">
        <v>128</v>
      </c>
      <c r="B338" s="33" t="str">
        <f t="shared" si="15"/>
        <v>C0128</v>
      </c>
      <c r="C338" s="7" t="s">
        <v>1012</v>
      </c>
      <c r="D338" s="33" t="str">
        <f>VLOOKUP(B338,Detail!$G$1:$H$1001,2,FALSE)</f>
        <v>Nadine Salahudin</v>
      </c>
      <c r="E338" s="7">
        <v>65</v>
      </c>
      <c r="F338" s="7">
        <v>73</v>
      </c>
      <c r="G338" s="57">
        <v>77</v>
      </c>
      <c r="H338" s="7">
        <v>75</v>
      </c>
      <c r="I338" s="7">
        <v>68</v>
      </c>
      <c r="J338" s="7">
        <v>56</v>
      </c>
      <c r="K338" s="7">
        <v>83</v>
      </c>
      <c r="L338" s="56">
        <f>IFERROR(VLOOKUP(B338,Absen!$A$1:$C$501,2,FALSE),"No")</f>
        <v>44776</v>
      </c>
      <c r="M338" s="58">
        <f t="shared" si="16"/>
        <v>7.3000000000000007</v>
      </c>
      <c r="N338" s="57">
        <f t="shared" si="17"/>
        <v>69.025000000000006</v>
      </c>
      <c r="O338" s="7" t="str">
        <f>VLOOKUP(N338,Helper!$B$30:$C$35,2,TRUE)</f>
        <v>C</v>
      </c>
      <c r="P338" s="56">
        <f>INDEX(Detail!$A$1:$A$1001,MATCH(B338,Detail!$G$1:$G$1001,0))</f>
        <v>37593</v>
      </c>
      <c r="Q338" s="33" t="str">
        <f>INDEX(Detail!$F$1:$F$1001,MATCH(Main!B338,Detail!$G$1:$G$1001,0))</f>
        <v>Bima</v>
      </c>
      <c r="R338" s="7">
        <f>INDEX(Detail!$C$1:$C$1001,MATCH(B338,Detail!$G$1:$G$1001,0),1)</f>
        <v>165</v>
      </c>
      <c r="S338" s="7">
        <f>INDEX(Detail!$D$1:$D$1001,MATCH(B338,Detail!$G$1:$G$1001,0),1)</f>
        <v>85</v>
      </c>
      <c r="T338" s="7" t="str">
        <f>INDEX(Detail!$E$1:$E$1001,MATCH(Main!B338,Detail!$G$1:$G$1001,0))</f>
        <v>Jalan Kutai No. 84</v>
      </c>
      <c r="U338" s="7" t="str">
        <f>INDEX(Detail!$B$1:$B$1001,MATCH(B338,Detail!$G$1:$G$1001,0),1)</f>
        <v>O+</v>
      </c>
      <c r="V338" s="7" t="str" cm="1">
        <f t="array" ref="V338">INDEX(Dosen!$B$3:$E$8,MATCH(Main!C338,Dosen!$A$3:$A$8,0),IF(AND(Main!A338&gt;=1,Main!A338&lt;=250),1,IF(AND(Main!A338&gt;=251,Main!A338&lt;=500),2,IF(AND(Main!A338&gt;=501,Main!A338&lt;=750),3,4))))</f>
        <v>Pak Budi</v>
      </c>
      <c r="W338" s="7" t="str">
        <f>_xlfn.XLOOKUP(B338,Detail!$G$1:$G$1001,Detail!$B$1:$B$1001)</f>
        <v>O+</v>
      </c>
    </row>
    <row r="339" spans="1:23" ht="15.75" x14ac:dyDescent="0.25">
      <c r="A339" s="7">
        <v>138</v>
      </c>
      <c r="B339" s="33" t="str">
        <f t="shared" si="15"/>
        <v>C0138</v>
      </c>
      <c r="C339" s="7" t="s">
        <v>1012</v>
      </c>
      <c r="D339" s="33" t="str">
        <f>VLOOKUP(B339,Detail!$G$1:$H$1001,2,FALSE)</f>
        <v>Raden Halim</v>
      </c>
      <c r="E339" s="7">
        <v>59</v>
      </c>
      <c r="F339" s="7">
        <v>60</v>
      </c>
      <c r="G339" s="57">
        <v>61</v>
      </c>
      <c r="H339" s="7">
        <v>56</v>
      </c>
      <c r="I339" s="7">
        <v>51</v>
      </c>
      <c r="J339" s="7">
        <v>54</v>
      </c>
      <c r="K339" s="7">
        <v>69</v>
      </c>
      <c r="L339" s="56" t="str">
        <f>IFERROR(VLOOKUP(B339,Absen!$A$1:$C$501,2,FALSE),"No")</f>
        <v>No</v>
      </c>
      <c r="M339" s="58">
        <f t="shared" si="16"/>
        <v>6.9</v>
      </c>
      <c r="N339" s="57">
        <f t="shared" si="17"/>
        <v>58.15</v>
      </c>
      <c r="O339" s="7" t="str">
        <f>VLOOKUP(N339,Helper!$B$30:$C$35,2,TRUE)</f>
        <v>D</v>
      </c>
      <c r="P339" s="56">
        <f>INDEX(Detail!$A$1:$A$1001,MATCH(B339,Detail!$G$1:$G$1001,0))</f>
        <v>37704</v>
      </c>
      <c r="Q339" s="33" t="str">
        <f>INDEX(Detail!$F$1:$F$1001,MATCH(Main!B339,Detail!$G$1:$G$1001,0))</f>
        <v>Dumai</v>
      </c>
      <c r="R339" s="7">
        <f>INDEX(Detail!$C$1:$C$1001,MATCH(B339,Detail!$G$1:$G$1001,0),1)</f>
        <v>167</v>
      </c>
      <c r="S339" s="7">
        <f>INDEX(Detail!$D$1:$D$1001,MATCH(B339,Detail!$G$1:$G$1001,0),1)</f>
        <v>80</v>
      </c>
      <c r="T339" s="7" t="str">
        <f>INDEX(Detail!$E$1:$E$1001,MATCH(Main!B339,Detail!$G$1:$G$1001,0))</f>
        <v xml:space="preserve">Gg. Indragiri No. 7
</v>
      </c>
      <c r="U339" s="7" t="str">
        <f>INDEX(Detail!$B$1:$B$1001,MATCH(B339,Detail!$G$1:$G$1001,0),1)</f>
        <v>B-</v>
      </c>
      <c r="V339" s="7" t="str" cm="1">
        <f t="array" ref="V339">INDEX(Dosen!$B$3:$E$8,MATCH(Main!C339,Dosen!$A$3:$A$8,0),IF(AND(Main!A339&gt;=1,Main!A339&lt;=250),1,IF(AND(Main!A339&gt;=251,Main!A339&lt;=500),2,IF(AND(Main!A339&gt;=501,Main!A339&lt;=750),3,4))))</f>
        <v>Pak Budi</v>
      </c>
      <c r="W339" s="7" t="str">
        <f>_xlfn.XLOOKUP(B339,Detail!$G$1:$G$1001,Detail!$B$1:$B$1001)</f>
        <v>B-</v>
      </c>
    </row>
    <row r="340" spans="1:23" ht="15.75" x14ac:dyDescent="0.25">
      <c r="A340" s="7">
        <v>139</v>
      </c>
      <c r="B340" s="33" t="str">
        <f t="shared" si="15"/>
        <v>C0139</v>
      </c>
      <c r="C340" s="7" t="s">
        <v>1012</v>
      </c>
      <c r="D340" s="33" t="str">
        <f>VLOOKUP(B340,Detail!$G$1:$H$1001,2,FALSE)</f>
        <v>Taufik Uwais</v>
      </c>
      <c r="E340" s="7">
        <v>81</v>
      </c>
      <c r="F340" s="7">
        <v>70</v>
      </c>
      <c r="G340" s="57">
        <v>68</v>
      </c>
      <c r="H340" s="7">
        <v>50</v>
      </c>
      <c r="I340" s="7">
        <v>68</v>
      </c>
      <c r="J340" s="7">
        <v>55</v>
      </c>
      <c r="K340" s="7">
        <v>89</v>
      </c>
      <c r="L340" s="56">
        <f>IFERROR(VLOOKUP(B340,Absen!$A$1:$C$501,2,FALSE),"No")</f>
        <v>44896</v>
      </c>
      <c r="M340" s="58">
        <f t="shared" si="16"/>
        <v>7.9</v>
      </c>
      <c r="N340" s="57">
        <f t="shared" si="17"/>
        <v>66.125</v>
      </c>
      <c r="O340" s="7" t="str">
        <f>VLOOKUP(N340,Helper!$B$30:$C$35,2,TRUE)</f>
        <v>C</v>
      </c>
      <c r="P340" s="56">
        <f>INDEX(Detail!$A$1:$A$1001,MATCH(B340,Detail!$G$1:$G$1001,0))</f>
        <v>37026</v>
      </c>
      <c r="Q340" s="33" t="str">
        <f>INDEX(Detail!$F$1:$F$1001,MATCH(Main!B340,Detail!$G$1:$G$1001,0))</f>
        <v>Tidore Kepulauan</v>
      </c>
      <c r="R340" s="7">
        <f>INDEX(Detail!$C$1:$C$1001,MATCH(B340,Detail!$G$1:$G$1001,0),1)</f>
        <v>172</v>
      </c>
      <c r="S340" s="7">
        <f>INDEX(Detail!$D$1:$D$1001,MATCH(B340,Detail!$G$1:$G$1001,0),1)</f>
        <v>68</v>
      </c>
      <c r="T340" s="7" t="str">
        <f>INDEX(Detail!$E$1:$E$1001,MATCH(Main!B340,Detail!$G$1:$G$1001,0))</f>
        <v>Jl. Kiaracondong No. 50</v>
      </c>
      <c r="U340" s="7" t="str">
        <f>INDEX(Detail!$B$1:$B$1001,MATCH(B340,Detail!$G$1:$G$1001,0),1)</f>
        <v>A+</v>
      </c>
      <c r="V340" s="7" t="str" cm="1">
        <f t="array" ref="V340">INDEX(Dosen!$B$3:$E$8,MATCH(Main!C340,Dosen!$A$3:$A$8,0),IF(AND(Main!A340&gt;=1,Main!A340&lt;=250),1,IF(AND(Main!A340&gt;=251,Main!A340&lt;=500),2,IF(AND(Main!A340&gt;=501,Main!A340&lt;=750),3,4))))</f>
        <v>Pak Budi</v>
      </c>
      <c r="W340" s="7" t="str">
        <f>_xlfn.XLOOKUP(B340,Detail!$G$1:$G$1001,Detail!$B$1:$B$1001)</f>
        <v>A+</v>
      </c>
    </row>
    <row r="341" spans="1:23" ht="15.75" x14ac:dyDescent="0.25">
      <c r="A341" s="7">
        <v>149</v>
      </c>
      <c r="B341" s="33" t="str">
        <f t="shared" si="15"/>
        <v>C0149</v>
      </c>
      <c r="C341" s="7" t="s">
        <v>1012</v>
      </c>
      <c r="D341" s="33" t="str">
        <f>VLOOKUP(B341,Detail!$G$1:$H$1001,2,FALSE)</f>
        <v>Vino Nashiruddin</v>
      </c>
      <c r="E341" s="7">
        <v>87</v>
      </c>
      <c r="F341" s="7">
        <v>66</v>
      </c>
      <c r="G341" s="57">
        <v>73</v>
      </c>
      <c r="H341" s="7">
        <v>63</v>
      </c>
      <c r="I341" s="7">
        <v>82</v>
      </c>
      <c r="J341" s="7">
        <v>66</v>
      </c>
      <c r="K341" s="7">
        <v>73</v>
      </c>
      <c r="L341" s="56" t="str">
        <f>IFERROR(VLOOKUP(B341,Absen!$A$1:$C$501,2,FALSE),"No")</f>
        <v>No</v>
      </c>
      <c r="M341" s="58">
        <f t="shared" si="16"/>
        <v>7.3000000000000007</v>
      </c>
      <c r="N341" s="57">
        <f t="shared" si="17"/>
        <v>72.349999999999994</v>
      </c>
      <c r="O341" s="7" t="str">
        <f>VLOOKUP(N341,Helper!$B$30:$C$35,2,TRUE)</f>
        <v>B</v>
      </c>
      <c r="P341" s="56">
        <f>INDEX(Detail!$A$1:$A$1001,MATCH(B341,Detail!$G$1:$G$1001,0))</f>
        <v>37027</v>
      </c>
      <c r="Q341" s="33" t="str">
        <f>INDEX(Detail!$F$1:$F$1001,MATCH(Main!B341,Detail!$G$1:$G$1001,0))</f>
        <v>Kota Administrasi Jakarta Selatan</v>
      </c>
      <c r="R341" s="7">
        <f>INDEX(Detail!$C$1:$C$1001,MATCH(B341,Detail!$G$1:$G$1001,0),1)</f>
        <v>157</v>
      </c>
      <c r="S341" s="7">
        <f>INDEX(Detail!$D$1:$D$1001,MATCH(B341,Detail!$G$1:$G$1001,0),1)</f>
        <v>61</v>
      </c>
      <c r="T341" s="7" t="str">
        <f>INDEX(Detail!$E$1:$E$1001,MATCH(Main!B341,Detail!$G$1:$G$1001,0))</f>
        <v>Gg. Bangka Raya No. 25</v>
      </c>
      <c r="U341" s="7" t="str">
        <f>INDEX(Detail!$B$1:$B$1001,MATCH(B341,Detail!$G$1:$G$1001,0),1)</f>
        <v>B-</v>
      </c>
      <c r="V341" s="7" t="str" cm="1">
        <f t="array" ref="V341">INDEX(Dosen!$B$3:$E$8,MATCH(Main!C341,Dosen!$A$3:$A$8,0),IF(AND(Main!A341&gt;=1,Main!A341&lt;=250),1,IF(AND(Main!A341&gt;=251,Main!A341&lt;=500),2,IF(AND(Main!A341&gt;=501,Main!A341&lt;=750),3,4))))</f>
        <v>Pak Budi</v>
      </c>
      <c r="W341" s="7" t="str">
        <f>_xlfn.XLOOKUP(B341,Detail!$G$1:$G$1001,Detail!$B$1:$B$1001)</f>
        <v>B-</v>
      </c>
    </row>
    <row r="342" spans="1:23" ht="15.75" x14ac:dyDescent="0.25">
      <c r="A342" s="7">
        <v>151</v>
      </c>
      <c r="B342" s="33" t="str">
        <f t="shared" si="15"/>
        <v>C0151</v>
      </c>
      <c r="C342" s="7" t="s">
        <v>1012</v>
      </c>
      <c r="D342" s="33" t="str">
        <f>VLOOKUP(B342,Detail!$G$1:$H$1001,2,FALSE)</f>
        <v>Gamblang Permata</v>
      </c>
      <c r="E342" s="7">
        <v>87</v>
      </c>
      <c r="F342" s="7">
        <v>48</v>
      </c>
      <c r="G342" s="57">
        <v>45</v>
      </c>
      <c r="H342" s="7">
        <v>63</v>
      </c>
      <c r="I342" s="7">
        <v>86</v>
      </c>
      <c r="J342" s="7">
        <v>63</v>
      </c>
      <c r="K342" s="7">
        <v>70</v>
      </c>
      <c r="L342" s="56">
        <f>IFERROR(VLOOKUP(B342,Absen!$A$1:$C$501,2,FALSE),"No")</f>
        <v>44778</v>
      </c>
      <c r="M342" s="58">
        <f t="shared" si="16"/>
        <v>6</v>
      </c>
      <c r="N342" s="57">
        <f t="shared" si="17"/>
        <v>63.1</v>
      </c>
      <c r="O342" s="7" t="str">
        <f>VLOOKUP(N342,Helper!$B$30:$C$35,2,TRUE)</f>
        <v>C</v>
      </c>
      <c r="P342" s="56">
        <f>INDEX(Detail!$A$1:$A$1001,MATCH(B342,Detail!$G$1:$G$1001,0))</f>
        <v>38221</v>
      </c>
      <c r="Q342" s="33" t="str">
        <f>INDEX(Detail!$F$1:$F$1001,MATCH(Main!B342,Detail!$G$1:$G$1001,0))</f>
        <v>Madiun</v>
      </c>
      <c r="R342" s="7">
        <f>INDEX(Detail!$C$1:$C$1001,MATCH(B342,Detail!$G$1:$G$1001,0),1)</f>
        <v>157</v>
      </c>
      <c r="S342" s="7">
        <f>INDEX(Detail!$D$1:$D$1001,MATCH(B342,Detail!$G$1:$G$1001,0),1)</f>
        <v>48</v>
      </c>
      <c r="T342" s="7" t="str">
        <f>INDEX(Detail!$E$1:$E$1001,MATCH(Main!B342,Detail!$G$1:$G$1001,0))</f>
        <v>Jl. Suniaraja No. 37</v>
      </c>
      <c r="U342" s="7" t="str">
        <f>INDEX(Detail!$B$1:$B$1001,MATCH(B342,Detail!$G$1:$G$1001,0),1)</f>
        <v>B-</v>
      </c>
      <c r="V342" s="7" t="str" cm="1">
        <f t="array" ref="V342">INDEX(Dosen!$B$3:$E$8,MATCH(Main!C342,Dosen!$A$3:$A$8,0),IF(AND(Main!A342&gt;=1,Main!A342&lt;=250),1,IF(AND(Main!A342&gt;=251,Main!A342&lt;=500),2,IF(AND(Main!A342&gt;=501,Main!A342&lt;=750),3,4))))</f>
        <v>Pak Budi</v>
      </c>
      <c r="W342" s="7" t="str">
        <f>_xlfn.XLOOKUP(B342,Detail!$G$1:$G$1001,Detail!$B$1:$B$1001)</f>
        <v>B-</v>
      </c>
    </row>
    <row r="343" spans="1:23" ht="15.75" x14ac:dyDescent="0.25">
      <c r="A343" s="7">
        <v>170</v>
      </c>
      <c r="B343" s="33" t="str">
        <f t="shared" si="15"/>
        <v>C0170</v>
      </c>
      <c r="C343" s="7" t="s">
        <v>1012</v>
      </c>
      <c r="D343" s="33" t="str">
        <f>VLOOKUP(B343,Detail!$G$1:$H$1001,2,FALSE)</f>
        <v>Kiandra Prayoga</v>
      </c>
      <c r="E343" s="7">
        <v>86</v>
      </c>
      <c r="F343" s="7">
        <v>65</v>
      </c>
      <c r="G343" s="57">
        <v>34</v>
      </c>
      <c r="H343" s="7">
        <v>56</v>
      </c>
      <c r="I343" s="7">
        <v>66</v>
      </c>
      <c r="J343" s="7">
        <v>72</v>
      </c>
      <c r="K343" s="7">
        <v>97</v>
      </c>
      <c r="L343" s="56" t="str">
        <f>IFERROR(VLOOKUP(B343,Absen!$A$1:$C$501,2,FALSE),"No")</f>
        <v>No</v>
      </c>
      <c r="M343" s="58">
        <f t="shared" si="16"/>
        <v>9.7000000000000011</v>
      </c>
      <c r="N343" s="57">
        <f t="shared" si="17"/>
        <v>65.024999999999991</v>
      </c>
      <c r="O343" s="7" t="str">
        <f>VLOOKUP(N343,Helper!$B$30:$C$35,2,TRUE)</f>
        <v>C</v>
      </c>
      <c r="P343" s="56">
        <f>INDEX(Detail!$A$1:$A$1001,MATCH(B343,Detail!$G$1:$G$1001,0))</f>
        <v>38429</v>
      </c>
      <c r="Q343" s="33" t="str">
        <f>INDEX(Detail!$F$1:$F$1001,MATCH(Main!B343,Detail!$G$1:$G$1001,0))</f>
        <v>Magelang</v>
      </c>
      <c r="R343" s="7">
        <f>INDEX(Detail!$C$1:$C$1001,MATCH(B343,Detail!$G$1:$G$1001,0),1)</f>
        <v>151</v>
      </c>
      <c r="S343" s="7">
        <f>INDEX(Detail!$D$1:$D$1001,MATCH(B343,Detail!$G$1:$G$1001,0),1)</f>
        <v>47</v>
      </c>
      <c r="T343" s="7" t="str">
        <f>INDEX(Detail!$E$1:$E$1001,MATCH(Main!B343,Detail!$G$1:$G$1001,0))</f>
        <v xml:space="preserve">Gang Waringin No. 9
</v>
      </c>
      <c r="U343" s="7" t="str">
        <f>INDEX(Detail!$B$1:$B$1001,MATCH(B343,Detail!$G$1:$G$1001,0),1)</f>
        <v>B-</v>
      </c>
      <c r="V343" s="7" t="str" cm="1">
        <f t="array" ref="V343">INDEX(Dosen!$B$3:$E$8,MATCH(Main!C343,Dosen!$A$3:$A$8,0),IF(AND(Main!A343&gt;=1,Main!A343&lt;=250),1,IF(AND(Main!A343&gt;=251,Main!A343&lt;=500),2,IF(AND(Main!A343&gt;=501,Main!A343&lt;=750),3,4))))</f>
        <v>Pak Budi</v>
      </c>
      <c r="W343" s="7" t="str">
        <f>_xlfn.XLOOKUP(B343,Detail!$G$1:$G$1001,Detail!$B$1:$B$1001)</f>
        <v>B-</v>
      </c>
    </row>
    <row r="344" spans="1:23" ht="15.75" x14ac:dyDescent="0.25">
      <c r="A344" s="7">
        <v>173</v>
      </c>
      <c r="B344" s="33" t="str">
        <f t="shared" si="15"/>
        <v>C0173</v>
      </c>
      <c r="C344" s="7" t="s">
        <v>1012</v>
      </c>
      <c r="D344" s="33" t="str">
        <f>VLOOKUP(B344,Detail!$G$1:$H$1001,2,FALSE)</f>
        <v>Citra Zulkarnain</v>
      </c>
      <c r="E344" s="7">
        <v>79</v>
      </c>
      <c r="F344" s="7">
        <v>66</v>
      </c>
      <c r="G344" s="57">
        <v>53</v>
      </c>
      <c r="H344" s="7">
        <v>75</v>
      </c>
      <c r="I344" s="7">
        <v>77</v>
      </c>
      <c r="J344" s="7">
        <v>41</v>
      </c>
      <c r="K344" s="7">
        <v>94</v>
      </c>
      <c r="L344" s="56" t="str">
        <f>IFERROR(VLOOKUP(B344,Absen!$A$1:$C$501,2,FALSE),"No")</f>
        <v>No</v>
      </c>
      <c r="M344" s="58">
        <f t="shared" si="16"/>
        <v>9.4</v>
      </c>
      <c r="N344" s="57">
        <f t="shared" si="17"/>
        <v>65.325000000000003</v>
      </c>
      <c r="O344" s="7" t="str">
        <f>VLOOKUP(N344,Helper!$B$30:$C$35,2,TRUE)</f>
        <v>C</v>
      </c>
      <c r="P344" s="56">
        <f>INDEX(Detail!$A$1:$A$1001,MATCH(B344,Detail!$G$1:$G$1001,0))</f>
        <v>38059</v>
      </c>
      <c r="Q344" s="33" t="str">
        <f>INDEX(Detail!$F$1:$F$1001,MATCH(Main!B344,Detail!$G$1:$G$1001,0))</f>
        <v>Kupang</v>
      </c>
      <c r="R344" s="7">
        <f>INDEX(Detail!$C$1:$C$1001,MATCH(B344,Detail!$G$1:$G$1001,0),1)</f>
        <v>155</v>
      </c>
      <c r="S344" s="7">
        <f>INDEX(Detail!$D$1:$D$1001,MATCH(B344,Detail!$G$1:$G$1001,0),1)</f>
        <v>82</v>
      </c>
      <c r="T344" s="7" t="str">
        <f>INDEX(Detail!$E$1:$E$1001,MATCH(Main!B344,Detail!$G$1:$G$1001,0))</f>
        <v xml:space="preserve">Gang Soekarno Hatta No. 7
</v>
      </c>
      <c r="U344" s="7" t="str">
        <f>INDEX(Detail!$B$1:$B$1001,MATCH(B344,Detail!$G$1:$G$1001,0),1)</f>
        <v>A+</v>
      </c>
      <c r="V344" s="7" t="str" cm="1">
        <f t="array" ref="V344">INDEX(Dosen!$B$3:$E$8,MATCH(Main!C344,Dosen!$A$3:$A$8,0),IF(AND(Main!A344&gt;=1,Main!A344&lt;=250),1,IF(AND(Main!A344&gt;=251,Main!A344&lt;=500),2,IF(AND(Main!A344&gt;=501,Main!A344&lt;=750),3,4))))</f>
        <v>Pak Budi</v>
      </c>
      <c r="W344" s="7" t="str">
        <f>_xlfn.XLOOKUP(B344,Detail!$G$1:$G$1001,Detail!$B$1:$B$1001)</f>
        <v>A+</v>
      </c>
    </row>
    <row r="345" spans="1:23" ht="15.75" x14ac:dyDescent="0.25">
      <c r="A345" s="7">
        <v>177</v>
      </c>
      <c r="B345" s="33" t="str">
        <f t="shared" si="15"/>
        <v>C0177</v>
      </c>
      <c r="C345" s="7" t="s">
        <v>1012</v>
      </c>
      <c r="D345" s="33" t="str">
        <f>VLOOKUP(B345,Detail!$G$1:$H$1001,2,FALSE)</f>
        <v>Mariadi Hasanah</v>
      </c>
      <c r="E345" s="7">
        <v>52</v>
      </c>
      <c r="F345" s="7">
        <v>40</v>
      </c>
      <c r="G345" s="57">
        <v>49</v>
      </c>
      <c r="H345" s="7">
        <v>59</v>
      </c>
      <c r="I345" s="7">
        <v>65</v>
      </c>
      <c r="J345" s="7">
        <v>92</v>
      </c>
      <c r="K345" s="7">
        <v>80</v>
      </c>
      <c r="L345" s="56" t="str">
        <f>IFERROR(VLOOKUP(B345,Absen!$A$1:$C$501,2,FALSE),"No")</f>
        <v>No</v>
      </c>
      <c r="M345" s="58">
        <f t="shared" si="16"/>
        <v>8</v>
      </c>
      <c r="N345" s="57">
        <f t="shared" si="17"/>
        <v>63.2</v>
      </c>
      <c r="O345" s="7" t="str">
        <f>VLOOKUP(N345,Helper!$B$30:$C$35,2,TRUE)</f>
        <v>C</v>
      </c>
      <c r="P345" s="56">
        <f>INDEX(Detail!$A$1:$A$1001,MATCH(B345,Detail!$G$1:$G$1001,0))</f>
        <v>37328</v>
      </c>
      <c r="Q345" s="33" t="str">
        <f>INDEX(Detail!$F$1:$F$1001,MATCH(Main!B345,Detail!$G$1:$G$1001,0))</f>
        <v>Metro</v>
      </c>
      <c r="R345" s="7">
        <f>INDEX(Detail!$C$1:$C$1001,MATCH(B345,Detail!$G$1:$G$1001,0),1)</f>
        <v>167</v>
      </c>
      <c r="S345" s="7">
        <f>INDEX(Detail!$D$1:$D$1001,MATCH(B345,Detail!$G$1:$G$1001,0),1)</f>
        <v>65</v>
      </c>
      <c r="T345" s="7" t="str">
        <f>INDEX(Detail!$E$1:$E$1001,MATCH(Main!B345,Detail!$G$1:$G$1001,0))</f>
        <v xml:space="preserve">Jalan Monginsidi No. 6
</v>
      </c>
      <c r="U345" s="7" t="str">
        <f>INDEX(Detail!$B$1:$B$1001,MATCH(B345,Detail!$G$1:$G$1001,0),1)</f>
        <v>AB-</v>
      </c>
      <c r="V345" s="7" t="str" cm="1">
        <f t="array" ref="V345">INDEX(Dosen!$B$3:$E$8,MATCH(Main!C345,Dosen!$A$3:$A$8,0),IF(AND(Main!A345&gt;=1,Main!A345&lt;=250),1,IF(AND(Main!A345&gt;=251,Main!A345&lt;=500),2,IF(AND(Main!A345&gt;=501,Main!A345&lt;=750),3,4))))</f>
        <v>Pak Budi</v>
      </c>
      <c r="W345" s="7" t="str">
        <f>_xlfn.XLOOKUP(B345,Detail!$G$1:$G$1001,Detail!$B$1:$B$1001)</f>
        <v>AB-</v>
      </c>
    </row>
    <row r="346" spans="1:23" ht="15.75" x14ac:dyDescent="0.25">
      <c r="A346" s="7">
        <v>179</v>
      </c>
      <c r="B346" s="33" t="str">
        <f t="shared" si="15"/>
        <v>C0179</v>
      </c>
      <c r="C346" s="7" t="s">
        <v>1012</v>
      </c>
      <c r="D346" s="33" t="str">
        <f>VLOOKUP(B346,Detail!$G$1:$H$1001,2,FALSE)</f>
        <v>Sidiq Damanik</v>
      </c>
      <c r="E346" s="7">
        <v>87</v>
      </c>
      <c r="F346" s="7">
        <v>73</v>
      </c>
      <c r="G346" s="57">
        <v>89</v>
      </c>
      <c r="H346" s="7">
        <v>65</v>
      </c>
      <c r="I346" s="7">
        <v>92</v>
      </c>
      <c r="J346" s="7">
        <v>42</v>
      </c>
      <c r="K346" s="7">
        <v>99</v>
      </c>
      <c r="L346" s="56">
        <f>IFERROR(VLOOKUP(B346,Absen!$A$1:$C$501,2,FALSE),"No")</f>
        <v>44865</v>
      </c>
      <c r="M346" s="58">
        <f t="shared" si="16"/>
        <v>8.9</v>
      </c>
      <c r="N346" s="57">
        <f t="shared" si="17"/>
        <v>74.725000000000009</v>
      </c>
      <c r="O346" s="7" t="str">
        <f>VLOOKUP(N346,Helper!$B$30:$C$35,2,TRUE)</f>
        <v>B</v>
      </c>
      <c r="P346" s="56">
        <f>INDEX(Detail!$A$1:$A$1001,MATCH(B346,Detail!$G$1:$G$1001,0))</f>
        <v>37324</v>
      </c>
      <c r="Q346" s="33" t="str">
        <f>INDEX(Detail!$F$1:$F$1001,MATCH(Main!B346,Detail!$G$1:$G$1001,0))</f>
        <v>Kupang</v>
      </c>
      <c r="R346" s="7">
        <f>INDEX(Detail!$C$1:$C$1001,MATCH(B346,Detail!$G$1:$G$1001,0),1)</f>
        <v>167</v>
      </c>
      <c r="S346" s="7">
        <f>INDEX(Detail!$D$1:$D$1001,MATCH(B346,Detail!$G$1:$G$1001,0),1)</f>
        <v>82</v>
      </c>
      <c r="T346" s="7" t="str">
        <f>INDEX(Detail!$E$1:$E$1001,MATCH(Main!B346,Detail!$G$1:$G$1001,0))</f>
        <v>Jl. Ciwastra No. 38</v>
      </c>
      <c r="U346" s="7" t="str">
        <f>INDEX(Detail!$B$1:$B$1001,MATCH(B346,Detail!$G$1:$G$1001,0),1)</f>
        <v>A-</v>
      </c>
      <c r="V346" s="7" t="str" cm="1">
        <f t="array" ref="V346">INDEX(Dosen!$B$3:$E$8,MATCH(Main!C346,Dosen!$A$3:$A$8,0),IF(AND(Main!A346&gt;=1,Main!A346&lt;=250),1,IF(AND(Main!A346&gt;=251,Main!A346&lt;=500),2,IF(AND(Main!A346&gt;=501,Main!A346&lt;=750),3,4))))</f>
        <v>Pak Budi</v>
      </c>
      <c r="W346" s="7" t="str">
        <f>_xlfn.XLOOKUP(B346,Detail!$G$1:$G$1001,Detail!$B$1:$B$1001)</f>
        <v>A-</v>
      </c>
    </row>
    <row r="347" spans="1:23" ht="15.75" x14ac:dyDescent="0.25">
      <c r="A347" s="7">
        <v>203</v>
      </c>
      <c r="B347" s="33" t="str">
        <f t="shared" si="15"/>
        <v>C0203</v>
      </c>
      <c r="C347" s="7" t="s">
        <v>1012</v>
      </c>
      <c r="D347" s="33" t="str">
        <f>VLOOKUP(B347,Detail!$G$1:$H$1001,2,FALSE)</f>
        <v>Narji Januar</v>
      </c>
      <c r="E347" s="7">
        <v>69</v>
      </c>
      <c r="F347" s="7">
        <v>53</v>
      </c>
      <c r="G347" s="57">
        <v>71</v>
      </c>
      <c r="H347" s="7">
        <v>58</v>
      </c>
      <c r="I347" s="7">
        <v>78</v>
      </c>
      <c r="J347" s="7">
        <v>48</v>
      </c>
      <c r="K347" s="7">
        <v>69</v>
      </c>
      <c r="L347" s="56" t="str">
        <f>IFERROR(VLOOKUP(B347,Absen!$A$1:$C$501,2,FALSE),"No")</f>
        <v>No</v>
      </c>
      <c r="M347" s="58">
        <f t="shared" si="16"/>
        <v>6.9</v>
      </c>
      <c r="N347" s="57">
        <f t="shared" si="17"/>
        <v>62.95</v>
      </c>
      <c r="O347" s="7" t="str">
        <f>VLOOKUP(N347,Helper!$B$30:$C$35,2,TRUE)</f>
        <v>C</v>
      </c>
      <c r="P347" s="56">
        <f>INDEX(Detail!$A$1:$A$1001,MATCH(B347,Detail!$G$1:$G$1001,0))</f>
        <v>37918</v>
      </c>
      <c r="Q347" s="33" t="str">
        <f>INDEX(Detail!$F$1:$F$1001,MATCH(Main!B347,Detail!$G$1:$G$1001,0))</f>
        <v>Kotamobagu</v>
      </c>
      <c r="R347" s="7">
        <f>INDEX(Detail!$C$1:$C$1001,MATCH(B347,Detail!$G$1:$G$1001,0),1)</f>
        <v>151</v>
      </c>
      <c r="S347" s="7">
        <f>INDEX(Detail!$D$1:$D$1001,MATCH(B347,Detail!$G$1:$G$1001,0),1)</f>
        <v>94</v>
      </c>
      <c r="T347" s="7" t="str">
        <f>INDEX(Detail!$E$1:$E$1001,MATCH(Main!B347,Detail!$G$1:$G$1001,0))</f>
        <v xml:space="preserve">Gang Rajawali Timur No. 5
</v>
      </c>
      <c r="U347" s="7" t="str">
        <f>INDEX(Detail!$B$1:$B$1001,MATCH(B347,Detail!$G$1:$G$1001,0),1)</f>
        <v>B-</v>
      </c>
      <c r="V347" s="7" t="str" cm="1">
        <f t="array" ref="V347">INDEX(Dosen!$B$3:$E$8,MATCH(Main!C347,Dosen!$A$3:$A$8,0),IF(AND(Main!A347&gt;=1,Main!A347&lt;=250),1,IF(AND(Main!A347&gt;=251,Main!A347&lt;=500),2,IF(AND(Main!A347&gt;=501,Main!A347&lt;=750),3,4))))</f>
        <v>Pak Budi</v>
      </c>
      <c r="W347" s="7" t="str">
        <f>_xlfn.XLOOKUP(B347,Detail!$G$1:$G$1001,Detail!$B$1:$B$1001)</f>
        <v>B-</v>
      </c>
    </row>
    <row r="348" spans="1:23" ht="15.75" x14ac:dyDescent="0.25">
      <c r="A348" s="7">
        <v>205</v>
      </c>
      <c r="B348" s="33" t="str">
        <f t="shared" si="15"/>
        <v>C0205</v>
      </c>
      <c r="C348" s="7" t="s">
        <v>1012</v>
      </c>
      <c r="D348" s="33" t="str">
        <f>VLOOKUP(B348,Detail!$G$1:$H$1001,2,FALSE)</f>
        <v>Cemplunk Maryadi</v>
      </c>
      <c r="E348" s="7">
        <v>95</v>
      </c>
      <c r="F348" s="7">
        <v>44</v>
      </c>
      <c r="G348" s="57">
        <v>51</v>
      </c>
      <c r="H348" s="7">
        <v>66</v>
      </c>
      <c r="I348" s="7">
        <v>61</v>
      </c>
      <c r="J348" s="7">
        <v>54</v>
      </c>
      <c r="K348" s="7">
        <v>90</v>
      </c>
      <c r="L348" s="56">
        <f>IFERROR(VLOOKUP(B348,Absen!$A$1:$C$501,2,FALSE),"No")</f>
        <v>44846</v>
      </c>
      <c r="M348" s="58">
        <f t="shared" si="16"/>
        <v>8</v>
      </c>
      <c r="N348" s="57">
        <f t="shared" si="17"/>
        <v>62.25</v>
      </c>
      <c r="O348" s="7" t="str">
        <f>VLOOKUP(N348,Helper!$B$30:$C$35,2,TRUE)</f>
        <v>C</v>
      </c>
      <c r="P348" s="56">
        <f>INDEX(Detail!$A$1:$A$1001,MATCH(B348,Detail!$G$1:$G$1001,0))</f>
        <v>38314</v>
      </c>
      <c r="Q348" s="33" t="str">
        <f>INDEX(Detail!$F$1:$F$1001,MATCH(Main!B348,Detail!$G$1:$G$1001,0))</f>
        <v>Palembang</v>
      </c>
      <c r="R348" s="7">
        <f>INDEX(Detail!$C$1:$C$1001,MATCH(B348,Detail!$G$1:$G$1001,0),1)</f>
        <v>153</v>
      </c>
      <c r="S348" s="7">
        <f>INDEX(Detail!$D$1:$D$1001,MATCH(B348,Detail!$G$1:$G$1001,0),1)</f>
        <v>84</v>
      </c>
      <c r="T348" s="7" t="str">
        <f>INDEX(Detail!$E$1:$E$1001,MATCH(Main!B348,Detail!$G$1:$G$1001,0))</f>
        <v xml:space="preserve">Gang Kiaracondong No. 5
</v>
      </c>
      <c r="U348" s="7" t="str">
        <f>INDEX(Detail!$B$1:$B$1001,MATCH(B348,Detail!$G$1:$G$1001,0),1)</f>
        <v>B+</v>
      </c>
      <c r="V348" s="7" t="str" cm="1">
        <f t="array" ref="V348">INDEX(Dosen!$B$3:$E$8,MATCH(Main!C348,Dosen!$A$3:$A$8,0),IF(AND(Main!A348&gt;=1,Main!A348&lt;=250),1,IF(AND(Main!A348&gt;=251,Main!A348&lt;=500),2,IF(AND(Main!A348&gt;=501,Main!A348&lt;=750),3,4))))</f>
        <v>Pak Budi</v>
      </c>
      <c r="W348" s="7" t="str">
        <f>_xlfn.XLOOKUP(B348,Detail!$G$1:$G$1001,Detail!$B$1:$B$1001)</f>
        <v>B+</v>
      </c>
    </row>
    <row r="349" spans="1:23" ht="15.75" x14ac:dyDescent="0.25">
      <c r="A349" s="7">
        <v>214</v>
      </c>
      <c r="B349" s="33" t="str">
        <f t="shared" si="15"/>
        <v>C0214</v>
      </c>
      <c r="C349" s="7" t="s">
        <v>1012</v>
      </c>
      <c r="D349" s="33" t="str">
        <f>VLOOKUP(B349,Detail!$G$1:$H$1001,2,FALSE)</f>
        <v>Ratih Palastri</v>
      </c>
      <c r="E349" s="7">
        <v>79</v>
      </c>
      <c r="F349" s="7">
        <v>60</v>
      </c>
      <c r="G349" s="57">
        <v>42</v>
      </c>
      <c r="H349" s="7">
        <v>59</v>
      </c>
      <c r="I349" s="7">
        <v>68</v>
      </c>
      <c r="J349" s="7">
        <v>54</v>
      </c>
      <c r="K349" s="7">
        <v>97</v>
      </c>
      <c r="L349" s="56">
        <f>IFERROR(VLOOKUP(B349,Absen!$A$1:$C$501,2,FALSE),"No")</f>
        <v>44766</v>
      </c>
      <c r="M349" s="58">
        <f t="shared" si="16"/>
        <v>8.7000000000000011</v>
      </c>
      <c r="N349" s="57">
        <f t="shared" si="17"/>
        <v>61.150000000000006</v>
      </c>
      <c r="O349" s="7" t="str">
        <f>VLOOKUP(N349,Helper!$B$30:$C$35,2,TRUE)</f>
        <v>C</v>
      </c>
      <c r="P349" s="56">
        <f>INDEX(Detail!$A$1:$A$1001,MATCH(B349,Detail!$G$1:$G$1001,0))</f>
        <v>37915</v>
      </c>
      <c r="Q349" s="33" t="str">
        <f>INDEX(Detail!$F$1:$F$1001,MATCH(Main!B349,Detail!$G$1:$G$1001,0))</f>
        <v>Prabumulih</v>
      </c>
      <c r="R349" s="7">
        <f>INDEX(Detail!$C$1:$C$1001,MATCH(B349,Detail!$G$1:$G$1001,0),1)</f>
        <v>166</v>
      </c>
      <c r="S349" s="7">
        <f>INDEX(Detail!$D$1:$D$1001,MATCH(B349,Detail!$G$1:$G$1001,0),1)</f>
        <v>61</v>
      </c>
      <c r="T349" s="7" t="str">
        <f>INDEX(Detail!$E$1:$E$1001,MATCH(Main!B349,Detail!$G$1:$G$1001,0))</f>
        <v>Gg. Bangka Raya No. 15</v>
      </c>
      <c r="U349" s="7" t="str">
        <f>INDEX(Detail!$B$1:$B$1001,MATCH(B349,Detail!$G$1:$G$1001,0),1)</f>
        <v>B+</v>
      </c>
      <c r="V349" s="7" t="str" cm="1">
        <f t="array" ref="V349">INDEX(Dosen!$B$3:$E$8,MATCH(Main!C349,Dosen!$A$3:$A$8,0),IF(AND(Main!A349&gt;=1,Main!A349&lt;=250),1,IF(AND(Main!A349&gt;=251,Main!A349&lt;=500),2,IF(AND(Main!A349&gt;=501,Main!A349&lt;=750),3,4))))</f>
        <v>Pak Budi</v>
      </c>
      <c r="W349" s="7" t="str">
        <f>_xlfn.XLOOKUP(B349,Detail!$G$1:$G$1001,Detail!$B$1:$B$1001)</f>
        <v>B+</v>
      </c>
    </row>
    <row r="350" spans="1:23" ht="15.75" x14ac:dyDescent="0.25">
      <c r="A350" s="7">
        <v>216</v>
      </c>
      <c r="B350" s="33" t="str">
        <f t="shared" si="15"/>
        <v>C0216</v>
      </c>
      <c r="C350" s="7" t="s">
        <v>1012</v>
      </c>
      <c r="D350" s="33" t="str">
        <f>VLOOKUP(B350,Detail!$G$1:$H$1001,2,FALSE)</f>
        <v>Kamidin Handayani</v>
      </c>
      <c r="E350" s="7">
        <v>61</v>
      </c>
      <c r="F350" s="7">
        <v>51</v>
      </c>
      <c r="G350" s="57">
        <v>75</v>
      </c>
      <c r="H350" s="7">
        <v>62</v>
      </c>
      <c r="I350" s="7">
        <v>59</v>
      </c>
      <c r="J350" s="7">
        <v>45</v>
      </c>
      <c r="K350" s="7">
        <v>88</v>
      </c>
      <c r="L350" s="56" t="str">
        <f>IFERROR(VLOOKUP(B350,Absen!$A$1:$C$501,2,FALSE),"No")</f>
        <v>No</v>
      </c>
      <c r="M350" s="58">
        <f t="shared" si="16"/>
        <v>8.8000000000000007</v>
      </c>
      <c r="N350" s="57">
        <f t="shared" si="17"/>
        <v>61.924999999999997</v>
      </c>
      <c r="O350" s="7" t="str">
        <f>VLOOKUP(N350,Helper!$B$30:$C$35,2,TRUE)</f>
        <v>C</v>
      </c>
      <c r="P350" s="56">
        <f>INDEX(Detail!$A$1:$A$1001,MATCH(B350,Detail!$G$1:$G$1001,0))</f>
        <v>37201</v>
      </c>
      <c r="Q350" s="33" t="str">
        <f>INDEX(Detail!$F$1:$F$1001,MATCH(Main!B350,Detail!$G$1:$G$1001,0))</f>
        <v>Jambi</v>
      </c>
      <c r="R350" s="7">
        <f>INDEX(Detail!$C$1:$C$1001,MATCH(B350,Detail!$G$1:$G$1001,0),1)</f>
        <v>177</v>
      </c>
      <c r="S350" s="7">
        <f>INDEX(Detail!$D$1:$D$1001,MATCH(B350,Detail!$G$1:$G$1001,0),1)</f>
        <v>89</v>
      </c>
      <c r="T350" s="7" t="str">
        <f>INDEX(Detail!$E$1:$E$1001,MATCH(Main!B350,Detail!$G$1:$G$1001,0))</f>
        <v>Gg. Jamika No. 10</v>
      </c>
      <c r="U350" s="7" t="str">
        <f>INDEX(Detail!$B$1:$B$1001,MATCH(B350,Detail!$G$1:$G$1001,0),1)</f>
        <v>B+</v>
      </c>
      <c r="V350" s="7" t="str" cm="1">
        <f t="array" ref="V350">INDEX(Dosen!$B$3:$E$8,MATCH(Main!C350,Dosen!$A$3:$A$8,0),IF(AND(Main!A350&gt;=1,Main!A350&lt;=250),1,IF(AND(Main!A350&gt;=251,Main!A350&lt;=500),2,IF(AND(Main!A350&gt;=501,Main!A350&lt;=750),3,4))))</f>
        <v>Pak Budi</v>
      </c>
      <c r="W350" s="7" t="str">
        <f>_xlfn.XLOOKUP(B350,Detail!$G$1:$G$1001,Detail!$B$1:$B$1001)</f>
        <v>B+</v>
      </c>
    </row>
    <row r="351" spans="1:23" ht="15.75" x14ac:dyDescent="0.25">
      <c r="A351" s="7">
        <v>230</v>
      </c>
      <c r="B351" s="33" t="str">
        <f t="shared" si="15"/>
        <v>C0230</v>
      </c>
      <c r="C351" s="7" t="s">
        <v>1012</v>
      </c>
      <c r="D351" s="33" t="str">
        <f>VLOOKUP(B351,Detail!$G$1:$H$1001,2,FALSE)</f>
        <v>Jagapati Situmorang</v>
      </c>
      <c r="E351" s="7">
        <v>77</v>
      </c>
      <c r="F351" s="7">
        <v>53</v>
      </c>
      <c r="G351" s="57">
        <v>68</v>
      </c>
      <c r="H351" s="7">
        <v>65</v>
      </c>
      <c r="I351" s="7">
        <v>55</v>
      </c>
      <c r="J351" s="7">
        <v>47</v>
      </c>
      <c r="K351" s="7">
        <v>77</v>
      </c>
      <c r="L351" s="56">
        <f>IFERROR(VLOOKUP(B351,Absen!$A$1:$C$501,2,FALSE),"No")</f>
        <v>44864</v>
      </c>
      <c r="M351" s="58">
        <f t="shared" si="16"/>
        <v>6.7</v>
      </c>
      <c r="N351" s="57">
        <f t="shared" si="17"/>
        <v>60.95</v>
      </c>
      <c r="O351" s="7" t="str">
        <f>VLOOKUP(N351,Helper!$B$30:$C$35,2,TRUE)</f>
        <v>C</v>
      </c>
      <c r="P351" s="56">
        <f>INDEX(Detail!$A$1:$A$1001,MATCH(B351,Detail!$G$1:$G$1001,0))</f>
        <v>37113</v>
      </c>
      <c r="Q351" s="33" t="str">
        <f>INDEX(Detail!$F$1:$F$1001,MATCH(Main!B351,Detail!$G$1:$G$1001,0))</f>
        <v>Pontianak</v>
      </c>
      <c r="R351" s="7">
        <f>INDEX(Detail!$C$1:$C$1001,MATCH(B351,Detail!$G$1:$G$1001,0),1)</f>
        <v>174</v>
      </c>
      <c r="S351" s="7">
        <f>INDEX(Detail!$D$1:$D$1001,MATCH(B351,Detail!$G$1:$G$1001,0),1)</f>
        <v>74</v>
      </c>
      <c r="T351" s="7" t="str">
        <f>INDEX(Detail!$E$1:$E$1001,MATCH(Main!B351,Detail!$G$1:$G$1001,0))</f>
        <v>Gang H.J Maemunah No. 15</v>
      </c>
      <c r="U351" s="7" t="str">
        <f>INDEX(Detail!$B$1:$B$1001,MATCH(B351,Detail!$G$1:$G$1001,0),1)</f>
        <v>A-</v>
      </c>
      <c r="V351" s="7" t="str" cm="1">
        <f t="array" ref="V351">INDEX(Dosen!$B$3:$E$8,MATCH(Main!C351,Dosen!$A$3:$A$8,0),IF(AND(Main!A351&gt;=1,Main!A351&lt;=250),1,IF(AND(Main!A351&gt;=251,Main!A351&lt;=500),2,IF(AND(Main!A351&gt;=501,Main!A351&lt;=750),3,4))))</f>
        <v>Pak Budi</v>
      </c>
      <c r="W351" s="7" t="str">
        <f>_xlfn.XLOOKUP(B351,Detail!$G$1:$G$1001,Detail!$B$1:$B$1001)</f>
        <v>A-</v>
      </c>
    </row>
    <row r="352" spans="1:23" ht="15.75" x14ac:dyDescent="0.25">
      <c r="A352" s="7">
        <v>237</v>
      </c>
      <c r="B352" s="33" t="str">
        <f t="shared" si="15"/>
        <v>C0237</v>
      </c>
      <c r="C352" s="7" t="s">
        <v>1012</v>
      </c>
      <c r="D352" s="33" t="str">
        <f>VLOOKUP(B352,Detail!$G$1:$H$1001,2,FALSE)</f>
        <v>Lala Gunarto</v>
      </c>
      <c r="E352" s="7">
        <v>52</v>
      </c>
      <c r="F352" s="7">
        <v>74</v>
      </c>
      <c r="G352" s="57">
        <v>73</v>
      </c>
      <c r="H352" s="7">
        <v>51</v>
      </c>
      <c r="I352" s="7">
        <v>54</v>
      </c>
      <c r="J352" s="7">
        <v>57</v>
      </c>
      <c r="K352" s="7">
        <v>89</v>
      </c>
      <c r="L352" s="56" t="str">
        <f>IFERROR(VLOOKUP(B352,Absen!$A$1:$C$501,2,FALSE),"No")</f>
        <v>No</v>
      </c>
      <c r="M352" s="58">
        <f t="shared" si="16"/>
        <v>8.9</v>
      </c>
      <c r="N352" s="57">
        <f t="shared" si="17"/>
        <v>63.774999999999999</v>
      </c>
      <c r="O352" s="7" t="str">
        <f>VLOOKUP(N352,Helper!$B$30:$C$35,2,TRUE)</f>
        <v>C</v>
      </c>
      <c r="P352" s="56">
        <f>INDEX(Detail!$A$1:$A$1001,MATCH(B352,Detail!$G$1:$G$1001,0))</f>
        <v>37967</v>
      </c>
      <c r="Q352" s="33" t="str">
        <f>INDEX(Detail!$F$1:$F$1001,MATCH(Main!B352,Detail!$G$1:$G$1001,0))</f>
        <v>Medan</v>
      </c>
      <c r="R352" s="7">
        <f>INDEX(Detail!$C$1:$C$1001,MATCH(B352,Detail!$G$1:$G$1001,0),1)</f>
        <v>178</v>
      </c>
      <c r="S352" s="7">
        <f>INDEX(Detail!$D$1:$D$1001,MATCH(B352,Detail!$G$1:$G$1001,0),1)</f>
        <v>56</v>
      </c>
      <c r="T352" s="7" t="str">
        <f>INDEX(Detail!$E$1:$E$1001,MATCH(Main!B352,Detail!$G$1:$G$1001,0))</f>
        <v>Gg. Ir. H. Djuanda No. 36</v>
      </c>
      <c r="U352" s="7" t="str">
        <f>INDEX(Detail!$B$1:$B$1001,MATCH(B352,Detail!$G$1:$G$1001,0),1)</f>
        <v>AB+</v>
      </c>
      <c r="V352" s="7" t="str" cm="1">
        <f t="array" ref="V352">INDEX(Dosen!$B$3:$E$8,MATCH(Main!C352,Dosen!$A$3:$A$8,0),IF(AND(Main!A352&gt;=1,Main!A352&lt;=250),1,IF(AND(Main!A352&gt;=251,Main!A352&lt;=500),2,IF(AND(Main!A352&gt;=501,Main!A352&lt;=750),3,4))))</f>
        <v>Pak Budi</v>
      </c>
      <c r="W352" s="7" t="str">
        <f>_xlfn.XLOOKUP(B352,Detail!$G$1:$G$1001,Detail!$B$1:$B$1001)</f>
        <v>AB+</v>
      </c>
    </row>
    <row r="353" spans="1:23" ht="15.75" x14ac:dyDescent="0.25">
      <c r="A353" s="7">
        <v>240</v>
      </c>
      <c r="B353" s="33" t="str">
        <f t="shared" ref="B353:B384" si="18">CONCATENATE("C",TEXT(A353,"0000"))</f>
        <v>C0240</v>
      </c>
      <c r="C353" s="7" t="s">
        <v>1012</v>
      </c>
      <c r="D353" s="33" t="str">
        <f>VLOOKUP(B353,Detail!$G$1:$H$1001,2,FALSE)</f>
        <v>Kanda Pratiwi</v>
      </c>
      <c r="E353" s="7">
        <v>52</v>
      </c>
      <c r="F353" s="7">
        <v>44</v>
      </c>
      <c r="G353" s="57">
        <v>86</v>
      </c>
      <c r="H353" s="7">
        <v>51</v>
      </c>
      <c r="I353" s="7">
        <v>85</v>
      </c>
      <c r="J353" s="7">
        <v>100</v>
      </c>
      <c r="K353" s="7">
        <v>70</v>
      </c>
      <c r="L353" s="56">
        <f>IFERROR(VLOOKUP(B353,Absen!$A$1:$C$501,2,FALSE),"No")</f>
        <v>44899</v>
      </c>
      <c r="M353" s="58">
        <f t="shared" si="16"/>
        <v>6</v>
      </c>
      <c r="N353" s="57">
        <f t="shared" si="17"/>
        <v>72.2</v>
      </c>
      <c r="O353" s="7" t="str">
        <f>VLOOKUP(N353,Helper!$B$30:$C$35,2,TRUE)</f>
        <v>B</v>
      </c>
      <c r="P353" s="56">
        <f>INDEX(Detail!$A$1:$A$1001,MATCH(B353,Detail!$G$1:$G$1001,0))</f>
        <v>38353</v>
      </c>
      <c r="Q353" s="33" t="str">
        <f>INDEX(Detail!$F$1:$F$1001,MATCH(Main!B353,Detail!$G$1:$G$1001,0))</f>
        <v>Lubuklinggau</v>
      </c>
      <c r="R353" s="7">
        <f>INDEX(Detail!$C$1:$C$1001,MATCH(B353,Detail!$G$1:$G$1001,0),1)</f>
        <v>176</v>
      </c>
      <c r="S353" s="7">
        <f>INDEX(Detail!$D$1:$D$1001,MATCH(B353,Detail!$G$1:$G$1001,0),1)</f>
        <v>65</v>
      </c>
      <c r="T353" s="7" t="str">
        <f>INDEX(Detail!$E$1:$E$1001,MATCH(Main!B353,Detail!$G$1:$G$1001,0))</f>
        <v>Jl. Rawamangun No. 71</v>
      </c>
      <c r="U353" s="7" t="str">
        <f>INDEX(Detail!$B$1:$B$1001,MATCH(B353,Detail!$G$1:$G$1001,0),1)</f>
        <v>A-</v>
      </c>
      <c r="V353" s="7" t="str" cm="1">
        <f t="array" ref="V353">INDEX(Dosen!$B$3:$E$8,MATCH(Main!C353,Dosen!$A$3:$A$8,0),IF(AND(Main!A353&gt;=1,Main!A353&lt;=250),1,IF(AND(Main!A353&gt;=251,Main!A353&lt;=500),2,IF(AND(Main!A353&gt;=501,Main!A353&lt;=750),3,4))))</f>
        <v>Pak Budi</v>
      </c>
      <c r="W353" s="7" t="str">
        <f>_xlfn.XLOOKUP(B353,Detail!$G$1:$G$1001,Detail!$B$1:$B$1001)</f>
        <v>A-</v>
      </c>
    </row>
    <row r="354" spans="1:23" ht="15.75" x14ac:dyDescent="0.25">
      <c r="A354" s="7">
        <v>246</v>
      </c>
      <c r="B354" s="33" t="str">
        <f t="shared" si="18"/>
        <v>C0246</v>
      </c>
      <c r="C354" s="7" t="s">
        <v>1012</v>
      </c>
      <c r="D354" s="33" t="str">
        <f>VLOOKUP(B354,Detail!$G$1:$H$1001,2,FALSE)</f>
        <v>Dirja Nashiruddin</v>
      </c>
      <c r="E354" s="7">
        <v>65</v>
      </c>
      <c r="F354" s="7">
        <v>53</v>
      </c>
      <c r="G354" s="57">
        <v>78</v>
      </c>
      <c r="H354" s="7">
        <v>52</v>
      </c>
      <c r="I354" s="7">
        <v>92</v>
      </c>
      <c r="J354" s="7">
        <v>96</v>
      </c>
      <c r="K354" s="7">
        <v>77</v>
      </c>
      <c r="L354" s="56" t="str">
        <f>IFERROR(VLOOKUP(B354,Absen!$A$1:$C$501,2,FALSE),"No")</f>
        <v>No</v>
      </c>
      <c r="M354" s="58">
        <f t="shared" si="16"/>
        <v>7.7</v>
      </c>
      <c r="N354" s="57">
        <f t="shared" si="17"/>
        <v>75.250000000000014</v>
      </c>
      <c r="O354" s="7" t="str">
        <f>VLOOKUP(N354,Helper!$B$30:$C$35,2,TRUE)</f>
        <v>B</v>
      </c>
      <c r="P354" s="56">
        <f>INDEX(Detail!$A$1:$A$1001,MATCH(B354,Detail!$G$1:$G$1001,0))</f>
        <v>37713</v>
      </c>
      <c r="Q354" s="33" t="str">
        <f>INDEX(Detail!$F$1:$F$1001,MATCH(Main!B354,Detail!$G$1:$G$1001,0))</f>
        <v>Semarang</v>
      </c>
      <c r="R354" s="7">
        <f>INDEX(Detail!$C$1:$C$1001,MATCH(B354,Detail!$G$1:$G$1001,0),1)</f>
        <v>177</v>
      </c>
      <c r="S354" s="7">
        <f>INDEX(Detail!$D$1:$D$1001,MATCH(B354,Detail!$G$1:$G$1001,0),1)</f>
        <v>52</v>
      </c>
      <c r="T354" s="7" t="str">
        <f>INDEX(Detail!$E$1:$E$1001,MATCH(Main!B354,Detail!$G$1:$G$1001,0))</f>
        <v>Gang K.H. Wahid Hasyim No. 54</v>
      </c>
      <c r="U354" s="7" t="str">
        <f>INDEX(Detail!$B$1:$B$1001,MATCH(B354,Detail!$G$1:$G$1001,0),1)</f>
        <v>AB+</v>
      </c>
      <c r="V354" s="7" t="str" cm="1">
        <f t="array" ref="V354">INDEX(Dosen!$B$3:$E$8,MATCH(Main!C354,Dosen!$A$3:$A$8,0),IF(AND(Main!A354&gt;=1,Main!A354&lt;=250),1,IF(AND(Main!A354&gt;=251,Main!A354&lt;=500),2,IF(AND(Main!A354&gt;=501,Main!A354&lt;=750),3,4))))</f>
        <v>Pak Budi</v>
      </c>
      <c r="W354" s="7" t="str">
        <f>_xlfn.XLOOKUP(B354,Detail!$G$1:$G$1001,Detail!$B$1:$B$1001)</f>
        <v>AB+</v>
      </c>
    </row>
    <row r="355" spans="1:23" ht="15.75" x14ac:dyDescent="0.25">
      <c r="A355" s="7">
        <v>247</v>
      </c>
      <c r="B355" s="33" t="str">
        <f t="shared" si="18"/>
        <v>C0247</v>
      </c>
      <c r="C355" s="7" t="s">
        <v>1012</v>
      </c>
      <c r="D355" s="33" t="str">
        <f>VLOOKUP(B355,Detail!$G$1:$H$1001,2,FALSE)</f>
        <v>Hasta Utami</v>
      </c>
      <c r="E355" s="7">
        <v>78</v>
      </c>
      <c r="F355" s="7">
        <v>62</v>
      </c>
      <c r="G355" s="57">
        <v>94</v>
      </c>
      <c r="H355" s="7">
        <v>75</v>
      </c>
      <c r="I355" s="7">
        <v>93</v>
      </c>
      <c r="J355" s="7">
        <v>100</v>
      </c>
      <c r="K355" s="7">
        <v>79</v>
      </c>
      <c r="L355" s="56" t="str">
        <f>IFERROR(VLOOKUP(B355,Absen!$A$1:$C$501,2,FALSE),"No")</f>
        <v>No</v>
      </c>
      <c r="M355" s="58">
        <f t="shared" si="16"/>
        <v>7.9</v>
      </c>
      <c r="N355" s="57">
        <f t="shared" si="17"/>
        <v>85.2</v>
      </c>
      <c r="O355" s="7" t="str">
        <f>VLOOKUP(N355,Helper!$B$30:$C$35,2,TRUE)</f>
        <v>A</v>
      </c>
      <c r="P355" s="56">
        <f>INDEX(Detail!$A$1:$A$1001,MATCH(B355,Detail!$G$1:$G$1001,0))</f>
        <v>38403</v>
      </c>
      <c r="Q355" s="33" t="str">
        <f>INDEX(Detail!$F$1:$F$1001,MATCH(Main!B355,Detail!$G$1:$G$1001,0))</f>
        <v>Pangkalpinang</v>
      </c>
      <c r="R355" s="7">
        <f>INDEX(Detail!$C$1:$C$1001,MATCH(B355,Detail!$G$1:$G$1001,0),1)</f>
        <v>177</v>
      </c>
      <c r="S355" s="7">
        <f>INDEX(Detail!$D$1:$D$1001,MATCH(B355,Detail!$G$1:$G$1001,0),1)</f>
        <v>85</v>
      </c>
      <c r="T355" s="7" t="str">
        <f>INDEX(Detail!$E$1:$E$1001,MATCH(Main!B355,Detail!$G$1:$G$1001,0))</f>
        <v>Gg. Suniaraja No. 09</v>
      </c>
      <c r="U355" s="7" t="str">
        <f>INDEX(Detail!$B$1:$B$1001,MATCH(B355,Detail!$G$1:$G$1001,0),1)</f>
        <v>AB+</v>
      </c>
      <c r="V355" s="7" t="str" cm="1">
        <f t="array" ref="V355">INDEX(Dosen!$B$3:$E$8,MATCH(Main!C355,Dosen!$A$3:$A$8,0),IF(AND(Main!A355&gt;=1,Main!A355&lt;=250),1,IF(AND(Main!A355&gt;=251,Main!A355&lt;=500),2,IF(AND(Main!A355&gt;=501,Main!A355&lt;=750),3,4))))</f>
        <v>Pak Budi</v>
      </c>
      <c r="W355" s="7" t="str">
        <f>_xlfn.XLOOKUP(B355,Detail!$G$1:$G$1001,Detail!$B$1:$B$1001)</f>
        <v>AB+</v>
      </c>
    </row>
    <row r="356" spans="1:23" ht="15.75" x14ac:dyDescent="0.25">
      <c r="A356" s="7">
        <v>250</v>
      </c>
      <c r="B356" s="33" t="str">
        <f t="shared" si="18"/>
        <v>C0250</v>
      </c>
      <c r="C356" s="7" t="s">
        <v>1012</v>
      </c>
      <c r="D356" s="33" t="str">
        <f>VLOOKUP(B356,Detail!$G$1:$H$1001,2,FALSE)</f>
        <v>Qori Hidayat</v>
      </c>
      <c r="E356" s="7">
        <v>60</v>
      </c>
      <c r="F356" s="7">
        <v>48</v>
      </c>
      <c r="G356" s="57">
        <v>38</v>
      </c>
      <c r="H356" s="7">
        <v>53</v>
      </c>
      <c r="I356" s="7">
        <v>86</v>
      </c>
      <c r="J356" s="7">
        <v>54</v>
      </c>
      <c r="K356" s="7">
        <v>60</v>
      </c>
      <c r="L356" s="56">
        <f>IFERROR(VLOOKUP(B356,Absen!$A$1:$C$501,2,FALSE),"No")</f>
        <v>44871</v>
      </c>
      <c r="M356" s="58">
        <f t="shared" si="16"/>
        <v>5</v>
      </c>
      <c r="N356" s="57">
        <f t="shared" si="17"/>
        <v>54.275000000000006</v>
      </c>
      <c r="O356" s="7" t="str">
        <f>VLOOKUP(N356,Helper!$B$30:$C$35,2,TRUE)</f>
        <v>D</v>
      </c>
      <c r="P356" s="56">
        <f>INDEX(Detail!$A$1:$A$1001,MATCH(B356,Detail!$G$1:$G$1001,0))</f>
        <v>37885</v>
      </c>
      <c r="Q356" s="33" t="str">
        <f>INDEX(Detail!$F$1:$F$1001,MATCH(Main!B356,Detail!$G$1:$G$1001,0))</f>
        <v>Banda Aceh</v>
      </c>
      <c r="R356" s="7">
        <f>INDEX(Detail!$C$1:$C$1001,MATCH(B356,Detail!$G$1:$G$1001,0),1)</f>
        <v>163</v>
      </c>
      <c r="S356" s="7">
        <f>INDEX(Detail!$D$1:$D$1001,MATCH(B356,Detail!$G$1:$G$1001,0),1)</f>
        <v>85</v>
      </c>
      <c r="T356" s="7" t="str">
        <f>INDEX(Detail!$E$1:$E$1001,MATCH(Main!B356,Detail!$G$1:$G$1001,0))</f>
        <v>Jalan Gegerkalong Hilir No. 96</v>
      </c>
      <c r="U356" s="7" t="str">
        <f>INDEX(Detail!$B$1:$B$1001,MATCH(B356,Detail!$G$1:$G$1001,0),1)</f>
        <v>O-</v>
      </c>
      <c r="V356" s="7" t="str" cm="1">
        <f t="array" ref="V356">INDEX(Dosen!$B$3:$E$8,MATCH(Main!C356,Dosen!$A$3:$A$8,0),IF(AND(Main!A356&gt;=1,Main!A356&lt;=250),1,IF(AND(Main!A356&gt;=251,Main!A356&lt;=500),2,IF(AND(Main!A356&gt;=501,Main!A356&lt;=750),3,4))))</f>
        <v>Pak Budi</v>
      </c>
      <c r="W356" s="7" t="str">
        <f>_xlfn.XLOOKUP(B356,Detail!$G$1:$G$1001,Detail!$B$1:$B$1001)</f>
        <v>O-</v>
      </c>
    </row>
    <row r="357" spans="1:23" ht="15.75" x14ac:dyDescent="0.25">
      <c r="A357" s="7">
        <v>253</v>
      </c>
      <c r="B357" s="33" t="str">
        <f t="shared" si="18"/>
        <v>C0253</v>
      </c>
      <c r="C357" s="7" t="s">
        <v>1012</v>
      </c>
      <c r="D357" s="33" t="str">
        <f>VLOOKUP(B357,Detail!$G$1:$H$1001,2,FALSE)</f>
        <v>Raden Rahayu</v>
      </c>
      <c r="E357" s="7">
        <v>65</v>
      </c>
      <c r="F357" s="7">
        <v>40</v>
      </c>
      <c r="G357" s="57">
        <v>85</v>
      </c>
      <c r="H357" s="7">
        <v>61</v>
      </c>
      <c r="I357" s="7">
        <v>94</v>
      </c>
      <c r="J357" s="7">
        <v>41</v>
      </c>
      <c r="K357" s="7">
        <v>78</v>
      </c>
      <c r="L357" s="56">
        <f>IFERROR(VLOOKUP(B357,Absen!$A$1:$C$501,2,FALSE),"No")</f>
        <v>44859</v>
      </c>
      <c r="M357" s="58">
        <f t="shared" si="16"/>
        <v>6.8000000000000007</v>
      </c>
      <c r="N357" s="57">
        <f t="shared" si="17"/>
        <v>64.5</v>
      </c>
      <c r="O357" s="7" t="str">
        <f>VLOOKUP(N357,Helper!$B$30:$C$35,2,TRUE)</f>
        <v>C</v>
      </c>
      <c r="P357" s="56">
        <f>INDEX(Detail!$A$1:$A$1001,MATCH(B357,Detail!$G$1:$G$1001,0))</f>
        <v>37099</v>
      </c>
      <c r="Q357" s="33" t="str">
        <f>INDEX(Detail!$F$1:$F$1001,MATCH(Main!B357,Detail!$G$1:$G$1001,0))</f>
        <v>Pekanbaru</v>
      </c>
      <c r="R357" s="7">
        <f>INDEX(Detail!$C$1:$C$1001,MATCH(B357,Detail!$G$1:$G$1001,0),1)</f>
        <v>176</v>
      </c>
      <c r="S357" s="7">
        <f>INDEX(Detail!$D$1:$D$1001,MATCH(B357,Detail!$G$1:$G$1001,0),1)</f>
        <v>78</v>
      </c>
      <c r="T357" s="7" t="str">
        <f>INDEX(Detail!$E$1:$E$1001,MATCH(Main!B357,Detail!$G$1:$G$1001,0))</f>
        <v xml:space="preserve">Gang Dipatiukur No. 7
</v>
      </c>
      <c r="U357" s="7" t="str">
        <f>INDEX(Detail!$B$1:$B$1001,MATCH(B357,Detail!$G$1:$G$1001,0),1)</f>
        <v>O+</v>
      </c>
      <c r="V357" s="7" t="str" cm="1">
        <f t="array" ref="V357">INDEX(Dosen!$B$3:$E$8,MATCH(Main!C357,Dosen!$A$3:$A$8,0),IF(AND(Main!A357&gt;=1,Main!A357&lt;=250),1,IF(AND(Main!A357&gt;=251,Main!A357&lt;=500),2,IF(AND(Main!A357&gt;=501,Main!A357&lt;=750),3,4))))</f>
        <v>Bu Made</v>
      </c>
      <c r="W357" s="7" t="str">
        <f>_xlfn.XLOOKUP(B357,Detail!$G$1:$G$1001,Detail!$B$1:$B$1001)</f>
        <v>O+</v>
      </c>
    </row>
    <row r="358" spans="1:23" ht="15.75" x14ac:dyDescent="0.25">
      <c r="A358" s="7">
        <v>258</v>
      </c>
      <c r="B358" s="33" t="str">
        <f t="shared" si="18"/>
        <v>C0258</v>
      </c>
      <c r="C358" s="7" t="s">
        <v>1012</v>
      </c>
      <c r="D358" s="33" t="str">
        <f>VLOOKUP(B358,Detail!$G$1:$H$1001,2,FALSE)</f>
        <v>Ghani Hariyah</v>
      </c>
      <c r="E358" s="7">
        <v>61</v>
      </c>
      <c r="F358" s="7">
        <v>61</v>
      </c>
      <c r="G358" s="57">
        <v>53</v>
      </c>
      <c r="H358" s="7">
        <v>60</v>
      </c>
      <c r="I358" s="7">
        <v>81</v>
      </c>
      <c r="J358" s="7">
        <v>48</v>
      </c>
      <c r="K358" s="7">
        <v>87</v>
      </c>
      <c r="L358" s="56" t="str">
        <f>IFERROR(VLOOKUP(B358,Absen!$A$1:$C$501,2,FALSE),"No")</f>
        <v>No</v>
      </c>
      <c r="M358" s="58">
        <f t="shared" si="16"/>
        <v>8.7000000000000011</v>
      </c>
      <c r="N358" s="57">
        <f t="shared" si="17"/>
        <v>61.775000000000006</v>
      </c>
      <c r="O358" s="7" t="str">
        <f>VLOOKUP(N358,Helper!$B$30:$C$35,2,TRUE)</f>
        <v>C</v>
      </c>
      <c r="P358" s="56">
        <f>INDEX(Detail!$A$1:$A$1001,MATCH(B358,Detail!$G$1:$G$1001,0))</f>
        <v>37447</v>
      </c>
      <c r="Q358" s="33" t="str">
        <f>INDEX(Detail!$F$1:$F$1001,MATCH(Main!B358,Detail!$G$1:$G$1001,0))</f>
        <v>Denpasar</v>
      </c>
      <c r="R358" s="7">
        <f>INDEX(Detail!$C$1:$C$1001,MATCH(B358,Detail!$G$1:$G$1001,0),1)</f>
        <v>177</v>
      </c>
      <c r="S358" s="7">
        <f>INDEX(Detail!$D$1:$D$1001,MATCH(B358,Detail!$G$1:$G$1001,0),1)</f>
        <v>87</v>
      </c>
      <c r="T358" s="7" t="str">
        <f>INDEX(Detail!$E$1:$E$1001,MATCH(Main!B358,Detail!$G$1:$G$1001,0))</f>
        <v>Jl. Abdul Muis No. 10</v>
      </c>
      <c r="U358" s="7" t="str">
        <f>INDEX(Detail!$B$1:$B$1001,MATCH(B358,Detail!$G$1:$G$1001,0),1)</f>
        <v>B-</v>
      </c>
      <c r="V358" s="7" t="str" cm="1">
        <f t="array" ref="V358">INDEX(Dosen!$B$3:$E$8,MATCH(Main!C358,Dosen!$A$3:$A$8,0),IF(AND(Main!A358&gt;=1,Main!A358&lt;=250),1,IF(AND(Main!A358&gt;=251,Main!A358&lt;=500),2,IF(AND(Main!A358&gt;=501,Main!A358&lt;=750),3,4))))</f>
        <v>Bu Made</v>
      </c>
      <c r="W358" s="7" t="str">
        <f>_xlfn.XLOOKUP(B358,Detail!$G$1:$G$1001,Detail!$B$1:$B$1001)</f>
        <v>B-</v>
      </c>
    </row>
    <row r="359" spans="1:23" ht="15.75" x14ac:dyDescent="0.25">
      <c r="A359" s="7">
        <v>260</v>
      </c>
      <c r="B359" s="33" t="str">
        <f t="shared" si="18"/>
        <v>C0260</v>
      </c>
      <c r="C359" s="7" t="s">
        <v>1012</v>
      </c>
      <c r="D359" s="33" t="str">
        <f>VLOOKUP(B359,Detail!$G$1:$H$1001,2,FALSE)</f>
        <v>Ajiman Puspasari</v>
      </c>
      <c r="E359" s="7">
        <v>93</v>
      </c>
      <c r="F359" s="7">
        <v>50</v>
      </c>
      <c r="G359" s="57">
        <v>39</v>
      </c>
      <c r="H359" s="7">
        <v>64</v>
      </c>
      <c r="I359" s="7">
        <v>86</v>
      </c>
      <c r="J359" s="7">
        <v>74</v>
      </c>
      <c r="K359" s="7">
        <v>83</v>
      </c>
      <c r="L359" s="56" t="str">
        <f>IFERROR(VLOOKUP(B359,Absen!$A$1:$C$501,2,FALSE),"No")</f>
        <v>No</v>
      </c>
      <c r="M359" s="58">
        <f t="shared" si="16"/>
        <v>8.3000000000000007</v>
      </c>
      <c r="N359" s="57">
        <f t="shared" si="17"/>
        <v>67.524999999999991</v>
      </c>
      <c r="O359" s="7" t="str">
        <f>VLOOKUP(N359,Helper!$B$30:$C$35,2,TRUE)</f>
        <v>C</v>
      </c>
      <c r="P359" s="56">
        <f>INDEX(Detail!$A$1:$A$1001,MATCH(B359,Detail!$G$1:$G$1001,0))</f>
        <v>37037</v>
      </c>
      <c r="Q359" s="33" t="str">
        <f>INDEX(Detail!$F$1:$F$1001,MATCH(Main!B359,Detail!$G$1:$G$1001,0))</f>
        <v>Dumai</v>
      </c>
      <c r="R359" s="7">
        <f>INDEX(Detail!$C$1:$C$1001,MATCH(B359,Detail!$G$1:$G$1001,0),1)</f>
        <v>163</v>
      </c>
      <c r="S359" s="7">
        <f>INDEX(Detail!$D$1:$D$1001,MATCH(B359,Detail!$G$1:$G$1001,0),1)</f>
        <v>56</v>
      </c>
      <c r="T359" s="7" t="str">
        <f>INDEX(Detail!$E$1:$E$1001,MATCH(Main!B359,Detail!$G$1:$G$1001,0))</f>
        <v>Jl. Ciwastra No. 68</v>
      </c>
      <c r="U359" s="7" t="str">
        <f>INDEX(Detail!$B$1:$B$1001,MATCH(B359,Detail!$G$1:$G$1001,0),1)</f>
        <v>B-</v>
      </c>
      <c r="V359" s="7" t="str" cm="1">
        <f t="array" ref="V359">INDEX(Dosen!$B$3:$E$8,MATCH(Main!C359,Dosen!$A$3:$A$8,0),IF(AND(Main!A359&gt;=1,Main!A359&lt;=250),1,IF(AND(Main!A359&gt;=251,Main!A359&lt;=500),2,IF(AND(Main!A359&gt;=501,Main!A359&lt;=750),3,4))))</f>
        <v>Bu Made</v>
      </c>
      <c r="W359" s="7" t="str">
        <f>_xlfn.XLOOKUP(B359,Detail!$G$1:$G$1001,Detail!$B$1:$B$1001)</f>
        <v>B-</v>
      </c>
    </row>
    <row r="360" spans="1:23" ht="15.75" x14ac:dyDescent="0.25">
      <c r="A360" s="7">
        <v>273</v>
      </c>
      <c r="B360" s="33" t="str">
        <f t="shared" si="18"/>
        <v>C0273</v>
      </c>
      <c r="C360" s="7" t="s">
        <v>1012</v>
      </c>
      <c r="D360" s="33" t="str">
        <f>VLOOKUP(B360,Detail!$G$1:$H$1001,2,FALSE)</f>
        <v>Kamidin Tamba</v>
      </c>
      <c r="E360" s="7">
        <v>67</v>
      </c>
      <c r="F360" s="7">
        <v>63</v>
      </c>
      <c r="G360" s="57">
        <v>88</v>
      </c>
      <c r="H360" s="7">
        <v>72</v>
      </c>
      <c r="I360" s="7">
        <v>95</v>
      </c>
      <c r="J360" s="7">
        <v>57</v>
      </c>
      <c r="K360" s="7">
        <v>79</v>
      </c>
      <c r="L360" s="56">
        <f>IFERROR(VLOOKUP(B360,Absen!$A$1:$C$501,2,FALSE),"No")</f>
        <v>44838</v>
      </c>
      <c r="M360" s="58">
        <f t="shared" si="16"/>
        <v>6.9</v>
      </c>
      <c r="N360" s="57">
        <f t="shared" si="17"/>
        <v>73.025000000000006</v>
      </c>
      <c r="O360" s="7" t="str">
        <f>VLOOKUP(N360,Helper!$B$30:$C$35,2,TRUE)</f>
        <v>B</v>
      </c>
      <c r="P360" s="56">
        <f>INDEX(Detail!$A$1:$A$1001,MATCH(B360,Detail!$G$1:$G$1001,0))</f>
        <v>37608</v>
      </c>
      <c r="Q360" s="33" t="str">
        <f>INDEX(Detail!$F$1:$F$1001,MATCH(Main!B360,Detail!$G$1:$G$1001,0))</f>
        <v>Sungai Penuh</v>
      </c>
      <c r="R360" s="7">
        <f>INDEX(Detail!$C$1:$C$1001,MATCH(B360,Detail!$G$1:$G$1001,0),1)</f>
        <v>176</v>
      </c>
      <c r="S360" s="7">
        <f>INDEX(Detail!$D$1:$D$1001,MATCH(B360,Detail!$G$1:$G$1001,0),1)</f>
        <v>72</v>
      </c>
      <c r="T360" s="7" t="str">
        <f>INDEX(Detail!$E$1:$E$1001,MATCH(Main!B360,Detail!$G$1:$G$1001,0))</f>
        <v xml:space="preserve">Jalan BKR No. 3
</v>
      </c>
      <c r="U360" s="7" t="str">
        <f>INDEX(Detail!$B$1:$B$1001,MATCH(B360,Detail!$G$1:$G$1001,0),1)</f>
        <v>A-</v>
      </c>
      <c r="V360" s="7" t="str" cm="1">
        <f t="array" ref="V360">INDEX(Dosen!$B$3:$E$8,MATCH(Main!C360,Dosen!$A$3:$A$8,0),IF(AND(Main!A360&gt;=1,Main!A360&lt;=250),1,IF(AND(Main!A360&gt;=251,Main!A360&lt;=500),2,IF(AND(Main!A360&gt;=501,Main!A360&lt;=750),3,4))))</f>
        <v>Bu Made</v>
      </c>
      <c r="W360" s="7" t="str">
        <f>_xlfn.XLOOKUP(B360,Detail!$G$1:$G$1001,Detail!$B$1:$B$1001)</f>
        <v>A-</v>
      </c>
    </row>
    <row r="361" spans="1:23" ht="15.75" x14ac:dyDescent="0.25">
      <c r="A361" s="7">
        <v>274</v>
      </c>
      <c r="B361" s="33" t="str">
        <f t="shared" si="18"/>
        <v>C0274</v>
      </c>
      <c r="C361" s="7" t="s">
        <v>1012</v>
      </c>
      <c r="D361" s="33" t="str">
        <f>VLOOKUP(B361,Detail!$G$1:$H$1001,2,FALSE)</f>
        <v>Laksana Maheswara</v>
      </c>
      <c r="E361" s="7">
        <v>64</v>
      </c>
      <c r="F361" s="7">
        <v>63</v>
      </c>
      <c r="G361" s="57">
        <v>93</v>
      </c>
      <c r="H361" s="7">
        <v>56</v>
      </c>
      <c r="I361" s="7">
        <v>89</v>
      </c>
      <c r="J361" s="7">
        <v>70</v>
      </c>
      <c r="K361" s="7">
        <v>74</v>
      </c>
      <c r="L361" s="56">
        <f>IFERROR(VLOOKUP(B361,Absen!$A$1:$C$501,2,FALSE),"No")</f>
        <v>44783</v>
      </c>
      <c r="M361" s="58">
        <f t="shared" si="16"/>
        <v>6.4</v>
      </c>
      <c r="N361" s="57">
        <f t="shared" si="17"/>
        <v>73</v>
      </c>
      <c r="O361" s="7" t="str">
        <f>VLOOKUP(N361,Helper!$B$30:$C$35,2,TRUE)</f>
        <v>B</v>
      </c>
      <c r="P361" s="56">
        <f>INDEX(Detail!$A$1:$A$1001,MATCH(B361,Detail!$G$1:$G$1001,0))</f>
        <v>38198</v>
      </c>
      <c r="Q361" s="33" t="str">
        <f>INDEX(Detail!$F$1:$F$1001,MATCH(Main!B361,Detail!$G$1:$G$1001,0))</f>
        <v>Sukabumi</v>
      </c>
      <c r="R361" s="7">
        <f>INDEX(Detail!$C$1:$C$1001,MATCH(B361,Detail!$G$1:$G$1001,0),1)</f>
        <v>172</v>
      </c>
      <c r="S361" s="7">
        <f>INDEX(Detail!$D$1:$D$1001,MATCH(B361,Detail!$G$1:$G$1001,0),1)</f>
        <v>79</v>
      </c>
      <c r="T361" s="7" t="str">
        <f>INDEX(Detail!$E$1:$E$1001,MATCH(Main!B361,Detail!$G$1:$G$1001,0))</f>
        <v>Gang Sadang Serang No. 57</v>
      </c>
      <c r="U361" s="7" t="str">
        <f>INDEX(Detail!$B$1:$B$1001,MATCH(B361,Detail!$G$1:$G$1001,0),1)</f>
        <v>A-</v>
      </c>
      <c r="V361" s="7" t="str" cm="1">
        <f t="array" ref="V361">INDEX(Dosen!$B$3:$E$8,MATCH(Main!C361,Dosen!$A$3:$A$8,0),IF(AND(Main!A361&gt;=1,Main!A361&lt;=250),1,IF(AND(Main!A361&gt;=251,Main!A361&lt;=500),2,IF(AND(Main!A361&gt;=501,Main!A361&lt;=750),3,4))))</f>
        <v>Bu Made</v>
      </c>
      <c r="W361" s="7" t="str">
        <f>_xlfn.XLOOKUP(B361,Detail!$G$1:$G$1001,Detail!$B$1:$B$1001)</f>
        <v>A-</v>
      </c>
    </row>
    <row r="362" spans="1:23" ht="15.75" x14ac:dyDescent="0.25">
      <c r="A362" s="7">
        <v>275</v>
      </c>
      <c r="B362" s="33" t="str">
        <f t="shared" si="18"/>
        <v>C0275</v>
      </c>
      <c r="C362" s="7" t="s">
        <v>1012</v>
      </c>
      <c r="D362" s="33" t="str">
        <f>VLOOKUP(B362,Detail!$G$1:$H$1001,2,FALSE)</f>
        <v>Nabila Hidayat</v>
      </c>
      <c r="E362" s="7">
        <v>93</v>
      </c>
      <c r="F362" s="7">
        <v>68</v>
      </c>
      <c r="G362" s="57">
        <v>90</v>
      </c>
      <c r="H362" s="7">
        <v>66</v>
      </c>
      <c r="I362" s="7">
        <v>90</v>
      </c>
      <c r="J362" s="7">
        <v>40</v>
      </c>
      <c r="K362" s="7">
        <v>72</v>
      </c>
      <c r="L362" s="56">
        <f>IFERROR(VLOOKUP(B362,Absen!$A$1:$C$501,2,FALSE),"No")</f>
        <v>44887</v>
      </c>
      <c r="M362" s="58">
        <f t="shared" si="16"/>
        <v>6.2</v>
      </c>
      <c r="N362" s="57">
        <f t="shared" si="17"/>
        <v>71.825000000000003</v>
      </c>
      <c r="O362" s="7" t="str">
        <f>VLOOKUP(N362,Helper!$B$30:$C$35,2,TRUE)</f>
        <v>B</v>
      </c>
      <c r="P362" s="56">
        <f>INDEX(Detail!$A$1:$A$1001,MATCH(B362,Detail!$G$1:$G$1001,0))</f>
        <v>37815</v>
      </c>
      <c r="Q362" s="33" t="str">
        <f>INDEX(Detail!$F$1:$F$1001,MATCH(Main!B362,Detail!$G$1:$G$1001,0))</f>
        <v>Kupang</v>
      </c>
      <c r="R362" s="7">
        <f>INDEX(Detail!$C$1:$C$1001,MATCH(B362,Detail!$G$1:$G$1001,0),1)</f>
        <v>176</v>
      </c>
      <c r="S362" s="7">
        <f>INDEX(Detail!$D$1:$D$1001,MATCH(B362,Detail!$G$1:$G$1001,0),1)</f>
        <v>84</v>
      </c>
      <c r="T362" s="7" t="str">
        <f>INDEX(Detail!$E$1:$E$1001,MATCH(Main!B362,Detail!$G$1:$G$1001,0))</f>
        <v>Jl. Setiabudhi No. 78</v>
      </c>
      <c r="U362" s="7" t="str">
        <f>INDEX(Detail!$B$1:$B$1001,MATCH(B362,Detail!$G$1:$G$1001,0),1)</f>
        <v>A+</v>
      </c>
      <c r="V362" s="7" t="str" cm="1">
        <f t="array" ref="V362">INDEX(Dosen!$B$3:$E$8,MATCH(Main!C362,Dosen!$A$3:$A$8,0),IF(AND(Main!A362&gt;=1,Main!A362&lt;=250),1,IF(AND(Main!A362&gt;=251,Main!A362&lt;=500),2,IF(AND(Main!A362&gt;=501,Main!A362&lt;=750),3,4))))</f>
        <v>Bu Made</v>
      </c>
      <c r="W362" s="7" t="str">
        <f>_xlfn.XLOOKUP(B362,Detail!$G$1:$G$1001,Detail!$B$1:$B$1001)</f>
        <v>A+</v>
      </c>
    </row>
    <row r="363" spans="1:23" ht="15.75" x14ac:dyDescent="0.25">
      <c r="A363" s="7">
        <v>278</v>
      </c>
      <c r="B363" s="33" t="str">
        <f t="shared" si="18"/>
        <v>C0278</v>
      </c>
      <c r="C363" s="7" t="s">
        <v>1012</v>
      </c>
      <c r="D363" s="33" t="str">
        <f>VLOOKUP(B363,Detail!$G$1:$H$1001,2,FALSE)</f>
        <v>Dwi Permadi</v>
      </c>
      <c r="E363" s="7">
        <v>82</v>
      </c>
      <c r="F363" s="7">
        <v>63</v>
      </c>
      <c r="G363" s="57">
        <v>38</v>
      </c>
      <c r="H363" s="7">
        <v>63</v>
      </c>
      <c r="I363" s="7">
        <v>83</v>
      </c>
      <c r="J363" s="7">
        <v>54</v>
      </c>
      <c r="K363" s="7">
        <v>78</v>
      </c>
      <c r="L363" s="56" t="str">
        <f>IFERROR(VLOOKUP(B363,Absen!$A$1:$C$501,2,FALSE),"No")</f>
        <v>No</v>
      </c>
      <c r="M363" s="58">
        <f t="shared" si="16"/>
        <v>7.8000000000000007</v>
      </c>
      <c r="N363" s="57">
        <f t="shared" si="17"/>
        <v>62.575000000000003</v>
      </c>
      <c r="O363" s="7" t="str">
        <f>VLOOKUP(N363,Helper!$B$30:$C$35,2,TRUE)</f>
        <v>C</v>
      </c>
      <c r="P363" s="56">
        <f>INDEX(Detail!$A$1:$A$1001,MATCH(B363,Detail!$G$1:$G$1001,0))</f>
        <v>37365</v>
      </c>
      <c r="Q363" s="33" t="str">
        <f>INDEX(Detail!$F$1:$F$1001,MATCH(Main!B363,Detail!$G$1:$G$1001,0))</f>
        <v>Padang</v>
      </c>
      <c r="R363" s="7">
        <f>INDEX(Detail!$C$1:$C$1001,MATCH(B363,Detail!$G$1:$G$1001,0),1)</f>
        <v>175</v>
      </c>
      <c r="S363" s="7">
        <f>INDEX(Detail!$D$1:$D$1001,MATCH(B363,Detail!$G$1:$G$1001,0),1)</f>
        <v>46</v>
      </c>
      <c r="T363" s="7" t="str">
        <f>INDEX(Detail!$E$1:$E$1001,MATCH(Main!B363,Detail!$G$1:$G$1001,0))</f>
        <v xml:space="preserve">Gg. Ciumbuleuit No. 1
</v>
      </c>
      <c r="U363" s="7" t="str">
        <f>INDEX(Detail!$B$1:$B$1001,MATCH(B363,Detail!$G$1:$G$1001,0),1)</f>
        <v>B+</v>
      </c>
      <c r="V363" s="7" t="str" cm="1">
        <f t="array" ref="V363">INDEX(Dosen!$B$3:$E$8,MATCH(Main!C363,Dosen!$A$3:$A$8,0),IF(AND(Main!A363&gt;=1,Main!A363&lt;=250),1,IF(AND(Main!A363&gt;=251,Main!A363&lt;=500),2,IF(AND(Main!A363&gt;=501,Main!A363&lt;=750),3,4))))</f>
        <v>Bu Made</v>
      </c>
      <c r="W363" s="7" t="str">
        <f>_xlfn.XLOOKUP(B363,Detail!$G$1:$G$1001,Detail!$B$1:$B$1001)</f>
        <v>B+</v>
      </c>
    </row>
    <row r="364" spans="1:23" ht="15.75" x14ac:dyDescent="0.25">
      <c r="A364" s="7">
        <v>286</v>
      </c>
      <c r="B364" s="33" t="str">
        <f t="shared" si="18"/>
        <v>C0286</v>
      </c>
      <c r="C364" s="7" t="s">
        <v>1012</v>
      </c>
      <c r="D364" s="33" t="str">
        <f>VLOOKUP(B364,Detail!$G$1:$H$1001,2,FALSE)</f>
        <v>Narji Suryono</v>
      </c>
      <c r="E364" s="7">
        <v>92</v>
      </c>
      <c r="F364" s="7">
        <v>51</v>
      </c>
      <c r="G364" s="57">
        <v>77</v>
      </c>
      <c r="H364" s="7">
        <v>63</v>
      </c>
      <c r="I364" s="7">
        <v>52</v>
      </c>
      <c r="J364" s="7">
        <v>60</v>
      </c>
      <c r="K364" s="7">
        <v>62</v>
      </c>
      <c r="L364" s="56">
        <f>IFERROR(VLOOKUP(B364,Absen!$A$1:$C$501,2,FALSE),"No")</f>
        <v>44838</v>
      </c>
      <c r="M364" s="58">
        <f t="shared" si="16"/>
        <v>5.2</v>
      </c>
      <c r="N364" s="57">
        <f t="shared" si="17"/>
        <v>64.849999999999994</v>
      </c>
      <c r="O364" s="7" t="str">
        <f>VLOOKUP(N364,Helper!$B$30:$C$35,2,TRUE)</f>
        <v>C</v>
      </c>
      <c r="P364" s="56">
        <f>INDEX(Detail!$A$1:$A$1001,MATCH(B364,Detail!$G$1:$G$1001,0))</f>
        <v>38392</v>
      </c>
      <c r="Q364" s="33" t="str">
        <f>INDEX(Detail!$F$1:$F$1001,MATCH(Main!B364,Detail!$G$1:$G$1001,0))</f>
        <v>Surabaya</v>
      </c>
      <c r="R364" s="7">
        <f>INDEX(Detail!$C$1:$C$1001,MATCH(B364,Detail!$G$1:$G$1001,0),1)</f>
        <v>151</v>
      </c>
      <c r="S364" s="7">
        <f>INDEX(Detail!$D$1:$D$1001,MATCH(B364,Detail!$G$1:$G$1001,0),1)</f>
        <v>78</v>
      </c>
      <c r="T364" s="7" t="str">
        <f>INDEX(Detail!$E$1:$E$1001,MATCH(Main!B364,Detail!$G$1:$G$1001,0))</f>
        <v>Gang Kiaracondong No. 53</v>
      </c>
      <c r="U364" s="7" t="str">
        <f>INDEX(Detail!$B$1:$B$1001,MATCH(B364,Detail!$G$1:$G$1001,0),1)</f>
        <v>O+</v>
      </c>
      <c r="V364" s="7" t="str" cm="1">
        <f t="array" ref="V364">INDEX(Dosen!$B$3:$E$8,MATCH(Main!C364,Dosen!$A$3:$A$8,0),IF(AND(Main!A364&gt;=1,Main!A364&lt;=250),1,IF(AND(Main!A364&gt;=251,Main!A364&lt;=500),2,IF(AND(Main!A364&gt;=501,Main!A364&lt;=750),3,4))))</f>
        <v>Bu Made</v>
      </c>
      <c r="W364" s="7" t="str">
        <f>_xlfn.XLOOKUP(B364,Detail!$G$1:$G$1001,Detail!$B$1:$B$1001)</f>
        <v>O+</v>
      </c>
    </row>
    <row r="365" spans="1:23" ht="15.75" x14ac:dyDescent="0.25">
      <c r="A365" s="7">
        <v>290</v>
      </c>
      <c r="B365" s="33" t="str">
        <f t="shared" si="18"/>
        <v>C0290</v>
      </c>
      <c r="C365" s="7" t="s">
        <v>1012</v>
      </c>
      <c r="D365" s="33" t="str">
        <f>VLOOKUP(B365,Detail!$G$1:$H$1001,2,FALSE)</f>
        <v>Rahmat Saputra</v>
      </c>
      <c r="E365" s="7">
        <v>61</v>
      </c>
      <c r="F365" s="7">
        <v>55</v>
      </c>
      <c r="G365" s="57">
        <v>33</v>
      </c>
      <c r="H365" s="7">
        <v>60</v>
      </c>
      <c r="I365" s="7">
        <v>63</v>
      </c>
      <c r="J365" s="7">
        <v>71</v>
      </c>
      <c r="K365" s="7">
        <v>61</v>
      </c>
      <c r="L365" s="56">
        <f>IFERROR(VLOOKUP(B365,Absen!$A$1:$C$501,2,FALSE),"No")</f>
        <v>44827</v>
      </c>
      <c r="M365" s="58">
        <f t="shared" si="16"/>
        <v>5.1000000000000005</v>
      </c>
      <c r="N365" s="57">
        <f t="shared" si="17"/>
        <v>55.775000000000006</v>
      </c>
      <c r="O365" s="7" t="str">
        <f>VLOOKUP(N365,Helper!$B$30:$C$35,2,TRUE)</f>
        <v>D</v>
      </c>
      <c r="P365" s="56">
        <f>INDEX(Detail!$A$1:$A$1001,MATCH(B365,Detail!$G$1:$G$1001,0))</f>
        <v>38065</v>
      </c>
      <c r="Q365" s="33" t="str">
        <f>INDEX(Detail!$F$1:$F$1001,MATCH(Main!B365,Detail!$G$1:$G$1001,0))</f>
        <v>Denpasar</v>
      </c>
      <c r="R365" s="7">
        <f>INDEX(Detail!$C$1:$C$1001,MATCH(B365,Detail!$G$1:$G$1001,0),1)</f>
        <v>151</v>
      </c>
      <c r="S365" s="7">
        <f>INDEX(Detail!$D$1:$D$1001,MATCH(B365,Detail!$G$1:$G$1001,0),1)</f>
        <v>83</v>
      </c>
      <c r="T365" s="7" t="str">
        <f>INDEX(Detail!$E$1:$E$1001,MATCH(Main!B365,Detail!$G$1:$G$1001,0))</f>
        <v>Gg. M.T Haryono No. 33</v>
      </c>
      <c r="U365" s="7" t="str">
        <f>INDEX(Detail!$B$1:$B$1001,MATCH(B365,Detail!$G$1:$G$1001,0),1)</f>
        <v>A-</v>
      </c>
      <c r="V365" s="7" t="str" cm="1">
        <f t="array" ref="V365">INDEX(Dosen!$B$3:$E$8,MATCH(Main!C365,Dosen!$A$3:$A$8,0),IF(AND(Main!A365&gt;=1,Main!A365&lt;=250),1,IF(AND(Main!A365&gt;=251,Main!A365&lt;=500),2,IF(AND(Main!A365&gt;=501,Main!A365&lt;=750),3,4))))</f>
        <v>Bu Made</v>
      </c>
      <c r="W365" s="7" t="str">
        <f>_xlfn.XLOOKUP(B365,Detail!$G$1:$G$1001,Detail!$B$1:$B$1001)</f>
        <v>A-</v>
      </c>
    </row>
    <row r="366" spans="1:23" ht="15.75" x14ac:dyDescent="0.25">
      <c r="A366" s="7">
        <v>297</v>
      </c>
      <c r="B366" s="33" t="str">
        <f t="shared" si="18"/>
        <v>C0297</v>
      </c>
      <c r="C366" s="7" t="s">
        <v>1012</v>
      </c>
      <c r="D366" s="33" t="str">
        <f>VLOOKUP(B366,Detail!$G$1:$H$1001,2,FALSE)</f>
        <v>Adikara Wahyudin</v>
      </c>
      <c r="E366" s="7">
        <v>55</v>
      </c>
      <c r="F366" s="7">
        <v>74</v>
      </c>
      <c r="G366" s="57">
        <v>83</v>
      </c>
      <c r="H366" s="7">
        <v>70</v>
      </c>
      <c r="I366" s="7">
        <v>52</v>
      </c>
      <c r="J366" s="7">
        <v>43</v>
      </c>
      <c r="K366" s="7">
        <v>61</v>
      </c>
      <c r="L366" s="56" t="str">
        <f>IFERROR(VLOOKUP(B366,Absen!$A$1:$C$501,2,FALSE),"No")</f>
        <v>No</v>
      </c>
      <c r="M366" s="58">
        <f t="shared" si="16"/>
        <v>6.1000000000000005</v>
      </c>
      <c r="N366" s="57">
        <f t="shared" si="17"/>
        <v>62.675000000000004</v>
      </c>
      <c r="O366" s="7" t="str">
        <f>VLOOKUP(N366,Helper!$B$30:$C$35,2,TRUE)</f>
        <v>C</v>
      </c>
      <c r="P366" s="56">
        <f>INDEX(Detail!$A$1:$A$1001,MATCH(B366,Detail!$G$1:$G$1001,0))</f>
        <v>37507</v>
      </c>
      <c r="Q366" s="33" t="str">
        <f>INDEX(Detail!$F$1:$F$1001,MATCH(Main!B366,Detail!$G$1:$G$1001,0))</f>
        <v>Payakumbuh</v>
      </c>
      <c r="R366" s="7">
        <f>INDEX(Detail!$C$1:$C$1001,MATCH(B366,Detail!$G$1:$G$1001,0),1)</f>
        <v>171</v>
      </c>
      <c r="S366" s="7">
        <f>INDEX(Detail!$D$1:$D$1001,MATCH(B366,Detail!$G$1:$G$1001,0),1)</f>
        <v>83</v>
      </c>
      <c r="T366" s="7" t="str">
        <f>INDEX(Detail!$E$1:$E$1001,MATCH(Main!B366,Detail!$G$1:$G$1001,0))</f>
        <v>Gg. Pasirkoja No. 93</v>
      </c>
      <c r="U366" s="7" t="str">
        <f>INDEX(Detail!$B$1:$B$1001,MATCH(B366,Detail!$G$1:$G$1001,0),1)</f>
        <v>A+</v>
      </c>
      <c r="V366" s="7" t="str" cm="1">
        <f t="array" ref="V366">INDEX(Dosen!$B$3:$E$8,MATCH(Main!C366,Dosen!$A$3:$A$8,0),IF(AND(Main!A366&gt;=1,Main!A366&lt;=250),1,IF(AND(Main!A366&gt;=251,Main!A366&lt;=500),2,IF(AND(Main!A366&gt;=501,Main!A366&lt;=750),3,4))))</f>
        <v>Bu Made</v>
      </c>
      <c r="W366" s="7" t="str">
        <f>_xlfn.XLOOKUP(B366,Detail!$G$1:$G$1001,Detail!$B$1:$B$1001)</f>
        <v>A+</v>
      </c>
    </row>
    <row r="367" spans="1:23" ht="15.75" x14ac:dyDescent="0.25">
      <c r="A367" s="7">
        <v>298</v>
      </c>
      <c r="B367" s="33" t="str">
        <f t="shared" si="18"/>
        <v>C0298</v>
      </c>
      <c r="C367" s="7" t="s">
        <v>1012</v>
      </c>
      <c r="D367" s="33" t="str">
        <f>VLOOKUP(B367,Detail!$G$1:$H$1001,2,FALSE)</f>
        <v>Ganjaran Hartati</v>
      </c>
      <c r="E367" s="7">
        <v>89</v>
      </c>
      <c r="F367" s="7">
        <v>46</v>
      </c>
      <c r="G367" s="57">
        <v>68</v>
      </c>
      <c r="H367" s="7">
        <v>68</v>
      </c>
      <c r="I367" s="7">
        <v>72</v>
      </c>
      <c r="J367" s="7">
        <v>90</v>
      </c>
      <c r="K367" s="7">
        <v>68</v>
      </c>
      <c r="L367" s="56">
        <f>IFERROR(VLOOKUP(B367,Absen!$A$1:$C$501,2,FALSE),"No")</f>
        <v>44784</v>
      </c>
      <c r="M367" s="58">
        <f t="shared" si="16"/>
        <v>5.8000000000000007</v>
      </c>
      <c r="N367" s="57">
        <f t="shared" si="17"/>
        <v>71.774999999999991</v>
      </c>
      <c r="O367" s="7" t="str">
        <f>VLOOKUP(N367,Helper!$B$30:$C$35,2,TRUE)</f>
        <v>B</v>
      </c>
      <c r="P367" s="56">
        <f>INDEX(Detail!$A$1:$A$1001,MATCH(B367,Detail!$G$1:$G$1001,0))</f>
        <v>37212</v>
      </c>
      <c r="Q367" s="33" t="str">
        <f>INDEX(Detail!$F$1:$F$1001,MATCH(Main!B367,Detail!$G$1:$G$1001,0))</f>
        <v>Palangkaraya</v>
      </c>
      <c r="R367" s="7">
        <f>INDEX(Detail!$C$1:$C$1001,MATCH(B367,Detail!$G$1:$G$1001,0),1)</f>
        <v>150</v>
      </c>
      <c r="S367" s="7">
        <f>INDEX(Detail!$D$1:$D$1001,MATCH(B367,Detail!$G$1:$G$1001,0),1)</f>
        <v>78</v>
      </c>
      <c r="T367" s="7" t="str">
        <f>INDEX(Detail!$E$1:$E$1001,MATCH(Main!B367,Detail!$G$1:$G$1001,0))</f>
        <v>Gang Raya Setiabudhi No. 20</v>
      </c>
      <c r="U367" s="7" t="str">
        <f>INDEX(Detail!$B$1:$B$1001,MATCH(B367,Detail!$G$1:$G$1001,0),1)</f>
        <v>A+</v>
      </c>
      <c r="V367" s="7" t="str" cm="1">
        <f t="array" ref="V367">INDEX(Dosen!$B$3:$E$8,MATCH(Main!C367,Dosen!$A$3:$A$8,0),IF(AND(Main!A367&gt;=1,Main!A367&lt;=250),1,IF(AND(Main!A367&gt;=251,Main!A367&lt;=500),2,IF(AND(Main!A367&gt;=501,Main!A367&lt;=750),3,4))))</f>
        <v>Bu Made</v>
      </c>
      <c r="W367" s="7" t="str">
        <f>_xlfn.XLOOKUP(B367,Detail!$G$1:$G$1001,Detail!$B$1:$B$1001)</f>
        <v>A+</v>
      </c>
    </row>
    <row r="368" spans="1:23" ht="15.75" x14ac:dyDescent="0.25">
      <c r="A368" s="7">
        <v>300</v>
      </c>
      <c r="B368" s="33" t="str">
        <f t="shared" si="18"/>
        <v>C0300</v>
      </c>
      <c r="C368" s="7" t="s">
        <v>1012</v>
      </c>
      <c r="D368" s="33" t="str">
        <f>VLOOKUP(B368,Detail!$G$1:$H$1001,2,FALSE)</f>
        <v>Dian Wulandari</v>
      </c>
      <c r="E368" s="7">
        <v>86</v>
      </c>
      <c r="F368" s="7">
        <v>51</v>
      </c>
      <c r="G368" s="57">
        <v>70</v>
      </c>
      <c r="H368" s="7">
        <v>53</v>
      </c>
      <c r="I368" s="7">
        <v>95</v>
      </c>
      <c r="J368" s="7">
        <v>91</v>
      </c>
      <c r="K368" s="7">
        <v>88</v>
      </c>
      <c r="L368" s="56">
        <f>IFERROR(VLOOKUP(B368,Absen!$A$1:$C$501,2,FALSE),"No")</f>
        <v>44878</v>
      </c>
      <c r="M368" s="58">
        <f t="shared" si="16"/>
        <v>7.8000000000000007</v>
      </c>
      <c r="N368" s="57">
        <f t="shared" si="17"/>
        <v>75.625</v>
      </c>
      <c r="O368" s="7" t="str">
        <f>VLOOKUP(N368,Helper!$B$30:$C$35,2,TRUE)</f>
        <v>B</v>
      </c>
      <c r="P368" s="56">
        <f>INDEX(Detail!$A$1:$A$1001,MATCH(B368,Detail!$G$1:$G$1001,0))</f>
        <v>38005</v>
      </c>
      <c r="Q368" s="33" t="str">
        <f>INDEX(Detail!$F$1:$F$1001,MATCH(Main!B368,Detail!$G$1:$G$1001,0))</f>
        <v>Purwokerto</v>
      </c>
      <c r="R368" s="7">
        <f>INDEX(Detail!$C$1:$C$1001,MATCH(B368,Detail!$G$1:$G$1001,0),1)</f>
        <v>180</v>
      </c>
      <c r="S368" s="7">
        <f>INDEX(Detail!$D$1:$D$1001,MATCH(B368,Detail!$G$1:$G$1001,0),1)</f>
        <v>55</v>
      </c>
      <c r="T368" s="7" t="str">
        <f>INDEX(Detail!$E$1:$E$1001,MATCH(Main!B368,Detail!$G$1:$G$1001,0))</f>
        <v xml:space="preserve">Jalan PHH. Mustofa No. 6
</v>
      </c>
      <c r="U368" s="7" t="str">
        <f>INDEX(Detail!$B$1:$B$1001,MATCH(B368,Detail!$G$1:$G$1001,0),1)</f>
        <v>O+</v>
      </c>
      <c r="V368" s="7" t="str" cm="1">
        <f t="array" ref="V368">INDEX(Dosen!$B$3:$E$8,MATCH(Main!C368,Dosen!$A$3:$A$8,0),IF(AND(Main!A368&gt;=1,Main!A368&lt;=250),1,IF(AND(Main!A368&gt;=251,Main!A368&lt;=500),2,IF(AND(Main!A368&gt;=501,Main!A368&lt;=750),3,4))))</f>
        <v>Bu Made</v>
      </c>
      <c r="W368" s="7" t="str">
        <f>_xlfn.XLOOKUP(B368,Detail!$G$1:$G$1001,Detail!$B$1:$B$1001)</f>
        <v>O+</v>
      </c>
    </row>
    <row r="369" spans="1:23" ht="15.75" x14ac:dyDescent="0.25">
      <c r="A369" s="7">
        <v>302</v>
      </c>
      <c r="B369" s="33" t="str">
        <f t="shared" si="18"/>
        <v>C0302</v>
      </c>
      <c r="C369" s="7" t="s">
        <v>1012</v>
      </c>
      <c r="D369" s="33" t="str">
        <f>VLOOKUP(B369,Detail!$G$1:$H$1001,2,FALSE)</f>
        <v>Jaeman Halimah</v>
      </c>
      <c r="E369" s="7">
        <v>67</v>
      </c>
      <c r="F369" s="7">
        <v>42</v>
      </c>
      <c r="G369" s="57">
        <v>53</v>
      </c>
      <c r="H369" s="7">
        <v>52</v>
      </c>
      <c r="I369" s="7">
        <v>82</v>
      </c>
      <c r="J369" s="7">
        <v>86</v>
      </c>
      <c r="K369" s="7">
        <v>79</v>
      </c>
      <c r="L369" s="56">
        <f>IFERROR(VLOOKUP(B369,Absen!$A$1:$C$501,2,FALSE),"No")</f>
        <v>44907</v>
      </c>
      <c r="M369" s="58">
        <f t="shared" si="16"/>
        <v>6.9</v>
      </c>
      <c r="N369" s="57">
        <f t="shared" si="17"/>
        <v>65.075000000000003</v>
      </c>
      <c r="O369" s="7" t="str">
        <f>VLOOKUP(N369,Helper!$B$30:$C$35,2,TRUE)</f>
        <v>C</v>
      </c>
      <c r="P369" s="56">
        <f>INDEX(Detail!$A$1:$A$1001,MATCH(B369,Detail!$G$1:$G$1001,0))</f>
        <v>37932</v>
      </c>
      <c r="Q369" s="33" t="str">
        <f>INDEX(Detail!$F$1:$F$1001,MATCH(Main!B369,Detail!$G$1:$G$1001,0))</f>
        <v>Kupang</v>
      </c>
      <c r="R369" s="7">
        <f>INDEX(Detail!$C$1:$C$1001,MATCH(B369,Detail!$G$1:$G$1001,0),1)</f>
        <v>166</v>
      </c>
      <c r="S369" s="7">
        <f>INDEX(Detail!$D$1:$D$1001,MATCH(B369,Detail!$G$1:$G$1001,0),1)</f>
        <v>52</v>
      </c>
      <c r="T369" s="7" t="str">
        <f>INDEX(Detail!$E$1:$E$1001,MATCH(Main!B369,Detail!$G$1:$G$1001,0))</f>
        <v>Gang Sukabumi No. 16</v>
      </c>
      <c r="U369" s="7" t="str">
        <f>INDEX(Detail!$B$1:$B$1001,MATCH(B369,Detail!$G$1:$G$1001,0),1)</f>
        <v>A+</v>
      </c>
      <c r="V369" s="7" t="str" cm="1">
        <f t="array" ref="V369">INDEX(Dosen!$B$3:$E$8,MATCH(Main!C369,Dosen!$A$3:$A$8,0),IF(AND(Main!A369&gt;=1,Main!A369&lt;=250),1,IF(AND(Main!A369&gt;=251,Main!A369&lt;=500),2,IF(AND(Main!A369&gt;=501,Main!A369&lt;=750),3,4))))</f>
        <v>Bu Made</v>
      </c>
      <c r="W369" s="7" t="str">
        <f>_xlfn.XLOOKUP(B369,Detail!$G$1:$G$1001,Detail!$B$1:$B$1001)</f>
        <v>A+</v>
      </c>
    </row>
    <row r="370" spans="1:23" ht="15.75" x14ac:dyDescent="0.25">
      <c r="A370" s="7">
        <v>309</v>
      </c>
      <c r="B370" s="33" t="str">
        <f t="shared" si="18"/>
        <v>C0309</v>
      </c>
      <c r="C370" s="7" t="s">
        <v>1012</v>
      </c>
      <c r="D370" s="33" t="str">
        <f>VLOOKUP(B370,Detail!$G$1:$H$1001,2,FALSE)</f>
        <v>Melinda Mayasari</v>
      </c>
      <c r="E370" s="7">
        <v>82</v>
      </c>
      <c r="F370" s="7">
        <v>48</v>
      </c>
      <c r="G370" s="57">
        <v>81</v>
      </c>
      <c r="H370" s="7">
        <v>50</v>
      </c>
      <c r="I370" s="7">
        <v>65</v>
      </c>
      <c r="J370" s="7">
        <v>81</v>
      </c>
      <c r="K370" s="7">
        <v>96</v>
      </c>
      <c r="L370" s="56" t="str">
        <f>IFERROR(VLOOKUP(B370,Absen!$A$1:$C$501,2,FALSE),"No")</f>
        <v>No</v>
      </c>
      <c r="M370" s="58">
        <f t="shared" si="16"/>
        <v>9.6000000000000014</v>
      </c>
      <c r="N370" s="57">
        <f t="shared" si="17"/>
        <v>72.625</v>
      </c>
      <c r="O370" s="7" t="str">
        <f>VLOOKUP(N370,Helper!$B$30:$C$35,2,TRUE)</f>
        <v>B</v>
      </c>
      <c r="P370" s="56">
        <f>INDEX(Detail!$A$1:$A$1001,MATCH(B370,Detail!$G$1:$G$1001,0))</f>
        <v>37882</v>
      </c>
      <c r="Q370" s="33" t="str">
        <f>INDEX(Detail!$F$1:$F$1001,MATCH(Main!B370,Detail!$G$1:$G$1001,0))</f>
        <v>Yogyakarta</v>
      </c>
      <c r="R370" s="7">
        <f>INDEX(Detail!$C$1:$C$1001,MATCH(B370,Detail!$G$1:$G$1001,0),1)</f>
        <v>161</v>
      </c>
      <c r="S370" s="7">
        <f>INDEX(Detail!$D$1:$D$1001,MATCH(B370,Detail!$G$1:$G$1001,0),1)</f>
        <v>91</v>
      </c>
      <c r="T370" s="7" t="str">
        <f>INDEX(Detail!$E$1:$E$1001,MATCH(Main!B370,Detail!$G$1:$G$1001,0))</f>
        <v>Jl. Jend. A. Yani No. 89</v>
      </c>
      <c r="U370" s="7" t="str">
        <f>INDEX(Detail!$B$1:$B$1001,MATCH(B370,Detail!$G$1:$G$1001,0),1)</f>
        <v>AB-</v>
      </c>
      <c r="V370" s="7" t="str" cm="1">
        <f t="array" ref="V370">INDEX(Dosen!$B$3:$E$8,MATCH(Main!C370,Dosen!$A$3:$A$8,0),IF(AND(Main!A370&gt;=1,Main!A370&lt;=250),1,IF(AND(Main!A370&gt;=251,Main!A370&lt;=500),2,IF(AND(Main!A370&gt;=501,Main!A370&lt;=750),3,4))))</f>
        <v>Bu Made</v>
      </c>
      <c r="W370" s="7" t="str">
        <f>_xlfn.XLOOKUP(B370,Detail!$G$1:$G$1001,Detail!$B$1:$B$1001)</f>
        <v>AB-</v>
      </c>
    </row>
    <row r="371" spans="1:23" ht="15.75" x14ac:dyDescent="0.25">
      <c r="A371" s="7">
        <v>313</v>
      </c>
      <c r="B371" s="33" t="str">
        <f t="shared" si="18"/>
        <v>C0313</v>
      </c>
      <c r="C371" s="7" t="s">
        <v>1012</v>
      </c>
      <c r="D371" s="33" t="str">
        <f>VLOOKUP(B371,Detail!$G$1:$H$1001,2,FALSE)</f>
        <v>Nova Nurdiyanti</v>
      </c>
      <c r="E371" s="7">
        <v>74</v>
      </c>
      <c r="F371" s="7">
        <v>45</v>
      </c>
      <c r="G371" s="57">
        <v>54</v>
      </c>
      <c r="H371" s="7">
        <v>67</v>
      </c>
      <c r="I371" s="7">
        <v>74</v>
      </c>
      <c r="J371" s="7">
        <v>62</v>
      </c>
      <c r="K371" s="7">
        <v>79</v>
      </c>
      <c r="L371" s="56">
        <f>IFERROR(VLOOKUP(B371,Absen!$A$1:$C$501,2,FALSE),"No")</f>
        <v>44908</v>
      </c>
      <c r="M371" s="58">
        <f t="shared" si="16"/>
        <v>6.9</v>
      </c>
      <c r="N371" s="57">
        <f t="shared" si="17"/>
        <v>62.599999999999994</v>
      </c>
      <c r="O371" s="7" t="str">
        <f>VLOOKUP(N371,Helper!$B$30:$C$35,2,TRUE)</f>
        <v>C</v>
      </c>
      <c r="P371" s="56">
        <f>INDEX(Detail!$A$1:$A$1001,MATCH(B371,Detail!$G$1:$G$1001,0))</f>
        <v>38375</v>
      </c>
      <c r="Q371" s="33" t="str">
        <f>INDEX(Detail!$F$1:$F$1001,MATCH(Main!B371,Detail!$G$1:$G$1001,0))</f>
        <v>Batu</v>
      </c>
      <c r="R371" s="7">
        <f>INDEX(Detail!$C$1:$C$1001,MATCH(B371,Detail!$G$1:$G$1001,0),1)</f>
        <v>168</v>
      </c>
      <c r="S371" s="7">
        <f>INDEX(Detail!$D$1:$D$1001,MATCH(B371,Detail!$G$1:$G$1001,0),1)</f>
        <v>93</v>
      </c>
      <c r="T371" s="7" t="str">
        <f>INDEX(Detail!$E$1:$E$1001,MATCH(Main!B371,Detail!$G$1:$G$1001,0))</f>
        <v xml:space="preserve">Gang Stasiun Wonokromo No. 1
</v>
      </c>
      <c r="U371" s="7" t="str">
        <f>INDEX(Detail!$B$1:$B$1001,MATCH(B371,Detail!$G$1:$G$1001,0),1)</f>
        <v>O+</v>
      </c>
      <c r="V371" s="7" t="str" cm="1">
        <f t="array" ref="V371">INDEX(Dosen!$B$3:$E$8,MATCH(Main!C371,Dosen!$A$3:$A$8,0),IF(AND(Main!A371&gt;=1,Main!A371&lt;=250),1,IF(AND(Main!A371&gt;=251,Main!A371&lt;=500),2,IF(AND(Main!A371&gt;=501,Main!A371&lt;=750),3,4))))</f>
        <v>Bu Made</v>
      </c>
      <c r="W371" s="7" t="str">
        <f>_xlfn.XLOOKUP(B371,Detail!$G$1:$G$1001,Detail!$B$1:$B$1001)</f>
        <v>O+</v>
      </c>
    </row>
    <row r="372" spans="1:23" ht="15.75" x14ac:dyDescent="0.25">
      <c r="A372" s="7">
        <v>317</v>
      </c>
      <c r="B372" s="33" t="str">
        <f t="shared" si="18"/>
        <v>C0317</v>
      </c>
      <c r="C372" s="7" t="s">
        <v>1012</v>
      </c>
      <c r="D372" s="33" t="str">
        <f>VLOOKUP(B372,Detail!$G$1:$H$1001,2,FALSE)</f>
        <v>Mahesa Kurniawan</v>
      </c>
      <c r="E372" s="7">
        <v>91</v>
      </c>
      <c r="F372" s="7">
        <v>41</v>
      </c>
      <c r="G372" s="57">
        <v>92</v>
      </c>
      <c r="H372" s="7">
        <v>51</v>
      </c>
      <c r="I372" s="7">
        <v>57</v>
      </c>
      <c r="J372" s="7">
        <v>51</v>
      </c>
      <c r="K372" s="7">
        <v>72</v>
      </c>
      <c r="L372" s="56" t="str">
        <f>IFERROR(VLOOKUP(B372,Absen!$A$1:$C$501,2,FALSE),"No")</f>
        <v>No</v>
      </c>
      <c r="M372" s="58">
        <f t="shared" si="16"/>
        <v>7.2</v>
      </c>
      <c r="N372" s="57">
        <f t="shared" si="17"/>
        <v>65.800000000000011</v>
      </c>
      <c r="O372" s="7" t="str">
        <f>VLOOKUP(N372,Helper!$B$30:$C$35,2,TRUE)</f>
        <v>C</v>
      </c>
      <c r="P372" s="56">
        <f>INDEX(Detail!$A$1:$A$1001,MATCH(B372,Detail!$G$1:$G$1001,0))</f>
        <v>37325</v>
      </c>
      <c r="Q372" s="33" t="str">
        <f>INDEX(Detail!$F$1:$F$1001,MATCH(Main!B372,Detail!$G$1:$G$1001,0))</f>
        <v>Kota Administrasi Jakarta Utara</v>
      </c>
      <c r="R372" s="7">
        <f>INDEX(Detail!$C$1:$C$1001,MATCH(B372,Detail!$G$1:$G$1001,0),1)</f>
        <v>180</v>
      </c>
      <c r="S372" s="7">
        <f>INDEX(Detail!$D$1:$D$1001,MATCH(B372,Detail!$G$1:$G$1001,0),1)</f>
        <v>58</v>
      </c>
      <c r="T372" s="7" t="str">
        <f>INDEX(Detail!$E$1:$E$1001,MATCH(Main!B372,Detail!$G$1:$G$1001,0))</f>
        <v>Gang Siliwangi No. 93</v>
      </c>
      <c r="U372" s="7" t="str">
        <f>INDEX(Detail!$B$1:$B$1001,MATCH(B372,Detail!$G$1:$G$1001,0),1)</f>
        <v>B-</v>
      </c>
      <c r="V372" s="7" t="str" cm="1">
        <f t="array" ref="V372">INDEX(Dosen!$B$3:$E$8,MATCH(Main!C372,Dosen!$A$3:$A$8,0),IF(AND(Main!A372&gt;=1,Main!A372&lt;=250),1,IF(AND(Main!A372&gt;=251,Main!A372&lt;=500),2,IF(AND(Main!A372&gt;=501,Main!A372&lt;=750),3,4))))</f>
        <v>Bu Made</v>
      </c>
      <c r="W372" s="7" t="str">
        <f>_xlfn.XLOOKUP(B372,Detail!$G$1:$G$1001,Detail!$B$1:$B$1001)</f>
        <v>B-</v>
      </c>
    </row>
    <row r="373" spans="1:23" ht="15.75" x14ac:dyDescent="0.25">
      <c r="A373" s="7">
        <v>320</v>
      </c>
      <c r="B373" s="33" t="str">
        <f t="shared" si="18"/>
        <v>C0320</v>
      </c>
      <c r="C373" s="7" t="s">
        <v>1012</v>
      </c>
      <c r="D373" s="33" t="str">
        <f>VLOOKUP(B373,Detail!$G$1:$H$1001,2,FALSE)</f>
        <v>Almira Wahyuni</v>
      </c>
      <c r="E373" s="7">
        <v>50</v>
      </c>
      <c r="F373" s="7">
        <v>75</v>
      </c>
      <c r="G373" s="57">
        <v>84</v>
      </c>
      <c r="H373" s="7">
        <v>68</v>
      </c>
      <c r="I373" s="7">
        <v>82</v>
      </c>
      <c r="J373" s="7">
        <v>46</v>
      </c>
      <c r="K373" s="7">
        <v>92</v>
      </c>
      <c r="L373" s="56" t="str">
        <f>IFERROR(VLOOKUP(B373,Absen!$A$1:$C$501,2,FALSE),"No")</f>
        <v>No</v>
      </c>
      <c r="M373" s="58">
        <f t="shared" si="16"/>
        <v>9.2000000000000011</v>
      </c>
      <c r="N373" s="57">
        <f t="shared" si="17"/>
        <v>69.575000000000003</v>
      </c>
      <c r="O373" s="7" t="str">
        <f>VLOOKUP(N373,Helper!$B$30:$C$35,2,TRUE)</f>
        <v>C</v>
      </c>
      <c r="P373" s="56">
        <f>INDEX(Detail!$A$1:$A$1001,MATCH(B373,Detail!$G$1:$G$1001,0))</f>
        <v>37744</v>
      </c>
      <c r="Q373" s="33" t="str">
        <f>INDEX(Detail!$F$1:$F$1001,MATCH(Main!B373,Detail!$G$1:$G$1001,0))</f>
        <v>Bekasi</v>
      </c>
      <c r="R373" s="7">
        <f>INDEX(Detail!$C$1:$C$1001,MATCH(B373,Detail!$G$1:$G$1001,0),1)</f>
        <v>154</v>
      </c>
      <c r="S373" s="7">
        <f>INDEX(Detail!$D$1:$D$1001,MATCH(B373,Detail!$G$1:$G$1001,0),1)</f>
        <v>49</v>
      </c>
      <c r="T373" s="7" t="str">
        <f>INDEX(Detail!$E$1:$E$1001,MATCH(Main!B373,Detail!$G$1:$G$1001,0))</f>
        <v>Gg. Kebonjati No. 65</v>
      </c>
      <c r="U373" s="7" t="str">
        <f>INDEX(Detail!$B$1:$B$1001,MATCH(B373,Detail!$G$1:$G$1001,0),1)</f>
        <v>A+</v>
      </c>
      <c r="V373" s="7" t="str" cm="1">
        <f t="array" ref="V373">INDEX(Dosen!$B$3:$E$8,MATCH(Main!C373,Dosen!$A$3:$A$8,0),IF(AND(Main!A373&gt;=1,Main!A373&lt;=250),1,IF(AND(Main!A373&gt;=251,Main!A373&lt;=500),2,IF(AND(Main!A373&gt;=501,Main!A373&lt;=750),3,4))))</f>
        <v>Bu Made</v>
      </c>
      <c r="W373" s="7" t="str">
        <f>_xlfn.XLOOKUP(B373,Detail!$G$1:$G$1001,Detail!$B$1:$B$1001)</f>
        <v>A+</v>
      </c>
    </row>
    <row r="374" spans="1:23" ht="15.75" x14ac:dyDescent="0.25">
      <c r="A374" s="7">
        <v>324</v>
      </c>
      <c r="B374" s="33" t="str">
        <f t="shared" si="18"/>
        <v>C0324</v>
      </c>
      <c r="C374" s="7" t="s">
        <v>1012</v>
      </c>
      <c r="D374" s="33" t="str">
        <f>VLOOKUP(B374,Detail!$G$1:$H$1001,2,FALSE)</f>
        <v>Hardi Latupono</v>
      </c>
      <c r="E374" s="7">
        <v>71</v>
      </c>
      <c r="F374" s="7">
        <v>49</v>
      </c>
      <c r="G374" s="57">
        <v>85</v>
      </c>
      <c r="H374" s="7">
        <v>56</v>
      </c>
      <c r="I374" s="7">
        <v>64</v>
      </c>
      <c r="J374" s="7">
        <v>86</v>
      </c>
      <c r="K374" s="7">
        <v>64</v>
      </c>
      <c r="L374" s="56">
        <f>IFERROR(VLOOKUP(B374,Absen!$A$1:$C$501,2,FALSE),"No")</f>
        <v>44878</v>
      </c>
      <c r="M374" s="58">
        <f t="shared" si="16"/>
        <v>5.4</v>
      </c>
      <c r="N374" s="57">
        <f t="shared" si="17"/>
        <v>69.600000000000009</v>
      </c>
      <c r="O374" s="7" t="str">
        <f>VLOOKUP(N374,Helper!$B$30:$C$35,2,TRUE)</f>
        <v>C</v>
      </c>
      <c r="P374" s="56">
        <f>INDEX(Detail!$A$1:$A$1001,MATCH(B374,Detail!$G$1:$G$1001,0))</f>
        <v>37250</v>
      </c>
      <c r="Q374" s="33" t="str">
        <f>INDEX(Detail!$F$1:$F$1001,MATCH(Main!B374,Detail!$G$1:$G$1001,0))</f>
        <v>Bitung</v>
      </c>
      <c r="R374" s="7">
        <f>INDEX(Detail!$C$1:$C$1001,MATCH(B374,Detail!$G$1:$G$1001,0),1)</f>
        <v>176</v>
      </c>
      <c r="S374" s="7">
        <f>INDEX(Detail!$D$1:$D$1001,MATCH(B374,Detail!$G$1:$G$1001,0),1)</f>
        <v>45</v>
      </c>
      <c r="T374" s="7" t="str">
        <f>INDEX(Detail!$E$1:$E$1001,MATCH(Main!B374,Detail!$G$1:$G$1001,0))</f>
        <v>Gg. Surapati No. 82</v>
      </c>
      <c r="U374" s="7" t="str">
        <f>INDEX(Detail!$B$1:$B$1001,MATCH(B374,Detail!$G$1:$G$1001,0),1)</f>
        <v>AB+</v>
      </c>
      <c r="V374" s="7" t="str" cm="1">
        <f t="array" ref="V374">INDEX(Dosen!$B$3:$E$8,MATCH(Main!C374,Dosen!$A$3:$A$8,0),IF(AND(Main!A374&gt;=1,Main!A374&lt;=250),1,IF(AND(Main!A374&gt;=251,Main!A374&lt;=500),2,IF(AND(Main!A374&gt;=501,Main!A374&lt;=750),3,4))))</f>
        <v>Bu Made</v>
      </c>
      <c r="W374" s="7" t="str">
        <f>_xlfn.XLOOKUP(B374,Detail!$G$1:$G$1001,Detail!$B$1:$B$1001)</f>
        <v>AB+</v>
      </c>
    </row>
    <row r="375" spans="1:23" ht="15.75" x14ac:dyDescent="0.25">
      <c r="A375" s="7">
        <v>328</v>
      </c>
      <c r="B375" s="33" t="str">
        <f t="shared" si="18"/>
        <v>C0328</v>
      </c>
      <c r="C375" s="7" t="s">
        <v>1012</v>
      </c>
      <c r="D375" s="33" t="str">
        <f>VLOOKUP(B375,Detail!$G$1:$H$1001,2,FALSE)</f>
        <v>Prabawa Hutasoit</v>
      </c>
      <c r="E375" s="7">
        <v>66</v>
      </c>
      <c r="F375" s="7">
        <v>55</v>
      </c>
      <c r="G375" s="57">
        <v>57</v>
      </c>
      <c r="H375" s="7">
        <v>58</v>
      </c>
      <c r="I375" s="7">
        <v>86</v>
      </c>
      <c r="J375" s="7">
        <v>50</v>
      </c>
      <c r="K375" s="7">
        <v>96</v>
      </c>
      <c r="L375" s="56">
        <f>IFERROR(VLOOKUP(B375,Absen!$A$1:$C$501,2,FALSE),"No")</f>
        <v>44831</v>
      </c>
      <c r="M375" s="58">
        <f t="shared" si="16"/>
        <v>8.6</v>
      </c>
      <c r="N375" s="57">
        <f t="shared" si="17"/>
        <v>63.125</v>
      </c>
      <c r="O375" s="7" t="str">
        <f>VLOOKUP(N375,Helper!$B$30:$C$35,2,TRUE)</f>
        <v>C</v>
      </c>
      <c r="P375" s="56">
        <f>INDEX(Detail!$A$1:$A$1001,MATCH(B375,Detail!$G$1:$G$1001,0))</f>
        <v>37112</v>
      </c>
      <c r="Q375" s="33" t="str">
        <f>INDEX(Detail!$F$1:$F$1001,MATCH(Main!B375,Detail!$G$1:$G$1001,0))</f>
        <v>Kupang</v>
      </c>
      <c r="R375" s="7">
        <f>INDEX(Detail!$C$1:$C$1001,MATCH(B375,Detail!$G$1:$G$1001,0),1)</f>
        <v>165</v>
      </c>
      <c r="S375" s="7">
        <f>INDEX(Detail!$D$1:$D$1001,MATCH(B375,Detail!$G$1:$G$1001,0),1)</f>
        <v>84</v>
      </c>
      <c r="T375" s="7" t="str">
        <f>INDEX(Detail!$E$1:$E$1001,MATCH(Main!B375,Detail!$G$1:$G$1001,0))</f>
        <v>Gang Pelajar Pejuang No. 06</v>
      </c>
      <c r="U375" s="7" t="str">
        <f>INDEX(Detail!$B$1:$B$1001,MATCH(B375,Detail!$G$1:$G$1001,0),1)</f>
        <v>B-</v>
      </c>
      <c r="V375" s="7" t="str" cm="1">
        <f t="array" ref="V375">INDEX(Dosen!$B$3:$E$8,MATCH(Main!C375,Dosen!$A$3:$A$8,0),IF(AND(Main!A375&gt;=1,Main!A375&lt;=250),1,IF(AND(Main!A375&gt;=251,Main!A375&lt;=500),2,IF(AND(Main!A375&gt;=501,Main!A375&lt;=750),3,4))))</f>
        <v>Bu Made</v>
      </c>
      <c r="W375" s="7" t="str">
        <f>_xlfn.XLOOKUP(B375,Detail!$G$1:$G$1001,Detail!$B$1:$B$1001)</f>
        <v>B-</v>
      </c>
    </row>
    <row r="376" spans="1:23" ht="15.75" x14ac:dyDescent="0.25">
      <c r="A376" s="7">
        <v>330</v>
      </c>
      <c r="B376" s="33" t="str">
        <f t="shared" si="18"/>
        <v>C0330</v>
      </c>
      <c r="C376" s="7" t="s">
        <v>1012</v>
      </c>
      <c r="D376" s="33" t="str">
        <f>VLOOKUP(B376,Detail!$G$1:$H$1001,2,FALSE)</f>
        <v>Rizki Saputra</v>
      </c>
      <c r="E376" s="7">
        <v>82</v>
      </c>
      <c r="F376" s="7">
        <v>45</v>
      </c>
      <c r="G376" s="57">
        <v>61</v>
      </c>
      <c r="H376" s="7">
        <v>71</v>
      </c>
      <c r="I376" s="7">
        <v>61</v>
      </c>
      <c r="J376" s="7">
        <v>92</v>
      </c>
      <c r="K376" s="7">
        <v>96</v>
      </c>
      <c r="L376" s="56">
        <f>IFERROR(VLOOKUP(B376,Absen!$A$1:$C$501,2,FALSE),"No")</f>
        <v>44909</v>
      </c>
      <c r="M376" s="58">
        <f t="shared" si="16"/>
        <v>8.6</v>
      </c>
      <c r="N376" s="57">
        <f t="shared" si="17"/>
        <v>71.575000000000003</v>
      </c>
      <c r="O376" s="7" t="str">
        <f>VLOOKUP(N376,Helper!$B$30:$C$35,2,TRUE)</f>
        <v>B</v>
      </c>
      <c r="P376" s="56">
        <f>INDEX(Detail!$A$1:$A$1001,MATCH(B376,Detail!$G$1:$G$1001,0))</f>
        <v>38349</v>
      </c>
      <c r="Q376" s="33" t="str">
        <f>INDEX(Detail!$F$1:$F$1001,MATCH(Main!B376,Detail!$G$1:$G$1001,0))</f>
        <v>Pariaman</v>
      </c>
      <c r="R376" s="7">
        <f>INDEX(Detail!$C$1:$C$1001,MATCH(B376,Detail!$G$1:$G$1001,0),1)</f>
        <v>167</v>
      </c>
      <c r="S376" s="7">
        <f>INDEX(Detail!$D$1:$D$1001,MATCH(B376,Detail!$G$1:$G$1001,0),1)</f>
        <v>47</v>
      </c>
      <c r="T376" s="7" t="str">
        <f>INDEX(Detail!$E$1:$E$1001,MATCH(Main!B376,Detail!$G$1:$G$1001,0))</f>
        <v xml:space="preserve">Gg. Rungkut Industri No. 6
</v>
      </c>
      <c r="U376" s="7" t="str">
        <f>INDEX(Detail!$B$1:$B$1001,MATCH(B376,Detail!$G$1:$G$1001,0),1)</f>
        <v>AB+</v>
      </c>
      <c r="V376" s="7" t="str" cm="1">
        <f t="array" ref="V376">INDEX(Dosen!$B$3:$E$8,MATCH(Main!C376,Dosen!$A$3:$A$8,0),IF(AND(Main!A376&gt;=1,Main!A376&lt;=250),1,IF(AND(Main!A376&gt;=251,Main!A376&lt;=500),2,IF(AND(Main!A376&gt;=501,Main!A376&lt;=750),3,4))))</f>
        <v>Bu Made</v>
      </c>
      <c r="W376" s="7" t="str">
        <f>_xlfn.XLOOKUP(B376,Detail!$G$1:$G$1001,Detail!$B$1:$B$1001)</f>
        <v>AB+</v>
      </c>
    </row>
    <row r="377" spans="1:23" ht="15.75" x14ac:dyDescent="0.25">
      <c r="A377" s="7">
        <v>339</v>
      </c>
      <c r="B377" s="33" t="str">
        <f t="shared" si="18"/>
        <v>C0339</v>
      </c>
      <c r="C377" s="7" t="s">
        <v>1012</v>
      </c>
      <c r="D377" s="33" t="str">
        <f>VLOOKUP(B377,Detail!$G$1:$H$1001,2,FALSE)</f>
        <v>Jindra Purwanti</v>
      </c>
      <c r="E377" s="7">
        <v>89</v>
      </c>
      <c r="F377" s="7">
        <v>66</v>
      </c>
      <c r="G377" s="57">
        <v>91</v>
      </c>
      <c r="H377" s="7">
        <v>69</v>
      </c>
      <c r="I377" s="7">
        <v>95</v>
      </c>
      <c r="J377" s="7">
        <v>53</v>
      </c>
      <c r="K377" s="7">
        <v>69</v>
      </c>
      <c r="L377" s="56">
        <f>IFERROR(VLOOKUP(B377,Absen!$A$1:$C$501,2,FALSE),"No")</f>
        <v>44768</v>
      </c>
      <c r="M377" s="58">
        <f t="shared" si="16"/>
        <v>5.9</v>
      </c>
      <c r="N377" s="57">
        <f t="shared" si="17"/>
        <v>74.575000000000017</v>
      </c>
      <c r="O377" s="7" t="str">
        <f>VLOOKUP(N377,Helper!$B$30:$C$35,2,TRUE)</f>
        <v>B</v>
      </c>
      <c r="P377" s="56">
        <f>INDEX(Detail!$A$1:$A$1001,MATCH(B377,Detail!$G$1:$G$1001,0))</f>
        <v>37549</v>
      </c>
      <c r="Q377" s="33" t="str">
        <f>INDEX(Detail!$F$1:$F$1001,MATCH(Main!B377,Detail!$G$1:$G$1001,0))</f>
        <v>Pekalongan</v>
      </c>
      <c r="R377" s="7">
        <f>INDEX(Detail!$C$1:$C$1001,MATCH(B377,Detail!$G$1:$G$1001,0),1)</f>
        <v>169</v>
      </c>
      <c r="S377" s="7">
        <f>INDEX(Detail!$D$1:$D$1001,MATCH(B377,Detail!$G$1:$G$1001,0),1)</f>
        <v>51</v>
      </c>
      <c r="T377" s="7" t="str">
        <f>INDEX(Detail!$E$1:$E$1001,MATCH(Main!B377,Detail!$G$1:$G$1001,0))</f>
        <v>Jalan Yos Sudarso No. 41</v>
      </c>
      <c r="U377" s="7" t="str">
        <f>INDEX(Detail!$B$1:$B$1001,MATCH(B377,Detail!$G$1:$G$1001,0),1)</f>
        <v>A+</v>
      </c>
      <c r="V377" s="7" t="str" cm="1">
        <f t="array" ref="V377">INDEX(Dosen!$B$3:$E$8,MATCH(Main!C377,Dosen!$A$3:$A$8,0),IF(AND(Main!A377&gt;=1,Main!A377&lt;=250),1,IF(AND(Main!A377&gt;=251,Main!A377&lt;=500),2,IF(AND(Main!A377&gt;=501,Main!A377&lt;=750),3,4))))</f>
        <v>Bu Made</v>
      </c>
      <c r="W377" s="7" t="str">
        <f>_xlfn.XLOOKUP(B377,Detail!$G$1:$G$1001,Detail!$B$1:$B$1001)</f>
        <v>A+</v>
      </c>
    </row>
    <row r="378" spans="1:23" ht="15.75" x14ac:dyDescent="0.25">
      <c r="A378" s="7">
        <v>340</v>
      </c>
      <c r="B378" s="33" t="str">
        <f t="shared" si="18"/>
        <v>C0340</v>
      </c>
      <c r="C378" s="7" t="s">
        <v>1012</v>
      </c>
      <c r="D378" s="33" t="str">
        <f>VLOOKUP(B378,Detail!$G$1:$H$1001,2,FALSE)</f>
        <v>Jumadi Saragih</v>
      </c>
      <c r="E378" s="7">
        <v>55</v>
      </c>
      <c r="F378" s="7">
        <v>71</v>
      </c>
      <c r="G378" s="57">
        <v>69</v>
      </c>
      <c r="H378" s="7">
        <v>55</v>
      </c>
      <c r="I378" s="7">
        <v>88</v>
      </c>
      <c r="J378" s="7">
        <v>43</v>
      </c>
      <c r="K378" s="7">
        <v>93</v>
      </c>
      <c r="L378" s="56">
        <f>IFERROR(VLOOKUP(B378,Absen!$A$1:$C$501,2,FALSE),"No")</f>
        <v>44748</v>
      </c>
      <c r="M378" s="58">
        <f t="shared" si="16"/>
        <v>8.3000000000000007</v>
      </c>
      <c r="N378" s="57">
        <f t="shared" si="17"/>
        <v>64.325000000000003</v>
      </c>
      <c r="O378" s="7" t="str">
        <f>VLOOKUP(N378,Helper!$B$30:$C$35,2,TRUE)</f>
        <v>C</v>
      </c>
      <c r="P378" s="56">
        <f>INDEX(Detail!$A$1:$A$1001,MATCH(B378,Detail!$G$1:$G$1001,0))</f>
        <v>38069</v>
      </c>
      <c r="Q378" s="33" t="str">
        <f>INDEX(Detail!$F$1:$F$1001,MATCH(Main!B378,Detail!$G$1:$G$1001,0))</f>
        <v>Depok</v>
      </c>
      <c r="R378" s="7">
        <f>INDEX(Detail!$C$1:$C$1001,MATCH(B378,Detail!$G$1:$G$1001,0),1)</f>
        <v>153</v>
      </c>
      <c r="S378" s="7">
        <f>INDEX(Detail!$D$1:$D$1001,MATCH(B378,Detail!$G$1:$G$1001,0),1)</f>
        <v>92</v>
      </c>
      <c r="T378" s="7" t="str">
        <f>INDEX(Detail!$E$1:$E$1001,MATCH(Main!B378,Detail!$G$1:$G$1001,0))</f>
        <v>Gg. Suryakencana No. 76</v>
      </c>
      <c r="U378" s="7" t="str">
        <f>INDEX(Detail!$B$1:$B$1001,MATCH(B378,Detail!$G$1:$G$1001,0),1)</f>
        <v>B-</v>
      </c>
      <c r="V378" s="7" t="str" cm="1">
        <f t="array" ref="V378">INDEX(Dosen!$B$3:$E$8,MATCH(Main!C378,Dosen!$A$3:$A$8,0),IF(AND(Main!A378&gt;=1,Main!A378&lt;=250),1,IF(AND(Main!A378&gt;=251,Main!A378&lt;=500),2,IF(AND(Main!A378&gt;=501,Main!A378&lt;=750),3,4))))</f>
        <v>Bu Made</v>
      </c>
      <c r="W378" s="7" t="str">
        <f>_xlfn.XLOOKUP(B378,Detail!$G$1:$G$1001,Detail!$B$1:$B$1001)</f>
        <v>B-</v>
      </c>
    </row>
    <row r="379" spans="1:23" ht="15.75" x14ac:dyDescent="0.25">
      <c r="A379" s="7">
        <v>341</v>
      </c>
      <c r="B379" s="33" t="str">
        <f t="shared" si="18"/>
        <v>C0341</v>
      </c>
      <c r="C379" s="7" t="s">
        <v>1012</v>
      </c>
      <c r="D379" s="33" t="str">
        <f>VLOOKUP(B379,Detail!$G$1:$H$1001,2,FALSE)</f>
        <v>Padma Melani</v>
      </c>
      <c r="E379" s="7">
        <v>74</v>
      </c>
      <c r="F379" s="7">
        <v>55</v>
      </c>
      <c r="G379" s="57">
        <v>82</v>
      </c>
      <c r="H379" s="7">
        <v>75</v>
      </c>
      <c r="I379" s="7">
        <v>76</v>
      </c>
      <c r="J379" s="7">
        <v>64</v>
      </c>
      <c r="K379" s="7">
        <v>100</v>
      </c>
      <c r="L379" s="56">
        <f>IFERROR(VLOOKUP(B379,Absen!$A$1:$C$501,2,FALSE),"No")</f>
        <v>44777</v>
      </c>
      <c r="M379" s="58">
        <f t="shared" si="16"/>
        <v>9</v>
      </c>
      <c r="N379" s="57">
        <f t="shared" si="17"/>
        <v>73.2</v>
      </c>
      <c r="O379" s="7" t="str">
        <f>VLOOKUP(N379,Helper!$B$30:$C$35,2,TRUE)</f>
        <v>B</v>
      </c>
      <c r="P379" s="56">
        <f>INDEX(Detail!$A$1:$A$1001,MATCH(B379,Detail!$G$1:$G$1001,0))</f>
        <v>38440</v>
      </c>
      <c r="Q379" s="33" t="str">
        <f>INDEX(Detail!$F$1:$F$1001,MATCH(Main!B379,Detail!$G$1:$G$1001,0))</f>
        <v>Meulaboh</v>
      </c>
      <c r="R379" s="7">
        <f>INDEX(Detail!$C$1:$C$1001,MATCH(B379,Detail!$G$1:$G$1001,0),1)</f>
        <v>180</v>
      </c>
      <c r="S379" s="7">
        <f>INDEX(Detail!$D$1:$D$1001,MATCH(B379,Detail!$G$1:$G$1001,0),1)</f>
        <v>68</v>
      </c>
      <c r="T379" s="7" t="str">
        <f>INDEX(Detail!$E$1:$E$1001,MATCH(Main!B379,Detail!$G$1:$G$1001,0))</f>
        <v>Jalan Joyoboyo No. 51</v>
      </c>
      <c r="U379" s="7" t="str">
        <f>INDEX(Detail!$B$1:$B$1001,MATCH(B379,Detail!$G$1:$G$1001,0),1)</f>
        <v>AB+</v>
      </c>
      <c r="V379" s="7" t="str" cm="1">
        <f t="array" ref="V379">INDEX(Dosen!$B$3:$E$8,MATCH(Main!C379,Dosen!$A$3:$A$8,0),IF(AND(Main!A379&gt;=1,Main!A379&lt;=250),1,IF(AND(Main!A379&gt;=251,Main!A379&lt;=500),2,IF(AND(Main!A379&gt;=501,Main!A379&lt;=750),3,4))))</f>
        <v>Bu Made</v>
      </c>
      <c r="W379" s="7" t="str">
        <f>_xlfn.XLOOKUP(B379,Detail!$G$1:$G$1001,Detail!$B$1:$B$1001)</f>
        <v>AB+</v>
      </c>
    </row>
    <row r="380" spans="1:23" ht="15.75" x14ac:dyDescent="0.25">
      <c r="A380" s="7">
        <v>354</v>
      </c>
      <c r="B380" s="33" t="str">
        <f t="shared" si="18"/>
        <v>C0354</v>
      </c>
      <c r="C380" s="7" t="s">
        <v>1012</v>
      </c>
      <c r="D380" s="33" t="str">
        <f>VLOOKUP(B380,Detail!$G$1:$H$1001,2,FALSE)</f>
        <v>Ika Haryanto</v>
      </c>
      <c r="E380" s="7">
        <v>60</v>
      </c>
      <c r="F380" s="7">
        <v>58</v>
      </c>
      <c r="G380" s="57">
        <v>78</v>
      </c>
      <c r="H380" s="7">
        <v>58</v>
      </c>
      <c r="I380" s="7">
        <v>71</v>
      </c>
      <c r="J380" s="7">
        <v>92</v>
      </c>
      <c r="K380" s="7">
        <v>99</v>
      </c>
      <c r="L380" s="56" t="str">
        <f>IFERROR(VLOOKUP(B380,Absen!$A$1:$C$501,2,FALSE),"No")</f>
        <v>No</v>
      </c>
      <c r="M380" s="58">
        <f t="shared" si="16"/>
        <v>9.9</v>
      </c>
      <c r="N380" s="57">
        <f t="shared" si="17"/>
        <v>74.775000000000006</v>
      </c>
      <c r="O380" s="7" t="str">
        <f>VLOOKUP(N380,Helper!$B$30:$C$35,2,TRUE)</f>
        <v>B</v>
      </c>
      <c r="P380" s="56">
        <f>INDEX(Detail!$A$1:$A$1001,MATCH(B380,Detail!$G$1:$G$1001,0))</f>
        <v>37033</v>
      </c>
      <c r="Q380" s="33" t="str">
        <f>INDEX(Detail!$F$1:$F$1001,MATCH(Main!B380,Detail!$G$1:$G$1001,0))</f>
        <v>Tasikmalaya</v>
      </c>
      <c r="R380" s="7">
        <f>INDEX(Detail!$C$1:$C$1001,MATCH(B380,Detail!$G$1:$G$1001,0),1)</f>
        <v>162</v>
      </c>
      <c r="S380" s="7">
        <f>INDEX(Detail!$D$1:$D$1001,MATCH(B380,Detail!$G$1:$G$1001,0),1)</f>
        <v>87</v>
      </c>
      <c r="T380" s="7" t="str">
        <f>INDEX(Detail!$E$1:$E$1001,MATCH(Main!B380,Detail!$G$1:$G$1001,0))</f>
        <v>Gg. Rungkut Industri No. 31</v>
      </c>
      <c r="U380" s="7" t="str">
        <f>INDEX(Detail!$B$1:$B$1001,MATCH(B380,Detail!$G$1:$G$1001,0),1)</f>
        <v>B-</v>
      </c>
      <c r="V380" s="7" t="str" cm="1">
        <f t="array" ref="V380">INDEX(Dosen!$B$3:$E$8,MATCH(Main!C380,Dosen!$A$3:$A$8,0),IF(AND(Main!A380&gt;=1,Main!A380&lt;=250),1,IF(AND(Main!A380&gt;=251,Main!A380&lt;=500),2,IF(AND(Main!A380&gt;=501,Main!A380&lt;=750),3,4))))</f>
        <v>Bu Made</v>
      </c>
      <c r="W380" s="7" t="str">
        <f>_xlfn.XLOOKUP(B380,Detail!$G$1:$G$1001,Detail!$B$1:$B$1001)</f>
        <v>B-</v>
      </c>
    </row>
    <row r="381" spans="1:23" ht="15.75" x14ac:dyDescent="0.25">
      <c r="A381" s="7">
        <v>357</v>
      </c>
      <c r="B381" s="33" t="str">
        <f t="shared" si="18"/>
        <v>C0357</v>
      </c>
      <c r="C381" s="7" t="s">
        <v>1012</v>
      </c>
      <c r="D381" s="33" t="str">
        <f>VLOOKUP(B381,Detail!$G$1:$H$1001,2,FALSE)</f>
        <v>Gadang Thamrin</v>
      </c>
      <c r="E381" s="7">
        <v>60</v>
      </c>
      <c r="F381" s="7">
        <v>74</v>
      </c>
      <c r="G381" s="57">
        <v>94</v>
      </c>
      <c r="H381" s="7">
        <v>67</v>
      </c>
      <c r="I381" s="7">
        <v>83</v>
      </c>
      <c r="J381" s="7">
        <v>77</v>
      </c>
      <c r="K381" s="7">
        <v>64</v>
      </c>
      <c r="L381" s="56" t="str">
        <f>IFERROR(VLOOKUP(B381,Absen!$A$1:$C$501,2,FALSE),"No")</f>
        <v>No</v>
      </c>
      <c r="M381" s="58">
        <f t="shared" si="16"/>
        <v>6.4</v>
      </c>
      <c r="N381" s="57">
        <f t="shared" si="17"/>
        <v>76.100000000000009</v>
      </c>
      <c r="O381" s="7" t="str">
        <f>VLOOKUP(N381,Helper!$B$30:$C$35,2,TRUE)</f>
        <v>B</v>
      </c>
      <c r="P381" s="56">
        <f>INDEX(Detail!$A$1:$A$1001,MATCH(B381,Detail!$G$1:$G$1001,0))</f>
        <v>37701</v>
      </c>
      <c r="Q381" s="33" t="str">
        <f>INDEX(Detail!$F$1:$F$1001,MATCH(Main!B381,Detail!$G$1:$G$1001,0))</f>
        <v>Ambon</v>
      </c>
      <c r="R381" s="7">
        <f>INDEX(Detail!$C$1:$C$1001,MATCH(B381,Detail!$G$1:$G$1001,0),1)</f>
        <v>162</v>
      </c>
      <c r="S381" s="7">
        <f>INDEX(Detail!$D$1:$D$1001,MATCH(B381,Detail!$G$1:$G$1001,0),1)</f>
        <v>66</v>
      </c>
      <c r="T381" s="7" t="str">
        <f>INDEX(Detail!$E$1:$E$1001,MATCH(Main!B381,Detail!$G$1:$G$1001,0))</f>
        <v>Gg. Astana Anyar No. 49</v>
      </c>
      <c r="U381" s="7" t="str">
        <f>INDEX(Detail!$B$1:$B$1001,MATCH(B381,Detail!$G$1:$G$1001,0),1)</f>
        <v>O+</v>
      </c>
      <c r="V381" s="7" t="str" cm="1">
        <f t="array" ref="V381">INDEX(Dosen!$B$3:$E$8,MATCH(Main!C381,Dosen!$A$3:$A$8,0),IF(AND(Main!A381&gt;=1,Main!A381&lt;=250),1,IF(AND(Main!A381&gt;=251,Main!A381&lt;=500),2,IF(AND(Main!A381&gt;=501,Main!A381&lt;=750),3,4))))</f>
        <v>Bu Made</v>
      </c>
      <c r="W381" s="7" t="str">
        <f>_xlfn.XLOOKUP(B381,Detail!$G$1:$G$1001,Detail!$B$1:$B$1001)</f>
        <v>O+</v>
      </c>
    </row>
    <row r="382" spans="1:23" ht="15.75" x14ac:dyDescent="0.25">
      <c r="A382" s="7">
        <v>363</v>
      </c>
      <c r="B382" s="33" t="str">
        <f t="shared" si="18"/>
        <v>C0363</v>
      </c>
      <c r="C382" s="7" t="s">
        <v>1012</v>
      </c>
      <c r="D382" s="33" t="str">
        <f>VLOOKUP(B382,Detail!$G$1:$H$1001,2,FALSE)</f>
        <v>Ida Budiman</v>
      </c>
      <c r="E382" s="7">
        <v>54</v>
      </c>
      <c r="F382" s="7">
        <v>68</v>
      </c>
      <c r="G382" s="57">
        <v>91</v>
      </c>
      <c r="H382" s="7">
        <v>62</v>
      </c>
      <c r="I382" s="7">
        <v>61</v>
      </c>
      <c r="J382" s="7">
        <v>64</v>
      </c>
      <c r="K382" s="7">
        <v>62</v>
      </c>
      <c r="L382" s="56" t="str">
        <f>IFERROR(VLOOKUP(B382,Absen!$A$1:$C$501,2,FALSE),"No")</f>
        <v>No</v>
      </c>
      <c r="M382" s="58">
        <f t="shared" si="16"/>
        <v>6.2</v>
      </c>
      <c r="N382" s="57">
        <f t="shared" si="17"/>
        <v>67.825000000000003</v>
      </c>
      <c r="O382" s="7" t="str">
        <f>VLOOKUP(N382,Helper!$B$30:$C$35,2,TRUE)</f>
        <v>C</v>
      </c>
      <c r="P382" s="56">
        <f>INDEX(Detail!$A$1:$A$1001,MATCH(B382,Detail!$G$1:$G$1001,0))</f>
        <v>37424</v>
      </c>
      <c r="Q382" s="33" t="str">
        <f>INDEX(Detail!$F$1:$F$1001,MATCH(Main!B382,Detail!$G$1:$G$1001,0))</f>
        <v>Langsa</v>
      </c>
      <c r="R382" s="7">
        <f>INDEX(Detail!$C$1:$C$1001,MATCH(B382,Detail!$G$1:$G$1001,0),1)</f>
        <v>158</v>
      </c>
      <c r="S382" s="7">
        <f>INDEX(Detail!$D$1:$D$1001,MATCH(B382,Detail!$G$1:$G$1001,0),1)</f>
        <v>73</v>
      </c>
      <c r="T382" s="7" t="str">
        <f>INDEX(Detail!$E$1:$E$1001,MATCH(Main!B382,Detail!$G$1:$G$1001,0))</f>
        <v>Jl. Jakarta No. 19</v>
      </c>
      <c r="U382" s="7" t="str">
        <f>INDEX(Detail!$B$1:$B$1001,MATCH(B382,Detail!$G$1:$G$1001,0),1)</f>
        <v>AB+</v>
      </c>
      <c r="V382" s="7" t="str" cm="1">
        <f t="array" ref="V382">INDEX(Dosen!$B$3:$E$8,MATCH(Main!C382,Dosen!$A$3:$A$8,0),IF(AND(Main!A382&gt;=1,Main!A382&lt;=250),1,IF(AND(Main!A382&gt;=251,Main!A382&lt;=500),2,IF(AND(Main!A382&gt;=501,Main!A382&lt;=750),3,4))))</f>
        <v>Bu Made</v>
      </c>
      <c r="W382" s="7" t="str">
        <f>_xlfn.XLOOKUP(B382,Detail!$G$1:$G$1001,Detail!$B$1:$B$1001)</f>
        <v>AB+</v>
      </c>
    </row>
    <row r="383" spans="1:23" ht="15.75" x14ac:dyDescent="0.25">
      <c r="A383" s="7">
        <v>372</v>
      </c>
      <c r="B383" s="33" t="str">
        <f t="shared" si="18"/>
        <v>C0372</v>
      </c>
      <c r="C383" s="7" t="s">
        <v>1012</v>
      </c>
      <c r="D383" s="33" t="str">
        <f>VLOOKUP(B383,Detail!$G$1:$H$1001,2,FALSE)</f>
        <v>Hendri Marpaung</v>
      </c>
      <c r="E383" s="7">
        <v>70</v>
      </c>
      <c r="F383" s="7">
        <v>42</v>
      </c>
      <c r="G383" s="57">
        <v>38</v>
      </c>
      <c r="H383" s="7">
        <v>52</v>
      </c>
      <c r="I383" s="7">
        <v>61</v>
      </c>
      <c r="J383" s="7">
        <v>94</v>
      </c>
      <c r="K383" s="7">
        <v>74</v>
      </c>
      <c r="L383" s="56">
        <f>IFERROR(VLOOKUP(B383,Absen!$A$1:$C$501,2,FALSE),"No")</f>
        <v>44908</v>
      </c>
      <c r="M383" s="58">
        <f t="shared" si="16"/>
        <v>6.4</v>
      </c>
      <c r="N383" s="57">
        <f t="shared" si="17"/>
        <v>60.925000000000004</v>
      </c>
      <c r="O383" s="7" t="str">
        <f>VLOOKUP(N383,Helper!$B$30:$C$35,2,TRUE)</f>
        <v>C</v>
      </c>
      <c r="P383" s="56">
        <f>INDEX(Detail!$A$1:$A$1001,MATCH(B383,Detail!$G$1:$G$1001,0))</f>
        <v>37485</v>
      </c>
      <c r="Q383" s="33" t="str">
        <f>INDEX(Detail!$F$1:$F$1001,MATCH(Main!B383,Detail!$G$1:$G$1001,0))</f>
        <v>Mojokerto</v>
      </c>
      <c r="R383" s="7">
        <f>INDEX(Detail!$C$1:$C$1001,MATCH(B383,Detail!$G$1:$G$1001,0),1)</f>
        <v>175</v>
      </c>
      <c r="S383" s="7">
        <f>INDEX(Detail!$D$1:$D$1001,MATCH(B383,Detail!$G$1:$G$1001,0),1)</f>
        <v>75</v>
      </c>
      <c r="T383" s="7" t="str">
        <f>INDEX(Detail!$E$1:$E$1001,MATCH(Main!B383,Detail!$G$1:$G$1001,0))</f>
        <v xml:space="preserve">Gang M.T Haryono No. 0
</v>
      </c>
      <c r="U383" s="7" t="str">
        <f>INDEX(Detail!$B$1:$B$1001,MATCH(B383,Detail!$G$1:$G$1001,0),1)</f>
        <v>O-</v>
      </c>
      <c r="V383" s="7" t="str" cm="1">
        <f t="array" ref="V383">INDEX(Dosen!$B$3:$E$8,MATCH(Main!C383,Dosen!$A$3:$A$8,0),IF(AND(Main!A383&gt;=1,Main!A383&lt;=250),1,IF(AND(Main!A383&gt;=251,Main!A383&lt;=500),2,IF(AND(Main!A383&gt;=501,Main!A383&lt;=750),3,4))))</f>
        <v>Bu Made</v>
      </c>
      <c r="W383" s="7" t="str">
        <f>_xlfn.XLOOKUP(B383,Detail!$G$1:$G$1001,Detail!$B$1:$B$1001)</f>
        <v>O-</v>
      </c>
    </row>
    <row r="384" spans="1:23" ht="15.75" x14ac:dyDescent="0.25">
      <c r="A384" s="7">
        <v>379</v>
      </c>
      <c r="B384" s="33" t="str">
        <f t="shared" si="18"/>
        <v>C0379</v>
      </c>
      <c r="C384" s="7" t="s">
        <v>1012</v>
      </c>
      <c r="D384" s="33" t="str">
        <f>VLOOKUP(B384,Detail!$G$1:$H$1001,2,FALSE)</f>
        <v>Hasim Nurdiyanti</v>
      </c>
      <c r="E384" s="7">
        <v>66</v>
      </c>
      <c r="F384" s="7">
        <v>55</v>
      </c>
      <c r="G384" s="57">
        <v>85</v>
      </c>
      <c r="H384" s="7">
        <v>60</v>
      </c>
      <c r="I384" s="7">
        <v>64</v>
      </c>
      <c r="J384" s="7">
        <v>66</v>
      </c>
      <c r="K384" s="7">
        <v>68</v>
      </c>
      <c r="L384" s="56">
        <f>IFERROR(VLOOKUP(B384,Absen!$A$1:$C$501,2,FALSE),"No")</f>
        <v>44893</v>
      </c>
      <c r="M384" s="58">
        <f t="shared" si="16"/>
        <v>5.8000000000000007</v>
      </c>
      <c r="N384" s="57">
        <f t="shared" si="17"/>
        <v>66.625</v>
      </c>
      <c r="O384" s="7" t="str">
        <f>VLOOKUP(N384,Helper!$B$30:$C$35,2,TRUE)</f>
        <v>C</v>
      </c>
      <c r="P384" s="56">
        <f>INDEX(Detail!$A$1:$A$1001,MATCH(B384,Detail!$G$1:$G$1001,0))</f>
        <v>37466</v>
      </c>
      <c r="Q384" s="33" t="str">
        <f>INDEX(Detail!$F$1:$F$1001,MATCH(Main!B384,Detail!$G$1:$G$1001,0))</f>
        <v>Tidore Kepulauan</v>
      </c>
      <c r="R384" s="7">
        <f>INDEX(Detail!$C$1:$C$1001,MATCH(B384,Detail!$G$1:$G$1001,0),1)</f>
        <v>161</v>
      </c>
      <c r="S384" s="7">
        <f>INDEX(Detail!$D$1:$D$1001,MATCH(B384,Detail!$G$1:$G$1001,0),1)</f>
        <v>69</v>
      </c>
      <c r="T384" s="7" t="str">
        <f>INDEX(Detail!$E$1:$E$1001,MATCH(Main!B384,Detail!$G$1:$G$1001,0))</f>
        <v xml:space="preserve">Gg. Cihampelas No. 5
</v>
      </c>
      <c r="U384" s="7" t="str">
        <f>INDEX(Detail!$B$1:$B$1001,MATCH(B384,Detail!$G$1:$G$1001,0),1)</f>
        <v>B+</v>
      </c>
      <c r="V384" s="7" t="str" cm="1">
        <f t="array" ref="V384">INDEX(Dosen!$B$3:$E$8,MATCH(Main!C384,Dosen!$A$3:$A$8,0),IF(AND(Main!A384&gt;=1,Main!A384&lt;=250),1,IF(AND(Main!A384&gt;=251,Main!A384&lt;=500),2,IF(AND(Main!A384&gt;=501,Main!A384&lt;=750),3,4))))</f>
        <v>Bu Made</v>
      </c>
      <c r="W384" s="7" t="str">
        <f>_xlfn.XLOOKUP(B384,Detail!$G$1:$G$1001,Detail!$B$1:$B$1001)</f>
        <v>B+</v>
      </c>
    </row>
    <row r="385" spans="1:23" ht="15.75" x14ac:dyDescent="0.25">
      <c r="A385" s="7">
        <v>383</v>
      </c>
      <c r="B385" s="33" t="str">
        <f t="shared" ref="B385:B416" si="19">CONCATENATE("C",TEXT(A385,"0000"))</f>
        <v>C0383</v>
      </c>
      <c r="C385" s="7" t="s">
        <v>1012</v>
      </c>
      <c r="D385" s="33" t="str">
        <f>VLOOKUP(B385,Detail!$G$1:$H$1001,2,FALSE)</f>
        <v>Vanya Pradipta</v>
      </c>
      <c r="E385" s="7">
        <v>71</v>
      </c>
      <c r="F385" s="7">
        <v>65</v>
      </c>
      <c r="G385" s="57">
        <v>58</v>
      </c>
      <c r="H385" s="7">
        <v>74</v>
      </c>
      <c r="I385" s="7">
        <v>80</v>
      </c>
      <c r="J385" s="7">
        <v>62</v>
      </c>
      <c r="K385" s="7">
        <v>79</v>
      </c>
      <c r="L385" s="56">
        <f>IFERROR(VLOOKUP(B385,Absen!$A$1:$C$501,2,FALSE),"No")</f>
        <v>44875</v>
      </c>
      <c r="M385" s="58">
        <f t="shared" si="16"/>
        <v>6.9</v>
      </c>
      <c r="N385" s="57">
        <f t="shared" si="17"/>
        <v>67.150000000000006</v>
      </c>
      <c r="O385" s="7" t="str">
        <f>VLOOKUP(N385,Helper!$B$30:$C$35,2,TRUE)</f>
        <v>C</v>
      </c>
      <c r="P385" s="56">
        <f>INDEX(Detail!$A$1:$A$1001,MATCH(B385,Detail!$G$1:$G$1001,0))</f>
        <v>37796</v>
      </c>
      <c r="Q385" s="33" t="str">
        <f>INDEX(Detail!$F$1:$F$1001,MATCH(Main!B385,Detail!$G$1:$G$1001,0))</f>
        <v>Sukabumi</v>
      </c>
      <c r="R385" s="7">
        <f>INDEX(Detail!$C$1:$C$1001,MATCH(B385,Detail!$G$1:$G$1001,0),1)</f>
        <v>153</v>
      </c>
      <c r="S385" s="7">
        <f>INDEX(Detail!$D$1:$D$1001,MATCH(B385,Detail!$G$1:$G$1001,0),1)</f>
        <v>45</v>
      </c>
      <c r="T385" s="7" t="str">
        <f>INDEX(Detail!$E$1:$E$1001,MATCH(Main!B385,Detail!$G$1:$G$1001,0))</f>
        <v>Gg. Asia Afrika No. 28</v>
      </c>
      <c r="U385" s="7" t="str">
        <f>INDEX(Detail!$B$1:$B$1001,MATCH(B385,Detail!$G$1:$G$1001,0),1)</f>
        <v>AB-</v>
      </c>
      <c r="V385" s="7" t="str" cm="1">
        <f t="array" ref="V385">INDEX(Dosen!$B$3:$E$8,MATCH(Main!C385,Dosen!$A$3:$A$8,0),IF(AND(Main!A385&gt;=1,Main!A385&lt;=250),1,IF(AND(Main!A385&gt;=251,Main!A385&lt;=500),2,IF(AND(Main!A385&gt;=501,Main!A385&lt;=750),3,4))))</f>
        <v>Bu Made</v>
      </c>
      <c r="W385" s="7" t="str">
        <f>_xlfn.XLOOKUP(B385,Detail!$G$1:$G$1001,Detail!$B$1:$B$1001)</f>
        <v>AB-</v>
      </c>
    </row>
    <row r="386" spans="1:23" ht="15.75" x14ac:dyDescent="0.25">
      <c r="A386" s="7">
        <v>388</v>
      </c>
      <c r="B386" s="33" t="str">
        <f t="shared" si="19"/>
        <v>C0388</v>
      </c>
      <c r="C386" s="7" t="s">
        <v>1012</v>
      </c>
      <c r="D386" s="33" t="str">
        <f>VLOOKUP(B386,Detail!$G$1:$H$1001,2,FALSE)</f>
        <v>Zalindra Ramadan</v>
      </c>
      <c r="E386" s="7">
        <v>74</v>
      </c>
      <c r="F386" s="7">
        <v>65</v>
      </c>
      <c r="G386" s="57">
        <v>46</v>
      </c>
      <c r="H386" s="7">
        <v>74</v>
      </c>
      <c r="I386" s="7">
        <v>94</v>
      </c>
      <c r="J386" s="7">
        <v>43</v>
      </c>
      <c r="K386" s="7">
        <v>62</v>
      </c>
      <c r="L386" s="56">
        <f>IFERROR(VLOOKUP(B386,Absen!$A$1:$C$501,2,FALSE),"No")</f>
        <v>44875</v>
      </c>
      <c r="M386" s="58">
        <f t="shared" ref="M386:M449" si="20">IF(L386="no",K386,K386-10)*10%</f>
        <v>5.2</v>
      </c>
      <c r="N386" s="57">
        <f t="shared" ref="N386:N449" si="21">SUM(E386*12.5%,F386*12.5%,H386*12.5%,I386*12.5%,G386*20%,J386*20%,M386)</f>
        <v>61.375000000000007</v>
      </c>
      <c r="O386" s="7" t="str">
        <f>VLOOKUP(N386,Helper!$B$30:$C$35,2,TRUE)</f>
        <v>C</v>
      </c>
      <c r="P386" s="56">
        <f>INDEX(Detail!$A$1:$A$1001,MATCH(B386,Detail!$G$1:$G$1001,0))</f>
        <v>38468</v>
      </c>
      <c r="Q386" s="33" t="str">
        <f>INDEX(Detail!$F$1:$F$1001,MATCH(Main!B386,Detail!$G$1:$G$1001,0))</f>
        <v>Mojokerto</v>
      </c>
      <c r="R386" s="7">
        <f>INDEX(Detail!$C$1:$C$1001,MATCH(B386,Detail!$G$1:$G$1001,0),1)</f>
        <v>177</v>
      </c>
      <c r="S386" s="7">
        <f>INDEX(Detail!$D$1:$D$1001,MATCH(B386,Detail!$G$1:$G$1001,0),1)</f>
        <v>90</v>
      </c>
      <c r="T386" s="7" t="str">
        <f>INDEX(Detail!$E$1:$E$1001,MATCH(Main!B386,Detail!$G$1:$G$1001,0))</f>
        <v>Jalan Tebet Barat Dalam No. 39</v>
      </c>
      <c r="U386" s="7" t="str">
        <f>INDEX(Detail!$B$1:$B$1001,MATCH(B386,Detail!$G$1:$G$1001,0),1)</f>
        <v>O-</v>
      </c>
      <c r="V386" s="7" t="str" cm="1">
        <f t="array" ref="V386">INDEX(Dosen!$B$3:$E$8,MATCH(Main!C386,Dosen!$A$3:$A$8,0),IF(AND(Main!A386&gt;=1,Main!A386&lt;=250),1,IF(AND(Main!A386&gt;=251,Main!A386&lt;=500),2,IF(AND(Main!A386&gt;=501,Main!A386&lt;=750),3,4))))</f>
        <v>Bu Made</v>
      </c>
      <c r="W386" s="7" t="str">
        <f>_xlfn.XLOOKUP(B386,Detail!$G$1:$G$1001,Detail!$B$1:$B$1001)</f>
        <v>O-</v>
      </c>
    </row>
    <row r="387" spans="1:23" ht="15.75" x14ac:dyDescent="0.25">
      <c r="A387" s="7">
        <v>391</v>
      </c>
      <c r="B387" s="33" t="str">
        <f t="shared" si="19"/>
        <v>C0391</v>
      </c>
      <c r="C387" s="7" t="s">
        <v>1012</v>
      </c>
      <c r="D387" s="33" t="str">
        <f>VLOOKUP(B387,Detail!$G$1:$H$1001,2,FALSE)</f>
        <v>Laila Maryadi</v>
      </c>
      <c r="E387" s="7">
        <v>94</v>
      </c>
      <c r="F387" s="7">
        <v>53</v>
      </c>
      <c r="G387" s="57">
        <v>46</v>
      </c>
      <c r="H387" s="7">
        <v>66</v>
      </c>
      <c r="I387" s="7">
        <v>90</v>
      </c>
      <c r="J387" s="7">
        <v>100</v>
      </c>
      <c r="K387" s="7">
        <v>60</v>
      </c>
      <c r="L387" s="56" t="str">
        <f>IFERROR(VLOOKUP(B387,Absen!$A$1:$C$501,2,FALSE),"No")</f>
        <v>No</v>
      </c>
      <c r="M387" s="58">
        <f t="shared" si="20"/>
        <v>6</v>
      </c>
      <c r="N387" s="57">
        <f t="shared" si="21"/>
        <v>73.075000000000003</v>
      </c>
      <c r="O387" s="7" t="str">
        <f>VLOOKUP(N387,Helper!$B$30:$C$35,2,TRUE)</f>
        <v>B</v>
      </c>
      <c r="P387" s="56">
        <f>INDEX(Detail!$A$1:$A$1001,MATCH(B387,Detail!$G$1:$G$1001,0))</f>
        <v>37449</v>
      </c>
      <c r="Q387" s="33" t="str">
        <f>INDEX(Detail!$F$1:$F$1001,MATCH(Main!B387,Detail!$G$1:$G$1001,0))</f>
        <v>Palembang</v>
      </c>
      <c r="R387" s="7">
        <f>INDEX(Detail!$C$1:$C$1001,MATCH(B387,Detail!$G$1:$G$1001,0),1)</f>
        <v>173</v>
      </c>
      <c r="S387" s="7">
        <f>INDEX(Detail!$D$1:$D$1001,MATCH(B387,Detail!$G$1:$G$1001,0),1)</f>
        <v>62</v>
      </c>
      <c r="T387" s="7" t="str">
        <f>INDEX(Detail!$E$1:$E$1001,MATCH(Main!B387,Detail!$G$1:$G$1001,0))</f>
        <v>Jl. Rajiman No. 19</v>
      </c>
      <c r="U387" s="7" t="str">
        <f>INDEX(Detail!$B$1:$B$1001,MATCH(B387,Detail!$G$1:$G$1001,0),1)</f>
        <v>A-</v>
      </c>
      <c r="V387" s="7" t="str" cm="1">
        <f t="array" ref="V387">INDEX(Dosen!$B$3:$E$8,MATCH(Main!C387,Dosen!$A$3:$A$8,0),IF(AND(Main!A387&gt;=1,Main!A387&lt;=250),1,IF(AND(Main!A387&gt;=251,Main!A387&lt;=500),2,IF(AND(Main!A387&gt;=501,Main!A387&lt;=750),3,4))))</f>
        <v>Bu Made</v>
      </c>
      <c r="W387" s="7" t="str">
        <f>_xlfn.XLOOKUP(B387,Detail!$G$1:$G$1001,Detail!$B$1:$B$1001)</f>
        <v>A-</v>
      </c>
    </row>
    <row r="388" spans="1:23" ht="15.75" x14ac:dyDescent="0.25">
      <c r="A388" s="7">
        <v>397</v>
      </c>
      <c r="B388" s="33" t="str">
        <f t="shared" si="19"/>
        <v>C0397</v>
      </c>
      <c r="C388" s="7" t="s">
        <v>1012</v>
      </c>
      <c r="D388" s="33" t="str">
        <f>VLOOKUP(B388,Detail!$G$1:$H$1001,2,FALSE)</f>
        <v>Farhunnisa Putri</v>
      </c>
      <c r="E388" s="7">
        <v>66</v>
      </c>
      <c r="F388" s="7">
        <v>44</v>
      </c>
      <c r="G388" s="57">
        <v>48</v>
      </c>
      <c r="H388" s="7">
        <v>72</v>
      </c>
      <c r="I388" s="7">
        <v>82</v>
      </c>
      <c r="J388" s="7">
        <v>96</v>
      </c>
      <c r="K388" s="7">
        <v>77</v>
      </c>
      <c r="L388" s="56">
        <f>IFERROR(VLOOKUP(B388,Absen!$A$1:$C$501,2,FALSE),"No")</f>
        <v>44783</v>
      </c>
      <c r="M388" s="58">
        <f t="shared" si="20"/>
        <v>6.7</v>
      </c>
      <c r="N388" s="57">
        <f t="shared" si="21"/>
        <v>68.5</v>
      </c>
      <c r="O388" s="7" t="str">
        <f>VLOOKUP(N388,Helper!$B$30:$C$35,2,TRUE)</f>
        <v>C</v>
      </c>
      <c r="P388" s="56">
        <f>INDEX(Detail!$A$1:$A$1001,MATCH(B388,Detail!$G$1:$G$1001,0))</f>
        <v>37771</v>
      </c>
      <c r="Q388" s="33" t="str">
        <f>INDEX(Detail!$F$1:$F$1001,MATCH(Main!B388,Detail!$G$1:$G$1001,0))</f>
        <v>Tanjungbalai</v>
      </c>
      <c r="R388" s="7">
        <f>INDEX(Detail!$C$1:$C$1001,MATCH(B388,Detail!$G$1:$G$1001,0),1)</f>
        <v>176</v>
      </c>
      <c r="S388" s="7">
        <f>INDEX(Detail!$D$1:$D$1001,MATCH(B388,Detail!$G$1:$G$1001,0),1)</f>
        <v>87</v>
      </c>
      <c r="T388" s="7" t="str">
        <f>INDEX(Detail!$E$1:$E$1001,MATCH(Main!B388,Detail!$G$1:$G$1001,0))</f>
        <v>Jalan Cikapayang No. 41</v>
      </c>
      <c r="U388" s="7" t="str">
        <f>INDEX(Detail!$B$1:$B$1001,MATCH(B388,Detail!$G$1:$G$1001,0),1)</f>
        <v>AB-</v>
      </c>
      <c r="V388" s="7" t="str" cm="1">
        <f t="array" ref="V388">INDEX(Dosen!$B$3:$E$8,MATCH(Main!C388,Dosen!$A$3:$A$8,0),IF(AND(Main!A388&gt;=1,Main!A388&lt;=250),1,IF(AND(Main!A388&gt;=251,Main!A388&lt;=500),2,IF(AND(Main!A388&gt;=501,Main!A388&lt;=750),3,4))))</f>
        <v>Bu Made</v>
      </c>
      <c r="W388" s="7" t="str">
        <f>_xlfn.XLOOKUP(B388,Detail!$G$1:$G$1001,Detail!$B$1:$B$1001)</f>
        <v>AB-</v>
      </c>
    </row>
    <row r="389" spans="1:23" ht="15.75" x14ac:dyDescent="0.25">
      <c r="A389" s="7">
        <v>398</v>
      </c>
      <c r="B389" s="33" t="str">
        <f t="shared" si="19"/>
        <v>C0398</v>
      </c>
      <c r="C389" s="7" t="s">
        <v>1012</v>
      </c>
      <c r="D389" s="33" t="str">
        <f>VLOOKUP(B389,Detail!$G$1:$H$1001,2,FALSE)</f>
        <v>Gamblang Mayasari</v>
      </c>
      <c r="E389" s="7">
        <v>94</v>
      </c>
      <c r="F389" s="7">
        <v>68</v>
      </c>
      <c r="G389" s="57">
        <v>73</v>
      </c>
      <c r="H389" s="7">
        <v>52</v>
      </c>
      <c r="I389" s="7">
        <v>68</v>
      </c>
      <c r="J389" s="7">
        <v>64</v>
      </c>
      <c r="K389" s="7">
        <v>68</v>
      </c>
      <c r="L389" s="56">
        <f>IFERROR(VLOOKUP(B389,Absen!$A$1:$C$501,2,FALSE),"No")</f>
        <v>44832</v>
      </c>
      <c r="M389" s="58">
        <f t="shared" si="20"/>
        <v>5.8000000000000007</v>
      </c>
      <c r="N389" s="57">
        <f t="shared" si="21"/>
        <v>68.45</v>
      </c>
      <c r="O389" s="7" t="str">
        <f>VLOOKUP(N389,Helper!$B$30:$C$35,2,TRUE)</f>
        <v>C</v>
      </c>
      <c r="P389" s="56">
        <f>INDEX(Detail!$A$1:$A$1001,MATCH(B389,Detail!$G$1:$G$1001,0))</f>
        <v>38412</v>
      </c>
      <c r="Q389" s="33" t="str">
        <f>INDEX(Detail!$F$1:$F$1001,MATCH(Main!B389,Detail!$G$1:$G$1001,0))</f>
        <v>Banjarmasin</v>
      </c>
      <c r="R389" s="7">
        <f>INDEX(Detail!$C$1:$C$1001,MATCH(B389,Detail!$G$1:$G$1001,0),1)</f>
        <v>173</v>
      </c>
      <c r="S389" s="7">
        <f>INDEX(Detail!$D$1:$D$1001,MATCH(B389,Detail!$G$1:$G$1001,0),1)</f>
        <v>57</v>
      </c>
      <c r="T389" s="7" t="str">
        <f>INDEX(Detail!$E$1:$E$1001,MATCH(Main!B389,Detail!$G$1:$G$1001,0))</f>
        <v>Jalan Pacuan Kuda No. 81</v>
      </c>
      <c r="U389" s="7" t="str">
        <f>INDEX(Detail!$B$1:$B$1001,MATCH(B389,Detail!$G$1:$G$1001,0),1)</f>
        <v>B-</v>
      </c>
      <c r="V389" s="7" t="str" cm="1">
        <f t="array" ref="V389">INDEX(Dosen!$B$3:$E$8,MATCH(Main!C389,Dosen!$A$3:$A$8,0),IF(AND(Main!A389&gt;=1,Main!A389&lt;=250),1,IF(AND(Main!A389&gt;=251,Main!A389&lt;=500),2,IF(AND(Main!A389&gt;=501,Main!A389&lt;=750),3,4))))</f>
        <v>Bu Made</v>
      </c>
      <c r="W389" s="7" t="str">
        <f>_xlfn.XLOOKUP(B389,Detail!$G$1:$G$1001,Detail!$B$1:$B$1001)</f>
        <v>B-</v>
      </c>
    </row>
    <row r="390" spans="1:23" ht="15.75" x14ac:dyDescent="0.25">
      <c r="A390" s="7">
        <v>401</v>
      </c>
      <c r="B390" s="33" t="str">
        <f t="shared" si="19"/>
        <v>C0401</v>
      </c>
      <c r="C390" s="7" t="s">
        <v>1012</v>
      </c>
      <c r="D390" s="33" t="str">
        <f>VLOOKUP(B390,Detail!$G$1:$H$1001,2,FALSE)</f>
        <v>Maya Simanjuntak</v>
      </c>
      <c r="E390" s="7">
        <v>91</v>
      </c>
      <c r="F390" s="7">
        <v>47</v>
      </c>
      <c r="G390" s="57">
        <v>66</v>
      </c>
      <c r="H390" s="7">
        <v>57</v>
      </c>
      <c r="I390" s="7">
        <v>87</v>
      </c>
      <c r="J390" s="7">
        <v>67</v>
      </c>
      <c r="K390" s="7">
        <v>84</v>
      </c>
      <c r="L390" s="56">
        <f>IFERROR(VLOOKUP(B390,Absen!$A$1:$C$501,2,FALSE),"No")</f>
        <v>44804</v>
      </c>
      <c r="M390" s="58">
        <f t="shared" si="20"/>
        <v>7.4</v>
      </c>
      <c r="N390" s="57">
        <f t="shared" si="21"/>
        <v>69.25</v>
      </c>
      <c r="O390" s="7" t="str">
        <f>VLOOKUP(N390,Helper!$B$30:$C$35,2,TRUE)</f>
        <v>C</v>
      </c>
      <c r="P390" s="56">
        <f>INDEX(Detail!$A$1:$A$1001,MATCH(B390,Detail!$G$1:$G$1001,0))</f>
        <v>37122</v>
      </c>
      <c r="Q390" s="33" t="str">
        <f>INDEX(Detail!$F$1:$F$1001,MATCH(Main!B390,Detail!$G$1:$G$1001,0))</f>
        <v>Mataram</v>
      </c>
      <c r="R390" s="7">
        <f>INDEX(Detail!$C$1:$C$1001,MATCH(B390,Detail!$G$1:$G$1001,0),1)</f>
        <v>169</v>
      </c>
      <c r="S390" s="7">
        <f>INDEX(Detail!$D$1:$D$1001,MATCH(B390,Detail!$G$1:$G$1001,0),1)</f>
        <v>70</v>
      </c>
      <c r="T390" s="7" t="str">
        <f>INDEX(Detail!$E$1:$E$1001,MATCH(Main!B390,Detail!$G$1:$G$1001,0))</f>
        <v>Jl. Rungkut Industri No. 93</v>
      </c>
      <c r="U390" s="7" t="str">
        <f>INDEX(Detail!$B$1:$B$1001,MATCH(B390,Detail!$G$1:$G$1001,0),1)</f>
        <v>B+</v>
      </c>
      <c r="V390" s="7" t="str" cm="1">
        <f t="array" ref="V390">INDEX(Dosen!$B$3:$E$8,MATCH(Main!C390,Dosen!$A$3:$A$8,0),IF(AND(Main!A390&gt;=1,Main!A390&lt;=250),1,IF(AND(Main!A390&gt;=251,Main!A390&lt;=500),2,IF(AND(Main!A390&gt;=501,Main!A390&lt;=750),3,4))))</f>
        <v>Bu Made</v>
      </c>
      <c r="W390" s="7" t="str">
        <f>_xlfn.XLOOKUP(B390,Detail!$G$1:$G$1001,Detail!$B$1:$B$1001)</f>
        <v>B+</v>
      </c>
    </row>
    <row r="391" spans="1:23" ht="15.75" x14ac:dyDescent="0.25">
      <c r="A391" s="7">
        <v>404</v>
      </c>
      <c r="B391" s="33" t="str">
        <f t="shared" si="19"/>
        <v>C0404</v>
      </c>
      <c r="C391" s="7" t="s">
        <v>1012</v>
      </c>
      <c r="D391" s="33" t="str">
        <f>VLOOKUP(B391,Detail!$G$1:$H$1001,2,FALSE)</f>
        <v>Asirwanda Natsir</v>
      </c>
      <c r="E391" s="7">
        <v>75</v>
      </c>
      <c r="F391" s="7">
        <v>50</v>
      </c>
      <c r="G391" s="57">
        <v>57</v>
      </c>
      <c r="H391" s="7">
        <v>57</v>
      </c>
      <c r="I391" s="7">
        <v>62</v>
      </c>
      <c r="J391" s="7">
        <v>80</v>
      </c>
      <c r="K391" s="7">
        <v>68</v>
      </c>
      <c r="L391" s="56" t="str">
        <f>IFERROR(VLOOKUP(B391,Absen!$A$1:$C$501,2,FALSE),"No")</f>
        <v>No</v>
      </c>
      <c r="M391" s="58">
        <f t="shared" si="20"/>
        <v>6.8000000000000007</v>
      </c>
      <c r="N391" s="57">
        <f t="shared" si="21"/>
        <v>64.7</v>
      </c>
      <c r="O391" s="7" t="str">
        <f>VLOOKUP(N391,Helper!$B$30:$C$35,2,TRUE)</f>
        <v>C</v>
      </c>
      <c r="P391" s="56">
        <f>INDEX(Detail!$A$1:$A$1001,MATCH(B391,Detail!$G$1:$G$1001,0))</f>
        <v>37023</v>
      </c>
      <c r="Q391" s="33" t="str">
        <f>INDEX(Detail!$F$1:$F$1001,MATCH(Main!B391,Detail!$G$1:$G$1001,0))</f>
        <v>Makassar</v>
      </c>
      <c r="R391" s="7">
        <f>INDEX(Detail!$C$1:$C$1001,MATCH(B391,Detail!$G$1:$G$1001,0),1)</f>
        <v>165</v>
      </c>
      <c r="S391" s="7">
        <f>INDEX(Detail!$D$1:$D$1001,MATCH(B391,Detail!$G$1:$G$1001,0),1)</f>
        <v>56</v>
      </c>
      <c r="T391" s="7" t="str">
        <f>INDEX(Detail!$E$1:$E$1001,MATCH(Main!B391,Detail!$G$1:$G$1001,0))</f>
        <v>Jl. Rawamangun No. 56</v>
      </c>
      <c r="U391" s="7" t="str">
        <f>INDEX(Detail!$B$1:$B$1001,MATCH(B391,Detail!$G$1:$G$1001,0),1)</f>
        <v>B+</v>
      </c>
      <c r="V391" s="7" t="str" cm="1">
        <f t="array" ref="V391">INDEX(Dosen!$B$3:$E$8,MATCH(Main!C391,Dosen!$A$3:$A$8,0),IF(AND(Main!A391&gt;=1,Main!A391&lt;=250),1,IF(AND(Main!A391&gt;=251,Main!A391&lt;=500),2,IF(AND(Main!A391&gt;=501,Main!A391&lt;=750),3,4))))</f>
        <v>Bu Made</v>
      </c>
      <c r="W391" s="7" t="str">
        <f>_xlfn.XLOOKUP(B391,Detail!$G$1:$G$1001,Detail!$B$1:$B$1001)</f>
        <v>B+</v>
      </c>
    </row>
    <row r="392" spans="1:23" ht="15.75" x14ac:dyDescent="0.25">
      <c r="A392" s="7">
        <v>406</v>
      </c>
      <c r="B392" s="33" t="str">
        <f t="shared" si="19"/>
        <v>C0406</v>
      </c>
      <c r="C392" s="7" t="s">
        <v>1012</v>
      </c>
      <c r="D392" s="33" t="str">
        <f>VLOOKUP(B392,Detail!$G$1:$H$1001,2,FALSE)</f>
        <v>Elon Irawan</v>
      </c>
      <c r="E392" s="7">
        <v>86</v>
      </c>
      <c r="F392" s="7">
        <v>49</v>
      </c>
      <c r="G392" s="57">
        <v>67</v>
      </c>
      <c r="H392" s="7">
        <v>56</v>
      </c>
      <c r="I392" s="7">
        <v>94</v>
      </c>
      <c r="J392" s="7">
        <v>93</v>
      </c>
      <c r="K392" s="7">
        <v>60</v>
      </c>
      <c r="L392" s="56" t="str">
        <f>IFERROR(VLOOKUP(B392,Absen!$A$1:$C$501,2,FALSE),"No")</f>
        <v>No</v>
      </c>
      <c r="M392" s="58">
        <f t="shared" si="20"/>
        <v>6</v>
      </c>
      <c r="N392" s="57">
        <f t="shared" si="21"/>
        <v>73.625</v>
      </c>
      <c r="O392" s="7" t="str">
        <f>VLOOKUP(N392,Helper!$B$30:$C$35,2,TRUE)</f>
        <v>B</v>
      </c>
      <c r="P392" s="56">
        <f>INDEX(Detail!$A$1:$A$1001,MATCH(B392,Detail!$G$1:$G$1001,0))</f>
        <v>37324</v>
      </c>
      <c r="Q392" s="33" t="str">
        <f>INDEX(Detail!$F$1:$F$1001,MATCH(Main!B392,Detail!$G$1:$G$1001,0))</f>
        <v>Tanjungbalai</v>
      </c>
      <c r="R392" s="7">
        <f>INDEX(Detail!$C$1:$C$1001,MATCH(B392,Detail!$G$1:$G$1001,0),1)</f>
        <v>167</v>
      </c>
      <c r="S392" s="7">
        <f>INDEX(Detail!$D$1:$D$1001,MATCH(B392,Detail!$G$1:$G$1001,0),1)</f>
        <v>66</v>
      </c>
      <c r="T392" s="7" t="str">
        <f>INDEX(Detail!$E$1:$E$1001,MATCH(Main!B392,Detail!$G$1:$G$1001,0))</f>
        <v>Gang Moch. Ramdan No. 25</v>
      </c>
      <c r="U392" s="7" t="str">
        <f>INDEX(Detail!$B$1:$B$1001,MATCH(B392,Detail!$G$1:$G$1001,0),1)</f>
        <v>O+</v>
      </c>
      <c r="V392" s="7" t="str" cm="1">
        <f t="array" ref="V392">INDEX(Dosen!$B$3:$E$8,MATCH(Main!C392,Dosen!$A$3:$A$8,0),IF(AND(Main!A392&gt;=1,Main!A392&lt;=250),1,IF(AND(Main!A392&gt;=251,Main!A392&lt;=500),2,IF(AND(Main!A392&gt;=501,Main!A392&lt;=750),3,4))))</f>
        <v>Bu Made</v>
      </c>
      <c r="W392" s="7" t="str">
        <f>_xlfn.XLOOKUP(B392,Detail!$G$1:$G$1001,Detail!$B$1:$B$1001)</f>
        <v>O+</v>
      </c>
    </row>
    <row r="393" spans="1:23" ht="15.75" x14ac:dyDescent="0.25">
      <c r="A393" s="7">
        <v>413</v>
      </c>
      <c r="B393" s="33" t="str">
        <f t="shared" si="19"/>
        <v>C0413</v>
      </c>
      <c r="C393" s="7" t="s">
        <v>1012</v>
      </c>
      <c r="D393" s="33" t="str">
        <f>VLOOKUP(B393,Detail!$G$1:$H$1001,2,FALSE)</f>
        <v>Warji Permadi</v>
      </c>
      <c r="E393" s="7">
        <v>59</v>
      </c>
      <c r="F393" s="7">
        <v>58</v>
      </c>
      <c r="G393" s="57">
        <v>42</v>
      </c>
      <c r="H393" s="7">
        <v>70</v>
      </c>
      <c r="I393" s="7">
        <v>84</v>
      </c>
      <c r="J393" s="7">
        <v>77</v>
      </c>
      <c r="K393" s="7">
        <v>76</v>
      </c>
      <c r="L393" s="56" t="str">
        <f>IFERROR(VLOOKUP(B393,Absen!$A$1:$C$501,2,FALSE),"No")</f>
        <v>No</v>
      </c>
      <c r="M393" s="58">
        <f t="shared" si="20"/>
        <v>7.6000000000000005</v>
      </c>
      <c r="N393" s="57">
        <f t="shared" si="21"/>
        <v>65.274999999999991</v>
      </c>
      <c r="O393" s="7" t="str">
        <f>VLOOKUP(N393,Helper!$B$30:$C$35,2,TRUE)</f>
        <v>C</v>
      </c>
      <c r="P393" s="56">
        <f>INDEX(Detail!$A$1:$A$1001,MATCH(B393,Detail!$G$1:$G$1001,0))</f>
        <v>37646</v>
      </c>
      <c r="Q393" s="33" t="str">
        <f>INDEX(Detail!$F$1:$F$1001,MATCH(Main!B393,Detail!$G$1:$G$1001,0))</f>
        <v>Cirebon</v>
      </c>
      <c r="R393" s="7">
        <f>INDEX(Detail!$C$1:$C$1001,MATCH(B393,Detail!$G$1:$G$1001,0),1)</f>
        <v>167</v>
      </c>
      <c r="S393" s="7">
        <f>INDEX(Detail!$D$1:$D$1001,MATCH(B393,Detail!$G$1:$G$1001,0),1)</f>
        <v>95</v>
      </c>
      <c r="T393" s="7" t="str">
        <f>INDEX(Detail!$E$1:$E$1001,MATCH(Main!B393,Detail!$G$1:$G$1001,0))</f>
        <v xml:space="preserve">Gang Erlangga No. 8
</v>
      </c>
      <c r="U393" s="7" t="str">
        <f>INDEX(Detail!$B$1:$B$1001,MATCH(B393,Detail!$G$1:$G$1001,0),1)</f>
        <v>B+</v>
      </c>
      <c r="V393" s="7" t="str" cm="1">
        <f t="array" ref="V393">INDEX(Dosen!$B$3:$E$8,MATCH(Main!C393,Dosen!$A$3:$A$8,0),IF(AND(Main!A393&gt;=1,Main!A393&lt;=250),1,IF(AND(Main!A393&gt;=251,Main!A393&lt;=500),2,IF(AND(Main!A393&gt;=501,Main!A393&lt;=750),3,4))))</f>
        <v>Bu Made</v>
      </c>
      <c r="W393" s="7" t="str">
        <f>_xlfn.XLOOKUP(B393,Detail!$G$1:$G$1001,Detail!$B$1:$B$1001)</f>
        <v>B+</v>
      </c>
    </row>
    <row r="394" spans="1:23" ht="15.75" x14ac:dyDescent="0.25">
      <c r="A394" s="7">
        <v>414</v>
      </c>
      <c r="B394" s="33" t="str">
        <f t="shared" si="19"/>
        <v>C0414</v>
      </c>
      <c r="C394" s="7" t="s">
        <v>1012</v>
      </c>
      <c r="D394" s="33" t="str">
        <f>VLOOKUP(B394,Detail!$G$1:$H$1001,2,FALSE)</f>
        <v>Taufan Permata</v>
      </c>
      <c r="E394" s="7">
        <v>53</v>
      </c>
      <c r="F394" s="7">
        <v>62</v>
      </c>
      <c r="G394" s="57">
        <v>67</v>
      </c>
      <c r="H394" s="7">
        <v>52</v>
      </c>
      <c r="I394" s="7">
        <v>69</v>
      </c>
      <c r="J394" s="7">
        <v>45</v>
      </c>
      <c r="K394" s="7">
        <v>98</v>
      </c>
      <c r="L394" s="56" t="str">
        <f>IFERROR(VLOOKUP(B394,Absen!$A$1:$C$501,2,FALSE),"No")</f>
        <v>No</v>
      </c>
      <c r="M394" s="58">
        <f t="shared" si="20"/>
        <v>9.8000000000000007</v>
      </c>
      <c r="N394" s="57">
        <f t="shared" si="21"/>
        <v>61.7</v>
      </c>
      <c r="O394" s="7" t="str">
        <f>VLOOKUP(N394,Helper!$B$30:$C$35,2,TRUE)</f>
        <v>C</v>
      </c>
      <c r="P394" s="56">
        <f>INDEX(Detail!$A$1:$A$1001,MATCH(B394,Detail!$G$1:$G$1001,0))</f>
        <v>37398</v>
      </c>
      <c r="Q394" s="33" t="str">
        <f>INDEX(Detail!$F$1:$F$1001,MATCH(Main!B394,Detail!$G$1:$G$1001,0))</f>
        <v>Sorong</v>
      </c>
      <c r="R394" s="7">
        <f>INDEX(Detail!$C$1:$C$1001,MATCH(B394,Detail!$G$1:$G$1001,0),1)</f>
        <v>178</v>
      </c>
      <c r="S394" s="7">
        <f>INDEX(Detail!$D$1:$D$1001,MATCH(B394,Detail!$G$1:$G$1001,0),1)</f>
        <v>49</v>
      </c>
      <c r="T394" s="7" t="str">
        <f>INDEX(Detail!$E$1:$E$1001,MATCH(Main!B394,Detail!$G$1:$G$1001,0))</f>
        <v>Gg. Pasteur No. 26</v>
      </c>
      <c r="U394" s="7" t="str">
        <f>INDEX(Detail!$B$1:$B$1001,MATCH(B394,Detail!$G$1:$G$1001,0),1)</f>
        <v>O-</v>
      </c>
      <c r="V394" s="7" t="str" cm="1">
        <f t="array" ref="V394">INDEX(Dosen!$B$3:$E$8,MATCH(Main!C394,Dosen!$A$3:$A$8,0),IF(AND(Main!A394&gt;=1,Main!A394&lt;=250),1,IF(AND(Main!A394&gt;=251,Main!A394&lt;=500),2,IF(AND(Main!A394&gt;=501,Main!A394&lt;=750),3,4))))</f>
        <v>Bu Made</v>
      </c>
      <c r="W394" s="7" t="str">
        <f>_xlfn.XLOOKUP(B394,Detail!$G$1:$G$1001,Detail!$B$1:$B$1001)</f>
        <v>O-</v>
      </c>
    </row>
    <row r="395" spans="1:23" ht="15.75" x14ac:dyDescent="0.25">
      <c r="A395" s="7">
        <v>423</v>
      </c>
      <c r="B395" s="33" t="str">
        <f t="shared" si="19"/>
        <v>C0423</v>
      </c>
      <c r="C395" s="7" t="s">
        <v>1012</v>
      </c>
      <c r="D395" s="33" t="str">
        <f>VLOOKUP(B395,Detail!$G$1:$H$1001,2,FALSE)</f>
        <v>Irfan Melani</v>
      </c>
      <c r="E395" s="7">
        <v>64</v>
      </c>
      <c r="F395" s="7">
        <v>48</v>
      </c>
      <c r="G395" s="57">
        <v>72</v>
      </c>
      <c r="H395" s="7">
        <v>59</v>
      </c>
      <c r="I395" s="7">
        <v>67</v>
      </c>
      <c r="J395" s="7">
        <v>83</v>
      </c>
      <c r="K395" s="7">
        <v>73</v>
      </c>
      <c r="L395" s="56" t="str">
        <f>IFERROR(VLOOKUP(B395,Absen!$A$1:$C$501,2,FALSE),"No")</f>
        <v>No</v>
      </c>
      <c r="M395" s="58">
        <f t="shared" si="20"/>
        <v>7.3000000000000007</v>
      </c>
      <c r="N395" s="57">
        <f t="shared" si="21"/>
        <v>68.05</v>
      </c>
      <c r="O395" s="7" t="str">
        <f>VLOOKUP(N395,Helper!$B$30:$C$35,2,TRUE)</f>
        <v>C</v>
      </c>
      <c r="P395" s="56">
        <f>INDEX(Detail!$A$1:$A$1001,MATCH(B395,Detail!$G$1:$G$1001,0))</f>
        <v>37925</v>
      </c>
      <c r="Q395" s="33" t="str">
        <f>INDEX(Detail!$F$1:$F$1001,MATCH(Main!B395,Detail!$G$1:$G$1001,0))</f>
        <v>Bengkulu</v>
      </c>
      <c r="R395" s="7">
        <f>INDEX(Detail!$C$1:$C$1001,MATCH(B395,Detail!$G$1:$G$1001,0),1)</f>
        <v>174</v>
      </c>
      <c r="S395" s="7">
        <f>INDEX(Detail!$D$1:$D$1001,MATCH(B395,Detail!$G$1:$G$1001,0),1)</f>
        <v>66</v>
      </c>
      <c r="T395" s="7" t="str">
        <f>INDEX(Detail!$E$1:$E$1001,MATCH(Main!B395,Detail!$G$1:$G$1001,0))</f>
        <v>Gg. Indragiri No. 23</v>
      </c>
      <c r="U395" s="7" t="str">
        <f>INDEX(Detail!$B$1:$B$1001,MATCH(B395,Detail!$G$1:$G$1001,0),1)</f>
        <v>B+</v>
      </c>
      <c r="V395" s="7" t="str" cm="1">
        <f t="array" ref="V395">INDEX(Dosen!$B$3:$E$8,MATCH(Main!C395,Dosen!$A$3:$A$8,0),IF(AND(Main!A395&gt;=1,Main!A395&lt;=250),1,IF(AND(Main!A395&gt;=251,Main!A395&lt;=500),2,IF(AND(Main!A395&gt;=501,Main!A395&lt;=750),3,4))))</f>
        <v>Bu Made</v>
      </c>
      <c r="W395" s="7" t="str">
        <f>_xlfn.XLOOKUP(B395,Detail!$G$1:$G$1001,Detail!$B$1:$B$1001)</f>
        <v>B+</v>
      </c>
    </row>
    <row r="396" spans="1:23" ht="15.75" x14ac:dyDescent="0.25">
      <c r="A396" s="7">
        <v>426</v>
      </c>
      <c r="B396" s="33" t="str">
        <f t="shared" si="19"/>
        <v>C0426</v>
      </c>
      <c r="C396" s="7" t="s">
        <v>1012</v>
      </c>
      <c r="D396" s="33" t="str">
        <f>VLOOKUP(B396,Detail!$G$1:$H$1001,2,FALSE)</f>
        <v>Rahmat Purwanti</v>
      </c>
      <c r="E396" s="7">
        <v>55</v>
      </c>
      <c r="F396" s="7">
        <v>73</v>
      </c>
      <c r="G396" s="57">
        <v>81</v>
      </c>
      <c r="H396" s="7">
        <v>61</v>
      </c>
      <c r="I396" s="7">
        <v>57</v>
      </c>
      <c r="J396" s="7">
        <v>69</v>
      </c>
      <c r="K396" s="7">
        <v>85</v>
      </c>
      <c r="L396" s="56">
        <f>IFERROR(VLOOKUP(B396,Absen!$A$1:$C$501,2,FALSE),"No")</f>
        <v>44899</v>
      </c>
      <c r="M396" s="58">
        <f t="shared" si="20"/>
        <v>7.5</v>
      </c>
      <c r="N396" s="57">
        <f t="shared" si="21"/>
        <v>68.25</v>
      </c>
      <c r="O396" s="7" t="str">
        <f>VLOOKUP(N396,Helper!$B$30:$C$35,2,TRUE)</f>
        <v>C</v>
      </c>
      <c r="P396" s="56">
        <f>INDEX(Detail!$A$1:$A$1001,MATCH(B396,Detail!$G$1:$G$1001,0))</f>
        <v>37967</v>
      </c>
      <c r="Q396" s="33" t="str">
        <f>INDEX(Detail!$F$1:$F$1001,MATCH(Main!B396,Detail!$G$1:$G$1001,0))</f>
        <v>Palembang</v>
      </c>
      <c r="R396" s="7">
        <f>INDEX(Detail!$C$1:$C$1001,MATCH(B396,Detail!$G$1:$G$1001,0),1)</f>
        <v>175</v>
      </c>
      <c r="S396" s="7">
        <f>INDEX(Detail!$D$1:$D$1001,MATCH(B396,Detail!$G$1:$G$1001,0),1)</f>
        <v>47</v>
      </c>
      <c r="T396" s="7" t="str">
        <f>INDEX(Detail!$E$1:$E$1001,MATCH(Main!B396,Detail!$G$1:$G$1001,0))</f>
        <v>Jl. Stasiun Wonokromo No. 77</v>
      </c>
      <c r="U396" s="7" t="str">
        <f>INDEX(Detail!$B$1:$B$1001,MATCH(B396,Detail!$G$1:$G$1001,0),1)</f>
        <v>AB-</v>
      </c>
      <c r="V396" s="7" t="str" cm="1">
        <f t="array" ref="V396">INDEX(Dosen!$B$3:$E$8,MATCH(Main!C396,Dosen!$A$3:$A$8,0),IF(AND(Main!A396&gt;=1,Main!A396&lt;=250),1,IF(AND(Main!A396&gt;=251,Main!A396&lt;=500),2,IF(AND(Main!A396&gt;=501,Main!A396&lt;=750),3,4))))</f>
        <v>Bu Made</v>
      </c>
      <c r="W396" s="7" t="str">
        <f>_xlfn.XLOOKUP(B396,Detail!$G$1:$G$1001,Detail!$B$1:$B$1001)</f>
        <v>AB-</v>
      </c>
    </row>
    <row r="397" spans="1:23" ht="15.75" x14ac:dyDescent="0.25">
      <c r="A397" s="7">
        <v>430</v>
      </c>
      <c r="B397" s="33" t="str">
        <f t="shared" si="19"/>
        <v>C0430</v>
      </c>
      <c r="C397" s="7" t="s">
        <v>1012</v>
      </c>
      <c r="D397" s="33" t="str">
        <f>VLOOKUP(B397,Detail!$G$1:$H$1001,2,FALSE)</f>
        <v>Talia Saefullah</v>
      </c>
      <c r="E397" s="7">
        <v>53</v>
      </c>
      <c r="F397" s="7">
        <v>63</v>
      </c>
      <c r="G397" s="57">
        <v>76</v>
      </c>
      <c r="H397" s="7">
        <v>63</v>
      </c>
      <c r="I397" s="7">
        <v>52</v>
      </c>
      <c r="J397" s="7">
        <v>68</v>
      </c>
      <c r="K397" s="7">
        <v>85</v>
      </c>
      <c r="L397" s="56" t="str">
        <f>IFERROR(VLOOKUP(B397,Absen!$A$1:$C$501,2,FALSE),"No")</f>
        <v>No</v>
      </c>
      <c r="M397" s="58">
        <f t="shared" si="20"/>
        <v>8.5</v>
      </c>
      <c r="N397" s="57">
        <f t="shared" si="21"/>
        <v>66.175000000000011</v>
      </c>
      <c r="O397" s="7" t="str">
        <f>VLOOKUP(N397,Helper!$B$30:$C$35,2,TRUE)</f>
        <v>C</v>
      </c>
      <c r="P397" s="56">
        <f>INDEX(Detail!$A$1:$A$1001,MATCH(B397,Detail!$G$1:$G$1001,0))</f>
        <v>38330</v>
      </c>
      <c r="Q397" s="33" t="str">
        <f>INDEX(Detail!$F$1:$F$1001,MATCH(Main!B397,Detail!$G$1:$G$1001,0))</f>
        <v>Palembang</v>
      </c>
      <c r="R397" s="7">
        <f>INDEX(Detail!$C$1:$C$1001,MATCH(B397,Detail!$G$1:$G$1001,0),1)</f>
        <v>174</v>
      </c>
      <c r="S397" s="7">
        <f>INDEX(Detail!$D$1:$D$1001,MATCH(B397,Detail!$G$1:$G$1001,0),1)</f>
        <v>76</v>
      </c>
      <c r="T397" s="7" t="str">
        <f>INDEX(Detail!$E$1:$E$1001,MATCH(Main!B397,Detail!$G$1:$G$1001,0))</f>
        <v xml:space="preserve">Jl. Abdul Muis No. 9
</v>
      </c>
      <c r="U397" s="7" t="str">
        <f>INDEX(Detail!$B$1:$B$1001,MATCH(B397,Detail!$G$1:$G$1001,0),1)</f>
        <v>A+</v>
      </c>
      <c r="V397" s="7" t="str" cm="1">
        <f t="array" ref="V397">INDEX(Dosen!$B$3:$E$8,MATCH(Main!C397,Dosen!$A$3:$A$8,0),IF(AND(Main!A397&gt;=1,Main!A397&lt;=250),1,IF(AND(Main!A397&gt;=251,Main!A397&lt;=500),2,IF(AND(Main!A397&gt;=501,Main!A397&lt;=750),3,4))))</f>
        <v>Bu Made</v>
      </c>
      <c r="W397" s="7" t="str">
        <f>_xlfn.XLOOKUP(B397,Detail!$G$1:$G$1001,Detail!$B$1:$B$1001)</f>
        <v>A+</v>
      </c>
    </row>
    <row r="398" spans="1:23" ht="15.75" x14ac:dyDescent="0.25">
      <c r="A398" s="7">
        <v>434</v>
      </c>
      <c r="B398" s="33" t="str">
        <f t="shared" si="19"/>
        <v>C0434</v>
      </c>
      <c r="C398" s="7" t="s">
        <v>1012</v>
      </c>
      <c r="D398" s="33" t="str">
        <f>VLOOKUP(B398,Detail!$G$1:$H$1001,2,FALSE)</f>
        <v>Mahfud Pertiwi</v>
      </c>
      <c r="E398" s="7">
        <v>81</v>
      </c>
      <c r="F398" s="7">
        <v>68</v>
      </c>
      <c r="G398" s="57">
        <v>51</v>
      </c>
      <c r="H398" s="7">
        <v>61</v>
      </c>
      <c r="I398" s="7">
        <v>66</v>
      </c>
      <c r="J398" s="7">
        <v>57</v>
      </c>
      <c r="K398" s="7">
        <v>73</v>
      </c>
      <c r="L398" s="56">
        <f>IFERROR(VLOOKUP(B398,Absen!$A$1:$C$501,2,FALSE),"No")</f>
        <v>44831</v>
      </c>
      <c r="M398" s="58">
        <f t="shared" si="20"/>
        <v>6.3000000000000007</v>
      </c>
      <c r="N398" s="57">
        <f t="shared" si="21"/>
        <v>62.400000000000006</v>
      </c>
      <c r="O398" s="7" t="str">
        <f>VLOOKUP(N398,Helper!$B$30:$C$35,2,TRUE)</f>
        <v>C</v>
      </c>
      <c r="P398" s="56">
        <f>INDEX(Detail!$A$1:$A$1001,MATCH(B398,Detail!$G$1:$G$1001,0))</f>
        <v>37686</v>
      </c>
      <c r="Q398" s="33" t="str">
        <f>INDEX(Detail!$F$1:$F$1001,MATCH(Main!B398,Detail!$G$1:$G$1001,0))</f>
        <v>Lhokseumawe</v>
      </c>
      <c r="R398" s="7">
        <f>INDEX(Detail!$C$1:$C$1001,MATCH(B398,Detail!$G$1:$G$1001,0),1)</f>
        <v>159</v>
      </c>
      <c r="S398" s="7">
        <f>INDEX(Detail!$D$1:$D$1001,MATCH(B398,Detail!$G$1:$G$1001,0),1)</f>
        <v>62</v>
      </c>
      <c r="T398" s="7" t="str">
        <f>INDEX(Detail!$E$1:$E$1001,MATCH(Main!B398,Detail!$G$1:$G$1001,0))</f>
        <v xml:space="preserve">Gg. Surapati No. 5
</v>
      </c>
      <c r="U398" s="7" t="str">
        <f>INDEX(Detail!$B$1:$B$1001,MATCH(B398,Detail!$G$1:$G$1001,0),1)</f>
        <v>B+</v>
      </c>
      <c r="V398" s="7" t="str" cm="1">
        <f t="array" ref="V398">INDEX(Dosen!$B$3:$E$8,MATCH(Main!C398,Dosen!$A$3:$A$8,0),IF(AND(Main!A398&gt;=1,Main!A398&lt;=250),1,IF(AND(Main!A398&gt;=251,Main!A398&lt;=500),2,IF(AND(Main!A398&gt;=501,Main!A398&lt;=750),3,4))))</f>
        <v>Bu Made</v>
      </c>
      <c r="W398" s="7" t="str">
        <f>_xlfn.XLOOKUP(B398,Detail!$G$1:$G$1001,Detail!$B$1:$B$1001)</f>
        <v>B+</v>
      </c>
    </row>
    <row r="399" spans="1:23" ht="15.75" x14ac:dyDescent="0.25">
      <c r="A399" s="7">
        <v>436</v>
      </c>
      <c r="B399" s="33" t="str">
        <f t="shared" si="19"/>
        <v>C0436</v>
      </c>
      <c r="C399" s="7" t="s">
        <v>1012</v>
      </c>
      <c r="D399" s="33" t="str">
        <f>VLOOKUP(B399,Detail!$G$1:$H$1001,2,FALSE)</f>
        <v>Wahyu Firmansyah</v>
      </c>
      <c r="E399" s="7">
        <v>78</v>
      </c>
      <c r="F399" s="7">
        <v>43</v>
      </c>
      <c r="G399" s="57">
        <v>85</v>
      </c>
      <c r="H399" s="7">
        <v>67</v>
      </c>
      <c r="I399" s="7">
        <v>69</v>
      </c>
      <c r="J399" s="7">
        <v>73</v>
      </c>
      <c r="K399" s="7">
        <v>78</v>
      </c>
      <c r="L399" s="56">
        <f>IFERROR(VLOOKUP(B399,Absen!$A$1:$C$501,2,FALSE),"No")</f>
        <v>44835</v>
      </c>
      <c r="M399" s="58">
        <f t="shared" si="20"/>
        <v>6.8000000000000007</v>
      </c>
      <c r="N399" s="57">
        <f t="shared" si="21"/>
        <v>70.525000000000006</v>
      </c>
      <c r="O399" s="7" t="str">
        <f>VLOOKUP(N399,Helper!$B$30:$C$35,2,TRUE)</f>
        <v>B</v>
      </c>
      <c r="P399" s="56">
        <f>INDEX(Detail!$A$1:$A$1001,MATCH(B399,Detail!$G$1:$G$1001,0))</f>
        <v>38002</v>
      </c>
      <c r="Q399" s="33" t="str">
        <f>INDEX(Detail!$F$1:$F$1001,MATCH(Main!B399,Detail!$G$1:$G$1001,0))</f>
        <v>Salatiga</v>
      </c>
      <c r="R399" s="7">
        <f>INDEX(Detail!$C$1:$C$1001,MATCH(B399,Detail!$G$1:$G$1001,0),1)</f>
        <v>156</v>
      </c>
      <c r="S399" s="7">
        <f>INDEX(Detail!$D$1:$D$1001,MATCH(B399,Detail!$G$1:$G$1001,0),1)</f>
        <v>74</v>
      </c>
      <c r="T399" s="7" t="str">
        <f>INDEX(Detail!$E$1:$E$1001,MATCH(Main!B399,Detail!$G$1:$G$1001,0))</f>
        <v>Jalan Raya Setiabudhi No. 63</v>
      </c>
      <c r="U399" s="7" t="str">
        <f>INDEX(Detail!$B$1:$B$1001,MATCH(B399,Detail!$G$1:$G$1001,0),1)</f>
        <v>AB-</v>
      </c>
      <c r="V399" s="7" t="str" cm="1">
        <f t="array" ref="V399">INDEX(Dosen!$B$3:$E$8,MATCH(Main!C399,Dosen!$A$3:$A$8,0),IF(AND(Main!A399&gt;=1,Main!A399&lt;=250),1,IF(AND(Main!A399&gt;=251,Main!A399&lt;=500),2,IF(AND(Main!A399&gt;=501,Main!A399&lt;=750),3,4))))</f>
        <v>Bu Made</v>
      </c>
      <c r="W399" s="7" t="str">
        <f>_xlfn.XLOOKUP(B399,Detail!$G$1:$G$1001,Detail!$B$1:$B$1001)</f>
        <v>AB-</v>
      </c>
    </row>
    <row r="400" spans="1:23" ht="15.75" x14ac:dyDescent="0.25">
      <c r="A400" s="7">
        <v>448</v>
      </c>
      <c r="B400" s="33" t="str">
        <f t="shared" si="19"/>
        <v>C0448</v>
      </c>
      <c r="C400" s="7" t="s">
        <v>1012</v>
      </c>
      <c r="D400" s="33" t="str">
        <f>VLOOKUP(B400,Detail!$G$1:$H$1001,2,FALSE)</f>
        <v>Opung Maulana</v>
      </c>
      <c r="E400" s="7">
        <v>51</v>
      </c>
      <c r="F400" s="7">
        <v>68</v>
      </c>
      <c r="G400" s="57">
        <v>85</v>
      </c>
      <c r="H400" s="7">
        <v>57</v>
      </c>
      <c r="I400" s="7">
        <v>60</v>
      </c>
      <c r="J400" s="7">
        <v>90</v>
      </c>
      <c r="K400" s="7">
        <v>70</v>
      </c>
      <c r="L400" s="56">
        <f>IFERROR(VLOOKUP(B400,Absen!$A$1:$C$501,2,FALSE),"No")</f>
        <v>44874</v>
      </c>
      <c r="M400" s="58">
        <f t="shared" si="20"/>
        <v>6</v>
      </c>
      <c r="N400" s="57">
        <f t="shared" si="21"/>
        <v>70.5</v>
      </c>
      <c r="O400" s="7" t="str">
        <f>VLOOKUP(N400,Helper!$B$30:$C$35,2,TRUE)</f>
        <v>B</v>
      </c>
      <c r="P400" s="56">
        <f>INDEX(Detail!$A$1:$A$1001,MATCH(B400,Detail!$G$1:$G$1001,0))</f>
        <v>38268</v>
      </c>
      <c r="Q400" s="33" t="str">
        <f>INDEX(Detail!$F$1:$F$1001,MATCH(Main!B400,Detail!$G$1:$G$1001,0))</f>
        <v>Pematangsiantar</v>
      </c>
      <c r="R400" s="7">
        <f>INDEX(Detail!$C$1:$C$1001,MATCH(B400,Detail!$G$1:$G$1001,0),1)</f>
        <v>178</v>
      </c>
      <c r="S400" s="7">
        <f>INDEX(Detail!$D$1:$D$1001,MATCH(B400,Detail!$G$1:$G$1001,0),1)</f>
        <v>57</v>
      </c>
      <c r="T400" s="7" t="str">
        <f>INDEX(Detail!$E$1:$E$1001,MATCH(Main!B400,Detail!$G$1:$G$1001,0))</f>
        <v xml:space="preserve">Gang Waringin No. 2
</v>
      </c>
      <c r="U400" s="7" t="str">
        <f>INDEX(Detail!$B$1:$B$1001,MATCH(B400,Detail!$G$1:$G$1001,0),1)</f>
        <v>B+</v>
      </c>
      <c r="V400" s="7" t="str" cm="1">
        <f t="array" ref="V400">INDEX(Dosen!$B$3:$E$8,MATCH(Main!C400,Dosen!$A$3:$A$8,0),IF(AND(Main!A400&gt;=1,Main!A400&lt;=250),1,IF(AND(Main!A400&gt;=251,Main!A400&lt;=500),2,IF(AND(Main!A400&gt;=501,Main!A400&lt;=750),3,4))))</f>
        <v>Bu Made</v>
      </c>
      <c r="W400" s="7" t="str">
        <f>_xlfn.XLOOKUP(B400,Detail!$G$1:$G$1001,Detail!$B$1:$B$1001)</f>
        <v>B+</v>
      </c>
    </row>
    <row r="401" spans="1:23" ht="15.75" x14ac:dyDescent="0.25">
      <c r="A401" s="7">
        <v>449</v>
      </c>
      <c r="B401" s="33" t="str">
        <f t="shared" si="19"/>
        <v>C0449</v>
      </c>
      <c r="C401" s="7" t="s">
        <v>1012</v>
      </c>
      <c r="D401" s="33" t="str">
        <f>VLOOKUP(B401,Detail!$G$1:$H$1001,2,FALSE)</f>
        <v>Samsul Firmansyah</v>
      </c>
      <c r="E401" s="7">
        <v>50</v>
      </c>
      <c r="F401" s="7">
        <v>40</v>
      </c>
      <c r="G401" s="57">
        <v>65</v>
      </c>
      <c r="H401" s="7">
        <v>71</v>
      </c>
      <c r="I401" s="7">
        <v>71</v>
      </c>
      <c r="J401" s="7">
        <v>63</v>
      </c>
      <c r="K401" s="7">
        <v>100</v>
      </c>
      <c r="L401" s="56">
        <f>IFERROR(VLOOKUP(B401,Absen!$A$1:$C$501,2,FALSE),"No")</f>
        <v>44830</v>
      </c>
      <c r="M401" s="58">
        <f t="shared" si="20"/>
        <v>9</v>
      </c>
      <c r="N401" s="57">
        <f t="shared" si="21"/>
        <v>63.6</v>
      </c>
      <c r="O401" s="7" t="str">
        <f>VLOOKUP(N401,Helper!$B$30:$C$35,2,TRUE)</f>
        <v>C</v>
      </c>
      <c r="P401" s="56">
        <f>INDEX(Detail!$A$1:$A$1001,MATCH(B401,Detail!$G$1:$G$1001,0))</f>
        <v>37759</v>
      </c>
      <c r="Q401" s="33" t="str">
        <f>INDEX(Detail!$F$1:$F$1001,MATCH(Main!B401,Detail!$G$1:$G$1001,0))</f>
        <v>Cimahi</v>
      </c>
      <c r="R401" s="7">
        <f>INDEX(Detail!$C$1:$C$1001,MATCH(B401,Detail!$G$1:$G$1001,0),1)</f>
        <v>172</v>
      </c>
      <c r="S401" s="7">
        <f>INDEX(Detail!$D$1:$D$1001,MATCH(B401,Detail!$G$1:$G$1001,0),1)</f>
        <v>91</v>
      </c>
      <c r="T401" s="7" t="str">
        <f>INDEX(Detail!$E$1:$E$1001,MATCH(Main!B401,Detail!$G$1:$G$1001,0))</f>
        <v>Jalan Ahmad Dahlan No. 88</v>
      </c>
      <c r="U401" s="7" t="str">
        <f>INDEX(Detail!$B$1:$B$1001,MATCH(B401,Detail!$G$1:$G$1001,0),1)</f>
        <v>A-</v>
      </c>
      <c r="V401" s="7" t="str" cm="1">
        <f t="array" ref="V401">INDEX(Dosen!$B$3:$E$8,MATCH(Main!C401,Dosen!$A$3:$A$8,0),IF(AND(Main!A401&gt;=1,Main!A401&lt;=250),1,IF(AND(Main!A401&gt;=251,Main!A401&lt;=500),2,IF(AND(Main!A401&gt;=501,Main!A401&lt;=750),3,4))))</f>
        <v>Bu Made</v>
      </c>
      <c r="W401" s="7" t="str">
        <f>_xlfn.XLOOKUP(B401,Detail!$G$1:$G$1001,Detail!$B$1:$B$1001)</f>
        <v>A-</v>
      </c>
    </row>
    <row r="402" spans="1:23" ht="15.75" x14ac:dyDescent="0.25">
      <c r="A402" s="7">
        <v>451</v>
      </c>
      <c r="B402" s="33" t="str">
        <f t="shared" si="19"/>
        <v>C0451</v>
      </c>
      <c r="C402" s="7" t="s">
        <v>1012</v>
      </c>
      <c r="D402" s="33" t="str">
        <f>VLOOKUP(B402,Detail!$G$1:$H$1001,2,FALSE)</f>
        <v>Dadap Manullang</v>
      </c>
      <c r="E402" s="7">
        <v>70</v>
      </c>
      <c r="F402" s="7">
        <v>69</v>
      </c>
      <c r="G402" s="57">
        <v>91</v>
      </c>
      <c r="H402" s="7">
        <v>74</v>
      </c>
      <c r="I402" s="7">
        <v>64</v>
      </c>
      <c r="J402" s="7">
        <v>45</v>
      </c>
      <c r="K402" s="7">
        <v>89</v>
      </c>
      <c r="L402" s="56">
        <f>IFERROR(VLOOKUP(B402,Absen!$A$1:$C$501,2,FALSE),"No")</f>
        <v>44750</v>
      </c>
      <c r="M402" s="58">
        <f t="shared" si="20"/>
        <v>7.9</v>
      </c>
      <c r="N402" s="57">
        <f t="shared" si="21"/>
        <v>69.725000000000009</v>
      </c>
      <c r="O402" s="7" t="str">
        <f>VLOOKUP(N402,Helper!$B$30:$C$35,2,TRUE)</f>
        <v>C</v>
      </c>
      <c r="P402" s="56">
        <f>INDEX(Detail!$A$1:$A$1001,MATCH(B402,Detail!$G$1:$G$1001,0))</f>
        <v>38336</v>
      </c>
      <c r="Q402" s="33" t="str">
        <f>INDEX(Detail!$F$1:$F$1001,MATCH(Main!B402,Detail!$G$1:$G$1001,0))</f>
        <v>Tebingtinggi</v>
      </c>
      <c r="R402" s="7">
        <f>INDEX(Detail!$C$1:$C$1001,MATCH(B402,Detail!$G$1:$G$1001,0),1)</f>
        <v>160</v>
      </c>
      <c r="S402" s="7">
        <f>INDEX(Detail!$D$1:$D$1001,MATCH(B402,Detail!$G$1:$G$1001,0),1)</f>
        <v>78</v>
      </c>
      <c r="T402" s="7" t="str">
        <f>INDEX(Detail!$E$1:$E$1001,MATCH(Main!B402,Detail!$G$1:$G$1001,0))</f>
        <v>Jalan Jend. A. Yani No. 73</v>
      </c>
      <c r="U402" s="7" t="str">
        <f>INDEX(Detail!$B$1:$B$1001,MATCH(B402,Detail!$G$1:$G$1001,0),1)</f>
        <v>AB+</v>
      </c>
      <c r="V402" s="7" t="str" cm="1">
        <f t="array" ref="V402">INDEX(Dosen!$B$3:$E$8,MATCH(Main!C402,Dosen!$A$3:$A$8,0),IF(AND(Main!A402&gt;=1,Main!A402&lt;=250),1,IF(AND(Main!A402&gt;=251,Main!A402&lt;=500),2,IF(AND(Main!A402&gt;=501,Main!A402&lt;=750),3,4))))</f>
        <v>Bu Made</v>
      </c>
      <c r="W402" s="7" t="str">
        <f>_xlfn.XLOOKUP(B402,Detail!$G$1:$G$1001,Detail!$B$1:$B$1001)</f>
        <v>AB+</v>
      </c>
    </row>
    <row r="403" spans="1:23" ht="15.75" x14ac:dyDescent="0.25">
      <c r="A403" s="7">
        <v>453</v>
      </c>
      <c r="B403" s="33" t="str">
        <f t="shared" si="19"/>
        <v>C0453</v>
      </c>
      <c r="C403" s="7" t="s">
        <v>1012</v>
      </c>
      <c r="D403" s="33" t="str">
        <f>VLOOKUP(B403,Detail!$G$1:$H$1001,2,FALSE)</f>
        <v>Bala Wibowo</v>
      </c>
      <c r="E403" s="7">
        <v>67</v>
      </c>
      <c r="F403" s="7">
        <v>48</v>
      </c>
      <c r="G403" s="57">
        <v>55</v>
      </c>
      <c r="H403" s="7">
        <v>50</v>
      </c>
      <c r="I403" s="7">
        <v>88</v>
      </c>
      <c r="J403" s="7">
        <v>44</v>
      </c>
      <c r="K403" s="7">
        <v>79</v>
      </c>
      <c r="L403" s="56" t="str">
        <f>IFERROR(VLOOKUP(B403,Absen!$A$1:$C$501,2,FALSE),"No")</f>
        <v>No</v>
      </c>
      <c r="M403" s="58">
        <f t="shared" si="20"/>
        <v>7.9</v>
      </c>
      <c r="N403" s="57">
        <f t="shared" si="21"/>
        <v>59.324999999999996</v>
      </c>
      <c r="O403" s="7" t="str">
        <f>VLOOKUP(N403,Helper!$B$30:$C$35,2,TRUE)</f>
        <v>D</v>
      </c>
      <c r="P403" s="56">
        <f>INDEX(Detail!$A$1:$A$1001,MATCH(B403,Detail!$G$1:$G$1001,0))</f>
        <v>37192</v>
      </c>
      <c r="Q403" s="33" t="str">
        <f>INDEX(Detail!$F$1:$F$1001,MATCH(Main!B403,Detail!$G$1:$G$1001,0))</f>
        <v>Pekanbaru</v>
      </c>
      <c r="R403" s="7">
        <f>INDEX(Detail!$C$1:$C$1001,MATCH(B403,Detail!$G$1:$G$1001,0),1)</f>
        <v>162</v>
      </c>
      <c r="S403" s="7">
        <f>INDEX(Detail!$D$1:$D$1001,MATCH(B403,Detail!$G$1:$G$1001,0),1)</f>
        <v>46</v>
      </c>
      <c r="T403" s="7" t="str">
        <f>INDEX(Detail!$E$1:$E$1001,MATCH(Main!B403,Detail!$G$1:$G$1001,0))</f>
        <v xml:space="preserve">Gg. Pasirkoja No. 8
</v>
      </c>
      <c r="U403" s="7" t="str">
        <f>INDEX(Detail!$B$1:$B$1001,MATCH(B403,Detail!$G$1:$G$1001,0),1)</f>
        <v>B-</v>
      </c>
      <c r="V403" s="7" t="str" cm="1">
        <f t="array" ref="V403">INDEX(Dosen!$B$3:$E$8,MATCH(Main!C403,Dosen!$A$3:$A$8,0),IF(AND(Main!A403&gt;=1,Main!A403&lt;=250),1,IF(AND(Main!A403&gt;=251,Main!A403&lt;=500),2,IF(AND(Main!A403&gt;=501,Main!A403&lt;=750),3,4))))</f>
        <v>Bu Made</v>
      </c>
      <c r="W403" s="7" t="str">
        <f>_xlfn.XLOOKUP(B403,Detail!$G$1:$G$1001,Detail!$B$1:$B$1001)</f>
        <v>B-</v>
      </c>
    </row>
    <row r="404" spans="1:23" ht="15.75" x14ac:dyDescent="0.25">
      <c r="A404" s="7">
        <v>455</v>
      </c>
      <c r="B404" s="33" t="str">
        <f t="shared" si="19"/>
        <v>C0455</v>
      </c>
      <c r="C404" s="7" t="s">
        <v>1012</v>
      </c>
      <c r="D404" s="33" t="str">
        <f>VLOOKUP(B404,Detail!$G$1:$H$1001,2,FALSE)</f>
        <v>Lanjar Hakim</v>
      </c>
      <c r="E404" s="7">
        <v>79</v>
      </c>
      <c r="F404" s="7">
        <v>49</v>
      </c>
      <c r="G404" s="57">
        <v>91</v>
      </c>
      <c r="H404" s="7">
        <v>65</v>
      </c>
      <c r="I404" s="7">
        <v>53</v>
      </c>
      <c r="J404" s="7">
        <v>61</v>
      </c>
      <c r="K404" s="7">
        <v>75</v>
      </c>
      <c r="L404" s="56">
        <f>IFERROR(VLOOKUP(B404,Absen!$A$1:$C$501,2,FALSE),"No")</f>
        <v>44910</v>
      </c>
      <c r="M404" s="58">
        <f t="shared" si="20"/>
        <v>6.5</v>
      </c>
      <c r="N404" s="57">
        <f t="shared" si="21"/>
        <v>67.650000000000006</v>
      </c>
      <c r="O404" s="7" t="str">
        <f>VLOOKUP(N404,Helper!$B$30:$C$35,2,TRUE)</f>
        <v>C</v>
      </c>
      <c r="P404" s="56">
        <f>INDEX(Detail!$A$1:$A$1001,MATCH(B404,Detail!$G$1:$G$1001,0))</f>
        <v>37034</v>
      </c>
      <c r="Q404" s="33" t="str">
        <f>INDEX(Detail!$F$1:$F$1001,MATCH(Main!B404,Detail!$G$1:$G$1001,0))</f>
        <v>Palembang</v>
      </c>
      <c r="R404" s="7">
        <f>INDEX(Detail!$C$1:$C$1001,MATCH(B404,Detail!$G$1:$G$1001,0),1)</f>
        <v>156</v>
      </c>
      <c r="S404" s="7">
        <f>INDEX(Detail!$D$1:$D$1001,MATCH(B404,Detail!$G$1:$G$1001,0),1)</f>
        <v>50</v>
      </c>
      <c r="T404" s="7" t="str">
        <f>INDEX(Detail!$E$1:$E$1001,MATCH(Main!B404,Detail!$G$1:$G$1001,0))</f>
        <v xml:space="preserve">Jalan Dipatiukur No. 0
</v>
      </c>
      <c r="U404" s="7" t="str">
        <f>INDEX(Detail!$B$1:$B$1001,MATCH(B404,Detail!$G$1:$G$1001,0),1)</f>
        <v>A-</v>
      </c>
      <c r="V404" s="7" t="str" cm="1">
        <f t="array" ref="V404">INDEX(Dosen!$B$3:$E$8,MATCH(Main!C404,Dosen!$A$3:$A$8,0),IF(AND(Main!A404&gt;=1,Main!A404&lt;=250),1,IF(AND(Main!A404&gt;=251,Main!A404&lt;=500),2,IF(AND(Main!A404&gt;=501,Main!A404&lt;=750),3,4))))</f>
        <v>Bu Made</v>
      </c>
      <c r="W404" s="7" t="str">
        <f>_xlfn.XLOOKUP(B404,Detail!$G$1:$G$1001,Detail!$B$1:$B$1001)</f>
        <v>A-</v>
      </c>
    </row>
    <row r="405" spans="1:23" ht="15.75" x14ac:dyDescent="0.25">
      <c r="A405" s="7">
        <v>460</v>
      </c>
      <c r="B405" s="33" t="str">
        <f t="shared" si="19"/>
        <v>C0460</v>
      </c>
      <c r="C405" s="7" t="s">
        <v>1012</v>
      </c>
      <c r="D405" s="33" t="str">
        <f>VLOOKUP(B405,Detail!$G$1:$H$1001,2,FALSE)</f>
        <v>Daryani Adriansyah</v>
      </c>
      <c r="E405" s="7">
        <v>57</v>
      </c>
      <c r="F405" s="7">
        <v>75</v>
      </c>
      <c r="G405" s="57">
        <v>85</v>
      </c>
      <c r="H405" s="7">
        <v>73</v>
      </c>
      <c r="I405" s="7">
        <v>72</v>
      </c>
      <c r="J405" s="7">
        <v>86</v>
      </c>
      <c r="K405" s="7">
        <v>98</v>
      </c>
      <c r="L405" s="56" t="str">
        <f>IFERROR(VLOOKUP(B405,Absen!$A$1:$C$501,2,FALSE),"No")</f>
        <v>No</v>
      </c>
      <c r="M405" s="58">
        <f t="shared" si="20"/>
        <v>9.8000000000000007</v>
      </c>
      <c r="N405" s="57">
        <f t="shared" si="21"/>
        <v>78.625</v>
      </c>
      <c r="O405" s="7" t="str">
        <f>VLOOKUP(N405,Helper!$B$30:$C$35,2,TRUE)</f>
        <v>B</v>
      </c>
      <c r="P405" s="56">
        <f>INDEX(Detail!$A$1:$A$1001,MATCH(B405,Detail!$G$1:$G$1001,0))</f>
        <v>38419</v>
      </c>
      <c r="Q405" s="33" t="str">
        <f>INDEX(Detail!$F$1:$F$1001,MATCH(Main!B405,Detail!$G$1:$G$1001,0))</f>
        <v>Bitung</v>
      </c>
      <c r="R405" s="7">
        <f>INDEX(Detail!$C$1:$C$1001,MATCH(B405,Detail!$G$1:$G$1001,0),1)</f>
        <v>155</v>
      </c>
      <c r="S405" s="7">
        <f>INDEX(Detail!$D$1:$D$1001,MATCH(B405,Detail!$G$1:$G$1001,0),1)</f>
        <v>93</v>
      </c>
      <c r="T405" s="7" t="str">
        <f>INDEX(Detail!$E$1:$E$1001,MATCH(Main!B405,Detail!$G$1:$G$1001,0))</f>
        <v xml:space="preserve">Jalan W.R. Supratman No. 2
</v>
      </c>
      <c r="U405" s="7" t="str">
        <f>INDEX(Detail!$B$1:$B$1001,MATCH(B405,Detail!$G$1:$G$1001,0),1)</f>
        <v>B-</v>
      </c>
      <c r="V405" s="7" t="str" cm="1">
        <f t="array" ref="V405">INDEX(Dosen!$B$3:$E$8,MATCH(Main!C405,Dosen!$A$3:$A$8,0),IF(AND(Main!A405&gt;=1,Main!A405&lt;=250),1,IF(AND(Main!A405&gt;=251,Main!A405&lt;=500),2,IF(AND(Main!A405&gt;=501,Main!A405&lt;=750),3,4))))</f>
        <v>Bu Made</v>
      </c>
      <c r="W405" s="7" t="str">
        <f>_xlfn.XLOOKUP(B405,Detail!$G$1:$G$1001,Detail!$B$1:$B$1001)</f>
        <v>B-</v>
      </c>
    </row>
    <row r="406" spans="1:23" ht="15.75" x14ac:dyDescent="0.25">
      <c r="A406" s="7">
        <v>461</v>
      </c>
      <c r="B406" s="33" t="str">
        <f t="shared" si="19"/>
        <v>C0461</v>
      </c>
      <c r="C406" s="7" t="s">
        <v>1012</v>
      </c>
      <c r="D406" s="33" t="str">
        <f>VLOOKUP(B406,Detail!$G$1:$H$1001,2,FALSE)</f>
        <v>Malika Tamba</v>
      </c>
      <c r="E406" s="7">
        <v>83</v>
      </c>
      <c r="F406" s="7">
        <v>63</v>
      </c>
      <c r="G406" s="57">
        <v>45</v>
      </c>
      <c r="H406" s="7">
        <v>59</v>
      </c>
      <c r="I406" s="7">
        <v>80</v>
      </c>
      <c r="J406" s="7">
        <v>98</v>
      </c>
      <c r="K406" s="7">
        <v>67</v>
      </c>
      <c r="L406" s="56" t="str">
        <f>IFERROR(VLOOKUP(B406,Absen!$A$1:$C$501,2,FALSE),"No")</f>
        <v>No</v>
      </c>
      <c r="M406" s="58">
        <f t="shared" si="20"/>
        <v>6.7</v>
      </c>
      <c r="N406" s="57">
        <f t="shared" si="21"/>
        <v>70.924999999999997</v>
      </c>
      <c r="O406" s="7" t="str">
        <f>VLOOKUP(N406,Helper!$B$30:$C$35,2,TRUE)</f>
        <v>B</v>
      </c>
      <c r="P406" s="56">
        <f>INDEX(Detail!$A$1:$A$1001,MATCH(B406,Detail!$G$1:$G$1001,0))</f>
        <v>38134</v>
      </c>
      <c r="Q406" s="33" t="str">
        <f>INDEX(Detail!$F$1:$F$1001,MATCH(Main!B406,Detail!$G$1:$G$1001,0))</f>
        <v>Bima</v>
      </c>
      <c r="R406" s="7">
        <f>INDEX(Detail!$C$1:$C$1001,MATCH(B406,Detail!$G$1:$G$1001,0),1)</f>
        <v>153</v>
      </c>
      <c r="S406" s="7">
        <f>INDEX(Detail!$D$1:$D$1001,MATCH(B406,Detail!$G$1:$G$1001,0),1)</f>
        <v>66</v>
      </c>
      <c r="T406" s="7" t="str">
        <f>INDEX(Detail!$E$1:$E$1001,MATCH(Main!B406,Detail!$G$1:$G$1001,0))</f>
        <v xml:space="preserve">Jl. Kendalsari No. 4
</v>
      </c>
      <c r="U406" s="7" t="str">
        <f>INDEX(Detail!$B$1:$B$1001,MATCH(B406,Detail!$G$1:$G$1001,0),1)</f>
        <v>B-</v>
      </c>
      <c r="V406" s="7" t="str" cm="1">
        <f t="array" ref="V406">INDEX(Dosen!$B$3:$E$8,MATCH(Main!C406,Dosen!$A$3:$A$8,0),IF(AND(Main!A406&gt;=1,Main!A406&lt;=250),1,IF(AND(Main!A406&gt;=251,Main!A406&lt;=500),2,IF(AND(Main!A406&gt;=501,Main!A406&lt;=750),3,4))))</f>
        <v>Bu Made</v>
      </c>
      <c r="W406" s="7" t="str">
        <f>_xlfn.XLOOKUP(B406,Detail!$G$1:$G$1001,Detail!$B$1:$B$1001)</f>
        <v>B-</v>
      </c>
    </row>
    <row r="407" spans="1:23" ht="15.75" x14ac:dyDescent="0.25">
      <c r="A407" s="7">
        <v>474</v>
      </c>
      <c r="B407" s="33" t="str">
        <f t="shared" si="19"/>
        <v>C0474</v>
      </c>
      <c r="C407" s="7" t="s">
        <v>1012</v>
      </c>
      <c r="D407" s="33" t="str">
        <f>VLOOKUP(B407,Detail!$G$1:$H$1001,2,FALSE)</f>
        <v>Balijan Winarsih</v>
      </c>
      <c r="E407" s="7">
        <v>89</v>
      </c>
      <c r="F407" s="7">
        <v>43</v>
      </c>
      <c r="G407" s="57">
        <v>79</v>
      </c>
      <c r="H407" s="7">
        <v>50</v>
      </c>
      <c r="I407" s="7">
        <v>70</v>
      </c>
      <c r="J407" s="7">
        <v>84</v>
      </c>
      <c r="K407" s="7">
        <v>65</v>
      </c>
      <c r="L407" s="56">
        <f>IFERROR(VLOOKUP(B407,Absen!$A$1:$C$501,2,FALSE),"No")</f>
        <v>44775</v>
      </c>
      <c r="M407" s="58">
        <f t="shared" si="20"/>
        <v>5.5</v>
      </c>
      <c r="N407" s="57">
        <f t="shared" si="21"/>
        <v>69.599999999999994</v>
      </c>
      <c r="O407" s="7" t="str">
        <f>VLOOKUP(N407,Helper!$B$30:$C$35,2,TRUE)</f>
        <v>C</v>
      </c>
      <c r="P407" s="56">
        <f>INDEX(Detail!$A$1:$A$1001,MATCH(B407,Detail!$G$1:$G$1001,0))</f>
        <v>38383</v>
      </c>
      <c r="Q407" s="33" t="str">
        <f>INDEX(Detail!$F$1:$F$1001,MATCH(Main!B407,Detail!$G$1:$G$1001,0))</f>
        <v>Bontang</v>
      </c>
      <c r="R407" s="7">
        <f>INDEX(Detail!$C$1:$C$1001,MATCH(B407,Detail!$G$1:$G$1001,0),1)</f>
        <v>176</v>
      </c>
      <c r="S407" s="7">
        <f>INDEX(Detail!$D$1:$D$1001,MATCH(B407,Detail!$G$1:$G$1001,0),1)</f>
        <v>77</v>
      </c>
      <c r="T407" s="7" t="str">
        <f>INDEX(Detail!$E$1:$E$1001,MATCH(Main!B407,Detail!$G$1:$G$1001,0))</f>
        <v>Gang Laswi No. 60</v>
      </c>
      <c r="U407" s="7" t="str">
        <f>INDEX(Detail!$B$1:$B$1001,MATCH(B407,Detail!$G$1:$G$1001,0),1)</f>
        <v>AB+</v>
      </c>
      <c r="V407" s="7" t="str" cm="1">
        <f t="array" ref="V407">INDEX(Dosen!$B$3:$E$8,MATCH(Main!C407,Dosen!$A$3:$A$8,0),IF(AND(Main!A407&gt;=1,Main!A407&lt;=250),1,IF(AND(Main!A407&gt;=251,Main!A407&lt;=500),2,IF(AND(Main!A407&gt;=501,Main!A407&lt;=750),3,4))))</f>
        <v>Bu Made</v>
      </c>
      <c r="W407" s="7" t="str">
        <f>_xlfn.XLOOKUP(B407,Detail!$G$1:$G$1001,Detail!$B$1:$B$1001)</f>
        <v>AB+</v>
      </c>
    </row>
    <row r="408" spans="1:23" ht="15.75" x14ac:dyDescent="0.25">
      <c r="A408" s="7">
        <v>481</v>
      </c>
      <c r="B408" s="33" t="str">
        <f t="shared" si="19"/>
        <v>C0481</v>
      </c>
      <c r="C408" s="7" t="s">
        <v>1012</v>
      </c>
      <c r="D408" s="33" t="str">
        <f>VLOOKUP(B408,Detail!$G$1:$H$1001,2,FALSE)</f>
        <v>Galih Prastuti</v>
      </c>
      <c r="E408" s="7">
        <v>66</v>
      </c>
      <c r="F408" s="7">
        <v>43</v>
      </c>
      <c r="G408" s="57">
        <v>75</v>
      </c>
      <c r="H408" s="7">
        <v>75</v>
      </c>
      <c r="I408" s="7">
        <v>79</v>
      </c>
      <c r="J408" s="7">
        <v>77</v>
      </c>
      <c r="K408" s="7">
        <v>85</v>
      </c>
      <c r="L408" s="56">
        <f>IFERROR(VLOOKUP(B408,Absen!$A$1:$C$501,2,FALSE),"No")</f>
        <v>44857</v>
      </c>
      <c r="M408" s="58">
        <f t="shared" si="20"/>
        <v>7.5</v>
      </c>
      <c r="N408" s="57">
        <f t="shared" si="21"/>
        <v>70.775000000000006</v>
      </c>
      <c r="O408" s="7" t="str">
        <f>VLOOKUP(N408,Helper!$B$30:$C$35,2,TRUE)</f>
        <v>B</v>
      </c>
      <c r="P408" s="56">
        <f>INDEX(Detail!$A$1:$A$1001,MATCH(B408,Detail!$G$1:$G$1001,0))</f>
        <v>37565</v>
      </c>
      <c r="Q408" s="33" t="str">
        <f>INDEX(Detail!$F$1:$F$1001,MATCH(Main!B408,Detail!$G$1:$G$1001,0))</f>
        <v>Bandung</v>
      </c>
      <c r="R408" s="7">
        <f>INDEX(Detail!$C$1:$C$1001,MATCH(B408,Detail!$G$1:$G$1001,0),1)</f>
        <v>167</v>
      </c>
      <c r="S408" s="7">
        <f>INDEX(Detail!$D$1:$D$1001,MATCH(B408,Detail!$G$1:$G$1001,0),1)</f>
        <v>79</v>
      </c>
      <c r="T408" s="7" t="str">
        <f>INDEX(Detail!$E$1:$E$1001,MATCH(Main!B408,Detail!$G$1:$G$1001,0))</f>
        <v xml:space="preserve">Gang W.R. Supratman No. 0
</v>
      </c>
      <c r="U408" s="7" t="str">
        <f>INDEX(Detail!$B$1:$B$1001,MATCH(B408,Detail!$G$1:$G$1001,0),1)</f>
        <v>AB+</v>
      </c>
      <c r="V408" s="7" t="str" cm="1">
        <f t="array" ref="V408">INDEX(Dosen!$B$3:$E$8,MATCH(Main!C408,Dosen!$A$3:$A$8,0),IF(AND(Main!A408&gt;=1,Main!A408&lt;=250),1,IF(AND(Main!A408&gt;=251,Main!A408&lt;=500),2,IF(AND(Main!A408&gt;=501,Main!A408&lt;=750),3,4))))</f>
        <v>Bu Made</v>
      </c>
      <c r="W408" s="7" t="str">
        <f>_xlfn.XLOOKUP(B408,Detail!$G$1:$G$1001,Detail!$B$1:$B$1001)</f>
        <v>AB+</v>
      </c>
    </row>
    <row r="409" spans="1:23" ht="15.75" x14ac:dyDescent="0.25">
      <c r="A409" s="7">
        <v>487</v>
      </c>
      <c r="B409" s="33" t="str">
        <f t="shared" si="19"/>
        <v>C0487</v>
      </c>
      <c r="C409" s="7" t="s">
        <v>1012</v>
      </c>
      <c r="D409" s="33" t="str">
        <f>VLOOKUP(B409,Detail!$G$1:$H$1001,2,FALSE)</f>
        <v>Talia Nainggolan</v>
      </c>
      <c r="E409" s="7">
        <v>72</v>
      </c>
      <c r="F409" s="7">
        <v>53</v>
      </c>
      <c r="G409" s="57">
        <v>92</v>
      </c>
      <c r="H409" s="7">
        <v>75</v>
      </c>
      <c r="I409" s="7">
        <v>81</v>
      </c>
      <c r="J409" s="7">
        <v>87</v>
      </c>
      <c r="K409" s="7">
        <v>98</v>
      </c>
      <c r="L409" s="56">
        <f>IFERROR(VLOOKUP(B409,Absen!$A$1:$C$501,2,FALSE),"No")</f>
        <v>44888</v>
      </c>
      <c r="M409" s="58">
        <f t="shared" si="20"/>
        <v>8.8000000000000007</v>
      </c>
      <c r="N409" s="57">
        <f t="shared" si="21"/>
        <v>79.725000000000009</v>
      </c>
      <c r="O409" s="7" t="str">
        <f>VLOOKUP(N409,Helper!$B$30:$C$35,2,TRUE)</f>
        <v>B</v>
      </c>
      <c r="P409" s="56">
        <f>INDEX(Detail!$A$1:$A$1001,MATCH(B409,Detail!$G$1:$G$1001,0))</f>
        <v>37015</v>
      </c>
      <c r="Q409" s="33" t="str">
        <f>INDEX(Detail!$F$1:$F$1001,MATCH(Main!B409,Detail!$G$1:$G$1001,0))</f>
        <v>Kota Administrasi Jakarta Selatan</v>
      </c>
      <c r="R409" s="7">
        <f>INDEX(Detail!$C$1:$C$1001,MATCH(B409,Detail!$G$1:$G$1001,0),1)</f>
        <v>167</v>
      </c>
      <c r="S409" s="7">
        <f>INDEX(Detail!$D$1:$D$1001,MATCH(B409,Detail!$G$1:$G$1001,0),1)</f>
        <v>50</v>
      </c>
      <c r="T409" s="7" t="str">
        <f>INDEX(Detail!$E$1:$E$1001,MATCH(Main!B409,Detail!$G$1:$G$1001,0))</f>
        <v xml:space="preserve">Jalan Pasteur No. 6
</v>
      </c>
      <c r="U409" s="7" t="str">
        <f>INDEX(Detail!$B$1:$B$1001,MATCH(B409,Detail!$G$1:$G$1001,0),1)</f>
        <v>O+</v>
      </c>
      <c r="V409" s="7" t="str" cm="1">
        <f t="array" ref="V409">INDEX(Dosen!$B$3:$E$8,MATCH(Main!C409,Dosen!$A$3:$A$8,0),IF(AND(Main!A409&gt;=1,Main!A409&lt;=250),1,IF(AND(Main!A409&gt;=251,Main!A409&lt;=500),2,IF(AND(Main!A409&gt;=501,Main!A409&lt;=750),3,4))))</f>
        <v>Bu Made</v>
      </c>
      <c r="W409" s="7" t="str">
        <f>_xlfn.XLOOKUP(B409,Detail!$G$1:$G$1001,Detail!$B$1:$B$1001)</f>
        <v>O+</v>
      </c>
    </row>
    <row r="410" spans="1:23" ht="15.75" x14ac:dyDescent="0.25">
      <c r="A410" s="7">
        <v>490</v>
      </c>
      <c r="B410" s="33" t="str">
        <f t="shared" si="19"/>
        <v>C0490</v>
      </c>
      <c r="C410" s="7" t="s">
        <v>1012</v>
      </c>
      <c r="D410" s="33" t="str">
        <f>VLOOKUP(B410,Detail!$G$1:$H$1001,2,FALSE)</f>
        <v>Lega Habibi</v>
      </c>
      <c r="E410" s="7">
        <v>89</v>
      </c>
      <c r="F410" s="7">
        <v>62</v>
      </c>
      <c r="G410" s="57">
        <v>36</v>
      </c>
      <c r="H410" s="7">
        <v>75</v>
      </c>
      <c r="I410" s="7">
        <v>88</v>
      </c>
      <c r="J410" s="7">
        <v>45</v>
      </c>
      <c r="K410" s="7">
        <v>60</v>
      </c>
      <c r="L410" s="56">
        <f>IFERROR(VLOOKUP(B410,Absen!$A$1:$C$501,2,FALSE),"No")</f>
        <v>44815</v>
      </c>
      <c r="M410" s="58">
        <f t="shared" si="20"/>
        <v>5</v>
      </c>
      <c r="N410" s="57">
        <f t="shared" si="21"/>
        <v>60.45</v>
      </c>
      <c r="O410" s="7" t="str">
        <f>VLOOKUP(N410,Helper!$B$30:$C$35,2,TRUE)</f>
        <v>C</v>
      </c>
      <c r="P410" s="56">
        <f>INDEX(Detail!$A$1:$A$1001,MATCH(B410,Detail!$G$1:$G$1001,0))</f>
        <v>38104</v>
      </c>
      <c r="Q410" s="33" t="str">
        <f>INDEX(Detail!$F$1:$F$1001,MATCH(Main!B410,Detail!$G$1:$G$1001,0))</f>
        <v>Ambon</v>
      </c>
      <c r="R410" s="7">
        <f>INDEX(Detail!$C$1:$C$1001,MATCH(B410,Detail!$G$1:$G$1001,0),1)</f>
        <v>158</v>
      </c>
      <c r="S410" s="7">
        <f>INDEX(Detail!$D$1:$D$1001,MATCH(B410,Detail!$G$1:$G$1001,0),1)</f>
        <v>58</v>
      </c>
      <c r="T410" s="7" t="str">
        <f>INDEX(Detail!$E$1:$E$1001,MATCH(Main!B410,Detail!$G$1:$G$1001,0))</f>
        <v>Gg. Antapani Lama No. 96</v>
      </c>
      <c r="U410" s="7" t="str">
        <f>INDEX(Detail!$B$1:$B$1001,MATCH(B410,Detail!$G$1:$G$1001,0),1)</f>
        <v>B-</v>
      </c>
      <c r="V410" s="7" t="str" cm="1">
        <f t="array" ref="V410">INDEX(Dosen!$B$3:$E$8,MATCH(Main!C410,Dosen!$A$3:$A$8,0),IF(AND(Main!A410&gt;=1,Main!A410&lt;=250),1,IF(AND(Main!A410&gt;=251,Main!A410&lt;=500),2,IF(AND(Main!A410&gt;=501,Main!A410&lt;=750),3,4))))</f>
        <v>Bu Made</v>
      </c>
      <c r="W410" s="7" t="str">
        <f>_xlfn.XLOOKUP(B410,Detail!$G$1:$G$1001,Detail!$B$1:$B$1001)</f>
        <v>B-</v>
      </c>
    </row>
    <row r="411" spans="1:23" ht="15.75" x14ac:dyDescent="0.25">
      <c r="A411" s="7">
        <v>494</v>
      </c>
      <c r="B411" s="33" t="str">
        <f t="shared" si="19"/>
        <v>C0494</v>
      </c>
      <c r="C411" s="7" t="s">
        <v>1012</v>
      </c>
      <c r="D411" s="33" t="str">
        <f>VLOOKUP(B411,Detail!$G$1:$H$1001,2,FALSE)</f>
        <v>Enteng Wacana</v>
      </c>
      <c r="E411" s="7">
        <v>80</v>
      </c>
      <c r="F411" s="7">
        <v>72</v>
      </c>
      <c r="G411" s="57">
        <v>53</v>
      </c>
      <c r="H411" s="7">
        <v>65</v>
      </c>
      <c r="I411" s="7">
        <v>61</v>
      </c>
      <c r="J411" s="7">
        <v>76</v>
      </c>
      <c r="K411" s="7">
        <v>88</v>
      </c>
      <c r="L411" s="56" t="str">
        <f>IFERROR(VLOOKUP(B411,Absen!$A$1:$C$501,2,FALSE),"No")</f>
        <v>No</v>
      </c>
      <c r="M411" s="58">
        <f t="shared" si="20"/>
        <v>8.8000000000000007</v>
      </c>
      <c r="N411" s="57">
        <f t="shared" si="21"/>
        <v>69.350000000000009</v>
      </c>
      <c r="O411" s="7" t="str">
        <f>VLOOKUP(N411,Helper!$B$30:$C$35,2,TRUE)</f>
        <v>C</v>
      </c>
      <c r="P411" s="56">
        <f>INDEX(Detail!$A$1:$A$1001,MATCH(B411,Detail!$G$1:$G$1001,0))</f>
        <v>38265</v>
      </c>
      <c r="Q411" s="33" t="str">
        <f>INDEX(Detail!$F$1:$F$1001,MATCH(Main!B411,Detail!$G$1:$G$1001,0))</f>
        <v>Tual</v>
      </c>
      <c r="R411" s="7">
        <f>INDEX(Detail!$C$1:$C$1001,MATCH(B411,Detail!$G$1:$G$1001,0),1)</f>
        <v>164</v>
      </c>
      <c r="S411" s="7">
        <f>INDEX(Detail!$D$1:$D$1001,MATCH(B411,Detail!$G$1:$G$1001,0),1)</f>
        <v>65</v>
      </c>
      <c r="T411" s="7" t="str">
        <f>INDEX(Detail!$E$1:$E$1001,MATCH(Main!B411,Detail!$G$1:$G$1001,0))</f>
        <v>Gang Rajawali Barat No. 56</v>
      </c>
      <c r="U411" s="7" t="str">
        <f>INDEX(Detail!$B$1:$B$1001,MATCH(B411,Detail!$G$1:$G$1001,0),1)</f>
        <v>A-</v>
      </c>
      <c r="V411" s="7" t="str" cm="1">
        <f t="array" ref="V411">INDEX(Dosen!$B$3:$E$8,MATCH(Main!C411,Dosen!$A$3:$A$8,0),IF(AND(Main!A411&gt;=1,Main!A411&lt;=250),1,IF(AND(Main!A411&gt;=251,Main!A411&lt;=500),2,IF(AND(Main!A411&gt;=501,Main!A411&lt;=750),3,4))))</f>
        <v>Bu Made</v>
      </c>
      <c r="W411" s="7" t="str">
        <f>_xlfn.XLOOKUP(B411,Detail!$G$1:$G$1001,Detail!$B$1:$B$1001)</f>
        <v>A-</v>
      </c>
    </row>
    <row r="412" spans="1:23" ht="15.75" x14ac:dyDescent="0.25">
      <c r="A412" s="7">
        <v>501</v>
      </c>
      <c r="B412" s="33" t="str">
        <f t="shared" si="19"/>
        <v>C0501</v>
      </c>
      <c r="C412" s="7" t="s">
        <v>1012</v>
      </c>
      <c r="D412" s="33" t="str">
        <f>VLOOKUP(B412,Detail!$G$1:$H$1001,2,FALSE)</f>
        <v>Raden Simbolon</v>
      </c>
      <c r="E412" s="7">
        <v>63</v>
      </c>
      <c r="F412" s="7">
        <v>40</v>
      </c>
      <c r="G412" s="57">
        <v>66</v>
      </c>
      <c r="H412" s="7">
        <v>63</v>
      </c>
      <c r="I412" s="7">
        <v>88</v>
      </c>
      <c r="J412" s="7">
        <v>45</v>
      </c>
      <c r="K412" s="7">
        <v>81</v>
      </c>
      <c r="L412" s="56" t="str">
        <f>IFERROR(VLOOKUP(B412,Absen!$A$1:$C$501,2,FALSE),"No")</f>
        <v>No</v>
      </c>
      <c r="M412" s="58">
        <f t="shared" si="20"/>
        <v>8.1</v>
      </c>
      <c r="N412" s="57">
        <f t="shared" si="21"/>
        <v>62.050000000000004</v>
      </c>
      <c r="O412" s="7" t="str">
        <f>VLOOKUP(N412,Helper!$B$30:$C$35,2,TRUE)</f>
        <v>C</v>
      </c>
      <c r="P412" s="56">
        <f>INDEX(Detail!$A$1:$A$1001,MATCH(B412,Detail!$G$1:$G$1001,0))</f>
        <v>37866</v>
      </c>
      <c r="Q412" s="33" t="str">
        <f>INDEX(Detail!$F$1:$F$1001,MATCH(Main!B412,Detail!$G$1:$G$1001,0))</f>
        <v>Bekasi</v>
      </c>
      <c r="R412" s="7">
        <f>INDEX(Detail!$C$1:$C$1001,MATCH(B412,Detail!$G$1:$G$1001,0),1)</f>
        <v>175</v>
      </c>
      <c r="S412" s="7">
        <f>INDEX(Detail!$D$1:$D$1001,MATCH(B412,Detail!$G$1:$G$1001,0),1)</f>
        <v>58</v>
      </c>
      <c r="T412" s="7" t="str">
        <f>INDEX(Detail!$E$1:$E$1001,MATCH(Main!B412,Detail!$G$1:$G$1001,0))</f>
        <v>Gg. Gardujati No. 90</v>
      </c>
      <c r="U412" s="7" t="str">
        <f>INDEX(Detail!$B$1:$B$1001,MATCH(B412,Detail!$G$1:$G$1001,0),1)</f>
        <v>O+</v>
      </c>
      <c r="V412" s="7" t="str" cm="1">
        <f t="array" ref="V412">INDEX(Dosen!$B$3:$E$8,MATCH(Main!C412,Dosen!$A$3:$A$8,0),IF(AND(Main!A412&gt;=1,Main!A412&lt;=250),1,IF(AND(Main!A412&gt;=251,Main!A412&lt;=500),2,IF(AND(Main!A412&gt;=501,Main!A412&lt;=750),3,4))))</f>
        <v>Bu Dwi</v>
      </c>
      <c r="W412" s="7" t="str">
        <f>_xlfn.XLOOKUP(B412,Detail!$G$1:$G$1001,Detail!$B$1:$B$1001)</f>
        <v>O+</v>
      </c>
    </row>
    <row r="413" spans="1:23" ht="15.75" x14ac:dyDescent="0.25">
      <c r="A413" s="7">
        <v>516</v>
      </c>
      <c r="B413" s="33" t="str">
        <f t="shared" si="19"/>
        <v>C0516</v>
      </c>
      <c r="C413" s="7" t="s">
        <v>1012</v>
      </c>
      <c r="D413" s="33" t="str">
        <f>VLOOKUP(B413,Detail!$G$1:$H$1001,2,FALSE)</f>
        <v>Lembah Waskita</v>
      </c>
      <c r="E413" s="7">
        <v>75</v>
      </c>
      <c r="F413" s="7">
        <v>72</v>
      </c>
      <c r="G413" s="57">
        <v>45</v>
      </c>
      <c r="H413" s="7">
        <v>56</v>
      </c>
      <c r="I413" s="7">
        <v>91</v>
      </c>
      <c r="J413" s="7">
        <v>46</v>
      </c>
      <c r="K413" s="7">
        <v>80</v>
      </c>
      <c r="L413" s="56">
        <f>IFERROR(VLOOKUP(B413,Absen!$A$1:$C$501,2,FALSE),"No")</f>
        <v>44896</v>
      </c>
      <c r="M413" s="58">
        <f t="shared" si="20"/>
        <v>7</v>
      </c>
      <c r="N413" s="57">
        <f t="shared" si="21"/>
        <v>61.95</v>
      </c>
      <c r="O413" s="7" t="str">
        <f>VLOOKUP(N413,Helper!$B$30:$C$35,2,TRUE)</f>
        <v>C</v>
      </c>
      <c r="P413" s="56">
        <f>INDEX(Detail!$A$1:$A$1001,MATCH(B413,Detail!$G$1:$G$1001,0))</f>
        <v>38337</v>
      </c>
      <c r="Q413" s="33" t="str">
        <f>INDEX(Detail!$F$1:$F$1001,MATCH(Main!B413,Detail!$G$1:$G$1001,0))</f>
        <v>Padang Sidempuan</v>
      </c>
      <c r="R413" s="7">
        <f>INDEX(Detail!$C$1:$C$1001,MATCH(B413,Detail!$G$1:$G$1001,0),1)</f>
        <v>173</v>
      </c>
      <c r="S413" s="7">
        <f>INDEX(Detail!$D$1:$D$1001,MATCH(B413,Detail!$G$1:$G$1001,0),1)</f>
        <v>50</v>
      </c>
      <c r="T413" s="7" t="str">
        <f>INDEX(Detail!$E$1:$E$1001,MATCH(Main!B413,Detail!$G$1:$G$1001,0))</f>
        <v xml:space="preserve">Jalan KH Amin Jasuta No. 6
</v>
      </c>
      <c r="U413" s="7" t="str">
        <f>INDEX(Detail!$B$1:$B$1001,MATCH(B413,Detail!$G$1:$G$1001,0),1)</f>
        <v>A-</v>
      </c>
      <c r="V413" s="7" t="str" cm="1">
        <f t="array" ref="V413">INDEX(Dosen!$B$3:$E$8,MATCH(Main!C413,Dosen!$A$3:$A$8,0),IF(AND(Main!A413&gt;=1,Main!A413&lt;=250),1,IF(AND(Main!A413&gt;=251,Main!A413&lt;=500),2,IF(AND(Main!A413&gt;=501,Main!A413&lt;=750),3,4))))</f>
        <v>Bu Dwi</v>
      </c>
      <c r="W413" s="7" t="str">
        <f>_xlfn.XLOOKUP(B413,Detail!$G$1:$G$1001,Detail!$B$1:$B$1001)</f>
        <v>A-</v>
      </c>
    </row>
    <row r="414" spans="1:23" ht="15.75" x14ac:dyDescent="0.25">
      <c r="A414" s="7">
        <v>517</v>
      </c>
      <c r="B414" s="33" t="str">
        <f t="shared" si="19"/>
        <v>C0517</v>
      </c>
      <c r="C414" s="7" t="s">
        <v>1012</v>
      </c>
      <c r="D414" s="33" t="str">
        <f>VLOOKUP(B414,Detail!$G$1:$H$1001,2,FALSE)</f>
        <v>Marsudi Yuniar</v>
      </c>
      <c r="E414" s="7">
        <v>69</v>
      </c>
      <c r="F414" s="7">
        <v>42</v>
      </c>
      <c r="G414" s="57">
        <v>41</v>
      </c>
      <c r="H414" s="7">
        <v>55</v>
      </c>
      <c r="I414" s="7">
        <v>70</v>
      </c>
      <c r="J414" s="7">
        <v>73</v>
      </c>
      <c r="K414" s="7">
        <v>97</v>
      </c>
      <c r="L414" s="56">
        <f>IFERROR(VLOOKUP(B414,Absen!$A$1:$C$501,2,FALSE),"No")</f>
        <v>44761</v>
      </c>
      <c r="M414" s="58">
        <f t="shared" si="20"/>
        <v>8.7000000000000011</v>
      </c>
      <c r="N414" s="57">
        <f t="shared" si="21"/>
        <v>61.000000000000007</v>
      </c>
      <c r="O414" s="7" t="str">
        <f>VLOOKUP(N414,Helper!$B$30:$C$35,2,TRUE)</f>
        <v>C</v>
      </c>
      <c r="P414" s="56">
        <f>INDEX(Detail!$A$1:$A$1001,MATCH(B414,Detail!$G$1:$G$1001,0))</f>
        <v>37288</v>
      </c>
      <c r="Q414" s="33" t="str">
        <f>INDEX(Detail!$F$1:$F$1001,MATCH(Main!B414,Detail!$G$1:$G$1001,0))</f>
        <v>Manado</v>
      </c>
      <c r="R414" s="7">
        <f>INDEX(Detail!$C$1:$C$1001,MATCH(B414,Detail!$G$1:$G$1001,0),1)</f>
        <v>158</v>
      </c>
      <c r="S414" s="7">
        <f>INDEX(Detail!$D$1:$D$1001,MATCH(B414,Detail!$G$1:$G$1001,0),1)</f>
        <v>71</v>
      </c>
      <c r="T414" s="7" t="str">
        <f>INDEX(Detail!$E$1:$E$1001,MATCH(Main!B414,Detail!$G$1:$G$1001,0))</f>
        <v xml:space="preserve">Gang Peta No. 1
</v>
      </c>
      <c r="U414" s="7" t="str">
        <f>INDEX(Detail!$B$1:$B$1001,MATCH(B414,Detail!$G$1:$G$1001,0),1)</f>
        <v>B+</v>
      </c>
      <c r="V414" s="7" t="str" cm="1">
        <f t="array" ref="V414">INDEX(Dosen!$B$3:$E$8,MATCH(Main!C414,Dosen!$A$3:$A$8,0),IF(AND(Main!A414&gt;=1,Main!A414&lt;=250),1,IF(AND(Main!A414&gt;=251,Main!A414&lt;=500),2,IF(AND(Main!A414&gt;=501,Main!A414&lt;=750),3,4))))</f>
        <v>Bu Dwi</v>
      </c>
      <c r="W414" s="7" t="str">
        <f>_xlfn.XLOOKUP(B414,Detail!$G$1:$G$1001,Detail!$B$1:$B$1001)</f>
        <v>B+</v>
      </c>
    </row>
    <row r="415" spans="1:23" ht="15.75" x14ac:dyDescent="0.25">
      <c r="A415" s="7">
        <v>528</v>
      </c>
      <c r="B415" s="33" t="str">
        <f t="shared" si="19"/>
        <v>C0528</v>
      </c>
      <c r="C415" s="7" t="s">
        <v>1012</v>
      </c>
      <c r="D415" s="33" t="str">
        <f>VLOOKUP(B415,Detail!$G$1:$H$1001,2,FALSE)</f>
        <v>Zizi Simanjuntak</v>
      </c>
      <c r="E415" s="7">
        <v>82</v>
      </c>
      <c r="F415" s="7">
        <v>61</v>
      </c>
      <c r="G415" s="57">
        <v>76</v>
      </c>
      <c r="H415" s="7">
        <v>71</v>
      </c>
      <c r="I415" s="7">
        <v>53</v>
      </c>
      <c r="J415" s="7">
        <v>45</v>
      </c>
      <c r="K415" s="7">
        <v>97</v>
      </c>
      <c r="L415" s="56" t="str">
        <f>IFERROR(VLOOKUP(B415,Absen!$A$1:$C$501,2,FALSE),"No")</f>
        <v>No</v>
      </c>
      <c r="M415" s="58">
        <f t="shared" si="20"/>
        <v>9.7000000000000011</v>
      </c>
      <c r="N415" s="57">
        <f t="shared" si="21"/>
        <v>67.275000000000006</v>
      </c>
      <c r="O415" s="7" t="str">
        <f>VLOOKUP(N415,Helper!$B$30:$C$35,2,TRUE)</f>
        <v>C</v>
      </c>
      <c r="P415" s="56">
        <f>INDEX(Detail!$A$1:$A$1001,MATCH(B415,Detail!$G$1:$G$1001,0))</f>
        <v>37970</v>
      </c>
      <c r="Q415" s="33" t="str">
        <f>INDEX(Detail!$F$1:$F$1001,MATCH(Main!B415,Detail!$G$1:$G$1001,0))</f>
        <v>Palembang</v>
      </c>
      <c r="R415" s="7">
        <f>INDEX(Detail!$C$1:$C$1001,MATCH(B415,Detail!$G$1:$G$1001,0),1)</f>
        <v>172</v>
      </c>
      <c r="S415" s="7">
        <f>INDEX(Detail!$D$1:$D$1001,MATCH(B415,Detail!$G$1:$G$1001,0),1)</f>
        <v>49</v>
      </c>
      <c r="T415" s="7" t="str">
        <f>INDEX(Detail!$E$1:$E$1001,MATCH(Main!B415,Detail!$G$1:$G$1001,0))</f>
        <v xml:space="preserve">Gg. Tebet Barat Dalam No. 9
</v>
      </c>
      <c r="U415" s="7" t="str">
        <f>INDEX(Detail!$B$1:$B$1001,MATCH(B415,Detail!$G$1:$G$1001,0),1)</f>
        <v>O-</v>
      </c>
      <c r="V415" s="7" t="str" cm="1">
        <f t="array" ref="V415">INDEX(Dosen!$B$3:$E$8,MATCH(Main!C415,Dosen!$A$3:$A$8,0),IF(AND(Main!A415&gt;=1,Main!A415&lt;=250),1,IF(AND(Main!A415&gt;=251,Main!A415&lt;=500),2,IF(AND(Main!A415&gt;=501,Main!A415&lt;=750),3,4))))</f>
        <v>Bu Dwi</v>
      </c>
      <c r="W415" s="7" t="str">
        <f>_xlfn.XLOOKUP(B415,Detail!$G$1:$G$1001,Detail!$B$1:$B$1001)</f>
        <v>O-</v>
      </c>
    </row>
    <row r="416" spans="1:23" ht="15.75" x14ac:dyDescent="0.25">
      <c r="A416" s="7">
        <v>533</v>
      </c>
      <c r="B416" s="33" t="str">
        <f t="shared" si="19"/>
        <v>C0533</v>
      </c>
      <c r="C416" s="7" t="s">
        <v>1012</v>
      </c>
      <c r="D416" s="33" t="str">
        <f>VLOOKUP(B416,Detail!$G$1:$H$1001,2,FALSE)</f>
        <v>Rusman Nugroho</v>
      </c>
      <c r="E416" s="7">
        <v>91</v>
      </c>
      <c r="F416" s="7">
        <v>69</v>
      </c>
      <c r="G416" s="57">
        <v>94</v>
      </c>
      <c r="H416" s="7">
        <v>72</v>
      </c>
      <c r="I416" s="7">
        <v>90</v>
      </c>
      <c r="J416" s="7">
        <v>58</v>
      </c>
      <c r="K416" s="7">
        <v>74</v>
      </c>
      <c r="L416" s="56">
        <f>IFERROR(VLOOKUP(B416,Absen!$A$1:$C$501,2,FALSE),"No")</f>
        <v>44897</v>
      </c>
      <c r="M416" s="58">
        <f t="shared" si="20"/>
        <v>6.4</v>
      </c>
      <c r="N416" s="57">
        <f t="shared" si="21"/>
        <v>77.050000000000011</v>
      </c>
      <c r="O416" s="7" t="str">
        <f>VLOOKUP(N416,Helper!$B$30:$C$35,2,TRUE)</f>
        <v>B</v>
      </c>
      <c r="P416" s="56">
        <f>INDEX(Detail!$A$1:$A$1001,MATCH(B416,Detail!$G$1:$G$1001,0))</f>
        <v>37349</v>
      </c>
      <c r="Q416" s="33" t="str">
        <f>INDEX(Detail!$F$1:$F$1001,MATCH(Main!B416,Detail!$G$1:$G$1001,0))</f>
        <v>Banjarmasin</v>
      </c>
      <c r="R416" s="7">
        <f>INDEX(Detail!$C$1:$C$1001,MATCH(B416,Detail!$G$1:$G$1001,0),1)</f>
        <v>157</v>
      </c>
      <c r="S416" s="7">
        <f>INDEX(Detail!$D$1:$D$1001,MATCH(B416,Detail!$G$1:$G$1001,0),1)</f>
        <v>76</v>
      </c>
      <c r="T416" s="7" t="str">
        <f>INDEX(Detail!$E$1:$E$1001,MATCH(Main!B416,Detail!$G$1:$G$1001,0))</f>
        <v>Jalan Ahmad Dahlan No. 74</v>
      </c>
      <c r="U416" s="7" t="str">
        <f>INDEX(Detail!$B$1:$B$1001,MATCH(B416,Detail!$G$1:$G$1001,0),1)</f>
        <v>A-</v>
      </c>
      <c r="V416" s="7" t="str" cm="1">
        <f t="array" ref="V416">INDEX(Dosen!$B$3:$E$8,MATCH(Main!C416,Dosen!$A$3:$A$8,0),IF(AND(Main!A416&gt;=1,Main!A416&lt;=250),1,IF(AND(Main!A416&gt;=251,Main!A416&lt;=500),2,IF(AND(Main!A416&gt;=501,Main!A416&lt;=750),3,4))))</f>
        <v>Bu Dwi</v>
      </c>
      <c r="W416" s="7" t="str">
        <f>_xlfn.XLOOKUP(B416,Detail!$G$1:$G$1001,Detail!$B$1:$B$1001)</f>
        <v>A-</v>
      </c>
    </row>
    <row r="417" spans="1:23" ht="15.75" x14ac:dyDescent="0.25">
      <c r="A417" s="7">
        <v>535</v>
      </c>
      <c r="B417" s="33" t="str">
        <f t="shared" ref="B417:B448" si="22">CONCATENATE("C",TEXT(A417,"0000"))</f>
        <v>C0535</v>
      </c>
      <c r="C417" s="7" t="s">
        <v>1012</v>
      </c>
      <c r="D417" s="33" t="str">
        <f>VLOOKUP(B417,Detail!$G$1:$H$1001,2,FALSE)</f>
        <v>Gara Puspita</v>
      </c>
      <c r="E417" s="7">
        <v>91</v>
      </c>
      <c r="F417" s="7">
        <v>67</v>
      </c>
      <c r="G417" s="57">
        <v>90</v>
      </c>
      <c r="H417" s="7">
        <v>72</v>
      </c>
      <c r="I417" s="7">
        <v>80</v>
      </c>
      <c r="J417" s="7">
        <v>93</v>
      </c>
      <c r="K417" s="7">
        <v>94</v>
      </c>
      <c r="L417" s="56">
        <f>IFERROR(VLOOKUP(B417,Absen!$A$1:$C$501,2,FALSE),"No")</f>
        <v>44897</v>
      </c>
      <c r="M417" s="58">
        <f t="shared" si="20"/>
        <v>8.4</v>
      </c>
      <c r="N417" s="57">
        <f t="shared" si="21"/>
        <v>83.75</v>
      </c>
      <c r="O417" s="7" t="str">
        <f>VLOOKUP(N417,Helper!$B$30:$C$35,2,TRUE)</f>
        <v>A</v>
      </c>
      <c r="P417" s="56">
        <f>INDEX(Detail!$A$1:$A$1001,MATCH(B417,Detail!$G$1:$G$1001,0))</f>
        <v>37958</v>
      </c>
      <c r="Q417" s="33" t="str">
        <f>INDEX(Detail!$F$1:$F$1001,MATCH(Main!B417,Detail!$G$1:$G$1001,0))</f>
        <v>Sukabumi</v>
      </c>
      <c r="R417" s="7">
        <f>INDEX(Detail!$C$1:$C$1001,MATCH(B417,Detail!$G$1:$G$1001,0),1)</f>
        <v>156</v>
      </c>
      <c r="S417" s="7">
        <f>INDEX(Detail!$D$1:$D$1001,MATCH(B417,Detail!$G$1:$G$1001,0),1)</f>
        <v>68</v>
      </c>
      <c r="T417" s="7" t="str">
        <f>INDEX(Detail!$E$1:$E$1001,MATCH(Main!B417,Detail!$G$1:$G$1001,0))</f>
        <v xml:space="preserve">Jl. Rajawali Timur No. 4
</v>
      </c>
      <c r="U417" s="7" t="str">
        <f>INDEX(Detail!$B$1:$B$1001,MATCH(B417,Detail!$G$1:$G$1001,0),1)</f>
        <v>AB+</v>
      </c>
      <c r="V417" s="7" t="str" cm="1">
        <f t="array" ref="V417">INDEX(Dosen!$B$3:$E$8,MATCH(Main!C417,Dosen!$A$3:$A$8,0),IF(AND(Main!A417&gt;=1,Main!A417&lt;=250),1,IF(AND(Main!A417&gt;=251,Main!A417&lt;=500),2,IF(AND(Main!A417&gt;=501,Main!A417&lt;=750),3,4))))</f>
        <v>Bu Dwi</v>
      </c>
      <c r="W417" s="7" t="str">
        <f>_xlfn.XLOOKUP(B417,Detail!$G$1:$G$1001,Detail!$B$1:$B$1001)</f>
        <v>AB+</v>
      </c>
    </row>
    <row r="418" spans="1:23" ht="15.75" x14ac:dyDescent="0.25">
      <c r="A418" s="7">
        <v>541</v>
      </c>
      <c r="B418" s="33" t="str">
        <f t="shared" si="22"/>
        <v>C0541</v>
      </c>
      <c r="C418" s="7" t="s">
        <v>1012</v>
      </c>
      <c r="D418" s="33" t="str">
        <f>VLOOKUP(B418,Detail!$G$1:$H$1001,2,FALSE)</f>
        <v>Jasmin Prasetya</v>
      </c>
      <c r="E418" s="7">
        <v>71</v>
      </c>
      <c r="F418" s="7">
        <v>65</v>
      </c>
      <c r="G418" s="57">
        <v>74</v>
      </c>
      <c r="H418" s="7">
        <v>66</v>
      </c>
      <c r="I418" s="7">
        <v>72</v>
      </c>
      <c r="J418" s="7">
        <v>53</v>
      </c>
      <c r="K418" s="7">
        <v>62</v>
      </c>
      <c r="L418" s="56">
        <f>IFERROR(VLOOKUP(B418,Absen!$A$1:$C$501,2,FALSE),"No")</f>
        <v>44806</v>
      </c>
      <c r="M418" s="58">
        <f t="shared" si="20"/>
        <v>5.2</v>
      </c>
      <c r="N418" s="57">
        <f t="shared" si="21"/>
        <v>64.849999999999994</v>
      </c>
      <c r="O418" s="7" t="str">
        <f>VLOOKUP(N418,Helper!$B$30:$C$35,2,TRUE)</f>
        <v>C</v>
      </c>
      <c r="P418" s="56">
        <f>INDEX(Detail!$A$1:$A$1001,MATCH(B418,Detail!$G$1:$G$1001,0))</f>
        <v>37223</v>
      </c>
      <c r="Q418" s="33" t="str">
        <f>INDEX(Detail!$F$1:$F$1001,MATCH(Main!B418,Detail!$G$1:$G$1001,0))</f>
        <v>Cimahi</v>
      </c>
      <c r="R418" s="7">
        <f>INDEX(Detail!$C$1:$C$1001,MATCH(B418,Detail!$G$1:$G$1001,0),1)</f>
        <v>169</v>
      </c>
      <c r="S418" s="7">
        <f>INDEX(Detail!$D$1:$D$1001,MATCH(B418,Detail!$G$1:$G$1001,0),1)</f>
        <v>54</v>
      </c>
      <c r="T418" s="7" t="str">
        <f>INDEX(Detail!$E$1:$E$1001,MATCH(Main!B418,Detail!$G$1:$G$1001,0))</f>
        <v xml:space="preserve">Gg. Antapani Lama No. 4
</v>
      </c>
      <c r="U418" s="7" t="str">
        <f>INDEX(Detail!$B$1:$B$1001,MATCH(B418,Detail!$G$1:$G$1001,0),1)</f>
        <v>AB+</v>
      </c>
      <c r="V418" s="7" t="str" cm="1">
        <f t="array" ref="V418">INDEX(Dosen!$B$3:$E$8,MATCH(Main!C418,Dosen!$A$3:$A$8,0),IF(AND(Main!A418&gt;=1,Main!A418&lt;=250),1,IF(AND(Main!A418&gt;=251,Main!A418&lt;=500),2,IF(AND(Main!A418&gt;=501,Main!A418&lt;=750),3,4))))</f>
        <v>Bu Dwi</v>
      </c>
      <c r="W418" s="7" t="str">
        <f>_xlfn.XLOOKUP(B418,Detail!$G$1:$G$1001,Detail!$B$1:$B$1001)</f>
        <v>AB+</v>
      </c>
    </row>
    <row r="419" spans="1:23" ht="15.75" x14ac:dyDescent="0.25">
      <c r="A419" s="7">
        <v>545</v>
      </c>
      <c r="B419" s="33" t="str">
        <f t="shared" si="22"/>
        <v>C0545</v>
      </c>
      <c r="C419" s="7" t="s">
        <v>1012</v>
      </c>
      <c r="D419" s="33" t="str">
        <f>VLOOKUP(B419,Detail!$G$1:$H$1001,2,FALSE)</f>
        <v>Zulaikha Kuswoyo</v>
      </c>
      <c r="E419" s="7">
        <v>70</v>
      </c>
      <c r="F419" s="7">
        <v>52</v>
      </c>
      <c r="G419" s="57">
        <v>47</v>
      </c>
      <c r="H419" s="7">
        <v>51</v>
      </c>
      <c r="I419" s="7">
        <v>77</v>
      </c>
      <c r="J419" s="7">
        <v>54</v>
      </c>
      <c r="K419" s="7">
        <v>87</v>
      </c>
      <c r="L419" s="56">
        <f>IFERROR(VLOOKUP(B419,Absen!$A$1:$C$501,2,FALSE),"No")</f>
        <v>44904</v>
      </c>
      <c r="M419" s="58">
        <f t="shared" si="20"/>
        <v>7.7</v>
      </c>
      <c r="N419" s="57">
        <f t="shared" si="21"/>
        <v>59.150000000000006</v>
      </c>
      <c r="O419" s="7" t="str">
        <f>VLOOKUP(N419,Helper!$B$30:$C$35,2,TRUE)</f>
        <v>D</v>
      </c>
      <c r="P419" s="56">
        <f>INDEX(Detail!$A$1:$A$1001,MATCH(B419,Detail!$G$1:$G$1001,0))</f>
        <v>38331</v>
      </c>
      <c r="Q419" s="33" t="str">
        <f>INDEX(Detail!$F$1:$F$1001,MATCH(Main!B419,Detail!$G$1:$G$1001,0))</f>
        <v>Denpasar</v>
      </c>
      <c r="R419" s="7">
        <f>INDEX(Detail!$C$1:$C$1001,MATCH(B419,Detail!$G$1:$G$1001,0),1)</f>
        <v>159</v>
      </c>
      <c r="S419" s="7">
        <f>INDEX(Detail!$D$1:$D$1001,MATCH(B419,Detail!$G$1:$G$1001,0),1)</f>
        <v>76</v>
      </c>
      <c r="T419" s="7" t="str">
        <f>INDEX(Detail!$E$1:$E$1001,MATCH(Main!B419,Detail!$G$1:$G$1001,0))</f>
        <v>Jalan Joyoboyo No. 04</v>
      </c>
      <c r="U419" s="7" t="str">
        <f>INDEX(Detail!$B$1:$B$1001,MATCH(B419,Detail!$G$1:$G$1001,0),1)</f>
        <v>A+</v>
      </c>
      <c r="V419" s="7" t="str" cm="1">
        <f t="array" ref="V419">INDEX(Dosen!$B$3:$E$8,MATCH(Main!C419,Dosen!$A$3:$A$8,0),IF(AND(Main!A419&gt;=1,Main!A419&lt;=250),1,IF(AND(Main!A419&gt;=251,Main!A419&lt;=500),2,IF(AND(Main!A419&gt;=501,Main!A419&lt;=750),3,4))))</f>
        <v>Bu Dwi</v>
      </c>
      <c r="W419" s="7" t="str">
        <f>_xlfn.XLOOKUP(B419,Detail!$G$1:$G$1001,Detail!$B$1:$B$1001)</f>
        <v>A+</v>
      </c>
    </row>
    <row r="420" spans="1:23" ht="15.75" x14ac:dyDescent="0.25">
      <c r="A420" s="7">
        <v>548</v>
      </c>
      <c r="B420" s="33" t="str">
        <f t="shared" si="22"/>
        <v>C0548</v>
      </c>
      <c r="C420" s="7" t="s">
        <v>1012</v>
      </c>
      <c r="D420" s="33" t="str">
        <f>VLOOKUP(B420,Detail!$G$1:$H$1001,2,FALSE)</f>
        <v>Diana Rajasa</v>
      </c>
      <c r="E420" s="7">
        <v>64</v>
      </c>
      <c r="F420" s="7">
        <v>66</v>
      </c>
      <c r="G420" s="57">
        <v>66</v>
      </c>
      <c r="H420" s="7">
        <v>73</v>
      </c>
      <c r="I420" s="7">
        <v>78</v>
      </c>
      <c r="J420" s="7">
        <v>43</v>
      </c>
      <c r="K420" s="7">
        <v>100</v>
      </c>
      <c r="L420" s="56" t="str">
        <f>IFERROR(VLOOKUP(B420,Absen!$A$1:$C$501,2,FALSE),"No")</f>
        <v>No</v>
      </c>
      <c r="M420" s="58">
        <f t="shared" si="20"/>
        <v>10</v>
      </c>
      <c r="N420" s="57">
        <f t="shared" si="21"/>
        <v>66.925000000000011</v>
      </c>
      <c r="O420" s="7" t="str">
        <f>VLOOKUP(N420,Helper!$B$30:$C$35,2,TRUE)</f>
        <v>C</v>
      </c>
      <c r="P420" s="56">
        <f>INDEX(Detail!$A$1:$A$1001,MATCH(B420,Detail!$G$1:$G$1001,0))</f>
        <v>37342</v>
      </c>
      <c r="Q420" s="33" t="str">
        <f>INDEX(Detail!$F$1:$F$1001,MATCH(Main!B420,Detail!$G$1:$G$1001,0))</f>
        <v>Langsa</v>
      </c>
      <c r="R420" s="7">
        <f>INDEX(Detail!$C$1:$C$1001,MATCH(B420,Detail!$G$1:$G$1001,0),1)</f>
        <v>162</v>
      </c>
      <c r="S420" s="7">
        <f>INDEX(Detail!$D$1:$D$1001,MATCH(B420,Detail!$G$1:$G$1001,0),1)</f>
        <v>94</v>
      </c>
      <c r="T420" s="7" t="str">
        <f>INDEX(Detail!$E$1:$E$1001,MATCH(Main!B420,Detail!$G$1:$G$1001,0))</f>
        <v xml:space="preserve">Jl. Rajawali Barat No. 3
</v>
      </c>
      <c r="U420" s="7" t="str">
        <f>INDEX(Detail!$B$1:$B$1001,MATCH(B420,Detail!$G$1:$G$1001,0),1)</f>
        <v>A-</v>
      </c>
      <c r="V420" s="7" t="str" cm="1">
        <f t="array" ref="V420">INDEX(Dosen!$B$3:$E$8,MATCH(Main!C420,Dosen!$A$3:$A$8,0),IF(AND(Main!A420&gt;=1,Main!A420&lt;=250),1,IF(AND(Main!A420&gt;=251,Main!A420&lt;=500),2,IF(AND(Main!A420&gt;=501,Main!A420&lt;=750),3,4))))</f>
        <v>Bu Dwi</v>
      </c>
      <c r="W420" s="7" t="str">
        <f>_xlfn.XLOOKUP(B420,Detail!$G$1:$G$1001,Detail!$B$1:$B$1001)</f>
        <v>A-</v>
      </c>
    </row>
    <row r="421" spans="1:23" ht="15.75" x14ac:dyDescent="0.25">
      <c r="A421" s="7">
        <v>551</v>
      </c>
      <c r="B421" s="33" t="str">
        <f t="shared" si="22"/>
        <v>C0551</v>
      </c>
      <c r="C421" s="7" t="s">
        <v>1012</v>
      </c>
      <c r="D421" s="33" t="str">
        <f>VLOOKUP(B421,Detail!$G$1:$H$1001,2,FALSE)</f>
        <v>Cayadi Hidayanto</v>
      </c>
      <c r="E421" s="7">
        <v>89</v>
      </c>
      <c r="F421" s="7">
        <v>67</v>
      </c>
      <c r="G421" s="57">
        <v>41</v>
      </c>
      <c r="H421" s="7">
        <v>68</v>
      </c>
      <c r="I421" s="7">
        <v>60</v>
      </c>
      <c r="J421" s="7">
        <v>59</v>
      </c>
      <c r="K421" s="7">
        <v>74</v>
      </c>
      <c r="L421" s="56">
        <f>IFERROR(VLOOKUP(B421,Absen!$A$1:$C$501,2,FALSE),"No")</f>
        <v>44889</v>
      </c>
      <c r="M421" s="58">
        <f t="shared" si="20"/>
        <v>6.4</v>
      </c>
      <c r="N421" s="57">
        <f t="shared" si="21"/>
        <v>61.9</v>
      </c>
      <c r="O421" s="7" t="str">
        <f>VLOOKUP(N421,Helper!$B$30:$C$35,2,TRUE)</f>
        <v>C</v>
      </c>
      <c r="P421" s="56">
        <f>INDEX(Detail!$A$1:$A$1001,MATCH(B421,Detail!$G$1:$G$1001,0))</f>
        <v>37064</v>
      </c>
      <c r="Q421" s="33" t="str">
        <f>INDEX(Detail!$F$1:$F$1001,MATCH(Main!B421,Detail!$G$1:$G$1001,0))</f>
        <v>Bogor</v>
      </c>
      <c r="R421" s="7">
        <f>INDEX(Detail!$C$1:$C$1001,MATCH(B421,Detail!$G$1:$G$1001,0),1)</f>
        <v>180</v>
      </c>
      <c r="S421" s="7">
        <f>INDEX(Detail!$D$1:$D$1001,MATCH(B421,Detail!$G$1:$G$1001,0),1)</f>
        <v>49</v>
      </c>
      <c r="T421" s="7" t="str">
        <f>INDEX(Detail!$E$1:$E$1001,MATCH(Main!B421,Detail!$G$1:$G$1001,0))</f>
        <v xml:space="preserve">Gg. Otto Iskandardinata No. 8
</v>
      </c>
      <c r="U421" s="7" t="str">
        <f>INDEX(Detail!$B$1:$B$1001,MATCH(B421,Detail!$G$1:$G$1001,0),1)</f>
        <v>A+</v>
      </c>
      <c r="V421" s="7" t="str" cm="1">
        <f t="array" ref="V421">INDEX(Dosen!$B$3:$E$8,MATCH(Main!C421,Dosen!$A$3:$A$8,0),IF(AND(Main!A421&gt;=1,Main!A421&lt;=250),1,IF(AND(Main!A421&gt;=251,Main!A421&lt;=500),2,IF(AND(Main!A421&gt;=501,Main!A421&lt;=750),3,4))))</f>
        <v>Bu Dwi</v>
      </c>
      <c r="W421" s="7" t="str">
        <f>_xlfn.XLOOKUP(B421,Detail!$G$1:$G$1001,Detail!$B$1:$B$1001)</f>
        <v>A+</v>
      </c>
    </row>
    <row r="422" spans="1:23" ht="15.75" x14ac:dyDescent="0.25">
      <c r="A422" s="7">
        <v>557</v>
      </c>
      <c r="B422" s="33" t="str">
        <f t="shared" si="22"/>
        <v>C0557</v>
      </c>
      <c r="C422" s="7" t="s">
        <v>1012</v>
      </c>
      <c r="D422" s="33" t="str">
        <f>VLOOKUP(B422,Detail!$G$1:$H$1001,2,FALSE)</f>
        <v>Nyoman Mahendra</v>
      </c>
      <c r="E422" s="7">
        <v>72</v>
      </c>
      <c r="F422" s="7">
        <v>55</v>
      </c>
      <c r="G422" s="57">
        <v>91</v>
      </c>
      <c r="H422" s="7">
        <v>54</v>
      </c>
      <c r="I422" s="7">
        <v>74</v>
      </c>
      <c r="J422" s="7">
        <v>49</v>
      </c>
      <c r="K422" s="7">
        <v>67</v>
      </c>
      <c r="L422" s="56" t="str">
        <f>IFERROR(VLOOKUP(B422,Absen!$A$1:$C$501,2,FALSE),"No")</f>
        <v>No</v>
      </c>
      <c r="M422" s="58">
        <f t="shared" si="20"/>
        <v>6.7</v>
      </c>
      <c r="N422" s="57">
        <f t="shared" si="21"/>
        <v>66.575000000000003</v>
      </c>
      <c r="O422" s="7" t="str">
        <f>VLOOKUP(N422,Helper!$B$30:$C$35,2,TRUE)</f>
        <v>C</v>
      </c>
      <c r="P422" s="56">
        <f>INDEX(Detail!$A$1:$A$1001,MATCH(B422,Detail!$G$1:$G$1001,0))</f>
        <v>37045</v>
      </c>
      <c r="Q422" s="33" t="str">
        <f>INDEX(Detail!$F$1:$F$1001,MATCH(Main!B422,Detail!$G$1:$G$1001,0))</f>
        <v>Palu</v>
      </c>
      <c r="R422" s="7">
        <f>INDEX(Detail!$C$1:$C$1001,MATCH(B422,Detail!$G$1:$G$1001,0),1)</f>
        <v>152</v>
      </c>
      <c r="S422" s="7">
        <f>INDEX(Detail!$D$1:$D$1001,MATCH(B422,Detail!$G$1:$G$1001,0),1)</f>
        <v>63</v>
      </c>
      <c r="T422" s="7" t="str">
        <f>INDEX(Detail!$E$1:$E$1001,MATCH(Main!B422,Detail!$G$1:$G$1001,0))</f>
        <v xml:space="preserve">Jl. M.T Haryono No. 0
</v>
      </c>
      <c r="U422" s="7" t="str">
        <f>INDEX(Detail!$B$1:$B$1001,MATCH(B422,Detail!$G$1:$G$1001,0),1)</f>
        <v>A+</v>
      </c>
      <c r="V422" s="7" t="str" cm="1">
        <f t="array" ref="V422">INDEX(Dosen!$B$3:$E$8,MATCH(Main!C422,Dosen!$A$3:$A$8,0),IF(AND(Main!A422&gt;=1,Main!A422&lt;=250),1,IF(AND(Main!A422&gt;=251,Main!A422&lt;=500),2,IF(AND(Main!A422&gt;=501,Main!A422&lt;=750),3,4))))</f>
        <v>Bu Dwi</v>
      </c>
      <c r="W422" s="7" t="str">
        <f>_xlfn.XLOOKUP(B422,Detail!$G$1:$G$1001,Detail!$B$1:$B$1001)</f>
        <v>A+</v>
      </c>
    </row>
    <row r="423" spans="1:23" ht="15.75" x14ac:dyDescent="0.25">
      <c r="A423" s="7">
        <v>562</v>
      </c>
      <c r="B423" s="33" t="str">
        <f t="shared" si="22"/>
        <v>C0562</v>
      </c>
      <c r="C423" s="7" t="s">
        <v>1012</v>
      </c>
      <c r="D423" s="33" t="str">
        <f>VLOOKUP(B423,Detail!$G$1:$H$1001,2,FALSE)</f>
        <v>Martaka Pangestu</v>
      </c>
      <c r="E423" s="7">
        <v>70</v>
      </c>
      <c r="F423" s="7">
        <v>49</v>
      </c>
      <c r="G423" s="57">
        <v>65</v>
      </c>
      <c r="H423" s="7">
        <v>73</v>
      </c>
      <c r="I423" s="7">
        <v>51</v>
      </c>
      <c r="J423" s="7">
        <v>52</v>
      </c>
      <c r="K423" s="7">
        <v>91</v>
      </c>
      <c r="L423" s="56" t="str">
        <f>IFERROR(VLOOKUP(B423,Absen!$A$1:$C$501,2,FALSE),"No")</f>
        <v>No</v>
      </c>
      <c r="M423" s="58">
        <f t="shared" si="20"/>
        <v>9.1</v>
      </c>
      <c r="N423" s="57">
        <f t="shared" si="21"/>
        <v>62.875</v>
      </c>
      <c r="O423" s="7" t="str">
        <f>VLOOKUP(N423,Helper!$B$30:$C$35,2,TRUE)</f>
        <v>C</v>
      </c>
      <c r="P423" s="56">
        <f>INDEX(Detail!$A$1:$A$1001,MATCH(B423,Detail!$G$1:$G$1001,0))</f>
        <v>38121</v>
      </c>
      <c r="Q423" s="33" t="str">
        <f>INDEX(Detail!$F$1:$F$1001,MATCH(Main!B423,Detail!$G$1:$G$1001,0))</f>
        <v>Tarakan</v>
      </c>
      <c r="R423" s="7">
        <f>INDEX(Detail!$C$1:$C$1001,MATCH(B423,Detail!$G$1:$G$1001,0),1)</f>
        <v>157</v>
      </c>
      <c r="S423" s="7">
        <f>INDEX(Detail!$D$1:$D$1001,MATCH(B423,Detail!$G$1:$G$1001,0),1)</f>
        <v>47</v>
      </c>
      <c r="T423" s="7" t="str">
        <f>INDEX(Detail!$E$1:$E$1001,MATCH(Main!B423,Detail!$G$1:$G$1001,0))</f>
        <v>Gg. Indragiri No. 16</v>
      </c>
      <c r="U423" s="7" t="str">
        <f>INDEX(Detail!$B$1:$B$1001,MATCH(B423,Detail!$G$1:$G$1001,0),1)</f>
        <v>A+</v>
      </c>
      <c r="V423" s="7" t="str" cm="1">
        <f t="array" ref="V423">INDEX(Dosen!$B$3:$E$8,MATCH(Main!C423,Dosen!$A$3:$A$8,0),IF(AND(Main!A423&gt;=1,Main!A423&lt;=250),1,IF(AND(Main!A423&gt;=251,Main!A423&lt;=500),2,IF(AND(Main!A423&gt;=501,Main!A423&lt;=750),3,4))))</f>
        <v>Bu Dwi</v>
      </c>
      <c r="W423" s="7" t="str">
        <f>_xlfn.XLOOKUP(B423,Detail!$G$1:$G$1001,Detail!$B$1:$B$1001)</f>
        <v>A+</v>
      </c>
    </row>
    <row r="424" spans="1:23" ht="15.75" x14ac:dyDescent="0.25">
      <c r="A424" s="7">
        <v>565</v>
      </c>
      <c r="B424" s="33" t="str">
        <f t="shared" si="22"/>
        <v>C0565</v>
      </c>
      <c r="C424" s="7" t="s">
        <v>1012</v>
      </c>
      <c r="D424" s="33" t="str">
        <f>VLOOKUP(B424,Detail!$G$1:$H$1001,2,FALSE)</f>
        <v>Karna Winarsih</v>
      </c>
      <c r="E424" s="7">
        <v>66</v>
      </c>
      <c r="F424" s="7">
        <v>72</v>
      </c>
      <c r="G424" s="57">
        <v>55</v>
      </c>
      <c r="H424" s="7">
        <v>53</v>
      </c>
      <c r="I424" s="7">
        <v>81</v>
      </c>
      <c r="J424" s="7">
        <v>46</v>
      </c>
      <c r="K424" s="7">
        <v>100</v>
      </c>
      <c r="L424" s="56" t="str">
        <f>IFERROR(VLOOKUP(B424,Absen!$A$1:$C$501,2,FALSE),"No")</f>
        <v>No</v>
      </c>
      <c r="M424" s="58">
        <f t="shared" si="20"/>
        <v>10</v>
      </c>
      <c r="N424" s="57">
        <f t="shared" si="21"/>
        <v>64.2</v>
      </c>
      <c r="O424" s="7" t="str">
        <f>VLOOKUP(N424,Helper!$B$30:$C$35,2,TRUE)</f>
        <v>C</v>
      </c>
      <c r="P424" s="56">
        <f>INDEX(Detail!$A$1:$A$1001,MATCH(B424,Detail!$G$1:$G$1001,0))</f>
        <v>37637</v>
      </c>
      <c r="Q424" s="33" t="str">
        <f>INDEX(Detail!$F$1:$F$1001,MATCH(Main!B424,Detail!$G$1:$G$1001,0))</f>
        <v>Tanjungbalai</v>
      </c>
      <c r="R424" s="7">
        <f>INDEX(Detail!$C$1:$C$1001,MATCH(B424,Detail!$G$1:$G$1001,0),1)</f>
        <v>175</v>
      </c>
      <c r="S424" s="7">
        <f>INDEX(Detail!$D$1:$D$1001,MATCH(B424,Detail!$G$1:$G$1001,0),1)</f>
        <v>76</v>
      </c>
      <c r="T424" s="7" t="str">
        <f>INDEX(Detail!$E$1:$E$1001,MATCH(Main!B424,Detail!$G$1:$G$1001,0))</f>
        <v>Jalan Ciwastra No. 18</v>
      </c>
      <c r="U424" s="7" t="str">
        <f>INDEX(Detail!$B$1:$B$1001,MATCH(B424,Detail!$G$1:$G$1001,0),1)</f>
        <v>O-</v>
      </c>
      <c r="V424" s="7" t="str" cm="1">
        <f t="array" ref="V424">INDEX(Dosen!$B$3:$E$8,MATCH(Main!C424,Dosen!$A$3:$A$8,0),IF(AND(Main!A424&gt;=1,Main!A424&lt;=250),1,IF(AND(Main!A424&gt;=251,Main!A424&lt;=500),2,IF(AND(Main!A424&gt;=501,Main!A424&lt;=750),3,4))))</f>
        <v>Bu Dwi</v>
      </c>
      <c r="W424" s="7" t="str">
        <f>_xlfn.XLOOKUP(B424,Detail!$G$1:$G$1001,Detail!$B$1:$B$1001)</f>
        <v>O-</v>
      </c>
    </row>
    <row r="425" spans="1:23" ht="15.75" x14ac:dyDescent="0.25">
      <c r="A425" s="7">
        <v>573</v>
      </c>
      <c r="B425" s="33" t="str">
        <f t="shared" si="22"/>
        <v>C0573</v>
      </c>
      <c r="C425" s="7" t="s">
        <v>1012</v>
      </c>
      <c r="D425" s="33" t="str">
        <f>VLOOKUP(B425,Detail!$G$1:$H$1001,2,FALSE)</f>
        <v>Adinata Gunawan</v>
      </c>
      <c r="E425" s="7">
        <v>90</v>
      </c>
      <c r="F425" s="7">
        <v>75</v>
      </c>
      <c r="G425" s="57">
        <v>62</v>
      </c>
      <c r="H425" s="7">
        <v>52</v>
      </c>
      <c r="I425" s="7">
        <v>91</v>
      </c>
      <c r="J425" s="7">
        <v>93</v>
      </c>
      <c r="K425" s="7">
        <v>96</v>
      </c>
      <c r="L425" s="56">
        <f>IFERROR(VLOOKUP(B425,Absen!$A$1:$C$501,2,FALSE),"No")</f>
        <v>44882</v>
      </c>
      <c r="M425" s="58">
        <f t="shared" si="20"/>
        <v>8.6</v>
      </c>
      <c r="N425" s="57">
        <f t="shared" si="21"/>
        <v>78.099999999999994</v>
      </c>
      <c r="O425" s="7" t="str">
        <f>VLOOKUP(N425,Helper!$B$30:$C$35,2,TRUE)</f>
        <v>B</v>
      </c>
      <c r="P425" s="56">
        <f>INDEX(Detail!$A$1:$A$1001,MATCH(B425,Detail!$G$1:$G$1001,0))</f>
        <v>37549</v>
      </c>
      <c r="Q425" s="33" t="str">
        <f>INDEX(Detail!$F$1:$F$1001,MATCH(Main!B425,Detail!$G$1:$G$1001,0))</f>
        <v>Pangkalpinang</v>
      </c>
      <c r="R425" s="7">
        <f>INDEX(Detail!$C$1:$C$1001,MATCH(B425,Detail!$G$1:$G$1001,0),1)</f>
        <v>177</v>
      </c>
      <c r="S425" s="7">
        <f>INDEX(Detail!$D$1:$D$1001,MATCH(B425,Detail!$G$1:$G$1001,0),1)</f>
        <v>57</v>
      </c>
      <c r="T425" s="7" t="str">
        <f>INDEX(Detail!$E$1:$E$1001,MATCH(Main!B425,Detail!$G$1:$G$1001,0))</f>
        <v xml:space="preserve">Jl. Sentot Alibasa No. 0
</v>
      </c>
      <c r="U425" s="7" t="str">
        <f>INDEX(Detail!$B$1:$B$1001,MATCH(B425,Detail!$G$1:$G$1001,0),1)</f>
        <v>B-</v>
      </c>
      <c r="V425" s="7" t="str" cm="1">
        <f t="array" ref="V425">INDEX(Dosen!$B$3:$E$8,MATCH(Main!C425,Dosen!$A$3:$A$8,0),IF(AND(Main!A425&gt;=1,Main!A425&lt;=250),1,IF(AND(Main!A425&gt;=251,Main!A425&lt;=500),2,IF(AND(Main!A425&gt;=501,Main!A425&lt;=750),3,4))))</f>
        <v>Bu Dwi</v>
      </c>
      <c r="W425" s="7" t="str">
        <f>_xlfn.XLOOKUP(B425,Detail!$G$1:$G$1001,Detail!$B$1:$B$1001)</f>
        <v>B-</v>
      </c>
    </row>
    <row r="426" spans="1:23" ht="15.75" x14ac:dyDescent="0.25">
      <c r="A426" s="7">
        <v>575</v>
      </c>
      <c r="B426" s="33" t="str">
        <f t="shared" si="22"/>
        <v>C0575</v>
      </c>
      <c r="C426" s="7" t="s">
        <v>1012</v>
      </c>
      <c r="D426" s="33" t="str">
        <f>VLOOKUP(B426,Detail!$G$1:$H$1001,2,FALSE)</f>
        <v>Lantar Susanti</v>
      </c>
      <c r="E426" s="7">
        <v>90</v>
      </c>
      <c r="F426" s="7">
        <v>65</v>
      </c>
      <c r="G426" s="57">
        <v>36</v>
      </c>
      <c r="H426" s="7">
        <v>73</v>
      </c>
      <c r="I426" s="7">
        <v>60</v>
      </c>
      <c r="J426" s="7">
        <v>84</v>
      </c>
      <c r="K426" s="7">
        <v>93</v>
      </c>
      <c r="L426" s="56" t="str">
        <f>IFERROR(VLOOKUP(B426,Absen!$A$1:$C$501,2,FALSE),"No")</f>
        <v>No</v>
      </c>
      <c r="M426" s="58">
        <f t="shared" si="20"/>
        <v>9.3000000000000007</v>
      </c>
      <c r="N426" s="57">
        <f t="shared" si="21"/>
        <v>69.3</v>
      </c>
      <c r="O426" s="7" t="str">
        <f>VLOOKUP(N426,Helper!$B$30:$C$35,2,TRUE)</f>
        <v>C</v>
      </c>
      <c r="P426" s="56">
        <f>INDEX(Detail!$A$1:$A$1001,MATCH(B426,Detail!$G$1:$G$1001,0))</f>
        <v>37251</v>
      </c>
      <c r="Q426" s="33" t="str">
        <f>INDEX(Detail!$F$1:$F$1001,MATCH(Main!B426,Detail!$G$1:$G$1001,0))</f>
        <v>Palangkaraya</v>
      </c>
      <c r="R426" s="7">
        <f>INDEX(Detail!$C$1:$C$1001,MATCH(B426,Detail!$G$1:$G$1001,0),1)</f>
        <v>164</v>
      </c>
      <c r="S426" s="7">
        <f>INDEX(Detail!$D$1:$D$1001,MATCH(B426,Detail!$G$1:$G$1001,0),1)</f>
        <v>92</v>
      </c>
      <c r="T426" s="7" t="str">
        <f>INDEX(Detail!$E$1:$E$1001,MATCH(Main!B426,Detail!$G$1:$G$1001,0))</f>
        <v>Gang Suryakencana No. 71</v>
      </c>
      <c r="U426" s="7" t="str">
        <f>INDEX(Detail!$B$1:$B$1001,MATCH(B426,Detail!$G$1:$G$1001,0),1)</f>
        <v>B+</v>
      </c>
      <c r="V426" s="7" t="str" cm="1">
        <f t="array" ref="V426">INDEX(Dosen!$B$3:$E$8,MATCH(Main!C426,Dosen!$A$3:$A$8,0),IF(AND(Main!A426&gt;=1,Main!A426&lt;=250),1,IF(AND(Main!A426&gt;=251,Main!A426&lt;=500),2,IF(AND(Main!A426&gt;=501,Main!A426&lt;=750),3,4))))</f>
        <v>Bu Dwi</v>
      </c>
      <c r="W426" s="7" t="str">
        <f>_xlfn.XLOOKUP(B426,Detail!$G$1:$G$1001,Detail!$B$1:$B$1001)</f>
        <v>B+</v>
      </c>
    </row>
    <row r="427" spans="1:23" ht="15.75" x14ac:dyDescent="0.25">
      <c r="A427" s="7">
        <v>577</v>
      </c>
      <c r="B427" s="33" t="str">
        <f t="shared" si="22"/>
        <v>C0577</v>
      </c>
      <c r="C427" s="7" t="s">
        <v>1012</v>
      </c>
      <c r="D427" s="33" t="str">
        <f>VLOOKUP(B427,Detail!$G$1:$H$1001,2,FALSE)</f>
        <v>Warji Tampubolon</v>
      </c>
      <c r="E427" s="7">
        <v>67</v>
      </c>
      <c r="F427" s="7">
        <v>46</v>
      </c>
      <c r="G427" s="57">
        <v>62</v>
      </c>
      <c r="H427" s="7">
        <v>62</v>
      </c>
      <c r="I427" s="7">
        <v>66</v>
      </c>
      <c r="J427" s="7">
        <v>46</v>
      </c>
      <c r="K427" s="7">
        <v>86</v>
      </c>
      <c r="L427" s="56">
        <f>IFERROR(VLOOKUP(B427,Absen!$A$1:$C$501,2,FALSE),"No")</f>
        <v>44898</v>
      </c>
      <c r="M427" s="58">
        <f t="shared" si="20"/>
        <v>7.6000000000000005</v>
      </c>
      <c r="N427" s="57">
        <f t="shared" si="21"/>
        <v>59.325000000000003</v>
      </c>
      <c r="O427" s="7" t="str">
        <f>VLOOKUP(N427,Helper!$B$30:$C$35,2,TRUE)</f>
        <v>D</v>
      </c>
      <c r="P427" s="56">
        <f>INDEX(Detail!$A$1:$A$1001,MATCH(B427,Detail!$G$1:$G$1001,0))</f>
        <v>37423</v>
      </c>
      <c r="Q427" s="33" t="str">
        <f>INDEX(Detail!$F$1:$F$1001,MATCH(Main!B427,Detail!$G$1:$G$1001,0))</f>
        <v>Tanjungpinang</v>
      </c>
      <c r="R427" s="7">
        <f>INDEX(Detail!$C$1:$C$1001,MATCH(B427,Detail!$G$1:$G$1001,0),1)</f>
        <v>170</v>
      </c>
      <c r="S427" s="7">
        <f>INDEX(Detail!$D$1:$D$1001,MATCH(B427,Detail!$G$1:$G$1001,0),1)</f>
        <v>64</v>
      </c>
      <c r="T427" s="7" t="str">
        <f>INDEX(Detail!$E$1:$E$1001,MATCH(Main!B427,Detail!$G$1:$G$1001,0))</f>
        <v xml:space="preserve">Jalan Dr. Djunjunan No. 8
</v>
      </c>
      <c r="U427" s="7" t="str">
        <f>INDEX(Detail!$B$1:$B$1001,MATCH(B427,Detail!$G$1:$G$1001,0),1)</f>
        <v>O+</v>
      </c>
      <c r="V427" s="7" t="str" cm="1">
        <f t="array" ref="V427">INDEX(Dosen!$B$3:$E$8,MATCH(Main!C427,Dosen!$A$3:$A$8,0),IF(AND(Main!A427&gt;=1,Main!A427&lt;=250),1,IF(AND(Main!A427&gt;=251,Main!A427&lt;=500),2,IF(AND(Main!A427&gt;=501,Main!A427&lt;=750),3,4))))</f>
        <v>Bu Dwi</v>
      </c>
      <c r="W427" s="7" t="str">
        <f>_xlfn.XLOOKUP(B427,Detail!$G$1:$G$1001,Detail!$B$1:$B$1001)</f>
        <v>O+</v>
      </c>
    </row>
    <row r="428" spans="1:23" ht="15.75" x14ac:dyDescent="0.25">
      <c r="A428" s="7">
        <v>580</v>
      </c>
      <c r="B428" s="33" t="str">
        <f t="shared" si="22"/>
        <v>C0580</v>
      </c>
      <c r="C428" s="7" t="s">
        <v>1012</v>
      </c>
      <c r="D428" s="33" t="str">
        <f>VLOOKUP(B428,Detail!$G$1:$H$1001,2,FALSE)</f>
        <v>Kawaya Pradana</v>
      </c>
      <c r="E428" s="7">
        <v>74</v>
      </c>
      <c r="F428" s="7">
        <v>63</v>
      </c>
      <c r="G428" s="57">
        <v>72</v>
      </c>
      <c r="H428" s="7">
        <v>58</v>
      </c>
      <c r="I428" s="7">
        <v>82</v>
      </c>
      <c r="J428" s="7">
        <v>51</v>
      </c>
      <c r="K428" s="7">
        <v>76</v>
      </c>
      <c r="L428" s="56" t="str">
        <f>IFERROR(VLOOKUP(B428,Absen!$A$1:$C$501,2,FALSE),"No")</f>
        <v>No</v>
      </c>
      <c r="M428" s="58">
        <f t="shared" si="20"/>
        <v>7.6000000000000005</v>
      </c>
      <c r="N428" s="57">
        <f t="shared" si="21"/>
        <v>66.825000000000003</v>
      </c>
      <c r="O428" s="7" t="str">
        <f>VLOOKUP(N428,Helper!$B$30:$C$35,2,TRUE)</f>
        <v>C</v>
      </c>
      <c r="P428" s="56">
        <f>INDEX(Detail!$A$1:$A$1001,MATCH(B428,Detail!$G$1:$G$1001,0))</f>
        <v>37514</v>
      </c>
      <c r="Q428" s="33" t="str">
        <f>INDEX(Detail!$F$1:$F$1001,MATCH(Main!B428,Detail!$G$1:$G$1001,0))</f>
        <v>Langsa</v>
      </c>
      <c r="R428" s="7">
        <f>INDEX(Detail!$C$1:$C$1001,MATCH(B428,Detail!$G$1:$G$1001,0),1)</f>
        <v>157</v>
      </c>
      <c r="S428" s="7">
        <f>INDEX(Detail!$D$1:$D$1001,MATCH(B428,Detail!$G$1:$G$1001,0),1)</f>
        <v>62</v>
      </c>
      <c r="T428" s="7" t="str">
        <f>INDEX(Detail!$E$1:$E$1001,MATCH(Main!B428,Detail!$G$1:$G$1001,0))</f>
        <v xml:space="preserve">Gang Kutai No. 8
</v>
      </c>
      <c r="U428" s="7" t="str">
        <f>INDEX(Detail!$B$1:$B$1001,MATCH(B428,Detail!$G$1:$G$1001,0),1)</f>
        <v>A-</v>
      </c>
      <c r="V428" s="7" t="str" cm="1">
        <f t="array" ref="V428">INDEX(Dosen!$B$3:$E$8,MATCH(Main!C428,Dosen!$A$3:$A$8,0),IF(AND(Main!A428&gt;=1,Main!A428&lt;=250),1,IF(AND(Main!A428&gt;=251,Main!A428&lt;=500),2,IF(AND(Main!A428&gt;=501,Main!A428&lt;=750),3,4))))</f>
        <v>Bu Dwi</v>
      </c>
      <c r="W428" s="7" t="str">
        <f>_xlfn.XLOOKUP(B428,Detail!$G$1:$G$1001,Detail!$B$1:$B$1001)</f>
        <v>A-</v>
      </c>
    </row>
    <row r="429" spans="1:23" ht="15.75" x14ac:dyDescent="0.25">
      <c r="A429" s="7">
        <v>583</v>
      </c>
      <c r="B429" s="33" t="str">
        <f t="shared" si="22"/>
        <v>C0583</v>
      </c>
      <c r="C429" s="7" t="s">
        <v>1012</v>
      </c>
      <c r="D429" s="33" t="str">
        <f>VLOOKUP(B429,Detail!$G$1:$H$1001,2,FALSE)</f>
        <v>Ajiman Ardianto</v>
      </c>
      <c r="E429" s="7">
        <v>95</v>
      </c>
      <c r="F429" s="7">
        <v>75</v>
      </c>
      <c r="G429" s="57">
        <v>55</v>
      </c>
      <c r="H429" s="7">
        <v>67</v>
      </c>
      <c r="I429" s="7">
        <v>83</v>
      </c>
      <c r="J429" s="7">
        <v>96</v>
      </c>
      <c r="K429" s="7">
        <v>86</v>
      </c>
      <c r="L429" s="56" t="str">
        <f>IFERROR(VLOOKUP(B429,Absen!$A$1:$C$501,2,FALSE),"No")</f>
        <v>No</v>
      </c>
      <c r="M429" s="58">
        <f t="shared" si="20"/>
        <v>8.6</v>
      </c>
      <c r="N429" s="57">
        <f t="shared" si="21"/>
        <v>78.8</v>
      </c>
      <c r="O429" s="7" t="str">
        <f>VLOOKUP(N429,Helper!$B$30:$C$35,2,TRUE)</f>
        <v>B</v>
      </c>
      <c r="P429" s="56">
        <f>INDEX(Detail!$A$1:$A$1001,MATCH(B429,Detail!$G$1:$G$1001,0))</f>
        <v>37408</v>
      </c>
      <c r="Q429" s="33" t="str">
        <f>INDEX(Detail!$F$1:$F$1001,MATCH(Main!B429,Detail!$G$1:$G$1001,0))</f>
        <v>Balikpapan</v>
      </c>
      <c r="R429" s="7">
        <f>INDEX(Detail!$C$1:$C$1001,MATCH(B429,Detail!$G$1:$G$1001,0),1)</f>
        <v>176</v>
      </c>
      <c r="S429" s="7">
        <f>INDEX(Detail!$D$1:$D$1001,MATCH(B429,Detail!$G$1:$G$1001,0),1)</f>
        <v>80</v>
      </c>
      <c r="T429" s="7" t="str">
        <f>INDEX(Detail!$E$1:$E$1001,MATCH(Main!B429,Detail!$G$1:$G$1001,0))</f>
        <v xml:space="preserve">Gg. M.T Haryono No. 2
</v>
      </c>
      <c r="U429" s="7" t="str">
        <f>INDEX(Detail!$B$1:$B$1001,MATCH(B429,Detail!$G$1:$G$1001,0),1)</f>
        <v>O-</v>
      </c>
      <c r="V429" s="7" t="str" cm="1">
        <f t="array" ref="V429">INDEX(Dosen!$B$3:$E$8,MATCH(Main!C429,Dosen!$A$3:$A$8,0),IF(AND(Main!A429&gt;=1,Main!A429&lt;=250),1,IF(AND(Main!A429&gt;=251,Main!A429&lt;=500),2,IF(AND(Main!A429&gt;=501,Main!A429&lt;=750),3,4))))</f>
        <v>Bu Dwi</v>
      </c>
      <c r="W429" s="7" t="str">
        <f>_xlfn.XLOOKUP(B429,Detail!$G$1:$G$1001,Detail!$B$1:$B$1001)</f>
        <v>O-</v>
      </c>
    </row>
    <row r="430" spans="1:23" ht="15.75" x14ac:dyDescent="0.25">
      <c r="A430" s="7">
        <v>587</v>
      </c>
      <c r="B430" s="33" t="str">
        <f t="shared" si="22"/>
        <v>C0587</v>
      </c>
      <c r="C430" s="7" t="s">
        <v>1012</v>
      </c>
      <c r="D430" s="33" t="str">
        <f>VLOOKUP(B430,Detail!$G$1:$H$1001,2,FALSE)</f>
        <v>Timbul Riyanti</v>
      </c>
      <c r="E430" s="7">
        <v>57</v>
      </c>
      <c r="F430" s="7">
        <v>63</v>
      </c>
      <c r="G430" s="57">
        <v>36</v>
      </c>
      <c r="H430" s="7">
        <v>70</v>
      </c>
      <c r="I430" s="7">
        <v>57</v>
      </c>
      <c r="J430" s="7">
        <v>92</v>
      </c>
      <c r="K430" s="7">
        <v>68</v>
      </c>
      <c r="L430" s="56">
        <f>IFERROR(VLOOKUP(B430,Absen!$A$1:$C$501,2,FALSE),"No")</f>
        <v>44747</v>
      </c>
      <c r="M430" s="58">
        <f t="shared" si="20"/>
        <v>5.8000000000000007</v>
      </c>
      <c r="N430" s="57">
        <f t="shared" si="21"/>
        <v>62.275000000000006</v>
      </c>
      <c r="O430" s="7" t="str">
        <f>VLOOKUP(N430,Helper!$B$30:$C$35,2,TRUE)</f>
        <v>C</v>
      </c>
      <c r="P430" s="56">
        <f>INDEX(Detail!$A$1:$A$1001,MATCH(B430,Detail!$G$1:$G$1001,0))</f>
        <v>38450</v>
      </c>
      <c r="Q430" s="33" t="str">
        <f>INDEX(Detail!$F$1:$F$1001,MATCH(Main!B430,Detail!$G$1:$G$1001,0))</f>
        <v>Bogor</v>
      </c>
      <c r="R430" s="7">
        <f>INDEX(Detail!$C$1:$C$1001,MATCH(B430,Detail!$G$1:$G$1001,0),1)</f>
        <v>163</v>
      </c>
      <c r="S430" s="7">
        <f>INDEX(Detail!$D$1:$D$1001,MATCH(B430,Detail!$G$1:$G$1001,0),1)</f>
        <v>72</v>
      </c>
      <c r="T430" s="7" t="str">
        <f>INDEX(Detail!$E$1:$E$1001,MATCH(Main!B430,Detail!$G$1:$G$1001,0))</f>
        <v>Jalan Stasiun Wonokromo No. 38</v>
      </c>
      <c r="U430" s="7" t="str">
        <f>INDEX(Detail!$B$1:$B$1001,MATCH(B430,Detail!$G$1:$G$1001,0),1)</f>
        <v>A+</v>
      </c>
      <c r="V430" s="7" t="str" cm="1">
        <f t="array" ref="V430">INDEX(Dosen!$B$3:$E$8,MATCH(Main!C430,Dosen!$A$3:$A$8,0),IF(AND(Main!A430&gt;=1,Main!A430&lt;=250),1,IF(AND(Main!A430&gt;=251,Main!A430&lt;=500),2,IF(AND(Main!A430&gt;=501,Main!A430&lt;=750),3,4))))</f>
        <v>Bu Dwi</v>
      </c>
      <c r="W430" s="7" t="str">
        <f>_xlfn.XLOOKUP(B430,Detail!$G$1:$G$1001,Detail!$B$1:$B$1001)</f>
        <v>A+</v>
      </c>
    </row>
    <row r="431" spans="1:23" ht="15.75" x14ac:dyDescent="0.25">
      <c r="A431" s="7">
        <v>590</v>
      </c>
      <c r="B431" s="33" t="str">
        <f t="shared" si="22"/>
        <v>C0590</v>
      </c>
      <c r="C431" s="7" t="s">
        <v>1012</v>
      </c>
      <c r="D431" s="33" t="str">
        <f>VLOOKUP(B431,Detail!$G$1:$H$1001,2,FALSE)</f>
        <v>Jinawi Hardiansyah</v>
      </c>
      <c r="E431" s="7">
        <v>54</v>
      </c>
      <c r="F431" s="7">
        <v>61</v>
      </c>
      <c r="G431" s="57">
        <v>60</v>
      </c>
      <c r="H431" s="7">
        <v>73</v>
      </c>
      <c r="I431" s="7">
        <v>73</v>
      </c>
      <c r="J431" s="7">
        <v>84</v>
      </c>
      <c r="K431" s="7">
        <v>97</v>
      </c>
      <c r="L431" s="56">
        <f>IFERROR(VLOOKUP(B431,Absen!$A$1:$C$501,2,FALSE),"No")</f>
        <v>44913</v>
      </c>
      <c r="M431" s="58">
        <f t="shared" si="20"/>
        <v>8.7000000000000011</v>
      </c>
      <c r="N431" s="57">
        <f t="shared" si="21"/>
        <v>70.125</v>
      </c>
      <c r="O431" s="7" t="str">
        <f>VLOOKUP(N431,Helper!$B$30:$C$35,2,TRUE)</f>
        <v>B</v>
      </c>
      <c r="P431" s="56">
        <f>INDEX(Detail!$A$1:$A$1001,MATCH(B431,Detail!$G$1:$G$1001,0))</f>
        <v>37656</v>
      </c>
      <c r="Q431" s="33" t="str">
        <f>INDEX(Detail!$F$1:$F$1001,MATCH(Main!B431,Detail!$G$1:$G$1001,0))</f>
        <v>Tual</v>
      </c>
      <c r="R431" s="7">
        <f>INDEX(Detail!$C$1:$C$1001,MATCH(B431,Detail!$G$1:$G$1001,0),1)</f>
        <v>151</v>
      </c>
      <c r="S431" s="7">
        <f>INDEX(Detail!$D$1:$D$1001,MATCH(B431,Detail!$G$1:$G$1001,0),1)</f>
        <v>88</v>
      </c>
      <c r="T431" s="7" t="str">
        <f>INDEX(Detail!$E$1:$E$1001,MATCH(Main!B431,Detail!$G$1:$G$1001,0))</f>
        <v>Gg. Pasirkoja No. 95</v>
      </c>
      <c r="U431" s="7" t="str">
        <f>INDEX(Detail!$B$1:$B$1001,MATCH(B431,Detail!$G$1:$G$1001,0),1)</f>
        <v>B+</v>
      </c>
      <c r="V431" s="7" t="str" cm="1">
        <f t="array" ref="V431">INDEX(Dosen!$B$3:$E$8,MATCH(Main!C431,Dosen!$A$3:$A$8,0),IF(AND(Main!A431&gt;=1,Main!A431&lt;=250),1,IF(AND(Main!A431&gt;=251,Main!A431&lt;=500),2,IF(AND(Main!A431&gt;=501,Main!A431&lt;=750),3,4))))</f>
        <v>Bu Dwi</v>
      </c>
      <c r="W431" s="7" t="str">
        <f>_xlfn.XLOOKUP(B431,Detail!$G$1:$G$1001,Detail!$B$1:$B$1001)</f>
        <v>B+</v>
      </c>
    </row>
    <row r="432" spans="1:23" ht="15.75" x14ac:dyDescent="0.25">
      <c r="A432" s="7">
        <v>602</v>
      </c>
      <c r="B432" s="33" t="str">
        <f t="shared" si="22"/>
        <v>C0602</v>
      </c>
      <c r="C432" s="7" t="s">
        <v>1012</v>
      </c>
      <c r="D432" s="33" t="str">
        <f>VLOOKUP(B432,Detail!$G$1:$H$1001,2,FALSE)</f>
        <v>Elma Prastuti</v>
      </c>
      <c r="E432" s="7">
        <v>92</v>
      </c>
      <c r="F432" s="7">
        <v>56</v>
      </c>
      <c r="G432" s="57">
        <v>35</v>
      </c>
      <c r="H432" s="7">
        <v>53</v>
      </c>
      <c r="I432" s="7">
        <v>75</v>
      </c>
      <c r="J432" s="7">
        <v>40</v>
      </c>
      <c r="K432" s="7">
        <v>82</v>
      </c>
      <c r="L432" s="56">
        <f>IFERROR(VLOOKUP(B432,Absen!$A$1:$C$501,2,FALSE),"No")</f>
        <v>44766</v>
      </c>
      <c r="M432" s="58">
        <f t="shared" si="20"/>
        <v>7.2</v>
      </c>
      <c r="N432" s="57">
        <f t="shared" si="21"/>
        <v>56.7</v>
      </c>
      <c r="O432" s="7" t="str">
        <f>VLOOKUP(N432,Helper!$B$30:$C$35,2,TRUE)</f>
        <v>D</v>
      </c>
      <c r="P432" s="56">
        <f>INDEX(Detail!$A$1:$A$1001,MATCH(B432,Detail!$G$1:$G$1001,0))</f>
        <v>37162</v>
      </c>
      <c r="Q432" s="33" t="str">
        <f>INDEX(Detail!$F$1:$F$1001,MATCH(Main!B432,Detail!$G$1:$G$1001,0))</f>
        <v>Palembang</v>
      </c>
      <c r="R432" s="7">
        <f>INDEX(Detail!$C$1:$C$1001,MATCH(B432,Detail!$G$1:$G$1001,0),1)</f>
        <v>150</v>
      </c>
      <c r="S432" s="7">
        <f>INDEX(Detail!$D$1:$D$1001,MATCH(B432,Detail!$G$1:$G$1001,0),1)</f>
        <v>50</v>
      </c>
      <c r="T432" s="7" t="str">
        <f>INDEX(Detail!$E$1:$E$1001,MATCH(Main!B432,Detail!$G$1:$G$1001,0))</f>
        <v xml:space="preserve">Jl. Rumah Sakit No. 8
</v>
      </c>
      <c r="U432" s="7" t="str">
        <f>INDEX(Detail!$B$1:$B$1001,MATCH(B432,Detail!$G$1:$G$1001,0),1)</f>
        <v>AB+</v>
      </c>
      <c r="V432" s="7" t="str" cm="1">
        <f t="array" ref="V432">INDEX(Dosen!$B$3:$E$8,MATCH(Main!C432,Dosen!$A$3:$A$8,0),IF(AND(Main!A432&gt;=1,Main!A432&lt;=250),1,IF(AND(Main!A432&gt;=251,Main!A432&lt;=500),2,IF(AND(Main!A432&gt;=501,Main!A432&lt;=750),3,4))))</f>
        <v>Bu Dwi</v>
      </c>
      <c r="W432" s="7" t="str">
        <f>_xlfn.XLOOKUP(B432,Detail!$G$1:$G$1001,Detail!$B$1:$B$1001)</f>
        <v>AB+</v>
      </c>
    </row>
    <row r="433" spans="1:23" ht="15.75" x14ac:dyDescent="0.25">
      <c r="A433" s="7">
        <v>603</v>
      </c>
      <c r="B433" s="33" t="str">
        <f t="shared" si="22"/>
        <v>C0603</v>
      </c>
      <c r="C433" s="7" t="s">
        <v>1012</v>
      </c>
      <c r="D433" s="33" t="str">
        <f>VLOOKUP(B433,Detail!$G$1:$H$1001,2,FALSE)</f>
        <v>Karta Wahyudin</v>
      </c>
      <c r="E433" s="7">
        <v>53</v>
      </c>
      <c r="F433" s="7">
        <v>69</v>
      </c>
      <c r="G433" s="57">
        <v>56</v>
      </c>
      <c r="H433" s="7">
        <v>57</v>
      </c>
      <c r="I433" s="7">
        <v>71</v>
      </c>
      <c r="J433" s="7">
        <v>48</v>
      </c>
      <c r="K433" s="7">
        <v>62</v>
      </c>
      <c r="L433" s="56" t="str">
        <f>IFERROR(VLOOKUP(B433,Absen!$A$1:$C$501,2,FALSE),"No")</f>
        <v>No</v>
      </c>
      <c r="M433" s="58">
        <f t="shared" si="20"/>
        <v>6.2</v>
      </c>
      <c r="N433" s="57">
        <f t="shared" si="21"/>
        <v>58.250000000000007</v>
      </c>
      <c r="O433" s="7" t="str">
        <f>VLOOKUP(N433,Helper!$B$30:$C$35,2,TRUE)</f>
        <v>D</v>
      </c>
      <c r="P433" s="56">
        <f>INDEX(Detail!$A$1:$A$1001,MATCH(B433,Detail!$G$1:$G$1001,0))</f>
        <v>37396</v>
      </c>
      <c r="Q433" s="33" t="str">
        <f>INDEX(Detail!$F$1:$F$1001,MATCH(Main!B433,Detail!$G$1:$G$1001,0))</f>
        <v>Gorontalo</v>
      </c>
      <c r="R433" s="7">
        <f>INDEX(Detail!$C$1:$C$1001,MATCH(B433,Detail!$G$1:$G$1001,0),1)</f>
        <v>163</v>
      </c>
      <c r="S433" s="7">
        <f>INDEX(Detail!$D$1:$D$1001,MATCH(B433,Detail!$G$1:$G$1001,0),1)</f>
        <v>49</v>
      </c>
      <c r="T433" s="7" t="str">
        <f>INDEX(Detail!$E$1:$E$1001,MATCH(Main!B433,Detail!$G$1:$G$1001,0))</f>
        <v xml:space="preserve">Gang Raya Ujungberung No. 6
</v>
      </c>
      <c r="U433" s="7" t="str">
        <f>INDEX(Detail!$B$1:$B$1001,MATCH(B433,Detail!$G$1:$G$1001,0),1)</f>
        <v>AB-</v>
      </c>
      <c r="V433" s="7" t="str" cm="1">
        <f t="array" ref="V433">INDEX(Dosen!$B$3:$E$8,MATCH(Main!C433,Dosen!$A$3:$A$8,0),IF(AND(Main!A433&gt;=1,Main!A433&lt;=250),1,IF(AND(Main!A433&gt;=251,Main!A433&lt;=500),2,IF(AND(Main!A433&gt;=501,Main!A433&lt;=750),3,4))))</f>
        <v>Bu Dwi</v>
      </c>
      <c r="W433" s="7" t="str">
        <f>_xlfn.XLOOKUP(B433,Detail!$G$1:$G$1001,Detail!$B$1:$B$1001)</f>
        <v>AB-</v>
      </c>
    </row>
    <row r="434" spans="1:23" ht="15.75" x14ac:dyDescent="0.25">
      <c r="A434" s="7">
        <v>614</v>
      </c>
      <c r="B434" s="33" t="str">
        <f t="shared" si="22"/>
        <v>C0614</v>
      </c>
      <c r="C434" s="7" t="s">
        <v>1012</v>
      </c>
      <c r="D434" s="33" t="str">
        <f>VLOOKUP(B434,Detail!$G$1:$H$1001,2,FALSE)</f>
        <v>Tania Andriani</v>
      </c>
      <c r="E434" s="7">
        <v>54</v>
      </c>
      <c r="F434" s="7">
        <v>46</v>
      </c>
      <c r="G434" s="57">
        <v>94</v>
      </c>
      <c r="H434" s="7">
        <v>58</v>
      </c>
      <c r="I434" s="7">
        <v>62</v>
      </c>
      <c r="J434" s="7">
        <v>46</v>
      </c>
      <c r="K434" s="7">
        <v>69</v>
      </c>
      <c r="L434" s="56">
        <f>IFERROR(VLOOKUP(B434,Absen!$A$1:$C$501,2,FALSE),"No")</f>
        <v>44843</v>
      </c>
      <c r="M434" s="58">
        <f t="shared" si="20"/>
        <v>5.9</v>
      </c>
      <c r="N434" s="57">
        <f t="shared" si="21"/>
        <v>61.4</v>
      </c>
      <c r="O434" s="7" t="str">
        <f>VLOOKUP(N434,Helper!$B$30:$C$35,2,TRUE)</f>
        <v>C</v>
      </c>
      <c r="P434" s="56">
        <f>INDEX(Detail!$A$1:$A$1001,MATCH(B434,Detail!$G$1:$G$1001,0))</f>
        <v>38119</v>
      </c>
      <c r="Q434" s="33" t="str">
        <f>INDEX(Detail!$F$1:$F$1001,MATCH(Main!B434,Detail!$G$1:$G$1001,0))</f>
        <v>Banjarmasin</v>
      </c>
      <c r="R434" s="7">
        <f>INDEX(Detail!$C$1:$C$1001,MATCH(B434,Detail!$G$1:$G$1001,0),1)</f>
        <v>180</v>
      </c>
      <c r="S434" s="7">
        <f>INDEX(Detail!$D$1:$D$1001,MATCH(B434,Detail!$G$1:$G$1001,0),1)</f>
        <v>90</v>
      </c>
      <c r="T434" s="7" t="str">
        <f>INDEX(Detail!$E$1:$E$1001,MATCH(Main!B434,Detail!$G$1:$G$1001,0))</f>
        <v xml:space="preserve">Gang Abdul Muis No. 2
</v>
      </c>
      <c r="U434" s="7" t="str">
        <f>INDEX(Detail!$B$1:$B$1001,MATCH(B434,Detail!$G$1:$G$1001,0),1)</f>
        <v>A+</v>
      </c>
      <c r="V434" s="7" t="str" cm="1">
        <f t="array" ref="V434">INDEX(Dosen!$B$3:$E$8,MATCH(Main!C434,Dosen!$A$3:$A$8,0),IF(AND(Main!A434&gt;=1,Main!A434&lt;=250),1,IF(AND(Main!A434&gt;=251,Main!A434&lt;=500),2,IF(AND(Main!A434&gt;=501,Main!A434&lt;=750),3,4))))</f>
        <v>Bu Dwi</v>
      </c>
      <c r="W434" s="7" t="str">
        <f>_xlfn.XLOOKUP(B434,Detail!$G$1:$G$1001,Detail!$B$1:$B$1001)</f>
        <v>A+</v>
      </c>
    </row>
    <row r="435" spans="1:23" ht="15.75" x14ac:dyDescent="0.25">
      <c r="A435" s="7">
        <v>616</v>
      </c>
      <c r="B435" s="33" t="str">
        <f t="shared" si="22"/>
        <v>C0616</v>
      </c>
      <c r="C435" s="7" t="s">
        <v>1012</v>
      </c>
      <c r="D435" s="33" t="str">
        <f>VLOOKUP(B435,Detail!$G$1:$H$1001,2,FALSE)</f>
        <v>Balangga Kusuma</v>
      </c>
      <c r="E435" s="7">
        <v>58</v>
      </c>
      <c r="F435" s="7">
        <v>61</v>
      </c>
      <c r="G435" s="57">
        <v>64</v>
      </c>
      <c r="H435" s="7">
        <v>58</v>
      </c>
      <c r="I435" s="7">
        <v>59</v>
      </c>
      <c r="J435" s="7">
        <v>88</v>
      </c>
      <c r="K435" s="7">
        <v>93</v>
      </c>
      <c r="L435" s="56">
        <f>IFERROR(VLOOKUP(B435,Absen!$A$1:$C$501,2,FALSE),"No")</f>
        <v>44914</v>
      </c>
      <c r="M435" s="58">
        <f t="shared" si="20"/>
        <v>8.3000000000000007</v>
      </c>
      <c r="N435" s="57">
        <f t="shared" si="21"/>
        <v>68.2</v>
      </c>
      <c r="O435" s="7" t="str">
        <f>VLOOKUP(N435,Helper!$B$30:$C$35,2,TRUE)</f>
        <v>C</v>
      </c>
      <c r="P435" s="56">
        <f>INDEX(Detail!$A$1:$A$1001,MATCH(B435,Detail!$G$1:$G$1001,0))</f>
        <v>37927</v>
      </c>
      <c r="Q435" s="33" t="str">
        <f>INDEX(Detail!$F$1:$F$1001,MATCH(Main!B435,Detail!$G$1:$G$1001,0))</f>
        <v>Pangkalpinang</v>
      </c>
      <c r="R435" s="7">
        <f>INDEX(Detail!$C$1:$C$1001,MATCH(B435,Detail!$G$1:$G$1001,0),1)</f>
        <v>178</v>
      </c>
      <c r="S435" s="7">
        <f>INDEX(Detail!$D$1:$D$1001,MATCH(B435,Detail!$G$1:$G$1001,0),1)</f>
        <v>86</v>
      </c>
      <c r="T435" s="7" t="str">
        <f>INDEX(Detail!$E$1:$E$1001,MATCH(Main!B435,Detail!$G$1:$G$1001,0))</f>
        <v>Jl. Waringin No. 03</v>
      </c>
      <c r="U435" s="7" t="str">
        <f>INDEX(Detail!$B$1:$B$1001,MATCH(B435,Detail!$G$1:$G$1001,0),1)</f>
        <v>O-</v>
      </c>
      <c r="V435" s="7" t="str" cm="1">
        <f t="array" ref="V435">INDEX(Dosen!$B$3:$E$8,MATCH(Main!C435,Dosen!$A$3:$A$8,0),IF(AND(Main!A435&gt;=1,Main!A435&lt;=250),1,IF(AND(Main!A435&gt;=251,Main!A435&lt;=500),2,IF(AND(Main!A435&gt;=501,Main!A435&lt;=750),3,4))))</f>
        <v>Bu Dwi</v>
      </c>
      <c r="W435" s="7" t="str">
        <f>_xlfn.XLOOKUP(B435,Detail!$G$1:$G$1001,Detail!$B$1:$B$1001)</f>
        <v>O-</v>
      </c>
    </row>
    <row r="436" spans="1:23" ht="15.75" x14ac:dyDescent="0.25">
      <c r="A436" s="7">
        <v>620</v>
      </c>
      <c r="B436" s="33" t="str">
        <f t="shared" si="22"/>
        <v>C0620</v>
      </c>
      <c r="C436" s="7" t="s">
        <v>1012</v>
      </c>
      <c r="D436" s="33" t="str">
        <f>VLOOKUP(B436,Detail!$G$1:$H$1001,2,FALSE)</f>
        <v>Dimas Megantara</v>
      </c>
      <c r="E436" s="7">
        <v>76</v>
      </c>
      <c r="F436" s="7">
        <v>47</v>
      </c>
      <c r="G436" s="57">
        <v>66</v>
      </c>
      <c r="H436" s="7">
        <v>50</v>
      </c>
      <c r="I436" s="7">
        <v>64</v>
      </c>
      <c r="J436" s="7">
        <v>58</v>
      </c>
      <c r="K436" s="7">
        <v>99</v>
      </c>
      <c r="L436" s="56">
        <f>IFERROR(VLOOKUP(B436,Absen!$A$1:$C$501,2,FALSE),"No")</f>
        <v>44785</v>
      </c>
      <c r="M436" s="58">
        <f t="shared" si="20"/>
        <v>8.9</v>
      </c>
      <c r="N436" s="57">
        <f t="shared" si="21"/>
        <v>63.325000000000003</v>
      </c>
      <c r="O436" s="7" t="str">
        <f>VLOOKUP(N436,Helper!$B$30:$C$35,2,TRUE)</f>
        <v>C</v>
      </c>
      <c r="P436" s="56">
        <f>INDEX(Detail!$A$1:$A$1001,MATCH(B436,Detail!$G$1:$G$1001,0))</f>
        <v>37547</v>
      </c>
      <c r="Q436" s="33" t="str">
        <f>INDEX(Detail!$F$1:$F$1001,MATCH(Main!B436,Detail!$G$1:$G$1001,0))</f>
        <v>Tarakan</v>
      </c>
      <c r="R436" s="7">
        <f>INDEX(Detail!$C$1:$C$1001,MATCH(B436,Detail!$G$1:$G$1001,0),1)</f>
        <v>163</v>
      </c>
      <c r="S436" s="7">
        <f>INDEX(Detail!$D$1:$D$1001,MATCH(B436,Detail!$G$1:$G$1001,0),1)</f>
        <v>91</v>
      </c>
      <c r="T436" s="7" t="str">
        <f>INDEX(Detail!$E$1:$E$1001,MATCH(Main!B436,Detail!$G$1:$G$1001,0))</f>
        <v>Jalan Kendalsari No. 20</v>
      </c>
      <c r="U436" s="7" t="str">
        <f>INDEX(Detail!$B$1:$B$1001,MATCH(B436,Detail!$G$1:$G$1001,0),1)</f>
        <v>A+</v>
      </c>
      <c r="V436" s="7" t="str" cm="1">
        <f t="array" ref="V436">INDEX(Dosen!$B$3:$E$8,MATCH(Main!C436,Dosen!$A$3:$A$8,0),IF(AND(Main!A436&gt;=1,Main!A436&lt;=250),1,IF(AND(Main!A436&gt;=251,Main!A436&lt;=500),2,IF(AND(Main!A436&gt;=501,Main!A436&lt;=750),3,4))))</f>
        <v>Bu Dwi</v>
      </c>
      <c r="W436" s="7" t="str">
        <f>_xlfn.XLOOKUP(B436,Detail!$G$1:$G$1001,Detail!$B$1:$B$1001)</f>
        <v>A+</v>
      </c>
    </row>
    <row r="437" spans="1:23" ht="15.75" x14ac:dyDescent="0.25">
      <c r="A437" s="7">
        <v>623</v>
      </c>
      <c r="B437" s="33" t="str">
        <f t="shared" si="22"/>
        <v>C0623</v>
      </c>
      <c r="C437" s="7" t="s">
        <v>1012</v>
      </c>
      <c r="D437" s="33" t="str">
        <f>VLOOKUP(B437,Detail!$G$1:$H$1001,2,FALSE)</f>
        <v>Dwi Wibowo</v>
      </c>
      <c r="E437" s="7">
        <v>52</v>
      </c>
      <c r="F437" s="7">
        <v>65</v>
      </c>
      <c r="G437" s="57">
        <v>72</v>
      </c>
      <c r="H437" s="7">
        <v>64</v>
      </c>
      <c r="I437" s="7">
        <v>86</v>
      </c>
      <c r="J437" s="7">
        <v>62</v>
      </c>
      <c r="K437" s="7">
        <v>99</v>
      </c>
      <c r="L437" s="56">
        <f>IFERROR(VLOOKUP(B437,Absen!$A$1:$C$501,2,FALSE),"No")</f>
        <v>44897</v>
      </c>
      <c r="M437" s="58">
        <f t="shared" si="20"/>
        <v>8.9</v>
      </c>
      <c r="N437" s="57">
        <f t="shared" si="21"/>
        <v>69.075000000000003</v>
      </c>
      <c r="O437" s="7" t="str">
        <f>VLOOKUP(N437,Helper!$B$30:$C$35,2,TRUE)</f>
        <v>C</v>
      </c>
      <c r="P437" s="56">
        <f>INDEX(Detail!$A$1:$A$1001,MATCH(B437,Detail!$G$1:$G$1001,0))</f>
        <v>38439</v>
      </c>
      <c r="Q437" s="33" t="str">
        <f>INDEX(Detail!$F$1:$F$1001,MATCH(Main!B437,Detail!$G$1:$G$1001,0))</f>
        <v>Kediri</v>
      </c>
      <c r="R437" s="7">
        <f>INDEX(Detail!$C$1:$C$1001,MATCH(B437,Detail!$G$1:$G$1001,0),1)</f>
        <v>171</v>
      </c>
      <c r="S437" s="7">
        <f>INDEX(Detail!$D$1:$D$1001,MATCH(B437,Detail!$G$1:$G$1001,0),1)</f>
        <v>85</v>
      </c>
      <c r="T437" s="7" t="str">
        <f>INDEX(Detail!$E$1:$E$1001,MATCH(Main!B437,Detail!$G$1:$G$1001,0))</f>
        <v xml:space="preserve">Gg. Kutai No. 0
</v>
      </c>
      <c r="U437" s="7" t="str">
        <f>INDEX(Detail!$B$1:$B$1001,MATCH(B437,Detail!$G$1:$G$1001,0),1)</f>
        <v>A-</v>
      </c>
      <c r="V437" s="7" t="str" cm="1">
        <f t="array" ref="V437">INDEX(Dosen!$B$3:$E$8,MATCH(Main!C437,Dosen!$A$3:$A$8,0),IF(AND(Main!A437&gt;=1,Main!A437&lt;=250),1,IF(AND(Main!A437&gt;=251,Main!A437&lt;=500),2,IF(AND(Main!A437&gt;=501,Main!A437&lt;=750),3,4))))</f>
        <v>Bu Dwi</v>
      </c>
      <c r="W437" s="7" t="str">
        <f>_xlfn.XLOOKUP(B437,Detail!$G$1:$G$1001,Detail!$B$1:$B$1001)</f>
        <v>A-</v>
      </c>
    </row>
    <row r="438" spans="1:23" ht="15.75" x14ac:dyDescent="0.25">
      <c r="A438" s="7">
        <v>626</v>
      </c>
      <c r="B438" s="33" t="str">
        <f t="shared" si="22"/>
        <v>C0626</v>
      </c>
      <c r="C438" s="7" t="s">
        <v>1012</v>
      </c>
      <c r="D438" s="33" t="str">
        <f>VLOOKUP(B438,Detail!$G$1:$H$1001,2,FALSE)</f>
        <v>Embuh Prayoga</v>
      </c>
      <c r="E438" s="7">
        <v>74</v>
      </c>
      <c r="F438" s="7">
        <v>43</v>
      </c>
      <c r="G438" s="57">
        <v>83</v>
      </c>
      <c r="H438" s="7">
        <v>53</v>
      </c>
      <c r="I438" s="7">
        <v>74</v>
      </c>
      <c r="J438" s="7">
        <v>89</v>
      </c>
      <c r="K438" s="7">
        <v>100</v>
      </c>
      <c r="L438" s="56" t="str">
        <f>IFERROR(VLOOKUP(B438,Absen!$A$1:$C$501,2,FALSE),"No")</f>
        <v>No</v>
      </c>
      <c r="M438" s="58">
        <f t="shared" si="20"/>
        <v>10</v>
      </c>
      <c r="N438" s="57">
        <f t="shared" si="21"/>
        <v>74.900000000000006</v>
      </c>
      <c r="O438" s="7" t="str">
        <f>VLOOKUP(N438,Helper!$B$30:$C$35,2,TRUE)</f>
        <v>B</v>
      </c>
      <c r="P438" s="56">
        <f>INDEX(Detail!$A$1:$A$1001,MATCH(B438,Detail!$G$1:$G$1001,0))</f>
        <v>38176</v>
      </c>
      <c r="Q438" s="33" t="str">
        <f>INDEX(Detail!$F$1:$F$1001,MATCH(Main!B438,Detail!$G$1:$G$1001,0))</f>
        <v>Pontianak</v>
      </c>
      <c r="R438" s="7">
        <f>INDEX(Detail!$C$1:$C$1001,MATCH(B438,Detail!$G$1:$G$1001,0),1)</f>
        <v>171</v>
      </c>
      <c r="S438" s="7">
        <f>INDEX(Detail!$D$1:$D$1001,MATCH(B438,Detail!$G$1:$G$1001,0),1)</f>
        <v>88</v>
      </c>
      <c r="T438" s="7" t="str">
        <f>INDEX(Detail!$E$1:$E$1001,MATCH(Main!B438,Detail!$G$1:$G$1001,0))</f>
        <v>Gang Antapani Lama No. 00</v>
      </c>
      <c r="U438" s="7" t="str">
        <f>INDEX(Detail!$B$1:$B$1001,MATCH(B438,Detail!$G$1:$G$1001,0),1)</f>
        <v>AB-</v>
      </c>
      <c r="V438" s="7" t="str" cm="1">
        <f t="array" ref="V438">INDEX(Dosen!$B$3:$E$8,MATCH(Main!C438,Dosen!$A$3:$A$8,0),IF(AND(Main!A438&gt;=1,Main!A438&lt;=250),1,IF(AND(Main!A438&gt;=251,Main!A438&lt;=500),2,IF(AND(Main!A438&gt;=501,Main!A438&lt;=750),3,4))))</f>
        <v>Bu Dwi</v>
      </c>
      <c r="W438" s="7" t="str">
        <f>_xlfn.XLOOKUP(B438,Detail!$G$1:$G$1001,Detail!$B$1:$B$1001)</f>
        <v>AB-</v>
      </c>
    </row>
    <row r="439" spans="1:23" ht="15.75" x14ac:dyDescent="0.25">
      <c r="A439" s="7">
        <v>631</v>
      </c>
      <c r="B439" s="33" t="str">
        <f t="shared" si="22"/>
        <v>C0631</v>
      </c>
      <c r="C439" s="7" t="s">
        <v>1012</v>
      </c>
      <c r="D439" s="33" t="str">
        <f>VLOOKUP(B439,Detail!$G$1:$H$1001,2,FALSE)</f>
        <v>Devi Maryadi</v>
      </c>
      <c r="E439" s="7">
        <v>93</v>
      </c>
      <c r="F439" s="7">
        <v>61</v>
      </c>
      <c r="G439" s="57">
        <v>48</v>
      </c>
      <c r="H439" s="7">
        <v>54</v>
      </c>
      <c r="I439" s="7">
        <v>77</v>
      </c>
      <c r="J439" s="7">
        <v>84</v>
      </c>
      <c r="K439" s="7">
        <v>63</v>
      </c>
      <c r="L439" s="56" t="str">
        <f>IFERROR(VLOOKUP(B439,Absen!$A$1:$C$501,2,FALSE),"No")</f>
        <v>No</v>
      </c>
      <c r="M439" s="58">
        <f t="shared" si="20"/>
        <v>6.3000000000000007</v>
      </c>
      <c r="N439" s="57">
        <f t="shared" si="21"/>
        <v>68.325000000000003</v>
      </c>
      <c r="O439" s="7" t="str">
        <f>VLOOKUP(N439,Helper!$B$30:$C$35,2,TRUE)</f>
        <v>C</v>
      </c>
      <c r="P439" s="56">
        <f>INDEX(Detail!$A$1:$A$1001,MATCH(B439,Detail!$G$1:$G$1001,0))</f>
        <v>37618</v>
      </c>
      <c r="Q439" s="33" t="str">
        <f>INDEX(Detail!$F$1:$F$1001,MATCH(Main!B439,Detail!$G$1:$G$1001,0))</f>
        <v>Binjai</v>
      </c>
      <c r="R439" s="7">
        <f>INDEX(Detail!$C$1:$C$1001,MATCH(B439,Detail!$G$1:$G$1001,0),1)</f>
        <v>159</v>
      </c>
      <c r="S439" s="7">
        <f>INDEX(Detail!$D$1:$D$1001,MATCH(B439,Detail!$G$1:$G$1001,0),1)</f>
        <v>84</v>
      </c>
      <c r="T439" s="7" t="str">
        <f>INDEX(Detail!$E$1:$E$1001,MATCH(Main!B439,Detail!$G$1:$G$1001,0))</f>
        <v>Gg. Dipenogoro No. 50</v>
      </c>
      <c r="U439" s="7" t="str">
        <f>INDEX(Detail!$B$1:$B$1001,MATCH(B439,Detail!$G$1:$G$1001,0),1)</f>
        <v>B-</v>
      </c>
      <c r="V439" s="7" t="str" cm="1">
        <f t="array" ref="V439">INDEX(Dosen!$B$3:$E$8,MATCH(Main!C439,Dosen!$A$3:$A$8,0),IF(AND(Main!A439&gt;=1,Main!A439&lt;=250),1,IF(AND(Main!A439&gt;=251,Main!A439&lt;=500),2,IF(AND(Main!A439&gt;=501,Main!A439&lt;=750),3,4))))</f>
        <v>Bu Dwi</v>
      </c>
      <c r="W439" s="7" t="str">
        <f>_xlfn.XLOOKUP(B439,Detail!$G$1:$G$1001,Detail!$B$1:$B$1001)</f>
        <v>B-</v>
      </c>
    </row>
    <row r="440" spans="1:23" ht="15.75" x14ac:dyDescent="0.25">
      <c r="A440" s="7">
        <v>632</v>
      </c>
      <c r="B440" s="33" t="str">
        <f t="shared" si="22"/>
        <v>C0632</v>
      </c>
      <c r="C440" s="7" t="s">
        <v>1012</v>
      </c>
      <c r="D440" s="33" t="str">
        <f>VLOOKUP(B440,Detail!$G$1:$H$1001,2,FALSE)</f>
        <v>Yahya Kusumo</v>
      </c>
      <c r="E440" s="7">
        <v>55</v>
      </c>
      <c r="F440" s="7">
        <v>40</v>
      </c>
      <c r="G440" s="57">
        <v>63</v>
      </c>
      <c r="H440" s="7">
        <v>74</v>
      </c>
      <c r="I440" s="7">
        <v>60</v>
      </c>
      <c r="J440" s="7">
        <v>75</v>
      </c>
      <c r="K440" s="7">
        <v>80</v>
      </c>
      <c r="L440" s="56" t="str">
        <f>IFERROR(VLOOKUP(B440,Absen!$A$1:$C$501,2,FALSE),"No")</f>
        <v>No</v>
      </c>
      <c r="M440" s="58">
        <f t="shared" si="20"/>
        <v>8</v>
      </c>
      <c r="N440" s="57">
        <f t="shared" si="21"/>
        <v>64.224999999999994</v>
      </c>
      <c r="O440" s="7" t="str">
        <f>VLOOKUP(N440,Helper!$B$30:$C$35,2,TRUE)</f>
        <v>C</v>
      </c>
      <c r="P440" s="56">
        <f>INDEX(Detail!$A$1:$A$1001,MATCH(B440,Detail!$G$1:$G$1001,0))</f>
        <v>37859</v>
      </c>
      <c r="Q440" s="33" t="str">
        <f>INDEX(Detail!$F$1:$F$1001,MATCH(Main!B440,Detail!$G$1:$G$1001,0))</f>
        <v>Bandung</v>
      </c>
      <c r="R440" s="7">
        <f>INDEX(Detail!$C$1:$C$1001,MATCH(B440,Detail!$G$1:$G$1001,0),1)</f>
        <v>173</v>
      </c>
      <c r="S440" s="7">
        <f>INDEX(Detail!$D$1:$D$1001,MATCH(B440,Detail!$G$1:$G$1001,0),1)</f>
        <v>68</v>
      </c>
      <c r="T440" s="7" t="str">
        <f>INDEX(Detail!$E$1:$E$1001,MATCH(Main!B440,Detail!$G$1:$G$1001,0))</f>
        <v xml:space="preserve">Jl. Kebonjati No. 5
</v>
      </c>
      <c r="U440" s="7" t="str">
        <f>INDEX(Detail!$B$1:$B$1001,MATCH(B440,Detail!$G$1:$G$1001,0),1)</f>
        <v>A-</v>
      </c>
      <c r="V440" s="7" t="str" cm="1">
        <f t="array" ref="V440">INDEX(Dosen!$B$3:$E$8,MATCH(Main!C440,Dosen!$A$3:$A$8,0),IF(AND(Main!A440&gt;=1,Main!A440&lt;=250),1,IF(AND(Main!A440&gt;=251,Main!A440&lt;=500),2,IF(AND(Main!A440&gt;=501,Main!A440&lt;=750),3,4))))</f>
        <v>Bu Dwi</v>
      </c>
      <c r="W440" s="7" t="str">
        <f>_xlfn.XLOOKUP(B440,Detail!$G$1:$G$1001,Detail!$B$1:$B$1001)</f>
        <v>A-</v>
      </c>
    </row>
    <row r="441" spans="1:23" ht="15.75" x14ac:dyDescent="0.25">
      <c r="A441" s="7">
        <v>646</v>
      </c>
      <c r="B441" s="33" t="str">
        <f t="shared" si="22"/>
        <v>C0646</v>
      </c>
      <c r="C441" s="7" t="s">
        <v>1012</v>
      </c>
      <c r="D441" s="33" t="str">
        <f>VLOOKUP(B441,Detail!$G$1:$H$1001,2,FALSE)</f>
        <v>Eva Waluyo</v>
      </c>
      <c r="E441" s="7">
        <v>79</v>
      </c>
      <c r="F441" s="7">
        <v>58</v>
      </c>
      <c r="G441" s="57">
        <v>34</v>
      </c>
      <c r="H441" s="7">
        <v>58</v>
      </c>
      <c r="I441" s="7">
        <v>63</v>
      </c>
      <c r="J441" s="7">
        <v>76</v>
      </c>
      <c r="K441" s="7">
        <v>84</v>
      </c>
      <c r="L441" s="56">
        <f>IFERROR(VLOOKUP(B441,Absen!$A$1:$C$501,2,FALSE),"No")</f>
        <v>44912</v>
      </c>
      <c r="M441" s="58">
        <f t="shared" si="20"/>
        <v>7.4</v>
      </c>
      <c r="N441" s="57">
        <f t="shared" si="21"/>
        <v>61.65</v>
      </c>
      <c r="O441" s="7" t="str">
        <f>VLOOKUP(N441,Helper!$B$30:$C$35,2,TRUE)</f>
        <v>C</v>
      </c>
      <c r="P441" s="56">
        <f>INDEX(Detail!$A$1:$A$1001,MATCH(B441,Detail!$G$1:$G$1001,0))</f>
        <v>38291</v>
      </c>
      <c r="Q441" s="33" t="str">
        <f>INDEX(Detail!$F$1:$F$1001,MATCH(Main!B441,Detail!$G$1:$G$1001,0))</f>
        <v>Padangpanjang</v>
      </c>
      <c r="R441" s="7">
        <f>INDEX(Detail!$C$1:$C$1001,MATCH(B441,Detail!$G$1:$G$1001,0),1)</f>
        <v>167</v>
      </c>
      <c r="S441" s="7">
        <f>INDEX(Detail!$D$1:$D$1001,MATCH(B441,Detail!$G$1:$G$1001,0),1)</f>
        <v>60</v>
      </c>
      <c r="T441" s="7" t="str">
        <f>INDEX(Detail!$E$1:$E$1001,MATCH(Main!B441,Detail!$G$1:$G$1001,0))</f>
        <v xml:space="preserve">Jl. Jakarta No. 2
</v>
      </c>
      <c r="U441" s="7" t="str">
        <f>INDEX(Detail!$B$1:$B$1001,MATCH(B441,Detail!$G$1:$G$1001,0),1)</f>
        <v>AB-</v>
      </c>
      <c r="V441" s="7" t="str" cm="1">
        <f t="array" ref="V441">INDEX(Dosen!$B$3:$E$8,MATCH(Main!C441,Dosen!$A$3:$A$8,0),IF(AND(Main!A441&gt;=1,Main!A441&lt;=250),1,IF(AND(Main!A441&gt;=251,Main!A441&lt;=500),2,IF(AND(Main!A441&gt;=501,Main!A441&lt;=750),3,4))))</f>
        <v>Bu Dwi</v>
      </c>
      <c r="W441" s="7" t="str">
        <f>_xlfn.XLOOKUP(B441,Detail!$G$1:$G$1001,Detail!$B$1:$B$1001)</f>
        <v>AB-</v>
      </c>
    </row>
    <row r="442" spans="1:23" ht="15.75" x14ac:dyDescent="0.25">
      <c r="A442" s="7">
        <v>647</v>
      </c>
      <c r="B442" s="33" t="str">
        <f t="shared" si="22"/>
        <v>C0647</v>
      </c>
      <c r="C442" s="7" t="s">
        <v>1012</v>
      </c>
      <c r="D442" s="33" t="str">
        <f>VLOOKUP(B442,Detail!$G$1:$H$1001,2,FALSE)</f>
        <v>Gandi Nugroho</v>
      </c>
      <c r="E442" s="7">
        <v>73</v>
      </c>
      <c r="F442" s="7">
        <v>71</v>
      </c>
      <c r="G442" s="57">
        <v>55</v>
      </c>
      <c r="H442" s="7">
        <v>57</v>
      </c>
      <c r="I442" s="7">
        <v>91</v>
      </c>
      <c r="J442" s="7">
        <v>98</v>
      </c>
      <c r="K442" s="7">
        <v>60</v>
      </c>
      <c r="L442" s="56" t="str">
        <f>IFERROR(VLOOKUP(B442,Absen!$A$1:$C$501,2,FALSE),"No")</f>
        <v>No</v>
      </c>
      <c r="M442" s="58">
        <f t="shared" si="20"/>
        <v>6</v>
      </c>
      <c r="N442" s="57">
        <f t="shared" si="21"/>
        <v>73.099999999999994</v>
      </c>
      <c r="O442" s="7" t="str">
        <f>VLOOKUP(N442,Helper!$B$30:$C$35,2,TRUE)</f>
        <v>B</v>
      </c>
      <c r="P442" s="56">
        <f>INDEX(Detail!$A$1:$A$1001,MATCH(B442,Detail!$G$1:$G$1001,0))</f>
        <v>38010</v>
      </c>
      <c r="Q442" s="33" t="str">
        <f>INDEX(Detail!$F$1:$F$1001,MATCH(Main!B442,Detail!$G$1:$G$1001,0))</f>
        <v>Bima</v>
      </c>
      <c r="R442" s="7">
        <f>INDEX(Detail!$C$1:$C$1001,MATCH(B442,Detail!$G$1:$G$1001,0),1)</f>
        <v>153</v>
      </c>
      <c r="S442" s="7">
        <f>INDEX(Detail!$D$1:$D$1001,MATCH(B442,Detail!$G$1:$G$1001,0),1)</f>
        <v>45</v>
      </c>
      <c r="T442" s="7" t="str">
        <f>INDEX(Detail!$E$1:$E$1001,MATCH(Main!B442,Detail!$G$1:$G$1001,0))</f>
        <v xml:space="preserve">Jl. PHH. Mustofa No. 9
</v>
      </c>
      <c r="U442" s="7" t="str">
        <f>INDEX(Detail!$B$1:$B$1001,MATCH(B442,Detail!$G$1:$G$1001,0),1)</f>
        <v>AB-</v>
      </c>
      <c r="V442" s="7" t="str" cm="1">
        <f t="array" ref="V442">INDEX(Dosen!$B$3:$E$8,MATCH(Main!C442,Dosen!$A$3:$A$8,0),IF(AND(Main!A442&gt;=1,Main!A442&lt;=250),1,IF(AND(Main!A442&gt;=251,Main!A442&lt;=500),2,IF(AND(Main!A442&gt;=501,Main!A442&lt;=750),3,4))))</f>
        <v>Bu Dwi</v>
      </c>
      <c r="W442" s="7" t="str">
        <f>_xlfn.XLOOKUP(B442,Detail!$G$1:$G$1001,Detail!$B$1:$B$1001)</f>
        <v>AB-</v>
      </c>
    </row>
    <row r="443" spans="1:23" ht="15.75" x14ac:dyDescent="0.25">
      <c r="A443" s="7">
        <v>648</v>
      </c>
      <c r="B443" s="33" t="str">
        <f t="shared" si="22"/>
        <v>C0648</v>
      </c>
      <c r="C443" s="7" t="s">
        <v>1012</v>
      </c>
      <c r="D443" s="33" t="str">
        <f>VLOOKUP(B443,Detail!$G$1:$H$1001,2,FALSE)</f>
        <v>Asirwada Suartini</v>
      </c>
      <c r="E443" s="7">
        <v>84</v>
      </c>
      <c r="F443" s="7">
        <v>51</v>
      </c>
      <c r="G443" s="57">
        <v>45</v>
      </c>
      <c r="H443" s="7">
        <v>75</v>
      </c>
      <c r="I443" s="7">
        <v>59</v>
      </c>
      <c r="J443" s="7">
        <v>90</v>
      </c>
      <c r="K443" s="7">
        <v>85</v>
      </c>
      <c r="L443" s="56" t="str">
        <f>IFERROR(VLOOKUP(B443,Absen!$A$1:$C$501,2,FALSE),"No")</f>
        <v>No</v>
      </c>
      <c r="M443" s="58">
        <f t="shared" si="20"/>
        <v>8.5</v>
      </c>
      <c r="N443" s="57">
        <f t="shared" si="21"/>
        <v>69.125</v>
      </c>
      <c r="O443" s="7" t="str">
        <f>VLOOKUP(N443,Helper!$B$30:$C$35,2,TRUE)</f>
        <v>C</v>
      </c>
      <c r="P443" s="56">
        <f>INDEX(Detail!$A$1:$A$1001,MATCH(B443,Detail!$G$1:$G$1001,0))</f>
        <v>37331</v>
      </c>
      <c r="Q443" s="33" t="str">
        <f>INDEX(Detail!$F$1:$F$1001,MATCH(Main!B443,Detail!$G$1:$G$1001,0))</f>
        <v>Pematangsiantar</v>
      </c>
      <c r="R443" s="7">
        <f>INDEX(Detail!$C$1:$C$1001,MATCH(B443,Detail!$G$1:$G$1001,0),1)</f>
        <v>180</v>
      </c>
      <c r="S443" s="7">
        <f>INDEX(Detail!$D$1:$D$1001,MATCH(B443,Detail!$G$1:$G$1001,0),1)</f>
        <v>90</v>
      </c>
      <c r="T443" s="7" t="str">
        <f>INDEX(Detail!$E$1:$E$1001,MATCH(Main!B443,Detail!$G$1:$G$1001,0))</f>
        <v>Gang Cikapayang No. 65</v>
      </c>
      <c r="U443" s="7" t="str">
        <f>INDEX(Detail!$B$1:$B$1001,MATCH(B443,Detail!$G$1:$G$1001,0),1)</f>
        <v>B-</v>
      </c>
      <c r="V443" s="7" t="str" cm="1">
        <f t="array" ref="V443">INDEX(Dosen!$B$3:$E$8,MATCH(Main!C443,Dosen!$A$3:$A$8,0),IF(AND(Main!A443&gt;=1,Main!A443&lt;=250),1,IF(AND(Main!A443&gt;=251,Main!A443&lt;=500),2,IF(AND(Main!A443&gt;=501,Main!A443&lt;=750),3,4))))</f>
        <v>Bu Dwi</v>
      </c>
      <c r="W443" s="7" t="str">
        <f>_xlfn.XLOOKUP(B443,Detail!$G$1:$G$1001,Detail!$B$1:$B$1001)</f>
        <v>B-</v>
      </c>
    </row>
    <row r="444" spans="1:23" ht="15.75" x14ac:dyDescent="0.25">
      <c r="A444" s="7">
        <v>654</v>
      </c>
      <c r="B444" s="33" t="str">
        <f t="shared" si="22"/>
        <v>C0654</v>
      </c>
      <c r="C444" s="7" t="s">
        <v>1012</v>
      </c>
      <c r="D444" s="33" t="str">
        <f>VLOOKUP(B444,Detail!$G$1:$H$1001,2,FALSE)</f>
        <v>Wasis Melani</v>
      </c>
      <c r="E444" s="7">
        <v>75</v>
      </c>
      <c r="F444" s="7">
        <v>72</v>
      </c>
      <c r="G444" s="57">
        <v>33</v>
      </c>
      <c r="H444" s="7">
        <v>74</v>
      </c>
      <c r="I444" s="7">
        <v>55</v>
      </c>
      <c r="J444" s="7">
        <v>63</v>
      </c>
      <c r="K444" s="7">
        <v>95</v>
      </c>
      <c r="L444" s="56">
        <f>IFERROR(VLOOKUP(B444,Absen!$A$1:$C$501,2,FALSE),"No")</f>
        <v>44808</v>
      </c>
      <c r="M444" s="58">
        <f t="shared" si="20"/>
        <v>8.5</v>
      </c>
      <c r="N444" s="57">
        <f t="shared" si="21"/>
        <v>62.2</v>
      </c>
      <c r="O444" s="7" t="str">
        <f>VLOOKUP(N444,Helper!$B$30:$C$35,2,TRUE)</f>
        <v>C</v>
      </c>
      <c r="P444" s="56">
        <f>INDEX(Detail!$A$1:$A$1001,MATCH(B444,Detail!$G$1:$G$1001,0))</f>
        <v>37443</v>
      </c>
      <c r="Q444" s="33" t="str">
        <f>INDEX(Detail!$F$1:$F$1001,MATCH(Main!B444,Detail!$G$1:$G$1001,0))</f>
        <v>Bengkulu</v>
      </c>
      <c r="R444" s="7">
        <f>INDEX(Detail!$C$1:$C$1001,MATCH(B444,Detail!$G$1:$G$1001,0),1)</f>
        <v>160</v>
      </c>
      <c r="S444" s="7">
        <f>INDEX(Detail!$D$1:$D$1001,MATCH(B444,Detail!$G$1:$G$1001,0),1)</f>
        <v>93</v>
      </c>
      <c r="T444" s="7" t="str">
        <f>INDEX(Detail!$E$1:$E$1001,MATCH(Main!B444,Detail!$G$1:$G$1001,0))</f>
        <v xml:space="preserve">Gang PHH. Mustofa No. 2
</v>
      </c>
      <c r="U444" s="7" t="str">
        <f>INDEX(Detail!$B$1:$B$1001,MATCH(B444,Detail!$G$1:$G$1001,0),1)</f>
        <v>AB+</v>
      </c>
      <c r="V444" s="7" t="str" cm="1">
        <f t="array" ref="V444">INDEX(Dosen!$B$3:$E$8,MATCH(Main!C444,Dosen!$A$3:$A$8,0),IF(AND(Main!A444&gt;=1,Main!A444&lt;=250),1,IF(AND(Main!A444&gt;=251,Main!A444&lt;=500),2,IF(AND(Main!A444&gt;=501,Main!A444&lt;=750),3,4))))</f>
        <v>Bu Dwi</v>
      </c>
      <c r="W444" s="7" t="str">
        <f>_xlfn.XLOOKUP(B444,Detail!$G$1:$G$1001,Detail!$B$1:$B$1001)</f>
        <v>AB+</v>
      </c>
    </row>
    <row r="445" spans="1:23" ht="15.75" x14ac:dyDescent="0.25">
      <c r="A445" s="7">
        <v>655</v>
      </c>
      <c r="B445" s="33" t="str">
        <f t="shared" si="22"/>
        <v>C0655</v>
      </c>
      <c r="C445" s="7" t="s">
        <v>1012</v>
      </c>
      <c r="D445" s="33" t="str">
        <f>VLOOKUP(B445,Detail!$G$1:$H$1001,2,FALSE)</f>
        <v>Daliman Sitorus</v>
      </c>
      <c r="E445" s="7">
        <v>92</v>
      </c>
      <c r="F445" s="7">
        <v>68</v>
      </c>
      <c r="G445" s="57">
        <v>30</v>
      </c>
      <c r="H445" s="7">
        <v>53</v>
      </c>
      <c r="I445" s="7">
        <v>91</v>
      </c>
      <c r="J445" s="7">
        <v>61</v>
      </c>
      <c r="K445" s="7">
        <v>100</v>
      </c>
      <c r="L445" s="56">
        <f>IFERROR(VLOOKUP(B445,Absen!$A$1:$C$501,2,FALSE),"No")</f>
        <v>44839</v>
      </c>
      <c r="M445" s="58">
        <f t="shared" si="20"/>
        <v>9</v>
      </c>
      <c r="N445" s="57">
        <f t="shared" si="21"/>
        <v>65.2</v>
      </c>
      <c r="O445" s="7" t="str">
        <f>VLOOKUP(N445,Helper!$B$30:$C$35,2,TRUE)</f>
        <v>C</v>
      </c>
      <c r="P445" s="56">
        <f>INDEX(Detail!$A$1:$A$1001,MATCH(B445,Detail!$G$1:$G$1001,0))</f>
        <v>38226</v>
      </c>
      <c r="Q445" s="33" t="str">
        <f>INDEX(Detail!$F$1:$F$1001,MATCH(Main!B445,Detail!$G$1:$G$1001,0))</f>
        <v>Magelang</v>
      </c>
      <c r="R445" s="7">
        <f>INDEX(Detail!$C$1:$C$1001,MATCH(B445,Detail!$G$1:$G$1001,0),1)</f>
        <v>158</v>
      </c>
      <c r="S445" s="7">
        <f>INDEX(Detail!$D$1:$D$1001,MATCH(B445,Detail!$G$1:$G$1001,0),1)</f>
        <v>65</v>
      </c>
      <c r="T445" s="7" t="str">
        <f>INDEX(Detail!$E$1:$E$1001,MATCH(Main!B445,Detail!$G$1:$G$1001,0))</f>
        <v>Jl. Jend. A. Yani No. 08</v>
      </c>
      <c r="U445" s="7" t="str">
        <f>INDEX(Detail!$B$1:$B$1001,MATCH(B445,Detail!$G$1:$G$1001,0),1)</f>
        <v>B-</v>
      </c>
      <c r="V445" s="7" t="str" cm="1">
        <f t="array" ref="V445">INDEX(Dosen!$B$3:$E$8,MATCH(Main!C445,Dosen!$A$3:$A$8,0),IF(AND(Main!A445&gt;=1,Main!A445&lt;=250),1,IF(AND(Main!A445&gt;=251,Main!A445&lt;=500),2,IF(AND(Main!A445&gt;=501,Main!A445&lt;=750),3,4))))</f>
        <v>Bu Dwi</v>
      </c>
      <c r="W445" s="7" t="str">
        <f>_xlfn.XLOOKUP(B445,Detail!$G$1:$G$1001,Detail!$B$1:$B$1001)</f>
        <v>B-</v>
      </c>
    </row>
    <row r="446" spans="1:23" ht="15.75" x14ac:dyDescent="0.25">
      <c r="A446" s="7">
        <v>658</v>
      </c>
      <c r="B446" s="33" t="str">
        <f t="shared" si="22"/>
        <v>C0658</v>
      </c>
      <c r="C446" s="7" t="s">
        <v>1012</v>
      </c>
      <c r="D446" s="33" t="str">
        <f>VLOOKUP(B446,Detail!$G$1:$H$1001,2,FALSE)</f>
        <v>Cengkal Wastuti</v>
      </c>
      <c r="E446" s="7">
        <v>93</v>
      </c>
      <c r="F446" s="7">
        <v>73</v>
      </c>
      <c r="G446" s="57">
        <v>79</v>
      </c>
      <c r="H446" s="7">
        <v>57</v>
      </c>
      <c r="I446" s="7">
        <v>64</v>
      </c>
      <c r="J446" s="7">
        <v>54</v>
      </c>
      <c r="K446" s="7">
        <v>79</v>
      </c>
      <c r="L446" s="56" t="str">
        <f>IFERROR(VLOOKUP(B446,Absen!$A$1:$C$501,2,FALSE),"No")</f>
        <v>No</v>
      </c>
      <c r="M446" s="58">
        <f t="shared" si="20"/>
        <v>7.9</v>
      </c>
      <c r="N446" s="57">
        <f t="shared" si="21"/>
        <v>70.375</v>
      </c>
      <c r="O446" s="7" t="str">
        <f>VLOOKUP(N446,Helper!$B$30:$C$35,2,TRUE)</f>
        <v>B</v>
      </c>
      <c r="P446" s="56">
        <f>INDEX(Detail!$A$1:$A$1001,MATCH(B446,Detail!$G$1:$G$1001,0))</f>
        <v>37950</v>
      </c>
      <c r="Q446" s="33" t="str">
        <f>INDEX(Detail!$F$1:$F$1001,MATCH(Main!B446,Detail!$G$1:$G$1001,0))</f>
        <v>Pariaman</v>
      </c>
      <c r="R446" s="7">
        <f>INDEX(Detail!$C$1:$C$1001,MATCH(B446,Detail!$G$1:$G$1001,0),1)</f>
        <v>161</v>
      </c>
      <c r="S446" s="7">
        <f>INDEX(Detail!$D$1:$D$1001,MATCH(B446,Detail!$G$1:$G$1001,0),1)</f>
        <v>72</v>
      </c>
      <c r="T446" s="7" t="str">
        <f>INDEX(Detail!$E$1:$E$1001,MATCH(Main!B446,Detail!$G$1:$G$1001,0))</f>
        <v>Gang Bangka Raya No. 72</v>
      </c>
      <c r="U446" s="7" t="str">
        <f>INDEX(Detail!$B$1:$B$1001,MATCH(B446,Detail!$G$1:$G$1001,0),1)</f>
        <v>O+</v>
      </c>
      <c r="V446" s="7" t="str" cm="1">
        <f t="array" ref="V446">INDEX(Dosen!$B$3:$E$8,MATCH(Main!C446,Dosen!$A$3:$A$8,0),IF(AND(Main!A446&gt;=1,Main!A446&lt;=250),1,IF(AND(Main!A446&gt;=251,Main!A446&lt;=500),2,IF(AND(Main!A446&gt;=501,Main!A446&lt;=750),3,4))))</f>
        <v>Bu Dwi</v>
      </c>
      <c r="W446" s="7" t="str">
        <f>_xlfn.XLOOKUP(B446,Detail!$G$1:$G$1001,Detail!$B$1:$B$1001)</f>
        <v>O+</v>
      </c>
    </row>
    <row r="447" spans="1:23" ht="15.75" x14ac:dyDescent="0.25">
      <c r="A447" s="7">
        <v>661</v>
      </c>
      <c r="B447" s="33" t="str">
        <f t="shared" si="22"/>
        <v>C0661</v>
      </c>
      <c r="C447" s="7" t="s">
        <v>1012</v>
      </c>
      <c r="D447" s="33" t="str">
        <f>VLOOKUP(B447,Detail!$G$1:$H$1001,2,FALSE)</f>
        <v>Teguh Astuti</v>
      </c>
      <c r="E447" s="7">
        <v>94</v>
      </c>
      <c r="F447" s="7">
        <v>53</v>
      </c>
      <c r="G447" s="57">
        <v>36</v>
      </c>
      <c r="H447" s="7">
        <v>66</v>
      </c>
      <c r="I447" s="7">
        <v>74</v>
      </c>
      <c r="J447" s="7">
        <v>93</v>
      </c>
      <c r="K447" s="7">
        <v>78</v>
      </c>
      <c r="L447" s="56">
        <f>IFERROR(VLOOKUP(B447,Absen!$A$1:$C$501,2,FALSE),"No")</f>
        <v>44778</v>
      </c>
      <c r="M447" s="58">
        <f t="shared" si="20"/>
        <v>6.8000000000000007</v>
      </c>
      <c r="N447" s="57">
        <f t="shared" si="21"/>
        <v>68.475000000000009</v>
      </c>
      <c r="O447" s="7" t="str">
        <f>VLOOKUP(N447,Helper!$B$30:$C$35,2,TRUE)</f>
        <v>C</v>
      </c>
      <c r="P447" s="56">
        <f>INDEX(Detail!$A$1:$A$1001,MATCH(B447,Detail!$G$1:$G$1001,0))</f>
        <v>38416</v>
      </c>
      <c r="Q447" s="33" t="str">
        <f>INDEX(Detail!$F$1:$F$1001,MATCH(Main!B447,Detail!$G$1:$G$1001,0))</f>
        <v>Lhokseumawe</v>
      </c>
      <c r="R447" s="7">
        <f>INDEX(Detail!$C$1:$C$1001,MATCH(B447,Detail!$G$1:$G$1001,0),1)</f>
        <v>155</v>
      </c>
      <c r="S447" s="7">
        <f>INDEX(Detail!$D$1:$D$1001,MATCH(B447,Detail!$G$1:$G$1001,0),1)</f>
        <v>71</v>
      </c>
      <c r="T447" s="7" t="str">
        <f>INDEX(Detail!$E$1:$E$1001,MATCH(Main!B447,Detail!$G$1:$G$1001,0))</f>
        <v>Jalan Pasir Koja No. 85</v>
      </c>
      <c r="U447" s="7" t="str">
        <f>INDEX(Detail!$B$1:$B$1001,MATCH(B447,Detail!$G$1:$G$1001,0),1)</f>
        <v>B+</v>
      </c>
      <c r="V447" s="7" t="str" cm="1">
        <f t="array" ref="V447">INDEX(Dosen!$B$3:$E$8,MATCH(Main!C447,Dosen!$A$3:$A$8,0),IF(AND(Main!A447&gt;=1,Main!A447&lt;=250),1,IF(AND(Main!A447&gt;=251,Main!A447&lt;=500),2,IF(AND(Main!A447&gt;=501,Main!A447&lt;=750),3,4))))</f>
        <v>Bu Dwi</v>
      </c>
      <c r="W447" s="7" t="str">
        <f>_xlfn.XLOOKUP(B447,Detail!$G$1:$G$1001,Detail!$B$1:$B$1001)</f>
        <v>B+</v>
      </c>
    </row>
    <row r="448" spans="1:23" ht="15.75" x14ac:dyDescent="0.25">
      <c r="A448" s="7">
        <v>663</v>
      </c>
      <c r="B448" s="33" t="str">
        <f t="shared" si="22"/>
        <v>C0663</v>
      </c>
      <c r="C448" s="7" t="s">
        <v>1012</v>
      </c>
      <c r="D448" s="33" t="str">
        <f>VLOOKUP(B448,Detail!$G$1:$H$1001,2,FALSE)</f>
        <v>Bakda Sihotang</v>
      </c>
      <c r="E448" s="7">
        <v>60</v>
      </c>
      <c r="F448" s="7">
        <v>51</v>
      </c>
      <c r="G448" s="57">
        <v>40</v>
      </c>
      <c r="H448" s="7">
        <v>70</v>
      </c>
      <c r="I448" s="7">
        <v>55</v>
      </c>
      <c r="J448" s="7">
        <v>88</v>
      </c>
      <c r="K448" s="7">
        <v>68</v>
      </c>
      <c r="L448" s="56">
        <f>IFERROR(VLOOKUP(B448,Absen!$A$1:$C$501,2,FALSE),"No")</f>
        <v>44859</v>
      </c>
      <c r="M448" s="58">
        <f t="shared" si="20"/>
        <v>5.8000000000000007</v>
      </c>
      <c r="N448" s="57">
        <f t="shared" si="21"/>
        <v>60.900000000000006</v>
      </c>
      <c r="O448" s="7" t="str">
        <f>VLOOKUP(N448,Helper!$B$30:$C$35,2,TRUE)</f>
        <v>C</v>
      </c>
      <c r="P448" s="56">
        <f>INDEX(Detail!$A$1:$A$1001,MATCH(B448,Detail!$G$1:$G$1001,0))</f>
        <v>37064</v>
      </c>
      <c r="Q448" s="33" t="str">
        <f>INDEX(Detail!$F$1:$F$1001,MATCH(Main!B448,Detail!$G$1:$G$1001,0))</f>
        <v>Bitung</v>
      </c>
      <c r="R448" s="7">
        <f>INDEX(Detail!$C$1:$C$1001,MATCH(B448,Detail!$G$1:$G$1001,0),1)</f>
        <v>172</v>
      </c>
      <c r="S448" s="7">
        <f>INDEX(Detail!$D$1:$D$1001,MATCH(B448,Detail!$G$1:$G$1001,0),1)</f>
        <v>72</v>
      </c>
      <c r="T448" s="7" t="str">
        <f>INDEX(Detail!$E$1:$E$1001,MATCH(Main!B448,Detail!$G$1:$G$1001,0))</f>
        <v xml:space="preserve">Gang Indragiri No. 8
</v>
      </c>
      <c r="U448" s="7" t="str">
        <f>INDEX(Detail!$B$1:$B$1001,MATCH(B448,Detail!$G$1:$G$1001,0),1)</f>
        <v>A+</v>
      </c>
      <c r="V448" s="7" t="str" cm="1">
        <f t="array" ref="V448">INDEX(Dosen!$B$3:$E$8,MATCH(Main!C448,Dosen!$A$3:$A$8,0),IF(AND(Main!A448&gt;=1,Main!A448&lt;=250),1,IF(AND(Main!A448&gt;=251,Main!A448&lt;=500),2,IF(AND(Main!A448&gt;=501,Main!A448&lt;=750),3,4))))</f>
        <v>Bu Dwi</v>
      </c>
      <c r="W448" s="7" t="str">
        <f>_xlfn.XLOOKUP(B448,Detail!$G$1:$G$1001,Detail!$B$1:$B$1001)</f>
        <v>A+</v>
      </c>
    </row>
    <row r="449" spans="1:23" ht="15.75" x14ac:dyDescent="0.25">
      <c r="A449" s="7">
        <v>665</v>
      </c>
      <c r="B449" s="33" t="str">
        <f t="shared" ref="B449:B480" si="23">CONCATENATE("C",TEXT(A449,"0000"))</f>
        <v>C0665</v>
      </c>
      <c r="C449" s="7" t="s">
        <v>1012</v>
      </c>
      <c r="D449" s="33" t="str">
        <f>VLOOKUP(B449,Detail!$G$1:$H$1001,2,FALSE)</f>
        <v>Talia Purnawati</v>
      </c>
      <c r="E449" s="7">
        <v>57</v>
      </c>
      <c r="F449" s="7">
        <v>49</v>
      </c>
      <c r="G449" s="57">
        <v>32</v>
      </c>
      <c r="H449" s="7">
        <v>60</v>
      </c>
      <c r="I449" s="7">
        <v>51</v>
      </c>
      <c r="J449" s="7">
        <v>50</v>
      </c>
      <c r="K449" s="7">
        <v>98</v>
      </c>
      <c r="L449" s="56">
        <f>IFERROR(VLOOKUP(B449,Absen!$A$1:$C$501,2,FALSE),"No")</f>
        <v>44855</v>
      </c>
      <c r="M449" s="58">
        <f t="shared" si="20"/>
        <v>8.8000000000000007</v>
      </c>
      <c r="N449" s="57">
        <f t="shared" si="21"/>
        <v>52.325000000000003</v>
      </c>
      <c r="O449" s="7" t="str">
        <f>VLOOKUP(N449,Helper!$B$30:$C$35,2,TRUE)</f>
        <v>D</v>
      </c>
      <c r="P449" s="56">
        <f>INDEX(Detail!$A$1:$A$1001,MATCH(B449,Detail!$G$1:$G$1001,0))</f>
        <v>37542</v>
      </c>
      <c r="Q449" s="33" t="str">
        <f>INDEX(Detail!$F$1:$F$1001,MATCH(Main!B449,Detail!$G$1:$G$1001,0))</f>
        <v>Meulaboh</v>
      </c>
      <c r="R449" s="7">
        <f>INDEX(Detail!$C$1:$C$1001,MATCH(B449,Detail!$G$1:$G$1001,0),1)</f>
        <v>167</v>
      </c>
      <c r="S449" s="7">
        <f>INDEX(Detail!$D$1:$D$1001,MATCH(B449,Detail!$G$1:$G$1001,0),1)</f>
        <v>72</v>
      </c>
      <c r="T449" s="7" t="str">
        <f>INDEX(Detail!$E$1:$E$1001,MATCH(Main!B449,Detail!$G$1:$G$1001,0))</f>
        <v>Jl. Peta No. 31</v>
      </c>
      <c r="U449" s="7" t="str">
        <f>INDEX(Detail!$B$1:$B$1001,MATCH(B449,Detail!$G$1:$G$1001,0),1)</f>
        <v>B-</v>
      </c>
      <c r="V449" s="7" t="str" cm="1">
        <f t="array" ref="V449">INDEX(Dosen!$B$3:$E$8,MATCH(Main!C449,Dosen!$A$3:$A$8,0),IF(AND(Main!A449&gt;=1,Main!A449&lt;=250),1,IF(AND(Main!A449&gt;=251,Main!A449&lt;=500),2,IF(AND(Main!A449&gt;=501,Main!A449&lt;=750),3,4))))</f>
        <v>Bu Dwi</v>
      </c>
      <c r="W449" s="7" t="str">
        <f>_xlfn.XLOOKUP(B449,Detail!$G$1:$G$1001,Detail!$B$1:$B$1001)</f>
        <v>B-</v>
      </c>
    </row>
    <row r="450" spans="1:23" ht="15.75" x14ac:dyDescent="0.25">
      <c r="A450" s="7">
        <v>683</v>
      </c>
      <c r="B450" s="33" t="str">
        <f t="shared" si="23"/>
        <v>C0683</v>
      </c>
      <c r="C450" s="7" t="s">
        <v>1012</v>
      </c>
      <c r="D450" s="33" t="str">
        <f>VLOOKUP(B450,Detail!$G$1:$H$1001,2,FALSE)</f>
        <v>Bala Sitorus</v>
      </c>
      <c r="E450" s="7">
        <v>94</v>
      </c>
      <c r="F450" s="7">
        <v>49</v>
      </c>
      <c r="G450" s="57">
        <v>76</v>
      </c>
      <c r="H450" s="7">
        <v>58</v>
      </c>
      <c r="I450" s="7">
        <v>93</v>
      </c>
      <c r="J450" s="7">
        <v>63</v>
      </c>
      <c r="K450" s="7">
        <v>100</v>
      </c>
      <c r="L450" s="56">
        <f>IFERROR(VLOOKUP(B450,Absen!$A$1:$C$501,2,FALSE),"No")</f>
        <v>44876</v>
      </c>
      <c r="M450" s="58">
        <f t="shared" ref="M450:M513" si="24">IF(L450="no",K450,K450-10)*10%</f>
        <v>9</v>
      </c>
      <c r="N450" s="57">
        <f t="shared" ref="N450:N513" si="25">SUM(E450*12.5%,F450*12.5%,H450*12.5%,I450*12.5%,G450*20%,J450*20%,M450)</f>
        <v>73.550000000000011</v>
      </c>
      <c r="O450" s="7" t="str">
        <f>VLOOKUP(N450,Helper!$B$30:$C$35,2,TRUE)</f>
        <v>B</v>
      </c>
      <c r="P450" s="56">
        <f>INDEX(Detail!$A$1:$A$1001,MATCH(B450,Detail!$G$1:$G$1001,0))</f>
        <v>37147</v>
      </c>
      <c r="Q450" s="33" t="str">
        <f>INDEX(Detail!$F$1:$F$1001,MATCH(Main!B450,Detail!$G$1:$G$1001,0))</f>
        <v>Bontang</v>
      </c>
      <c r="R450" s="7">
        <f>INDEX(Detail!$C$1:$C$1001,MATCH(B450,Detail!$G$1:$G$1001,0),1)</f>
        <v>178</v>
      </c>
      <c r="S450" s="7">
        <f>INDEX(Detail!$D$1:$D$1001,MATCH(B450,Detail!$G$1:$G$1001,0),1)</f>
        <v>59</v>
      </c>
      <c r="T450" s="7" t="str">
        <f>INDEX(Detail!$E$1:$E$1001,MATCH(Main!B450,Detail!$G$1:$G$1001,0))</f>
        <v xml:space="preserve">Jl. Ahmad Yani No. 7
</v>
      </c>
      <c r="U450" s="7" t="str">
        <f>INDEX(Detail!$B$1:$B$1001,MATCH(B450,Detail!$G$1:$G$1001,0),1)</f>
        <v>O-</v>
      </c>
      <c r="V450" s="7" t="str" cm="1">
        <f t="array" ref="V450">INDEX(Dosen!$B$3:$E$8,MATCH(Main!C450,Dosen!$A$3:$A$8,0),IF(AND(Main!A450&gt;=1,Main!A450&lt;=250),1,IF(AND(Main!A450&gt;=251,Main!A450&lt;=500),2,IF(AND(Main!A450&gt;=501,Main!A450&lt;=750),3,4))))</f>
        <v>Bu Dwi</v>
      </c>
      <c r="W450" s="7" t="str">
        <f>_xlfn.XLOOKUP(B450,Detail!$G$1:$G$1001,Detail!$B$1:$B$1001)</f>
        <v>O-</v>
      </c>
    </row>
    <row r="451" spans="1:23" ht="15.75" x14ac:dyDescent="0.25">
      <c r="A451" s="7">
        <v>687</v>
      </c>
      <c r="B451" s="33" t="str">
        <f t="shared" si="23"/>
        <v>C0687</v>
      </c>
      <c r="C451" s="7" t="s">
        <v>1012</v>
      </c>
      <c r="D451" s="33" t="str">
        <f>VLOOKUP(B451,Detail!$G$1:$H$1001,2,FALSE)</f>
        <v>Jasmin Padmasari</v>
      </c>
      <c r="E451" s="7">
        <v>83</v>
      </c>
      <c r="F451" s="7">
        <v>69</v>
      </c>
      <c r="G451" s="57">
        <v>76</v>
      </c>
      <c r="H451" s="7">
        <v>70</v>
      </c>
      <c r="I451" s="7">
        <v>94</v>
      </c>
      <c r="J451" s="7">
        <v>88</v>
      </c>
      <c r="K451" s="7">
        <v>74</v>
      </c>
      <c r="L451" s="56" t="str">
        <f>IFERROR(VLOOKUP(B451,Absen!$A$1:$C$501,2,FALSE),"No")</f>
        <v>No</v>
      </c>
      <c r="M451" s="58">
        <f t="shared" si="24"/>
        <v>7.4</v>
      </c>
      <c r="N451" s="57">
        <f t="shared" si="25"/>
        <v>79.700000000000017</v>
      </c>
      <c r="O451" s="7" t="str">
        <f>VLOOKUP(N451,Helper!$B$30:$C$35,2,TRUE)</f>
        <v>B</v>
      </c>
      <c r="P451" s="56">
        <f>INDEX(Detail!$A$1:$A$1001,MATCH(B451,Detail!$G$1:$G$1001,0))</f>
        <v>37865</v>
      </c>
      <c r="Q451" s="33" t="str">
        <f>INDEX(Detail!$F$1:$F$1001,MATCH(Main!B451,Detail!$G$1:$G$1001,0))</f>
        <v>Tangerang</v>
      </c>
      <c r="R451" s="7">
        <f>INDEX(Detail!$C$1:$C$1001,MATCH(B451,Detail!$G$1:$G$1001,0),1)</f>
        <v>178</v>
      </c>
      <c r="S451" s="7">
        <f>INDEX(Detail!$D$1:$D$1001,MATCH(B451,Detail!$G$1:$G$1001,0),1)</f>
        <v>55</v>
      </c>
      <c r="T451" s="7" t="str">
        <f>INDEX(Detail!$E$1:$E$1001,MATCH(Main!B451,Detail!$G$1:$G$1001,0))</f>
        <v>Jl. Peta No. 41</v>
      </c>
      <c r="U451" s="7" t="str">
        <f>INDEX(Detail!$B$1:$B$1001,MATCH(B451,Detail!$G$1:$G$1001,0),1)</f>
        <v>B-</v>
      </c>
      <c r="V451" s="7" t="str" cm="1">
        <f t="array" ref="V451">INDEX(Dosen!$B$3:$E$8,MATCH(Main!C451,Dosen!$A$3:$A$8,0),IF(AND(Main!A451&gt;=1,Main!A451&lt;=250),1,IF(AND(Main!A451&gt;=251,Main!A451&lt;=500),2,IF(AND(Main!A451&gt;=501,Main!A451&lt;=750),3,4))))</f>
        <v>Bu Dwi</v>
      </c>
      <c r="W451" s="7" t="str">
        <f>_xlfn.XLOOKUP(B451,Detail!$G$1:$G$1001,Detail!$B$1:$B$1001)</f>
        <v>B-</v>
      </c>
    </row>
    <row r="452" spans="1:23" ht="15.75" x14ac:dyDescent="0.25">
      <c r="A452" s="7">
        <v>698</v>
      </c>
      <c r="B452" s="33" t="str">
        <f t="shared" si="23"/>
        <v>C0698</v>
      </c>
      <c r="C452" s="7" t="s">
        <v>1012</v>
      </c>
      <c r="D452" s="33" t="str">
        <f>VLOOKUP(B452,Detail!$G$1:$H$1001,2,FALSE)</f>
        <v>Viman Uyainah</v>
      </c>
      <c r="E452" s="7">
        <v>53</v>
      </c>
      <c r="F452" s="7">
        <v>71</v>
      </c>
      <c r="G452" s="57">
        <v>53</v>
      </c>
      <c r="H452" s="7">
        <v>70</v>
      </c>
      <c r="I452" s="7">
        <v>65</v>
      </c>
      <c r="J452" s="7">
        <v>91</v>
      </c>
      <c r="K452" s="7">
        <v>81</v>
      </c>
      <c r="L452" s="56" t="str">
        <f>IFERROR(VLOOKUP(B452,Absen!$A$1:$C$501,2,FALSE),"No")</f>
        <v>No</v>
      </c>
      <c r="M452" s="58">
        <f t="shared" si="24"/>
        <v>8.1</v>
      </c>
      <c r="N452" s="57">
        <f t="shared" si="25"/>
        <v>69.274999999999991</v>
      </c>
      <c r="O452" s="7" t="str">
        <f>VLOOKUP(N452,Helper!$B$30:$C$35,2,TRUE)</f>
        <v>C</v>
      </c>
      <c r="P452" s="56">
        <f>INDEX(Detail!$A$1:$A$1001,MATCH(B452,Detail!$G$1:$G$1001,0))</f>
        <v>37699</v>
      </c>
      <c r="Q452" s="33" t="str">
        <f>INDEX(Detail!$F$1:$F$1001,MATCH(Main!B452,Detail!$G$1:$G$1001,0))</f>
        <v>Bima</v>
      </c>
      <c r="R452" s="7">
        <f>INDEX(Detail!$C$1:$C$1001,MATCH(B452,Detail!$G$1:$G$1001,0),1)</f>
        <v>164</v>
      </c>
      <c r="S452" s="7">
        <f>INDEX(Detail!$D$1:$D$1001,MATCH(B452,Detail!$G$1:$G$1001,0),1)</f>
        <v>52</v>
      </c>
      <c r="T452" s="7" t="str">
        <f>INDEX(Detail!$E$1:$E$1001,MATCH(Main!B452,Detail!$G$1:$G$1001,0))</f>
        <v xml:space="preserve">Gang Dipenogoro No. 0
</v>
      </c>
      <c r="U452" s="7" t="str">
        <f>INDEX(Detail!$B$1:$B$1001,MATCH(B452,Detail!$G$1:$G$1001,0),1)</f>
        <v>O-</v>
      </c>
      <c r="V452" s="7" t="str" cm="1">
        <f t="array" ref="V452">INDEX(Dosen!$B$3:$E$8,MATCH(Main!C452,Dosen!$A$3:$A$8,0),IF(AND(Main!A452&gt;=1,Main!A452&lt;=250),1,IF(AND(Main!A452&gt;=251,Main!A452&lt;=500),2,IF(AND(Main!A452&gt;=501,Main!A452&lt;=750),3,4))))</f>
        <v>Bu Dwi</v>
      </c>
      <c r="W452" s="7" t="str">
        <f>_xlfn.XLOOKUP(B452,Detail!$G$1:$G$1001,Detail!$B$1:$B$1001)</f>
        <v>O-</v>
      </c>
    </row>
    <row r="453" spans="1:23" ht="15.75" x14ac:dyDescent="0.25">
      <c r="A453" s="7">
        <v>706</v>
      </c>
      <c r="B453" s="33" t="str">
        <f t="shared" si="23"/>
        <v>C0706</v>
      </c>
      <c r="C453" s="7" t="s">
        <v>1012</v>
      </c>
      <c r="D453" s="33" t="str">
        <f>VLOOKUP(B453,Detail!$G$1:$H$1001,2,FALSE)</f>
        <v>Olga Handayani</v>
      </c>
      <c r="E453" s="7">
        <v>63</v>
      </c>
      <c r="F453" s="7">
        <v>72</v>
      </c>
      <c r="G453" s="57">
        <v>56</v>
      </c>
      <c r="H453" s="7">
        <v>62</v>
      </c>
      <c r="I453" s="7">
        <v>82</v>
      </c>
      <c r="J453" s="7">
        <v>95</v>
      </c>
      <c r="K453" s="7">
        <v>82</v>
      </c>
      <c r="L453" s="56">
        <f>IFERROR(VLOOKUP(B453,Absen!$A$1:$C$501,2,FALSE),"No")</f>
        <v>44782</v>
      </c>
      <c r="M453" s="58">
        <f t="shared" si="24"/>
        <v>7.2</v>
      </c>
      <c r="N453" s="57">
        <f t="shared" si="25"/>
        <v>72.275000000000006</v>
      </c>
      <c r="O453" s="7" t="str">
        <f>VLOOKUP(N453,Helper!$B$30:$C$35,2,TRUE)</f>
        <v>B</v>
      </c>
      <c r="P453" s="56">
        <f>INDEX(Detail!$A$1:$A$1001,MATCH(B453,Detail!$G$1:$G$1001,0))</f>
        <v>37288</v>
      </c>
      <c r="Q453" s="33" t="str">
        <f>INDEX(Detail!$F$1:$F$1001,MATCH(Main!B453,Detail!$G$1:$G$1001,0))</f>
        <v>Kendari</v>
      </c>
      <c r="R453" s="7">
        <f>INDEX(Detail!$C$1:$C$1001,MATCH(B453,Detail!$G$1:$G$1001,0),1)</f>
        <v>166</v>
      </c>
      <c r="S453" s="7">
        <f>INDEX(Detail!$D$1:$D$1001,MATCH(B453,Detail!$G$1:$G$1001,0),1)</f>
        <v>69</v>
      </c>
      <c r="T453" s="7" t="str">
        <f>INDEX(Detail!$E$1:$E$1001,MATCH(Main!B453,Detail!$G$1:$G$1001,0))</f>
        <v xml:space="preserve">Jl. Veteran No. 9
</v>
      </c>
      <c r="U453" s="7" t="str">
        <f>INDEX(Detail!$B$1:$B$1001,MATCH(B453,Detail!$G$1:$G$1001,0),1)</f>
        <v>A+</v>
      </c>
      <c r="V453" s="7" t="str" cm="1">
        <f t="array" ref="V453">INDEX(Dosen!$B$3:$E$8,MATCH(Main!C453,Dosen!$A$3:$A$8,0),IF(AND(Main!A453&gt;=1,Main!A453&lt;=250),1,IF(AND(Main!A453&gt;=251,Main!A453&lt;=500),2,IF(AND(Main!A453&gt;=501,Main!A453&lt;=750),3,4))))</f>
        <v>Bu Dwi</v>
      </c>
      <c r="W453" s="7" t="str">
        <f>_xlfn.XLOOKUP(B453,Detail!$G$1:$G$1001,Detail!$B$1:$B$1001)</f>
        <v>A+</v>
      </c>
    </row>
    <row r="454" spans="1:23" ht="15.75" x14ac:dyDescent="0.25">
      <c r="A454" s="7">
        <v>752</v>
      </c>
      <c r="B454" s="33" t="str">
        <f t="shared" si="23"/>
        <v>C0752</v>
      </c>
      <c r="C454" s="7" t="s">
        <v>1012</v>
      </c>
      <c r="D454" s="33" t="str">
        <f>VLOOKUP(B454,Detail!$G$1:$H$1001,2,FALSE)</f>
        <v>Galang Firgantoro</v>
      </c>
      <c r="E454" s="7">
        <v>85</v>
      </c>
      <c r="F454" s="7">
        <v>51</v>
      </c>
      <c r="G454" s="57">
        <v>53</v>
      </c>
      <c r="H454" s="7">
        <v>62</v>
      </c>
      <c r="I454" s="7">
        <v>90</v>
      </c>
      <c r="J454" s="7">
        <v>73</v>
      </c>
      <c r="K454" s="7">
        <v>92</v>
      </c>
      <c r="L454" s="56">
        <f>IFERROR(VLOOKUP(B454,Absen!$A$1:$C$501,2,FALSE),"No")</f>
        <v>44815</v>
      </c>
      <c r="M454" s="58">
        <f t="shared" si="24"/>
        <v>8.2000000000000011</v>
      </c>
      <c r="N454" s="57">
        <f t="shared" si="25"/>
        <v>69.400000000000006</v>
      </c>
      <c r="O454" s="7" t="str">
        <f>VLOOKUP(N454,Helper!$B$30:$C$35,2,TRUE)</f>
        <v>C</v>
      </c>
      <c r="P454" s="56">
        <f>INDEX(Detail!$A$1:$A$1001,MATCH(B454,Detail!$G$1:$G$1001,0))</f>
        <v>38159</v>
      </c>
      <c r="Q454" s="33" t="str">
        <f>INDEX(Detail!$F$1:$F$1001,MATCH(Main!B454,Detail!$G$1:$G$1001,0))</f>
        <v>Kupang</v>
      </c>
      <c r="R454" s="7">
        <f>INDEX(Detail!$C$1:$C$1001,MATCH(B454,Detail!$G$1:$G$1001,0),1)</f>
        <v>164</v>
      </c>
      <c r="S454" s="7">
        <f>INDEX(Detail!$D$1:$D$1001,MATCH(B454,Detail!$G$1:$G$1001,0),1)</f>
        <v>45</v>
      </c>
      <c r="T454" s="7" t="str">
        <f>INDEX(Detail!$E$1:$E$1001,MATCH(Main!B454,Detail!$G$1:$G$1001,0))</f>
        <v>Gang Cihampelas No. 05</v>
      </c>
      <c r="U454" s="7" t="str">
        <f>INDEX(Detail!$B$1:$B$1001,MATCH(B454,Detail!$G$1:$G$1001,0),1)</f>
        <v>AB-</v>
      </c>
      <c r="V454" s="7" t="str" cm="1">
        <f t="array" ref="V454">INDEX(Dosen!$B$3:$E$8,MATCH(Main!C454,Dosen!$A$3:$A$8,0),IF(AND(Main!A454&gt;=1,Main!A454&lt;=250),1,IF(AND(Main!A454&gt;=251,Main!A454&lt;=500),2,IF(AND(Main!A454&gt;=501,Main!A454&lt;=750),3,4))))</f>
        <v>Pak Andi</v>
      </c>
      <c r="W454" s="7" t="str">
        <f>_xlfn.XLOOKUP(B454,Detail!$G$1:$G$1001,Detail!$B$1:$B$1001)</f>
        <v>AB-</v>
      </c>
    </row>
    <row r="455" spans="1:23" ht="15.75" x14ac:dyDescent="0.25">
      <c r="A455" s="7">
        <v>764</v>
      </c>
      <c r="B455" s="33" t="str">
        <f t="shared" si="23"/>
        <v>C0764</v>
      </c>
      <c r="C455" s="7" t="s">
        <v>1012</v>
      </c>
      <c r="D455" s="33" t="str">
        <f>VLOOKUP(B455,Detail!$G$1:$H$1001,2,FALSE)</f>
        <v>Timbul Hassanah</v>
      </c>
      <c r="E455" s="7">
        <v>56</v>
      </c>
      <c r="F455" s="7">
        <v>46</v>
      </c>
      <c r="G455" s="57">
        <v>38</v>
      </c>
      <c r="H455" s="7">
        <v>61</v>
      </c>
      <c r="I455" s="7">
        <v>58</v>
      </c>
      <c r="J455" s="7">
        <v>71</v>
      </c>
      <c r="K455" s="7">
        <v>71</v>
      </c>
      <c r="L455" s="56">
        <f>IFERROR(VLOOKUP(B455,Absen!$A$1:$C$501,2,FALSE),"No")</f>
        <v>44881</v>
      </c>
      <c r="M455" s="58">
        <f t="shared" si="24"/>
        <v>6.1000000000000005</v>
      </c>
      <c r="N455" s="57">
        <f t="shared" si="25"/>
        <v>55.525000000000006</v>
      </c>
      <c r="O455" s="7" t="str">
        <f>VLOOKUP(N455,Helper!$B$30:$C$35,2,TRUE)</f>
        <v>D</v>
      </c>
      <c r="P455" s="56">
        <f>INDEX(Detail!$A$1:$A$1001,MATCH(B455,Detail!$G$1:$G$1001,0))</f>
        <v>38425</v>
      </c>
      <c r="Q455" s="33" t="str">
        <f>INDEX(Detail!$F$1:$F$1001,MATCH(Main!B455,Detail!$G$1:$G$1001,0))</f>
        <v>Sawahlunto</v>
      </c>
      <c r="R455" s="7">
        <f>INDEX(Detail!$C$1:$C$1001,MATCH(B455,Detail!$G$1:$G$1001,0),1)</f>
        <v>167</v>
      </c>
      <c r="S455" s="7">
        <f>INDEX(Detail!$D$1:$D$1001,MATCH(B455,Detail!$G$1:$G$1001,0),1)</f>
        <v>94</v>
      </c>
      <c r="T455" s="7" t="str">
        <f>INDEX(Detail!$E$1:$E$1001,MATCH(Main!B455,Detail!$G$1:$G$1001,0))</f>
        <v xml:space="preserve">Jl. Cikutra Barat No. 2
</v>
      </c>
      <c r="U455" s="7" t="str">
        <f>INDEX(Detail!$B$1:$B$1001,MATCH(B455,Detail!$G$1:$G$1001,0),1)</f>
        <v>A+</v>
      </c>
      <c r="V455" s="7" t="str" cm="1">
        <f t="array" ref="V455">INDEX(Dosen!$B$3:$E$8,MATCH(Main!C455,Dosen!$A$3:$A$8,0),IF(AND(Main!A455&gt;=1,Main!A455&lt;=250),1,IF(AND(Main!A455&gt;=251,Main!A455&lt;=500),2,IF(AND(Main!A455&gt;=501,Main!A455&lt;=750),3,4))))</f>
        <v>Pak Andi</v>
      </c>
      <c r="W455" s="7" t="str">
        <f>_xlfn.XLOOKUP(B455,Detail!$G$1:$G$1001,Detail!$B$1:$B$1001)</f>
        <v>A+</v>
      </c>
    </row>
    <row r="456" spans="1:23" ht="15.75" x14ac:dyDescent="0.25">
      <c r="A456" s="7">
        <v>776</v>
      </c>
      <c r="B456" s="33" t="str">
        <f t="shared" si="23"/>
        <v>C0776</v>
      </c>
      <c r="C456" s="7" t="s">
        <v>1012</v>
      </c>
      <c r="D456" s="33" t="str">
        <f>VLOOKUP(B456,Detail!$G$1:$H$1001,2,FALSE)</f>
        <v>Ana Nugroho</v>
      </c>
      <c r="E456" s="7">
        <v>69</v>
      </c>
      <c r="F456" s="7">
        <v>58</v>
      </c>
      <c r="G456" s="57">
        <v>58</v>
      </c>
      <c r="H456" s="7">
        <v>50</v>
      </c>
      <c r="I456" s="7">
        <v>91</v>
      </c>
      <c r="J456" s="7">
        <v>46</v>
      </c>
      <c r="K456" s="7">
        <v>64</v>
      </c>
      <c r="L456" s="56">
        <f>IFERROR(VLOOKUP(B456,Absen!$A$1:$C$501,2,FALSE),"No")</f>
        <v>44917</v>
      </c>
      <c r="M456" s="58">
        <f t="shared" si="24"/>
        <v>5.4</v>
      </c>
      <c r="N456" s="57">
        <f t="shared" si="25"/>
        <v>59.7</v>
      </c>
      <c r="O456" s="7" t="str">
        <f>VLOOKUP(N456,Helper!$B$30:$C$35,2,TRUE)</f>
        <v>D</v>
      </c>
      <c r="P456" s="56">
        <f>INDEX(Detail!$A$1:$A$1001,MATCH(B456,Detail!$G$1:$G$1001,0))</f>
        <v>37991</v>
      </c>
      <c r="Q456" s="33" t="str">
        <f>INDEX(Detail!$F$1:$F$1001,MATCH(Main!B456,Detail!$G$1:$G$1001,0))</f>
        <v>Sibolga</v>
      </c>
      <c r="R456" s="7">
        <f>INDEX(Detail!$C$1:$C$1001,MATCH(B456,Detail!$G$1:$G$1001,0),1)</f>
        <v>175</v>
      </c>
      <c r="S456" s="7">
        <f>INDEX(Detail!$D$1:$D$1001,MATCH(B456,Detail!$G$1:$G$1001,0),1)</f>
        <v>49</v>
      </c>
      <c r="T456" s="7" t="str">
        <f>INDEX(Detail!$E$1:$E$1001,MATCH(Main!B456,Detail!$G$1:$G$1001,0))</f>
        <v>Gg. Kapten Muslihat No. 53</v>
      </c>
      <c r="U456" s="7" t="str">
        <f>INDEX(Detail!$B$1:$B$1001,MATCH(B456,Detail!$G$1:$G$1001,0),1)</f>
        <v>AB+</v>
      </c>
      <c r="V456" s="7" t="str" cm="1">
        <f t="array" ref="V456">INDEX(Dosen!$B$3:$E$8,MATCH(Main!C456,Dosen!$A$3:$A$8,0),IF(AND(Main!A456&gt;=1,Main!A456&lt;=250),1,IF(AND(Main!A456&gt;=251,Main!A456&lt;=500),2,IF(AND(Main!A456&gt;=501,Main!A456&lt;=750),3,4))))</f>
        <v>Pak Andi</v>
      </c>
      <c r="W456" s="7" t="str">
        <f>_xlfn.XLOOKUP(B456,Detail!$G$1:$G$1001,Detail!$B$1:$B$1001)</f>
        <v>AB+</v>
      </c>
    </row>
    <row r="457" spans="1:23" ht="15.75" x14ac:dyDescent="0.25">
      <c r="A457" s="7">
        <v>788</v>
      </c>
      <c r="B457" s="33" t="str">
        <f t="shared" si="23"/>
        <v>C0788</v>
      </c>
      <c r="C457" s="7" t="s">
        <v>1012</v>
      </c>
      <c r="D457" s="33" t="str">
        <f>VLOOKUP(B457,Detail!$G$1:$H$1001,2,FALSE)</f>
        <v>Gangsa Mulyani</v>
      </c>
      <c r="E457" s="7">
        <v>90</v>
      </c>
      <c r="F457" s="7">
        <v>74</v>
      </c>
      <c r="G457" s="57">
        <v>61</v>
      </c>
      <c r="H457" s="7">
        <v>53</v>
      </c>
      <c r="I457" s="7">
        <v>51</v>
      </c>
      <c r="J457" s="7">
        <v>91</v>
      </c>
      <c r="K457" s="7">
        <v>67</v>
      </c>
      <c r="L457" s="56">
        <f>IFERROR(VLOOKUP(B457,Absen!$A$1:$C$501,2,FALSE),"No")</f>
        <v>44861</v>
      </c>
      <c r="M457" s="58">
        <f t="shared" si="24"/>
        <v>5.7</v>
      </c>
      <c r="N457" s="57">
        <f t="shared" si="25"/>
        <v>69.600000000000009</v>
      </c>
      <c r="O457" s="7" t="str">
        <f>VLOOKUP(N457,Helper!$B$30:$C$35,2,TRUE)</f>
        <v>C</v>
      </c>
      <c r="P457" s="56">
        <f>INDEX(Detail!$A$1:$A$1001,MATCH(B457,Detail!$G$1:$G$1001,0))</f>
        <v>38078</v>
      </c>
      <c r="Q457" s="33" t="str">
        <f>INDEX(Detail!$F$1:$F$1001,MATCH(Main!B457,Detail!$G$1:$G$1001,0))</f>
        <v>Surakarta</v>
      </c>
      <c r="R457" s="7">
        <f>INDEX(Detail!$C$1:$C$1001,MATCH(B457,Detail!$G$1:$G$1001,0),1)</f>
        <v>174</v>
      </c>
      <c r="S457" s="7">
        <f>INDEX(Detail!$D$1:$D$1001,MATCH(B457,Detail!$G$1:$G$1001,0),1)</f>
        <v>87</v>
      </c>
      <c r="T457" s="7" t="str">
        <f>INDEX(Detail!$E$1:$E$1001,MATCH(Main!B457,Detail!$G$1:$G$1001,0))</f>
        <v xml:space="preserve">Gg. Ahmad Yani No. 0
</v>
      </c>
      <c r="U457" s="7" t="str">
        <f>INDEX(Detail!$B$1:$B$1001,MATCH(B457,Detail!$G$1:$G$1001,0),1)</f>
        <v>B+</v>
      </c>
      <c r="V457" s="7" t="str" cm="1">
        <f t="array" ref="V457">INDEX(Dosen!$B$3:$E$8,MATCH(Main!C457,Dosen!$A$3:$A$8,0),IF(AND(Main!A457&gt;=1,Main!A457&lt;=250),1,IF(AND(Main!A457&gt;=251,Main!A457&lt;=500),2,IF(AND(Main!A457&gt;=501,Main!A457&lt;=750),3,4))))</f>
        <v>Pak Andi</v>
      </c>
      <c r="W457" s="7" t="str">
        <f>_xlfn.XLOOKUP(B457,Detail!$G$1:$G$1001,Detail!$B$1:$B$1001)</f>
        <v>B+</v>
      </c>
    </row>
    <row r="458" spans="1:23" ht="15.75" x14ac:dyDescent="0.25">
      <c r="A458" s="7">
        <v>793</v>
      </c>
      <c r="B458" s="33" t="str">
        <f t="shared" si="23"/>
        <v>C0793</v>
      </c>
      <c r="C458" s="7" t="s">
        <v>1012</v>
      </c>
      <c r="D458" s="33" t="str">
        <f>VLOOKUP(B458,Detail!$G$1:$H$1001,2,FALSE)</f>
        <v>Dadap Farida</v>
      </c>
      <c r="E458" s="7">
        <v>80</v>
      </c>
      <c r="F458" s="7">
        <v>63</v>
      </c>
      <c r="G458" s="57">
        <v>67</v>
      </c>
      <c r="H458" s="7">
        <v>59</v>
      </c>
      <c r="I458" s="7">
        <v>56</v>
      </c>
      <c r="J458" s="7">
        <v>91</v>
      </c>
      <c r="K458" s="7">
        <v>61</v>
      </c>
      <c r="L458" s="56">
        <f>IFERROR(VLOOKUP(B458,Absen!$A$1:$C$501,2,FALSE),"No")</f>
        <v>44900</v>
      </c>
      <c r="M458" s="58">
        <f t="shared" si="24"/>
        <v>5.1000000000000005</v>
      </c>
      <c r="N458" s="57">
        <f t="shared" si="25"/>
        <v>68.949999999999989</v>
      </c>
      <c r="O458" s="7" t="str">
        <f>VLOOKUP(N458,Helper!$B$30:$C$35,2,TRUE)</f>
        <v>C</v>
      </c>
      <c r="P458" s="56">
        <f>INDEX(Detail!$A$1:$A$1001,MATCH(B458,Detail!$G$1:$G$1001,0))</f>
        <v>37573</v>
      </c>
      <c r="Q458" s="33" t="str">
        <f>INDEX(Detail!$F$1:$F$1001,MATCH(Main!B458,Detail!$G$1:$G$1001,0))</f>
        <v>Bitung</v>
      </c>
      <c r="R458" s="7">
        <f>INDEX(Detail!$C$1:$C$1001,MATCH(B458,Detail!$G$1:$G$1001,0),1)</f>
        <v>179</v>
      </c>
      <c r="S458" s="7">
        <f>INDEX(Detail!$D$1:$D$1001,MATCH(B458,Detail!$G$1:$G$1001,0),1)</f>
        <v>48</v>
      </c>
      <c r="T458" s="7" t="str">
        <f>INDEX(Detail!$E$1:$E$1001,MATCH(Main!B458,Detail!$G$1:$G$1001,0))</f>
        <v xml:space="preserve">Jalan Ronggowarsito No. 2
</v>
      </c>
      <c r="U458" s="7" t="str">
        <f>INDEX(Detail!$B$1:$B$1001,MATCH(B458,Detail!$G$1:$G$1001,0),1)</f>
        <v>AB+</v>
      </c>
      <c r="V458" s="7" t="str" cm="1">
        <f t="array" ref="V458">INDEX(Dosen!$B$3:$E$8,MATCH(Main!C458,Dosen!$A$3:$A$8,0),IF(AND(Main!A458&gt;=1,Main!A458&lt;=250),1,IF(AND(Main!A458&gt;=251,Main!A458&lt;=500),2,IF(AND(Main!A458&gt;=501,Main!A458&lt;=750),3,4))))</f>
        <v>Pak Andi</v>
      </c>
      <c r="W458" s="7" t="str">
        <f>_xlfn.XLOOKUP(B458,Detail!$G$1:$G$1001,Detail!$B$1:$B$1001)</f>
        <v>AB+</v>
      </c>
    </row>
    <row r="459" spans="1:23" ht="15.75" x14ac:dyDescent="0.25">
      <c r="A459" s="7">
        <v>794</v>
      </c>
      <c r="B459" s="33" t="str">
        <f t="shared" si="23"/>
        <v>C0794</v>
      </c>
      <c r="C459" s="7" t="s">
        <v>1012</v>
      </c>
      <c r="D459" s="33" t="str">
        <f>VLOOKUP(B459,Detail!$G$1:$H$1001,2,FALSE)</f>
        <v>Dartono Thamrin</v>
      </c>
      <c r="E459" s="7">
        <v>66</v>
      </c>
      <c r="F459" s="7">
        <v>48</v>
      </c>
      <c r="G459" s="57">
        <v>90</v>
      </c>
      <c r="H459" s="7">
        <v>56</v>
      </c>
      <c r="I459" s="7">
        <v>74</v>
      </c>
      <c r="J459" s="7">
        <v>93</v>
      </c>
      <c r="K459" s="7">
        <v>96</v>
      </c>
      <c r="L459" s="56">
        <f>IFERROR(VLOOKUP(B459,Absen!$A$1:$C$501,2,FALSE),"No")</f>
        <v>44763</v>
      </c>
      <c r="M459" s="58">
        <f t="shared" si="24"/>
        <v>8.6</v>
      </c>
      <c r="N459" s="57">
        <f t="shared" si="25"/>
        <v>75.699999999999989</v>
      </c>
      <c r="O459" s="7" t="str">
        <f>VLOOKUP(N459,Helper!$B$30:$C$35,2,TRUE)</f>
        <v>B</v>
      </c>
      <c r="P459" s="56">
        <f>INDEX(Detail!$A$1:$A$1001,MATCH(B459,Detail!$G$1:$G$1001,0))</f>
        <v>38121</v>
      </c>
      <c r="Q459" s="33" t="str">
        <f>INDEX(Detail!$F$1:$F$1001,MATCH(Main!B459,Detail!$G$1:$G$1001,0))</f>
        <v>Surabaya</v>
      </c>
      <c r="R459" s="7">
        <f>INDEX(Detail!$C$1:$C$1001,MATCH(B459,Detail!$G$1:$G$1001,0),1)</f>
        <v>151</v>
      </c>
      <c r="S459" s="7">
        <f>INDEX(Detail!$D$1:$D$1001,MATCH(B459,Detail!$G$1:$G$1001,0),1)</f>
        <v>61</v>
      </c>
      <c r="T459" s="7" t="str">
        <f>INDEX(Detail!$E$1:$E$1001,MATCH(Main!B459,Detail!$G$1:$G$1001,0))</f>
        <v>Gang Siliwangi No. 07</v>
      </c>
      <c r="U459" s="7" t="str">
        <f>INDEX(Detail!$B$1:$B$1001,MATCH(B459,Detail!$G$1:$G$1001,0),1)</f>
        <v>B+</v>
      </c>
      <c r="V459" s="7" t="str" cm="1">
        <f t="array" ref="V459">INDEX(Dosen!$B$3:$E$8,MATCH(Main!C459,Dosen!$A$3:$A$8,0),IF(AND(Main!A459&gt;=1,Main!A459&lt;=250),1,IF(AND(Main!A459&gt;=251,Main!A459&lt;=500),2,IF(AND(Main!A459&gt;=501,Main!A459&lt;=750),3,4))))</f>
        <v>Pak Andi</v>
      </c>
      <c r="W459" s="7" t="str">
        <f>_xlfn.XLOOKUP(B459,Detail!$G$1:$G$1001,Detail!$B$1:$B$1001)</f>
        <v>B+</v>
      </c>
    </row>
    <row r="460" spans="1:23" ht="15.75" x14ac:dyDescent="0.25">
      <c r="A460" s="7">
        <v>800</v>
      </c>
      <c r="B460" s="33" t="str">
        <f t="shared" si="23"/>
        <v>C0800</v>
      </c>
      <c r="C460" s="7" t="s">
        <v>1012</v>
      </c>
      <c r="D460" s="33" t="str">
        <f>VLOOKUP(B460,Detail!$G$1:$H$1001,2,FALSE)</f>
        <v>Enteng Hariyah</v>
      </c>
      <c r="E460" s="7">
        <v>84</v>
      </c>
      <c r="F460" s="7">
        <v>42</v>
      </c>
      <c r="G460" s="57">
        <v>68</v>
      </c>
      <c r="H460" s="7">
        <v>62</v>
      </c>
      <c r="I460" s="7">
        <v>63</v>
      </c>
      <c r="J460" s="7">
        <v>48</v>
      </c>
      <c r="K460" s="7">
        <v>86</v>
      </c>
      <c r="L460" s="56" t="str">
        <f>IFERROR(VLOOKUP(B460,Absen!$A$1:$C$501,2,FALSE),"No")</f>
        <v>No</v>
      </c>
      <c r="M460" s="58">
        <f t="shared" si="24"/>
        <v>8.6</v>
      </c>
      <c r="N460" s="57">
        <f t="shared" si="25"/>
        <v>63.175000000000004</v>
      </c>
      <c r="O460" s="7" t="str">
        <f>VLOOKUP(N460,Helper!$B$30:$C$35,2,TRUE)</f>
        <v>C</v>
      </c>
      <c r="P460" s="56">
        <f>INDEX(Detail!$A$1:$A$1001,MATCH(B460,Detail!$G$1:$G$1001,0))</f>
        <v>38222</v>
      </c>
      <c r="Q460" s="33" t="str">
        <f>INDEX(Detail!$F$1:$F$1001,MATCH(Main!B460,Detail!$G$1:$G$1001,0))</f>
        <v>Bukittinggi</v>
      </c>
      <c r="R460" s="7">
        <f>INDEX(Detail!$C$1:$C$1001,MATCH(B460,Detail!$G$1:$G$1001,0),1)</f>
        <v>170</v>
      </c>
      <c r="S460" s="7">
        <f>INDEX(Detail!$D$1:$D$1001,MATCH(B460,Detail!$G$1:$G$1001,0),1)</f>
        <v>64</v>
      </c>
      <c r="T460" s="7" t="str">
        <f>INDEX(Detail!$E$1:$E$1001,MATCH(Main!B460,Detail!$G$1:$G$1001,0))</f>
        <v xml:space="preserve">Gang Lembong No. 8
</v>
      </c>
      <c r="U460" s="7" t="str">
        <f>INDEX(Detail!$B$1:$B$1001,MATCH(B460,Detail!$G$1:$G$1001,0),1)</f>
        <v>AB-</v>
      </c>
      <c r="V460" s="7" t="str" cm="1">
        <f t="array" ref="V460">INDEX(Dosen!$B$3:$E$8,MATCH(Main!C460,Dosen!$A$3:$A$8,0),IF(AND(Main!A460&gt;=1,Main!A460&lt;=250),1,IF(AND(Main!A460&gt;=251,Main!A460&lt;=500),2,IF(AND(Main!A460&gt;=501,Main!A460&lt;=750),3,4))))</f>
        <v>Pak Andi</v>
      </c>
      <c r="W460" s="7" t="str">
        <f>_xlfn.XLOOKUP(B460,Detail!$G$1:$G$1001,Detail!$B$1:$B$1001)</f>
        <v>AB-</v>
      </c>
    </row>
    <row r="461" spans="1:23" ht="15.75" x14ac:dyDescent="0.25">
      <c r="A461" s="7">
        <v>804</v>
      </c>
      <c r="B461" s="33" t="str">
        <f t="shared" si="23"/>
        <v>C0804</v>
      </c>
      <c r="C461" s="7" t="s">
        <v>1012</v>
      </c>
      <c r="D461" s="33" t="str">
        <f>VLOOKUP(B461,Detail!$G$1:$H$1001,2,FALSE)</f>
        <v>Diana Mangunsong</v>
      </c>
      <c r="E461" s="7">
        <v>81</v>
      </c>
      <c r="F461" s="7">
        <v>74</v>
      </c>
      <c r="G461" s="57">
        <v>71</v>
      </c>
      <c r="H461" s="7">
        <v>69</v>
      </c>
      <c r="I461" s="7">
        <v>68</v>
      </c>
      <c r="J461" s="7">
        <v>97</v>
      </c>
      <c r="K461" s="7">
        <v>70</v>
      </c>
      <c r="L461" s="56">
        <f>IFERROR(VLOOKUP(B461,Absen!$A$1:$C$501,2,FALSE),"No")</f>
        <v>44827</v>
      </c>
      <c r="M461" s="58">
        <f t="shared" si="24"/>
        <v>6</v>
      </c>
      <c r="N461" s="57">
        <f t="shared" si="25"/>
        <v>76.100000000000009</v>
      </c>
      <c r="O461" s="7" t="str">
        <f>VLOOKUP(N461,Helper!$B$30:$C$35,2,TRUE)</f>
        <v>B</v>
      </c>
      <c r="P461" s="56">
        <f>INDEX(Detail!$A$1:$A$1001,MATCH(B461,Detail!$G$1:$G$1001,0))</f>
        <v>38079</v>
      </c>
      <c r="Q461" s="33" t="str">
        <f>INDEX(Detail!$F$1:$F$1001,MATCH(Main!B461,Detail!$G$1:$G$1001,0))</f>
        <v>Bukittinggi</v>
      </c>
      <c r="R461" s="7">
        <f>INDEX(Detail!$C$1:$C$1001,MATCH(B461,Detail!$G$1:$G$1001,0),1)</f>
        <v>180</v>
      </c>
      <c r="S461" s="7">
        <f>INDEX(Detail!$D$1:$D$1001,MATCH(B461,Detail!$G$1:$G$1001,0),1)</f>
        <v>80</v>
      </c>
      <c r="T461" s="7" t="str">
        <f>INDEX(Detail!$E$1:$E$1001,MATCH(Main!B461,Detail!$G$1:$G$1001,0))</f>
        <v>Gg. M.T Haryono No. 96</v>
      </c>
      <c r="U461" s="7" t="str">
        <f>INDEX(Detail!$B$1:$B$1001,MATCH(B461,Detail!$G$1:$G$1001,0),1)</f>
        <v>O+</v>
      </c>
      <c r="V461" s="7" t="str" cm="1">
        <f t="array" ref="V461">INDEX(Dosen!$B$3:$E$8,MATCH(Main!C461,Dosen!$A$3:$A$8,0),IF(AND(Main!A461&gt;=1,Main!A461&lt;=250),1,IF(AND(Main!A461&gt;=251,Main!A461&lt;=500),2,IF(AND(Main!A461&gt;=501,Main!A461&lt;=750),3,4))))</f>
        <v>Pak Andi</v>
      </c>
      <c r="W461" s="7" t="str">
        <f>_xlfn.XLOOKUP(B461,Detail!$G$1:$G$1001,Detail!$B$1:$B$1001)</f>
        <v>O+</v>
      </c>
    </row>
    <row r="462" spans="1:23" ht="15.75" x14ac:dyDescent="0.25">
      <c r="A462" s="7">
        <v>835</v>
      </c>
      <c r="B462" s="33" t="str">
        <f t="shared" si="23"/>
        <v>C0835</v>
      </c>
      <c r="C462" s="7" t="s">
        <v>1012</v>
      </c>
      <c r="D462" s="33" t="str">
        <f>VLOOKUP(B462,Detail!$G$1:$H$1001,2,FALSE)</f>
        <v>Ghaliyati Yulianti</v>
      </c>
      <c r="E462" s="7">
        <v>81</v>
      </c>
      <c r="F462" s="7">
        <v>41</v>
      </c>
      <c r="G462" s="57">
        <v>95</v>
      </c>
      <c r="H462" s="7">
        <v>50</v>
      </c>
      <c r="I462" s="7">
        <v>79</v>
      </c>
      <c r="J462" s="7">
        <v>97</v>
      </c>
      <c r="K462" s="7">
        <v>97</v>
      </c>
      <c r="L462" s="56" t="str">
        <f>IFERROR(VLOOKUP(B462,Absen!$A$1:$C$501,2,FALSE),"No")</f>
        <v>No</v>
      </c>
      <c r="M462" s="58">
        <f t="shared" si="24"/>
        <v>9.7000000000000011</v>
      </c>
      <c r="N462" s="57">
        <f t="shared" si="25"/>
        <v>79.475000000000009</v>
      </c>
      <c r="O462" s="7" t="str">
        <f>VLOOKUP(N462,Helper!$B$30:$C$35,2,TRUE)</f>
        <v>B</v>
      </c>
      <c r="P462" s="56">
        <f>INDEX(Detail!$A$1:$A$1001,MATCH(B462,Detail!$G$1:$G$1001,0))</f>
        <v>37964</v>
      </c>
      <c r="Q462" s="33" t="str">
        <f>INDEX(Detail!$F$1:$F$1001,MATCH(Main!B462,Detail!$G$1:$G$1001,0))</f>
        <v>Mataram</v>
      </c>
      <c r="R462" s="7">
        <f>INDEX(Detail!$C$1:$C$1001,MATCH(B462,Detail!$G$1:$G$1001,0),1)</f>
        <v>163</v>
      </c>
      <c r="S462" s="7">
        <f>INDEX(Detail!$D$1:$D$1001,MATCH(B462,Detail!$G$1:$G$1001,0),1)</f>
        <v>81</v>
      </c>
      <c r="T462" s="7" t="str">
        <f>INDEX(Detail!$E$1:$E$1001,MATCH(Main!B462,Detail!$G$1:$G$1001,0))</f>
        <v>Jl. Tebet Barat Dalam No. 01</v>
      </c>
      <c r="U462" s="7" t="str">
        <f>INDEX(Detail!$B$1:$B$1001,MATCH(B462,Detail!$G$1:$G$1001,0),1)</f>
        <v>A+</v>
      </c>
      <c r="V462" s="7" t="str" cm="1">
        <f t="array" ref="V462">INDEX(Dosen!$B$3:$E$8,MATCH(Main!C462,Dosen!$A$3:$A$8,0),IF(AND(Main!A462&gt;=1,Main!A462&lt;=250),1,IF(AND(Main!A462&gt;=251,Main!A462&lt;=500),2,IF(AND(Main!A462&gt;=501,Main!A462&lt;=750),3,4))))</f>
        <v>Pak Andi</v>
      </c>
      <c r="W462" s="7" t="str">
        <f>_xlfn.XLOOKUP(B462,Detail!$G$1:$G$1001,Detail!$B$1:$B$1001)</f>
        <v>A+</v>
      </c>
    </row>
    <row r="463" spans="1:23" ht="15.75" x14ac:dyDescent="0.25">
      <c r="A463" s="7">
        <v>836</v>
      </c>
      <c r="B463" s="33" t="str">
        <f t="shared" si="23"/>
        <v>C0836</v>
      </c>
      <c r="C463" s="7" t="s">
        <v>1012</v>
      </c>
      <c r="D463" s="33" t="str">
        <f>VLOOKUP(B463,Detail!$G$1:$H$1001,2,FALSE)</f>
        <v>Nrima Prabowo</v>
      </c>
      <c r="E463" s="7">
        <v>89</v>
      </c>
      <c r="F463" s="7">
        <v>45</v>
      </c>
      <c r="G463" s="57">
        <v>33</v>
      </c>
      <c r="H463" s="7">
        <v>70</v>
      </c>
      <c r="I463" s="7">
        <v>75</v>
      </c>
      <c r="J463" s="7">
        <v>72</v>
      </c>
      <c r="K463" s="7">
        <v>67</v>
      </c>
      <c r="L463" s="56" t="str">
        <f>IFERROR(VLOOKUP(B463,Absen!$A$1:$C$501,2,FALSE),"No")</f>
        <v>No</v>
      </c>
      <c r="M463" s="58">
        <f t="shared" si="24"/>
        <v>6.7</v>
      </c>
      <c r="N463" s="57">
        <f t="shared" si="25"/>
        <v>62.575000000000003</v>
      </c>
      <c r="O463" s="7" t="str">
        <f>VLOOKUP(N463,Helper!$B$30:$C$35,2,TRUE)</f>
        <v>C</v>
      </c>
      <c r="P463" s="56">
        <f>INDEX(Detail!$A$1:$A$1001,MATCH(B463,Detail!$G$1:$G$1001,0))</f>
        <v>38404</v>
      </c>
      <c r="Q463" s="33" t="str">
        <f>INDEX(Detail!$F$1:$F$1001,MATCH(Main!B463,Detail!$G$1:$G$1001,0))</f>
        <v>Mataram</v>
      </c>
      <c r="R463" s="7">
        <f>INDEX(Detail!$C$1:$C$1001,MATCH(B463,Detail!$G$1:$G$1001,0),1)</f>
        <v>163</v>
      </c>
      <c r="S463" s="7">
        <f>INDEX(Detail!$D$1:$D$1001,MATCH(B463,Detail!$G$1:$G$1001,0),1)</f>
        <v>92</v>
      </c>
      <c r="T463" s="7" t="str">
        <f>INDEX(Detail!$E$1:$E$1001,MATCH(Main!B463,Detail!$G$1:$G$1001,0))</f>
        <v>Jalan PHH. Mustofa No. 25</v>
      </c>
      <c r="U463" s="7" t="str">
        <f>INDEX(Detail!$B$1:$B$1001,MATCH(B463,Detail!$G$1:$G$1001,0),1)</f>
        <v>B-</v>
      </c>
      <c r="V463" s="7" t="str" cm="1">
        <f t="array" ref="V463">INDEX(Dosen!$B$3:$E$8,MATCH(Main!C463,Dosen!$A$3:$A$8,0),IF(AND(Main!A463&gt;=1,Main!A463&lt;=250),1,IF(AND(Main!A463&gt;=251,Main!A463&lt;=500),2,IF(AND(Main!A463&gt;=501,Main!A463&lt;=750),3,4))))</f>
        <v>Pak Andi</v>
      </c>
      <c r="W463" s="7" t="str">
        <f>_xlfn.XLOOKUP(B463,Detail!$G$1:$G$1001,Detail!$B$1:$B$1001)</f>
        <v>B-</v>
      </c>
    </row>
    <row r="464" spans="1:23" ht="15.75" x14ac:dyDescent="0.25">
      <c r="A464" s="7">
        <v>837</v>
      </c>
      <c r="B464" s="33" t="str">
        <f t="shared" si="23"/>
        <v>C0837</v>
      </c>
      <c r="C464" s="7" t="s">
        <v>1012</v>
      </c>
      <c r="D464" s="33" t="str">
        <f>VLOOKUP(B464,Detail!$G$1:$H$1001,2,FALSE)</f>
        <v>Mahdi Kuswandari</v>
      </c>
      <c r="E464" s="7">
        <v>89</v>
      </c>
      <c r="F464" s="7">
        <v>41</v>
      </c>
      <c r="G464" s="57">
        <v>54</v>
      </c>
      <c r="H464" s="7">
        <v>75</v>
      </c>
      <c r="I464" s="7">
        <v>50</v>
      </c>
      <c r="J464" s="7">
        <v>71</v>
      </c>
      <c r="K464" s="7">
        <v>96</v>
      </c>
      <c r="L464" s="56">
        <f>IFERROR(VLOOKUP(B464,Absen!$A$1:$C$501,2,FALSE),"No")</f>
        <v>44754</v>
      </c>
      <c r="M464" s="58">
        <f t="shared" si="24"/>
        <v>8.6</v>
      </c>
      <c r="N464" s="57">
        <f t="shared" si="25"/>
        <v>65.474999999999994</v>
      </c>
      <c r="O464" s="7" t="str">
        <f>VLOOKUP(N464,Helper!$B$30:$C$35,2,TRUE)</f>
        <v>C</v>
      </c>
      <c r="P464" s="56">
        <f>INDEX(Detail!$A$1:$A$1001,MATCH(B464,Detail!$G$1:$G$1001,0))</f>
        <v>37271</v>
      </c>
      <c r="Q464" s="33" t="str">
        <f>INDEX(Detail!$F$1:$F$1001,MATCH(Main!B464,Detail!$G$1:$G$1001,0))</f>
        <v>Tebingtinggi</v>
      </c>
      <c r="R464" s="7">
        <f>INDEX(Detail!$C$1:$C$1001,MATCH(B464,Detail!$G$1:$G$1001,0),1)</f>
        <v>164</v>
      </c>
      <c r="S464" s="7">
        <f>INDEX(Detail!$D$1:$D$1001,MATCH(B464,Detail!$G$1:$G$1001,0),1)</f>
        <v>94</v>
      </c>
      <c r="T464" s="7" t="str">
        <f>INDEX(Detail!$E$1:$E$1001,MATCH(Main!B464,Detail!$G$1:$G$1001,0))</f>
        <v>Jalan Cikutra Barat No. 09</v>
      </c>
      <c r="U464" s="7" t="str">
        <f>INDEX(Detail!$B$1:$B$1001,MATCH(B464,Detail!$G$1:$G$1001,0),1)</f>
        <v>A+</v>
      </c>
      <c r="V464" s="7" t="str" cm="1">
        <f t="array" ref="V464">INDEX(Dosen!$B$3:$E$8,MATCH(Main!C464,Dosen!$A$3:$A$8,0),IF(AND(Main!A464&gt;=1,Main!A464&lt;=250),1,IF(AND(Main!A464&gt;=251,Main!A464&lt;=500),2,IF(AND(Main!A464&gt;=501,Main!A464&lt;=750),3,4))))</f>
        <v>Pak Andi</v>
      </c>
      <c r="W464" s="7" t="str">
        <f>_xlfn.XLOOKUP(B464,Detail!$G$1:$G$1001,Detail!$B$1:$B$1001)</f>
        <v>A+</v>
      </c>
    </row>
    <row r="465" spans="1:23" ht="15.75" x14ac:dyDescent="0.25">
      <c r="A465" s="7">
        <v>839</v>
      </c>
      <c r="B465" s="33" t="str">
        <f t="shared" si="23"/>
        <v>C0839</v>
      </c>
      <c r="C465" s="7" t="s">
        <v>1012</v>
      </c>
      <c r="D465" s="33" t="str">
        <f>VLOOKUP(B465,Detail!$G$1:$H$1001,2,FALSE)</f>
        <v>Uchita Haryanto</v>
      </c>
      <c r="E465" s="7">
        <v>67</v>
      </c>
      <c r="F465" s="7">
        <v>60</v>
      </c>
      <c r="G465" s="57">
        <v>30</v>
      </c>
      <c r="H465" s="7">
        <v>66</v>
      </c>
      <c r="I465" s="7">
        <v>85</v>
      </c>
      <c r="J465" s="7">
        <v>40</v>
      </c>
      <c r="K465" s="7">
        <v>83</v>
      </c>
      <c r="L465" s="56" t="str">
        <f>IFERROR(VLOOKUP(B465,Absen!$A$1:$C$501,2,FALSE),"No")</f>
        <v>No</v>
      </c>
      <c r="M465" s="58">
        <f t="shared" si="24"/>
        <v>8.3000000000000007</v>
      </c>
      <c r="N465" s="57">
        <f t="shared" si="25"/>
        <v>57.05</v>
      </c>
      <c r="O465" s="7" t="str">
        <f>VLOOKUP(N465,Helper!$B$30:$C$35,2,TRUE)</f>
        <v>D</v>
      </c>
      <c r="P465" s="56">
        <f>INDEX(Detail!$A$1:$A$1001,MATCH(B465,Detail!$G$1:$G$1001,0))</f>
        <v>38331</v>
      </c>
      <c r="Q465" s="33" t="str">
        <f>INDEX(Detail!$F$1:$F$1001,MATCH(Main!B465,Detail!$G$1:$G$1001,0))</f>
        <v>Kendari</v>
      </c>
      <c r="R465" s="7">
        <f>INDEX(Detail!$C$1:$C$1001,MATCH(B465,Detail!$G$1:$G$1001,0),1)</f>
        <v>161</v>
      </c>
      <c r="S465" s="7">
        <f>INDEX(Detail!$D$1:$D$1001,MATCH(B465,Detail!$G$1:$G$1001,0),1)</f>
        <v>55</v>
      </c>
      <c r="T465" s="7" t="str">
        <f>INDEX(Detail!$E$1:$E$1001,MATCH(Main!B465,Detail!$G$1:$G$1001,0))</f>
        <v>Jl. Rajawali Timur No. 82</v>
      </c>
      <c r="U465" s="7" t="str">
        <f>INDEX(Detail!$B$1:$B$1001,MATCH(B465,Detail!$G$1:$G$1001,0),1)</f>
        <v>O-</v>
      </c>
      <c r="V465" s="7" t="str" cm="1">
        <f t="array" ref="V465">INDEX(Dosen!$B$3:$E$8,MATCH(Main!C465,Dosen!$A$3:$A$8,0),IF(AND(Main!A465&gt;=1,Main!A465&lt;=250),1,IF(AND(Main!A465&gt;=251,Main!A465&lt;=500),2,IF(AND(Main!A465&gt;=501,Main!A465&lt;=750),3,4))))</f>
        <v>Pak Andi</v>
      </c>
      <c r="W465" s="7" t="str">
        <f>_xlfn.XLOOKUP(B465,Detail!$G$1:$G$1001,Detail!$B$1:$B$1001)</f>
        <v>O-</v>
      </c>
    </row>
    <row r="466" spans="1:23" ht="15.75" x14ac:dyDescent="0.25">
      <c r="A466" s="7">
        <v>842</v>
      </c>
      <c r="B466" s="33" t="str">
        <f t="shared" si="23"/>
        <v>C0842</v>
      </c>
      <c r="C466" s="7" t="s">
        <v>1012</v>
      </c>
      <c r="D466" s="33" t="str">
        <f>VLOOKUP(B466,Detail!$G$1:$H$1001,2,FALSE)</f>
        <v>Gaiman Irawan</v>
      </c>
      <c r="E466" s="7">
        <v>72</v>
      </c>
      <c r="F466" s="7">
        <v>74</v>
      </c>
      <c r="G466" s="57">
        <v>49</v>
      </c>
      <c r="H466" s="7">
        <v>70</v>
      </c>
      <c r="I466" s="7">
        <v>76</v>
      </c>
      <c r="J466" s="7">
        <v>78</v>
      </c>
      <c r="K466" s="7">
        <v>61</v>
      </c>
      <c r="L466" s="56" t="str">
        <f>IFERROR(VLOOKUP(B466,Absen!$A$1:$C$501,2,FALSE),"No")</f>
        <v>No</v>
      </c>
      <c r="M466" s="58">
        <f t="shared" si="24"/>
        <v>6.1000000000000005</v>
      </c>
      <c r="N466" s="57">
        <f t="shared" si="25"/>
        <v>68</v>
      </c>
      <c r="O466" s="7" t="str">
        <f>VLOOKUP(N466,Helper!$B$30:$C$35,2,TRUE)</f>
        <v>C</v>
      </c>
      <c r="P466" s="56">
        <f>INDEX(Detail!$A$1:$A$1001,MATCH(B466,Detail!$G$1:$G$1001,0))</f>
        <v>38079</v>
      </c>
      <c r="Q466" s="33" t="str">
        <f>INDEX(Detail!$F$1:$F$1001,MATCH(Main!B466,Detail!$G$1:$G$1001,0))</f>
        <v>Samarinda</v>
      </c>
      <c r="R466" s="7">
        <f>INDEX(Detail!$C$1:$C$1001,MATCH(B466,Detail!$G$1:$G$1001,0),1)</f>
        <v>161</v>
      </c>
      <c r="S466" s="7">
        <f>INDEX(Detail!$D$1:$D$1001,MATCH(B466,Detail!$G$1:$G$1001,0),1)</f>
        <v>65</v>
      </c>
      <c r="T466" s="7" t="str">
        <f>INDEX(Detail!$E$1:$E$1001,MATCH(Main!B466,Detail!$G$1:$G$1001,0))</f>
        <v xml:space="preserve">Jl. Suryakencana No. 7
</v>
      </c>
      <c r="U466" s="7" t="str">
        <f>INDEX(Detail!$B$1:$B$1001,MATCH(B466,Detail!$G$1:$G$1001,0),1)</f>
        <v>A+</v>
      </c>
      <c r="V466" s="7" t="str" cm="1">
        <f t="array" ref="V466">INDEX(Dosen!$B$3:$E$8,MATCH(Main!C466,Dosen!$A$3:$A$8,0),IF(AND(Main!A466&gt;=1,Main!A466&lt;=250),1,IF(AND(Main!A466&gt;=251,Main!A466&lt;=500),2,IF(AND(Main!A466&gt;=501,Main!A466&lt;=750),3,4))))</f>
        <v>Pak Andi</v>
      </c>
      <c r="W466" s="7" t="str">
        <f>_xlfn.XLOOKUP(B466,Detail!$G$1:$G$1001,Detail!$B$1:$B$1001)</f>
        <v>A+</v>
      </c>
    </row>
    <row r="467" spans="1:23" ht="15.75" x14ac:dyDescent="0.25">
      <c r="A467" s="7">
        <v>858</v>
      </c>
      <c r="B467" s="33" t="str">
        <f t="shared" si="23"/>
        <v>C0858</v>
      </c>
      <c r="C467" s="7" t="s">
        <v>1012</v>
      </c>
      <c r="D467" s="33" t="str">
        <f>VLOOKUP(B467,Detail!$G$1:$H$1001,2,FALSE)</f>
        <v>Yance Winarno</v>
      </c>
      <c r="E467" s="7">
        <v>78</v>
      </c>
      <c r="F467" s="7">
        <v>74</v>
      </c>
      <c r="G467" s="57">
        <v>41</v>
      </c>
      <c r="H467" s="7">
        <v>53</v>
      </c>
      <c r="I467" s="7">
        <v>92</v>
      </c>
      <c r="J467" s="7">
        <v>72</v>
      </c>
      <c r="K467" s="7">
        <v>63</v>
      </c>
      <c r="L467" s="56">
        <f>IFERROR(VLOOKUP(B467,Absen!$A$1:$C$501,2,FALSE),"No")</f>
        <v>44842</v>
      </c>
      <c r="M467" s="58">
        <f t="shared" si="24"/>
        <v>5.3000000000000007</v>
      </c>
      <c r="N467" s="57">
        <f t="shared" si="25"/>
        <v>65.025000000000006</v>
      </c>
      <c r="O467" s="7" t="str">
        <f>VLOOKUP(N467,Helper!$B$30:$C$35,2,TRUE)</f>
        <v>C</v>
      </c>
      <c r="P467" s="56">
        <f>INDEX(Detail!$A$1:$A$1001,MATCH(B467,Detail!$G$1:$G$1001,0))</f>
        <v>37647</v>
      </c>
      <c r="Q467" s="33" t="str">
        <f>INDEX(Detail!$F$1:$F$1001,MATCH(Main!B467,Detail!$G$1:$G$1001,0))</f>
        <v>Sibolga</v>
      </c>
      <c r="R467" s="7">
        <f>INDEX(Detail!$C$1:$C$1001,MATCH(B467,Detail!$G$1:$G$1001,0),1)</f>
        <v>170</v>
      </c>
      <c r="S467" s="7">
        <f>INDEX(Detail!$D$1:$D$1001,MATCH(B467,Detail!$G$1:$G$1001,0),1)</f>
        <v>81</v>
      </c>
      <c r="T467" s="7" t="str">
        <f>INDEX(Detail!$E$1:$E$1001,MATCH(Main!B467,Detail!$G$1:$G$1001,0))</f>
        <v xml:space="preserve">Jalan Veteran No. 9
</v>
      </c>
      <c r="U467" s="7" t="str">
        <f>INDEX(Detail!$B$1:$B$1001,MATCH(B467,Detail!$G$1:$G$1001,0),1)</f>
        <v>O-</v>
      </c>
      <c r="V467" s="7" t="str" cm="1">
        <f t="array" ref="V467">INDEX(Dosen!$B$3:$E$8,MATCH(Main!C467,Dosen!$A$3:$A$8,0),IF(AND(Main!A467&gt;=1,Main!A467&lt;=250),1,IF(AND(Main!A467&gt;=251,Main!A467&lt;=500),2,IF(AND(Main!A467&gt;=501,Main!A467&lt;=750),3,4))))</f>
        <v>Pak Andi</v>
      </c>
      <c r="W467" s="7" t="str">
        <f>_xlfn.XLOOKUP(B467,Detail!$G$1:$G$1001,Detail!$B$1:$B$1001)</f>
        <v>O-</v>
      </c>
    </row>
    <row r="468" spans="1:23" ht="15.75" x14ac:dyDescent="0.25">
      <c r="A468" s="7">
        <v>859</v>
      </c>
      <c r="B468" s="33" t="str">
        <f t="shared" si="23"/>
        <v>C0859</v>
      </c>
      <c r="C468" s="7" t="s">
        <v>1012</v>
      </c>
      <c r="D468" s="33" t="str">
        <f>VLOOKUP(B468,Detail!$G$1:$H$1001,2,FALSE)</f>
        <v>Soleh Uyainah</v>
      </c>
      <c r="E468" s="7">
        <v>57</v>
      </c>
      <c r="F468" s="7">
        <v>72</v>
      </c>
      <c r="G468" s="57">
        <v>71</v>
      </c>
      <c r="H468" s="7">
        <v>67</v>
      </c>
      <c r="I468" s="7">
        <v>78</v>
      </c>
      <c r="J468" s="7">
        <v>63</v>
      </c>
      <c r="K468" s="7">
        <v>94</v>
      </c>
      <c r="L468" s="56">
        <f>IFERROR(VLOOKUP(B468,Absen!$A$1:$C$501,2,FALSE),"No")</f>
        <v>44908</v>
      </c>
      <c r="M468" s="58">
        <f t="shared" si="24"/>
        <v>8.4</v>
      </c>
      <c r="N468" s="57">
        <f t="shared" si="25"/>
        <v>69.45</v>
      </c>
      <c r="O468" s="7" t="str">
        <f>VLOOKUP(N468,Helper!$B$30:$C$35,2,TRUE)</f>
        <v>C</v>
      </c>
      <c r="P468" s="56">
        <f>INDEX(Detail!$A$1:$A$1001,MATCH(B468,Detail!$G$1:$G$1001,0))</f>
        <v>37222</v>
      </c>
      <c r="Q468" s="33" t="str">
        <f>INDEX(Detail!$F$1:$F$1001,MATCH(Main!B468,Detail!$G$1:$G$1001,0))</f>
        <v>Tomohon</v>
      </c>
      <c r="R468" s="7">
        <f>INDEX(Detail!$C$1:$C$1001,MATCH(B468,Detail!$G$1:$G$1001,0),1)</f>
        <v>160</v>
      </c>
      <c r="S468" s="7">
        <f>INDEX(Detail!$D$1:$D$1001,MATCH(B468,Detail!$G$1:$G$1001,0),1)</f>
        <v>58</v>
      </c>
      <c r="T468" s="7" t="str">
        <f>INDEX(Detail!$E$1:$E$1001,MATCH(Main!B468,Detail!$G$1:$G$1001,0))</f>
        <v>Jalan KH Amin Jasuta No. 68</v>
      </c>
      <c r="U468" s="7" t="str">
        <f>INDEX(Detail!$B$1:$B$1001,MATCH(B468,Detail!$G$1:$G$1001,0),1)</f>
        <v>O+</v>
      </c>
      <c r="V468" s="7" t="str" cm="1">
        <f t="array" ref="V468">INDEX(Dosen!$B$3:$E$8,MATCH(Main!C468,Dosen!$A$3:$A$8,0),IF(AND(Main!A468&gt;=1,Main!A468&lt;=250),1,IF(AND(Main!A468&gt;=251,Main!A468&lt;=500),2,IF(AND(Main!A468&gt;=501,Main!A468&lt;=750),3,4))))</f>
        <v>Pak Andi</v>
      </c>
      <c r="W468" s="7" t="str">
        <f>_xlfn.XLOOKUP(B468,Detail!$G$1:$G$1001,Detail!$B$1:$B$1001)</f>
        <v>O+</v>
      </c>
    </row>
    <row r="469" spans="1:23" ht="15.75" x14ac:dyDescent="0.25">
      <c r="A469" s="7">
        <v>860</v>
      </c>
      <c r="B469" s="33" t="str">
        <f t="shared" si="23"/>
        <v>C0860</v>
      </c>
      <c r="C469" s="7" t="s">
        <v>1012</v>
      </c>
      <c r="D469" s="33" t="str">
        <f>VLOOKUP(B469,Detail!$G$1:$H$1001,2,FALSE)</f>
        <v>Aswani Maryati</v>
      </c>
      <c r="E469" s="7">
        <v>63</v>
      </c>
      <c r="F469" s="7">
        <v>48</v>
      </c>
      <c r="G469" s="57">
        <v>46</v>
      </c>
      <c r="H469" s="7">
        <v>68</v>
      </c>
      <c r="I469" s="7">
        <v>90</v>
      </c>
      <c r="J469" s="7">
        <v>72</v>
      </c>
      <c r="K469" s="7">
        <v>87</v>
      </c>
      <c r="L469" s="56" t="str">
        <f>IFERROR(VLOOKUP(B469,Absen!$A$1:$C$501,2,FALSE),"No")</f>
        <v>No</v>
      </c>
      <c r="M469" s="58">
        <f t="shared" si="24"/>
        <v>8.7000000000000011</v>
      </c>
      <c r="N469" s="57">
        <f t="shared" si="25"/>
        <v>65.924999999999997</v>
      </c>
      <c r="O469" s="7" t="str">
        <f>VLOOKUP(N469,Helper!$B$30:$C$35,2,TRUE)</f>
        <v>C</v>
      </c>
      <c r="P469" s="56">
        <f>INDEX(Detail!$A$1:$A$1001,MATCH(B469,Detail!$G$1:$G$1001,0))</f>
        <v>37836</v>
      </c>
      <c r="Q469" s="33" t="str">
        <f>INDEX(Detail!$F$1:$F$1001,MATCH(Main!B469,Detail!$G$1:$G$1001,0))</f>
        <v>Meulaboh</v>
      </c>
      <c r="R469" s="7">
        <f>INDEX(Detail!$C$1:$C$1001,MATCH(B469,Detail!$G$1:$G$1001,0),1)</f>
        <v>154</v>
      </c>
      <c r="S469" s="7">
        <f>INDEX(Detail!$D$1:$D$1001,MATCH(B469,Detail!$G$1:$G$1001,0),1)</f>
        <v>85</v>
      </c>
      <c r="T469" s="7" t="str">
        <f>INDEX(Detail!$E$1:$E$1001,MATCH(Main!B469,Detail!$G$1:$G$1001,0))</f>
        <v xml:space="preserve">Gg. Raya Setiabudhi No. 7
</v>
      </c>
      <c r="U469" s="7" t="str">
        <f>INDEX(Detail!$B$1:$B$1001,MATCH(B469,Detail!$G$1:$G$1001,0),1)</f>
        <v>O+</v>
      </c>
      <c r="V469" s="7" t="str" cm="1">
        <f t="array" ref="V469">INDEX(Dosen!$B$3:$E$8,MATCH(Main!C469,Dosen!$A$3:$A$8,0),IF(AND(Main!A469&gt;=1,Main!A469&lt;=250),1,IF(AND(Main!A469&gt;=251,Main!A469&lt;=500),2,IF(AND(Main!A469&gt;=501,Main!A469&lt;=750),3,4))))</f>
        <v>Pak Andi</v>
      </c>
      <c r="W469" s="7" t="str">
        <f>_xlfn.XLOOKUP(B469,Detail!$G$1:$G$1001,Detail!$B$1:$B$1001)</f>
        <v>O+</v>
      </c>
    </row>
    <row r="470" spans="1:23" ht="15.75" x14ac:dyDescent="0.25">
      <c r="A470" s="7">
        <v>863</v>
      </c>
      <c r="B470" s="33" t="str">
        <f t="shared" si="23"/>
        <v>C0863</v>
      </c>
      <c r="C470" s="7" t="s">
        <v>1012</v>
      </c>
      <c r="D470" s="33" t="str">
        <f>VLOOKUP(B470,Detail!$G$1:$H$1001,2,FALSE)</f>
        <v>Gina Irawan</v>
      </c>
      <c r="E470" s="7">
        <v>65</v>
      </c>
      <c r="F470" s="7">
        <v>59</v>
      </c>
      <c r="G470" s="57">
        <v>79</v>
      </c>
      <c r="H470" s="7">
        <v>67</v>
      </c>
      <c r="I470" s="7">
        <v>58</v>
      </c>
      <c r="J470" s="7">
        <v>61</v>
      </c>
      <c r="K470" s="7">
        <v>71</v>
      </c>
      <c r="L470" s="56" t="str">
        <f>IFERROR(VLOOKUP(B470,Absen!$A$1:$C$501,2,FALSE),"No")</f>
        <v>No</v>
      </c>
      <c r="M470" s="58">
        <f t="shared" si="24"/>
        <v>7.1000000000000005</v>
      </c>
      <c r="N470" s="57">
        <f t="shared" si="25"/>
        <v>66.224999999999994</v>
      </c>
      <c r="O470" s="7" t="str">
        <f>VLOOKUP(N470,Helper!$B$30:$C$35,2,TRUE)</f>
        <v>C</v>
      </c>
      <c r="P470" s="56">
        <f>INDEX(Detail!$A$1:$A$1001,MATCH(B470,Detail!$G$1:$G$1001,0))</f>
        <v>37628</v>
      </c>
      <c r="Q470" s="33" t="str">
        <f>INDEX(Detail!$F$1:$F$1001,MATCH(Main!B470,Detail!$G$1:$G$1001,0))</f>
        <v>Pontianak</v>
      </c>
      <c r="R470" s="7">
        <f>INDEX(Detail!$C$1:$C$1001,MATCH(B470,Detail!$G$1:$G$1001,0),1)</f>
        <v>161</v>
      </c>
      <c r="S470" s="7">
        <f>INDEX(Detail!$D$1:$D$1001,MATCH(B470,Detail!$G$1:$G$1001,0),1)</f>
        <v>86</v>
      </c>
      <c r="T470" s="7" t="str">
        <f>INDEX(Detail!$E$1:$E$1001,MATCH(Main!B470,Detail!$G$1:$G$1001,0))</f>
        <v>Jalan Rajawali Timur No. 33</v>
      </c>
      <c r="U470" s="7" t="str">
        <f>INDEX(Detail!$B$1:$B$1001,MATCH(B470,Detail!$G$1:$G$1001,0),1)</f>
        <v>B-</v>
      </c>
      <c r="V470" s="7" t="str" cm="1">
        <f t="array" ref="V470">INDEX(Dosen!$B$3:$E$8,MATCH(Main!C470,Dosen!$A$3:$A$8,0),IF(AND(Main!A470&gt;=1,Main!A470&lt;=250),1,IF(AND(Main!A470&gt;=251,Main!A470&lt;=500),2,IF(AND(Main!A470&gt;=501,Main!A470&lt;=750),3,4))))</f>
        <v>Pak Andi</v>
      </c>
      <c r="W470" s="7" t="str">
        <f>_xlfn.XLOOKUP(B470,Detail!$G$1:$G$1001,Detail!$B$1:$B$1001)</f>
        <v>B-</v>
      </c>
    </row>
    <row r="471" spans="1:23" ht="15.75" x14ac:dyDescent="0.25">
      <c r="A471" s="7">
        <v>865</v>
      </c>
      <c r="B471" s="33" t="str">
        <f t="shared" si="23"/>
        <v>C0865</v>
      </c>
      <c r="C471" s="7" t="s">
        <v>1012</v>
      </c>
      <c r="D471" s="33" t="str">
        <f>VLOOKUP(B471,Detail!$G$1:$H$1001,2,FALSE)</f>
        <v>Yunita Siregar</v>
      </c>
      <c r="E471" s="7">
        <v>80</v>
      </c>
      <c r="F471" s="7">
        <v>73</v>
      </c>
      <c r="G471" s="57">
        <v>82</v>
      </c>
      <c r="H471" s="7">
        <v>62</v>
      </c>
      <c r="I471" s="7">
        <v>93</v>
      </c>
      <c r="J471" s="7">
        <v>94</v>
      </c>
      <c r="K471" s="7">
        <v>72</v>
      </c>
      <c r="L471" s="56">
        <f>IFERROR(VLOOKUP(B471,Absen!$A$1:$C$501,2,FALSE),"No")</f>
        <v>44848</v>
      </c>
      <c r="M471" s="58">
        <f t="shared" si="24"/>
        <v>6.2</v>
      </c>
      <c r="N471" s="57">
        <f t="shared" si="25"/>
        <v>79.900000000000006</v>
      </c>
      <c r="O471" s="7" t="str">
        <f>VLOOKUP(N471,Helper!$B$30:$C$35,2,TRUE)</f>
        <v>B</v>
      </c>
      <c r="P471" s="56">
        <f>INDEX(Detail!$A$1:$A$1001,MATCH(B471,Detail!$G$1:$G$1001,0))</f>
        <v>37597</v>
      </c>
      <c r="Q471" s="33" t="str">
        <f>INDEX(Detail!$F$1:$F$1001,MATCH(Main!B471,Detail!$G$1:$G$1001,0))</f>
        <v>Sibolga</v>
      </c>
      <c r="R471" s="7">
        <f>INDEX(Detail!$C$1:$C$1001,MATCH(B471,Detail!$G$1:$G$1001,0),1)</f>
        <v>151</v>
      </c>
      <c r="S471" s="7">
        <f>INDEX(Detail!$D$1:$D$1001,MATCH(B471,Detail!$G$1:$G$1001,0),1)</f>
        <v>65</v>
      </c>
      <c r="T471" s="7" t="str">
        <f>INDEX(Detail!$E$1:$E$1001,MATCH(Main!B471,Detail!$G$1:$G$1001,0))</f>
        <v>Jl. Kapten Muslihat No. 27</v>
      </c>
      <c r="U471" s="7" t="str">
        <f>INDEX(Detail!$B$1:$B$1001,MATCH(B471,Detail!$G$1:$G$1001,0),1)</f>
        <v>B+</v>
      </c>
      <c r="V471" s="7" t="str" cm="1">
        <f t="array" ref="V471">INDEX(Dosen!$B$3:$E$8,MATCH(Main!C471,Dosen!$A$3:$A$8,0),IF(AND(Main!A471&gt;=1,Main!A471&lt;=250),1,IF(AND(Main!A471&gt;=251,Main!A471&lt;=500),2,IF(AND(Main!A471&gt;=501,Main!A471&lt;=750),3,4))))</f>
        <v>Pak Andi</v>
      </c>
      <c r="W471" s="7" t="str">
        <f>_xlfn.XLOOKUP(B471,Detail!$G$1:$G$1001,Detail!$B$1:$B$1001)</f>
        <v>B+</v>
      </c>
    </row>
    <row r="472" spans="1:23" ht="15.75" x14ac:dyDescent="0.25">
      <c r="A472" s="7">
        <v>873</v>
      </c>
      <c r="B472" s="33" t="str">
        <f t="shared" si="23"/>
        <v>C0873</v>
      </c>
      <c r="C472" s="7" t="s">
        <v>1012</v>
      </c>
      <c r="D472" s="33" t="str">
        <f>VLOOKUP(B472,Detail!$G$1:$H$1001,2,FALSE)</f>
        <v>Balapati Tamba</v>
      </c>
      <c r="E472" s="7">
        <v>74</v>
      </c>
      <c r="F472" s="7">
        <v>45</v>
      </c>
      <c r="G472" s="57">
        <v>32</v>
      </c>
      <c r="H472" s="7">
        <v>68</v>
      </c>
      <c r="I472" s="7">
        <v>94</v>
      </c>
      <c r="J472" s="7">
        <v>46</v>
      </c>
      <c r="K472" s="7">
        <v>82</v>
      </c>
      <c r="L472" s="56">
        <f>IFERROR(VLOOKUP(B472,Absen!$A$1:$C$501,2,FALSE),"No")</f>
        <v>44755</v>
      </c>
      <c r="M472" s="58">
        <f t="shared" si="24"/>
        <v>7.2</v>
      </c>
      <c r="N472" s="57">
        <f t="shared" si="25"/>
        <v>57.925000000000004</v>
      </c>
      <c r="O472" s="7" t="str">
        <f>VLOOKUP(N472,Helper!$B$30:$C$35,2,TRUE)</f>
        <v>D</v>
      </c>
      <c r="P472" s="56">
        <f>INDEX(Detail!$A$1:$A$1001,MATCH(B472,Detail!$G$1:$G$1001,0))</f>
        <v>38039</v>
      </c>
      <c r="Q472" s="33" t="str">
        <f>INDEX(Detail!$F$1:$F$1001,MATCH(Main!B472,Detail!$G$1:$G$1001,0))</f>
        <v>Bau-Bau</v>
      </c>
      <c r="R472" s="7">
        <f>INDEX(Detail!$C$1:$C$1001,MATCH(B472,Detail!$G$1:$G$1001,0),1)</f>
        <v>152</v>
      </c>
      <c r="S472" s="7">
        <f>INDEX(Detail!$D$1:$D$1001,MATCH(B472,Detail!$G$1:$G$1001,0),1)</f>
        <v>93</v>
      </c>
      <c r="T472" s="7" t="str">
        <f>INDEX(Detail!$E$1:$E$1001,MATCH(Main!B472,Detail!$G$1:$G$1001,0))</f>
        <v>Jl. Jamika No. 09</v>
      </c>
      <c r="U472" s="7" t="str">
        <f>INDEX(Detail!$B$1:$B$1001,MATCH(B472,Detail!$G$1:$G$1001,0),1)</f>
        <v>B-</v>
      </c>
      <c r="V472" s="7" t="str" cm="1">
        <f t="array" ref="V472">INDEX(Dosen!$B$3:$E$8,MATCH(Main!C472,Dosen!$A$3:$A$8,0),IF(AND(Main!A472&gt;=1,Main!A472&lt;=250),1,IF(AND(Main!A472&gt;=251,Main!A472&lt;=500),2,IF(AND(Main!A472&gt;=501,Main!A472&lt;=750),3,4))))</f>
        <v>Pak Andi</v>
      </c>
      <c r="W472" s="7" t="str">
        <f>_xlfn.XLOOKUP(B472,Detail!$G$1:$G$1001,Detail!$B$1:$B$1001)</f>
        <v>B-</v>
      </c>
    </row>
    <row r="473" spans="1:23" ht="15.75" x14ac:dyDescent="0.25">
      <c r="A473" s="7">
        <v>877</v>
      </c>
      <c r="B473" s="33" t="str">
        <f t="shared" si="23"/>
        <v>C0877</v>
      </c>
      <c r="C473" s="7" t="s">
        <v>1012</v>
      </c>
      <c r="D473" s="33" t="str">
        <f>VLOOKUP(B473,Detail!$G$1:$H$1001,2,FALSE)</f>
        <v>Jail Usada</v>
      </c>
      <c r="E473" s="7">
        <v>78</v>
      </c>
      <c r="F473" s="7">
        <v>65</v>
      </c>
      <c r="G473" s="57">
        <v>48</v>
      </c>
      <c r="H473" s="7">
        <v>68</v>
      </c>
      <c r="I473" s="7">
        <v>83</v>
      </c>
      <c r="J473" s="7">
        <v>64</v>
      </c>
      <c r="K473" s="7">
        <v>100</v>
      </c>
      <c r="L473" s="56">
        <f>IFERROR(VLOOKUP(B473,Absen!$A$1:$C$501,2,FALSE),"No")</f>
        <v>44913</v>
      </c>
      <c r="M473" s="58">
        <f t="shared" si="24"/>
        <v>9</v>
      </c>
      <c r="N473" s="57">
        <f t="shared" si="25"/>
        <v>68.150000000000006</v>
      </c>
      <c r="O473" s="7" t="str">
        <f>VLOOKUP(N473,Helper!$B$30:$C$35,2,TRUE)</f>
        <v>C</v>
      </c>
      <c r="P473" s="56">
        <f>INDEX(Detail!$A$1:$A$1001,MATCH(B473,Detail!$G$1:$G$1001,0))</f>
        <v>38436</v>
      </c>
      <c r="Q473" s="33" t="str">
        <f>INDEX(Detail!$F$1:$F$1001,MATCH(Main!B473,Detail!$G$1:$G$1001,0))</f>
        <v>Kota Administrasi Jakarta Utara</v>
      </c>
      <c r="R473" s="7">
        <f>INDEX(Detail!$C$1:$C$1001,MATCH(B473,Detail!$G$1:$G$1001,0),1)</f>
        <v>154</v>
      </c>
      <c r="S473" s="7">
        <f>INDEX(Detail!$D$1:$D$1001,MATCH(B473,Detail!$G$1:$G$1001,0),1)</f>
        <v>83</v>
      </c>
      <c r="T473" s="7" t="str">
        <f>INDEX(Detail!$E$1:$E$1001,MATCH(Main!B473,Detail!$G$1:$G$1001,0))</f>
        <v>Gang Ahmad Dahlan No. 96</v>
      </c>
      <c r="U473" s="7" t="str">
        <f>INDEX(Detail!$B$1:$B$1001,MATCH(B473,Detail!$G$1:$G$1001,0),1)</f>
        <v>A+</v>
      </c>
      <c r="V473" s="7" t="str" cm="1">
        <f t="array" ref="V473">INDEX(Dosen!$B$3:$E$8,MATCH(Main!C473,Dosen!$A$3:$A$8,0),IF(AND(Main!A473&gt;=1,Main!A473&lt;=250),1,IF(AND(Main!A473&gt;=251,Main!A473&lt;=500),2,IF(AND(Main!A473&gt;=501,Main!A473&lt;=750),3,4))))</f>
        <v>Pak Andi</v>
      </c>
      <c r="W473" s="7" t="str">
        <f>_xlfn.XLOOKUP(B473,Detail!$G$1:$G$1001,Detail!$B$1:$B$1001)</f>
        <v>A+</v>
      </c>
    </row>
    <row r="474" spans="1:23" ht="15.75" x14ac:dyDescent="0.25">
      <c r="A474" s="7">
        <v>882</v>
      </c>
      <c r="B474" s="33" t="str">
        <f t="shared" si="23"/>
        <v>C0882</v>
      </c>
      <c r="C474" s="7" t="s">
        <v>1012</v>
      </c>
      <c r="D474" s="33" t="str">
        <f>VLOOKUP(B474,Detail!$G$1:$H$1001,2,FALSE)</f>
        <v>Cawuk Sihotang</v>
      </c>
      <c r="E474" s="7">
        <v>85</v>
      </c>
      <c r="F474" s="7">
        <v>59</v>
      </c>
      <c r="G474" s="57">
        <v>68</v>
      </c>
      <c r="H474" s="7">
        <v>72</v>
      </c>
      <c r="I474" s="7">
        <v>81</v>
      </c>
      <c r="J474" s="7">
        <v>87</v>
      </c>
      <c r="K474" s="7">
        <v>62</v>
      </c>
      <c r="L474" s="56">
        <f>IFERROR(VLOOKUP(B474,Absen!$A$1:$C$501,2,FALSE),"No")</f>
        <v>44845</v>
      </c>
      <c r="M474" s="58">
        <f t="shared" si="24"/>
        <v>5.2</v>
      </c>
      <c r="N474" s="57">
        <f t="shared" si="25"/>
        <v>73.325000000000003</v>
      </c>
      <c r="O474" s="7" t="str">
        <f>VLOOKUP(N474,Helper!$B$30:$C$35,2,TRUE)</f>
        <v>B</v>
      </c>
      <c r="P474" s="56">
        <f>INDEX(Detail!$A$1:$A$1001,MATCH(B474,Detail!$G$1:$G$1001,0))</f>
        <v>38445</v>
      </c>
      <c r="Q474" s="33" t="str">
        <f>INDEX(Detail!$F$1:$F$1001,MATCH(Main!B474,Detail!$G$1:$G$1001,0))</f>
        <v>Padangpanjang</v>
      </c>
      <c r="R474" s="7">
        <f>INDEX(Detail!$C$1:$C$1001,MATCH(B474,Detail!$G$1:$G$1001,0),1)</f>
        <v>174</v>
      </c>
      <c r="S474" s="7">
        <f>INDEX(Detail!$D$1:$D$1001,MATCH(B474,Detail!$G$1:$G$1001,0),1)</f>
        <v>69</v>
      </c>
      <c r="T474" s="7" t="str">
        <f>INDEX(Detail!$E$1:$E$1001,MATCH(Main!B474,Detail!$G$1:$G$1001,0))</f>
        <v xml:space="preserve">Gang Moch. Ramdan No. 3
</v>
      </c>
      <c r="U474" s="7" t="str">
        <f>INDEX(Detail!$B$1:$B$1001,MATCH(B474,Detail!$G$1:$G$1001,0),1)</f>
        <v>AB+</v>
      </c>
      <c r="V474" s="7" t="str" cm="1">
        <f t="array" ref="V474">INDEX(Dosen!$B$3:$E$8,MATCH(Main!C474,Dosen!$A$3:$A$8,0),IF(AND(Main!A474&gt;=1,Main!A474&lt;=250),1,IF(AND(Main!A474&gt;=251,Main!A474&lt;=500),2,IF(AND(Main!A474&gt;=501,Main!A474&lt;=750),3,4))))</f>
        <v>Pak Andi</v>
      </c>
      <c r="W474" s="7" t="str">
        <f>_xlfn.XLOOKUP(B474,Detail!$G$1:$G$1001,Detail!$B$1:$B$1001)</f>
        <v>AB+</v>
      </c>
    </row>
    <row r="475" spans="1:23" ht="15.75" x14ac:dyDescent="0.25">
      <c r="A475" s="7">
        <v>883</v>
      </c>
      <c r="B475" s="33" t="str">
        <f t="shared" si="23"/>
        <v>C0883</v>
      </c>
      <c r="C475" s="7" t="s">
        <v>1012</v>
      </c>
      <c r="D475" s="33" t="str">
        <f>VLOOKUP(B475,Detail!$G$1:$H$1001,2,FALSE)</f>
        <v>Lanjar Utami</v>
      </c>
      <c r="E475" s="7">
        <v>53</v>
      </c>
      <c r="F475" s="7">
        <v>73</v>
      </c>
      <c r="G475" s="57">
        <v>70</v>
      </c>
      <c r="H475" s="7">
        <v>67</v>
      </c>
      <c r="I475" s="7">
        <v>52</v>
      </c>
      <c r="J475" s="7">
        <v>87</v>
      </c>
      <c r="K475" s="7">
        <v>84</v>
      </c>
      <c r="L475" s="56" t="str">
        <f>IFERROR(VLOOKUP(B475,Absen!$A$1:$C$501,2,FALSE),"No")</f>
        <v>No</v>
      </c>
      <c r="M475" s="58">
        <f t="shared" si="24"/>
        <v>8.4</v>
      </c>
      <c r="N475" s="57">
        <f t="shared" si="25"/>
        <v>70.425000000000011</v>
      </c>
      <c r="O475" s="7" t="str">
        <f>VLOOKUP(N475,Helper!$B$30:$C$35,2,TRUE)</f>
        <v>B</v>
      </c>
      <c r="P475" s="56">
        <f>INDEX(Detail!$A$1:$A$1001,MATCH(B475,Detail!$G$1:$G$1001,0))</f>
        <v>37967</v>
      </c>
      <c r="Q475" s="33" t="str">
        <f>INDEX(Detail!$F$1:$F$1001,MATCH(Main!B475,Detail!$G$1:$G$1001,0))</f>
        <v>Lhokseumawe</v>
      </c>
      <c r="R475" s="7">
        <f>INDEX(Detail!$C$1:$C$1001,MATCH(B475,Detail!$G$1:$G$1001,0),1)</f>
        <v>159</v>
      </c>
      <c r="S475" s="7">
        <f>INDEX(Detail!$D$1:$D$1001,MATCH(B475,Detail!$G$1:$G$1001,0),1)</f>
        <v>62</v>
      </c>
      <c r="T475" s="7" t="str">
        <f>INDEX(Detail!$E$1:$E$1001,MATCH(Main!B475,Detail!$G$1:$G$1001,0))</f>
        <v xml:space="preserve">Jl. Erlangga No. 5
</v>
      </c>
      <c r="U475" s="7" t="str">
        <f>INDEX(Detail!$B$1:$B$1001,MATCH(B475,Detail!$G$1:$G$1001,0),1)</f>
        <v>A-</v>
      </c>
      <c r="V475" s="7" t="str" cm="1">
        <f t="array" ref="V475">INDEX(Dosen!$B$3:$E$8,MATCH(Main!C475,Dosen!$A$3:$A$8,0),IF(AND(Main!A475&gt;=1,Main!A475&lt;=250),1,IF(AND(Main!A475&gt;=251,Main!A475&lt;=500),2,IF(AND(Main!A475&gt;=501,Main!A475&lt;=750),3,4))))</f>
        <v>Pak Andi</v>
      </c>
      <c r="W475" s="7" t="str">
        <f>_xlfn.XLOOKUP(B475,Detail!$G$1:$G$1001,Detail!$B$1:$B$1001)</f>
        <v>A-</v>
      </c>
    </row>
    <row r="476" spans="1:23" ht="15.75" x14ac:dyDescent="0.25">
      <c r="A476" s="7">
        <v>892</v>
      </c>
      <c r="B476" s="33" t="str">
        <f t="shared" si="23"/>
        <v>C0892</v>
      </c>
      <c r="C476" s="7" t="s">
        <v>1012</v>
      </c>
      <c r="D476" s="33" t="str">
        <f>VLOOKUP(B476,Detail!$G$1:$H$1001,2,FALSE)</f>
        <v>Mahdi Mangunsong</v>
      </c>
      <c r="E476" s="7">
        <v>66</v>
      </c>
      <c r="F476" s="7">
        <v>74</v>
      </c>
      <c r="G476" s="57">
        <v>93</v>
      </c>
      <c r="H476" s="7">
        <v>50</v>
      </c>
      <c r="I476" s="7">
        <v>87</v>
      </c>
      <c r="J476" s="7">
        <v>91</v>
      </c>
      <c r="K476" s="7">
        <v>100</v>
      </c>
      <c r="L476" s="56" t="str">
        <f>IFERROR(VLOOKUP(B476,Absen!$A$1:$C$501,2,FALSE),"No")</f>
        <v>No</v>
      </c>
      <c r="M476" s="58">
        <f t="shared" si="24"/>
        <v>10</v>
      </c>
      <c r="N476" s="57">
        <f t="shared" si="25"/>
        <v>81.424999999999997</v>
      </c>
      <c r="O476" s="7" t="str">
        <f>VLOOKUP(N476,Helper!$B$30:$C$35,2,TRUE)</f>
        <v>A</v>
      </c>
      <c r="P476" s="56">
        <f>INDEX(Detail!$A$1:$A$1001,MATCH(B476,Detail!$G$1:$G$1001,0))</f>
        <v>38237</v>
      </c>
      <c r="Q476" s="33" t="str">
        <f>INDEX(Detail!$F$1:$F$1001,MATCH(Main!B476,Detail!$G$1:$G$1001,0))</f>
        <v>Sibolga</v>
      </c>
      <c r="R476" s="7">
        <f>INDEX(Detail!$C$1:$C$1001,MATCH(B476,Detail!$G$1:$G$1001,0),1)</f>
        <v>176</v>
      </c>
      <c r="S476" s="7">
        <f>INDEX(Detail!$D$1:$D$1001,MATCH(B476,Detail!$G$1:$G$1001,0),1)</f>
        <v>93</v>
      </c>
      <c r="T476" s="7" t="str">
        <f>INDEX(Detail!$E$1:$E$1001,MATCH(Main!B476,Detail!$G$1:$G$1001,0))</f>
        <v xml:space="preserve">Jalan Ahmad Yani No. 3
</v>
      </c>
      <c r="U476" s="7" t="str">
        <f>INDEX(Detail!$B$1:$B$1001,MATCH(B476,Detail!$G$1:$G$1001,0),1)</f>
        <v>A+</v>
      </c>
      <c r="V476" s="7" t="str" cm="1">
        <f t="array" ref="V476">INDEX(Dosen!$B$3:$E$8,MATCH(Main!C476,Dosen!$A$3:$A$8,0),IF(AND(Main!A476&gt;=1,Main!A476&lt;=250),1,IF(AND(Main!A476&gt;=251,Main!A476&lt;=500),2,IF(AND(Main!A476&gt;=501,Main!A476&lt;=750),3,4))))</f>
        <v>Pak Andi</v>
      </c>
      <c r="W476" s="7" t="str">
        <f>_xlfn.XLOOKUP(B476,Detail!$G$1:$G$1001,Detail!$B$1:$B$1001)</f>
        <v>A+</v>
      </c>
    </row>
    <row r="477" spans="1:23" ht="15.75" x14ac:dyDescent="0.25">
      <c r="A477" s="7">
        <v>896</v>
      </c>
      <c r="B477" s="33" t="str">
        <f t="shared" si="23"/>
        <v>C0896</v>
      </c>
      <c r="C477" s="7" t="s">
        <v>1012</v>
      </c>
      <c r="D477" s="33" t="str">
        <f>VLOOKUP(B477,Detail!$G$1:$H$1001,2,FALSE)</f>
        <v>Hana Hutagalung</v>
      </c>
      <c r="E477" s="7">
        <v>70</v>
      </c>
      <c r="F477" s="7">
        <v>59</v>
      </c>
      <c r="G477" s="57">
        <v>48</v>
      </c>
      <c r="H477" s="7">
        <v>63</v>
      </c>
      <c r="I477" s="7">
        <v>84</v>
      </c>
      <c r="J477" s="7">
        <v>55</v>
      </c>
      <c r="K477" s="7">
        <v>61</v>
      </c>
      <c r="L477" s="56" t="str">
        <f>IFERROR(VLOOKUP(B477,Absen!$A$1:$C$501,2,FALSE),"No")</f>
        <v>No</v>
      </c>
      <c r="M477" s="58">
        <f t="shared" si="24"/>
        <v>6.1000000000000005</v>
      </c>
      <c r="N477" s="57">
        <f t="shared" si="25"/>
        <v>61.2</v>
      </c>
      <c r="O477" s="7" t="str">
        <f>VLOOKUP(N477,Helper!$B$30:$C$35,2,TRUE)</f>
        <v>C</v>
      </c>
      <c r="P477" s="56">
        <f>INDEX(Detail!$A$1:$A$1001,MATCH(B477,Detail!$G$1:$G$1001,0))</f>
        <v>37712</v>
      </c>
      <c r="Q477" s="33" t="str">
        <f>INDEX(Detail!$F$1:$F$1001,MATCH(Main!B477,Detail!$G$1:$G$1001,0))</f>
        <v>Denpasar</v>
      </c>
      <c r="R477" s="7">
        <f>INDEX(Detail!$C$1:$C$1001,MATCH(B477,Detail!$G$1:$G$1001,0),1)</f>
        <v>168</v>
      </c>
      <c r="S477" s="7">
        <f>INDEX(Detail!$D$1:$D$1001,MATCH(B477,Detail!$G$1:$G$1001,0),1)</f>
        <v>82</v>
      </c>
      <c r="T477" s="7" t="str">
        <f>INDEX(Detail!$E$1:$E$1001,MATCH(Main!B477,Detail!$G$1:$G$1001,0))</f>
        <v xml:space="preserve">Gg. Stasiun Wonokromo No. 6
</v>
      </c>
      <c r="U477" s="7" t="str">
        <f>INDEX(Detail!$B$1:$B$1001,MATCH(B477,Detail!$G$1:$G$1001,0),1)</f>
        <v>B-</v>
      </c>
      <c r="V477" s="7" t="str" cm="1">
        <f t="array" ref="V477">INDEX(Dosen!$B$3:$E$8,MATCH(Main!C477,Dosen!$A$3:$A$8,0),IF(AND(Main!A477&gt;=1,Main!A477&lt;=250),1,IF(AND(Main!A477&gt;=251,Main!A477&lt;=500),2,IF(AND(Main!A477&gt;=501,Main!A477&lt;=750),3,4))))</f>
        <v>Pak Andi</v>
      </c>
      <c r="W477" s="7" t="str">
        <f>_xlfn.XLOOKUP(B477,Detail!$G$1:$G$1001,Detail!$B$1:$B$1001)</f>
        <v>B-</v>
      </c>
    </row>
    <row r="478" spans="1:23" ht="15.75" x14ac:dyDescent="0.25">
      <c r="A478" s="7">
        <v>899</v>
      </c>
      <c r="B478" s="33" t="str">
        <f t="shared" si="23"/>
        <v>C0899</v>
      </c>
      <c r="C478" s="7" t="s">
        <v>1012</v>
      </c>
      <c r="D478" s="33" t="str">
        <f>VLOOKUP(B478,Detail!$G$1:$H$1001,2,FALSE)</f>
        <v>Pranawa Melani</v>
      </c>
      <c r="E478" s="7">
        <v>77</v>
      </c>
      <c r="F478" s="7">
        <v>59</v>
      </c>
      <c r="G478" s="57">
        <v>31</v>
      </c>
      <c r="H478" s="7">
        <v>72</v>
      </c>
      <c r="I478" s="7">
        <v>85</v>
      </c>
      <c r="J478" s="7">
        <v>92</v>
      </c>
      <c r="K478" s="7">
        <v>91</v>
      </c>
      <c r="L478" s="56" t="str">
        <f>IFERROR(VLOOKUP(B478,Absen!$A$1:$C$501,2,FALSE),"No")</f>
        <v>No</v>
      </c>
      <c r="M478" s="58">
        <f t="shared" si="24"/>
        <v>9.1</v>
      </c>
      <c r="N478" s="57">
        <f t="shared" si="25"/>
        <v>70.325000000000003</v>
      </c>
      <c r="O478" s="7" t="str">
        <f>VLOOKUP(N478,Helper!$B$30:$C$35,2,TRUE)</f>
        <v>B</v>
      </c>
      <c r="P478" s="56">
        <f>INDEX(Detail!$A$1:$A$1001,MATCH(B478,Detail!$G$1:$G$1001,0))</f>
        <v>37897</v>
      </c>
      <c r="Q478" s="33" t="str">
        <f>INDEX(Detail!$F$1:$F$1001,MATCH(Main!B478,Detail!$G$1:$G$1001,0))</f>
        <v>Bogor</v>
      </c>
      <c r="R478" s="7">
        <f>INDEX(Detail!$C$1:$C$1001,MATCH(B478,Detail!$G$1:$G$1001,0),1)</f>
        <v>180</v>
      </c>
      <c r="S478" s="7">
        <f>INDEX(Detail!$D$1:$D$1001,MATCH(B478,Detail!$G$1:$G$1001,0),1)</f>
        <v>85</v>
      </c>
      <c r="T478" s="7" t="str">
        <f>INDEX(Detail!$E$1:$E$1001,MATCH(Main!B478,Detail!$G$1:$G$1001,0))</f>
        <v xml:space="preserve">Jalan Pasirkoja No. 0
</v>
      </c>
      <c r="U478" s="7" t="str">
        <f>INDEX(Detail!$B$1:$B$1001,MATCH(B478,Detail!$G$1:$G$1001,0),1)</f>
        <v>A+</v>
      </c>
      <c r="V478" s="7" t="str" cm="1">
        <f t="array" ref="V478">INDEX(Dosen!$B$3:$E$8,MATCH(Main!C478,Dosen!$A$3:$A$8,0),IF(AND(Main!A478&gt;=1,Main!A478&lt;=250),1,IF(AND(Main!A478&gt;=251,Main!A478&lt;=500),2,IF(AND(Main!A478&gt;=501,Main!A478&lt;=750),3,4))))</f>
        <v>Pak Andi</v>
      </c>
      <c r="W478" s="7" t="str">
        <f>_xlfn.XLOOKUP(B478,Detail!$G$1:$G$1001,Detail!$B$1:$B$1001)</f>
        <v>A+</v>
      </c>
    </row>
    <row r="479" spans="1:23" ht="15.75" x14ac:dyDescent="0.25">
      <c r="A479" s="7">
        <v>900</v>
      </c>
      <c r="B479" s="33" t="str">
        <f t="shared" si="23"/>
        <v>C0900</v>
      </c>
      <c r="C479" s="7" t="s">
        <v>1012</v>
      </c>
      <c r="D479" s="33" t="str">
        <f>VLOOKUP(B479,Detail!$G$1:$H$1001,2,FALSE)</f>
        <v>Kasim Natsir</v>
      </c>
      <c r="E479" s="7">
        <v>83</v>
      </c>
      <c r="F479" s="7">
        <v>46</v>
      </c>
      <c r="G479" s="57">
        <v>59</v>
      </c>
      <c r="H479" s="7">
        <v>57</v>
      </c>
      <c r="I479" s="7">
        <v>56</v>
      </c>
      <c r="J479" s="7">
        <v>95</v>
      </c>
      <c r="K479" s="7">
        <v>95</v>
      </c>
      <c r="L479" s="56" t="str">
        <f>IFERROR(VLOOKUP(B479,Absen!$A$1:$C$501,2,FALSE),"No")</f>
        <v>No</v>
      </c>
      <c r="M479" s="58">
        <f t="shared" si="24"/>
        <v>9.5</v>
      </c>
      <c r="N479" s="57">
        <f t="shared" si="25"/>
        <v>70.55</v>
      </c>
      <c r="O479" s="7" t="str">
        <f>VLOOKUP(N479,Helper!$B$30:$C$35,2,TRUE)</f>
        <v>B</v>
      </c>
      <c r="P479" s="56">
        <f>INDEX(Detail!$A$1:$A$1001,MATCH(B479,Detail!$G$1:$G$1001,0))</f>
        <v>37022</v>
      </c>
      <c r="Q479" s="33" t="str">
        <f>INDEX(Detail!$F$1:$F$1001,MATCH(Main!B479,Detail!$G$1:$G$1001,0))</f>
        <v>Pagaralam</v>
      </c>
      <c r="R479" s="7">
        <f>INDEX(Detail!$C$1:$C$1001,MATCH(B479,Detail!$G$1:$G$1001,0),1)</f>
        <v>161</v>
      </c>
      <c r="S479" s="7">
        <f>INDEX(Detail!$D$1:$D$1001,MATCH(B479,Detail!$G$1:$G$1001,0),1)</f>
        <v>58</v>
      </c>
      <c r="T479" s="7" t="str">
        <f>INDEX(Detail!$E$1:$E$1001,MATCH(Main!B479,Detail!$G$1:$G$1001,0))</f>
        <v xml:space="preserve">Jl. Abdul Muis No. 4
</v>
      </c>
      <c r="U479" s="7" t="str">
        <f>INDEX(Detail!$B$1:$B$1001,MATCH(B479,Detail!$G$1:$G$1001,0),1)</f>
        <v>O-</v>
      </c>
      <c r="V479" s="7" t="str" cm="1">
        <f t="array" ref="V479">INDEX(Dosen!$B$3:$E$8,MATCH(Main!C479,Dosen!$A$3:$A$8,0),IF(AND(Main!A479&gt;=1,Main!A479&lt;=250),1,IF(AND(Main!A479&gt;=251,Main!A479&lt;=500),2,IF(AND(Main!A479&gt;=501,Main!A479&lt;=750),3,4))))</f>
        <v>Pak Andi</v>
      </c>
      <c r="W479" s="7" t="str">
        <f>_xlfn.XLOOKUP(B479,Detail!$G$1:$G$1001,Detail!$B$1:$B$1001)</f>
        <v>O-</v>
      </c>
    </row>
    <row r="480" spans="1:23" ht="15.75" x14ac:dyDescent="0.25">
      <c r="A480" s="7">
        <v>907</v>
      </c>
      <c r="B480" s="33" t="str">
        <f t="shared" si="23"/>
        <v>C0907</v>
      </c>
      <c r="C480" s="7" t="s">
        <v>1012</v>
      </c>
      <c r="D480" s="33" t="str">
        <f>VLOOKUP(B480,Detail!$G$1:$H$1001,2,FALSE)</f>
        <v>Carla Padmasari</v>
      </c>
      <c r="E480" s="7">
        <v>56</v>
      </c>
      <c r="F480" s="7">
        <v>63</v>
      </c>
      <c r="G480" s="57">
        <v>84</v>
      </c>
      <c r="H480" s="7">
        <v>52</v>
      </c>
      <c r="I480" s="7">
        <v>58</v>
      </c>
      <c r="J480" s="7">
        <v>80</v>
      </c>
      <c r="K480" s="7">
        <v>70</v>
      </c>
      <c r="L480" s="56" t="str">
        <f>IFERROR(VLOOKUP(B480,Absen!$A$1:$C$501,2,FALSE),"No")</f>
        <v>No</v>
      </c>
      <c r="M480" s="58">
        <f t="shared" si="24"/>
        <v>7</v>
      </c>
      <c r="N480" s="57">
        <f t="shared" si="25"/>
        <v>68.424999999999997</v>
      </c>
      <c r="O480" s="7" t="str">
        <f>VLOOKUP(N480,Helper!$B$30:$C$35,2,TRUE)</f>
        <v>C</v>
      </c>
      <c r="P480" s="56">
        <f>INDEX(Detail!$A$1:$A$1001,MATCH(B480,Detail!$G$1:$G$1001,0))</f>
        <v>37077</v>
      </c>
      <c r="Q480" s="33" t="str">
        <f>INDEX(Detail!$F$1:$F$1001,MATCH(Main!B480,Detail!$G$1:$G$1001,0))</f>
        <v>Bukittinggi</v>
      </c>
      <c r="R480" s="7">
        <f>INDEX(Detail!$C$1:$C$1001,MATCH(B480,Detail!$G$1:$G$1001,0),1)</f>
        <v>159</v>
      </c>
      <c r="S480" s="7">
        <f>INDEX(Detail!$D$1:$D$1001,MATCH(B480,Detail!$G$1:$G$1001,0),1)</f>
        <v>83</v>
      </c>
      <c r="T480" s="7" t="str">
        <f>INDEX(Detail!$E$1:$E$1001,MATCH(Main!B480,Detail!$G$1:$G$1001,0))</f>
        <v>Jl. Ahmad Yani No. 72</v>
      </c>
      <c r="U480" s="7" t="str">
        <f>INDEX(Detail!$B$1:$B$1001,MATCH(B480,Detail!$G$1:$G$1001,0),1)</f>
        <v>A-</v>
      </c>
      <c r="V480" s="7" t="str" cm="1">
        <f t="array" ref="V480">INDEX(Dosen!$B$3:$E$8,MATCH(Main!C480,Dosen!$A$3:$A$8,0),IF(AND(Main!A480&gt;=1,Main!A480&lt;=250),1,IF(AND(Main!A480&gt;=251,Main!A480&lt;=500),2,IF(AND(Main!A480&gt;=501,Main!A480&lt;=750),3,4))))</f>
        <v>Pak Andi</v>
      </c>
      <c r="W480" s="7" t="str">
        <f>_xlfn.XLOOKUP(B480,Detail!$G$1:$G$1001,Detail!$B$1:$B$1001)</f>
        <v>A-</v>
      </c>
    </row>
    <row r="481" spans="1:23" ht="15.75" x14ac:dyDescent="0.25">
      <c r="A481" s="7">
        <v>908</v>
      </c>
      <c r="B481" s="33" t="str">
        <f t="shared" ref="B481:B492" si="26">CONCATENATE("C",TEXT(A481,"0000"))</f>
        <v>C0908</v>
      </c>
      <c r="C481" s="7" t="s">
        <v>1012</v>
      </c>
      <c r="D481" s="33" t="str">
        <f>VLOOKUP(B481,Detail!$G$1:$H$1001,2,FALSE)</f>
        <v>Indra Nasyiah</v>
      </c>
      <c r="E481" s="7">
        <v>89</v>
      </c>
      <c r="F481" s="7">
        <v>59</v>
      </c>
      <c r="G481" s="57">
        <v>40</v>
      </c>
      <c r="H481" s="7">
        <v>57</v>
      </c>
      <c r="I481" s="7">
        <v>92</v>
      </c>
      <c r="J481" s="7">
        <v>46</v>
      </c>
      <c r="K481" s="7">
        <v>66</v>
      </c>
      <c r="L481" s="56">
        <f>IFERROR(VLOOKUP(B481,Absen!$A$1:$C$501,2,FALSE),"No")</f>
        <v>44753</v>
      </c>
      <c r="M481" s="58">
        <f t="shared" si="24"/>
        <v>5.6000000000000005</v>
      </c>
      <c r="N481" s="57">
        <f t="shared" si="25"/>
        <v>59.925000000000004</v>
      </c>
      <c r="O481" s="7" t="str">
        <f>VLOOKUP(N481,Helper!$B$30:$C$35,2,TRUE)</f>
        <v>D</v>
      </c>
      <c r="P481" s="56">
        <f>INDEX(Detail!$A$1:$A$1001,MATCH(B481,Detail!$G$1:$G$1001,0))</f>
        <v>37503</v>
      </c>
      <c r="Q481" s="33" t="str">
        <f>INDEX(Detail!$F$1:$F$1001,MATCH(Main!B481,Detail!$G$1:$G$1001,0))</f>
        <v>Bengkulu</v>
      </c>
      <c r="R481" s="7">
        <f>INDEX(Detail!$C$1:$C$1001,MATCH(B481,Detail!$G$1:$G$1001,0),1)</f>
        <v>150</v>
      </c>
      <c r="S481" s="7">
        <f>INDEX(Detail!$D$1:$D$1001,MATCH(B481,Detail!$G$1:$G$1001,0),1)</f>
        <v>81</v>
      </c>
      <c r="T481" s="7" t="str">
        <f>INDEX(Detail!$E$1:$E$1001,MATCH(Main!B481,Detail!$G$1:$G$1001,0))</f>
        <v>Gg. Pacuan Kuda No. 19</v>
      </c>
      <c r="U481" s="7" t="str">
        <f>INDEX(Detail!$B$1:$B$1001,MATCH(B481,Detail!$G$1:$G$1001,0),1)</f>
        <v>A+</v>
      </c>
      <c r="V481" s="7" t="str" cm="1">
        <f t="array" ref="V481">INDEX(Dosen!$B$3:$E$8,MATCH(Main!C481,Dosen!$A$3:$A$8,0),IF(AND(Main!A481&gt;=1,Main!A481&lt;=250),1,IF(AND(Main!A481&gt;=251,Main!A481&lt;=500),2,IF(AND(Main!A481&gt;=501,Main!A481&lt;=750),3,4))))</f>
        <v>Pak Andi</v>
      </c>
      <c r="W481" s="7" t="str">
        <f>_xlfn.XLOOKUP(B481,Detail!$G$1:$G$1001,Detail!$B$1:$B$1001)</f>
        <v>A+</v>
      </c>
    </row>
    <row r="482" spans="1:23" ht="15.75" x14ac:dyDescent="0.25">
      <c r="A482" s="7">
        <v>927</v>
      </c>
      <c r="B482" s="33" t="str">
        <f t="shared" si="26"/>
        <v>C0927</v>
      </c>
      <c r="C482" s="7" t="s">
        <v>1012</v>
      </c>
      <c r="D482" s="33" t="str">
        <f>VLOOKUP(B482,Detail!$G$1:$H$1001,2,FALSE)</f>
        <v>Narji Haryanto</v>
      </c>
      <c r="E482" s="7">
        <v>68</v>
      </c>
      <c r="F482" s="7">
        <v>57</v>
      </c>
      <c r="G482" s="57">
        <v>65</v>
      </c>
      <c r="H482" s="7">
        <v>60</v>
      </c>
      <c r="I482" s="7">
        <v>72</v>
      </c>
      <c r="J482" s="7">
        <v>58</v>
      </c>
      <c r="K482" s="7">
        <v>98</v>
      </c>
      <c r="L482" s="56" t="str">
        <f>IFERROR(VLOOKUP(B482,Absen!$A$1:$C$501,2,FALSE),"No")</f>
        <v>No</v>
      </c>
      <c r="M482" s="58">
        <f t="shared" si="24"/>
        <v>9.8000000000000007</v>
      </c>
      <c r="N482" s="57">
        <f t="shared" si="25"/>
        <v>66.525000000000006</v>
      </c>
      <c r="O482" s="7" t="str">
        <f>VLOOKUP(N482,Helper!$B$30:$C$35,2,TRUE)</f>
        <v>C</v>
      </c>
      <c r="P482" s="56">
        <f>INDEX(Detail!$A$1:$A$1001,MATCH(B482,Detail!$G$1:$G$1001,0))</f>
        <v>37053</v>
      </c>
      <c r="Q482" s="33" t="str">
        <f>INDEX(Detail!$F$1:$F$1001,MATCH(Main!B482,Detail!$G$1:$G$1001,0))</f>
        <v>Kotamobagu</v>
      </c>
      <c r="R482" s="7">
        <f>INDEX(Detail!$C$1:$C$1001,MATCH(B482,Detail!$G$1:$G$1001,0),1)</f>
        <v>152</v>
      </c>
      <c r="S482" s="7">
        <f>INDEX(Detail!$D$1:$D$1001,MATCH(B482,Detail!$G$1:$G$1001,0),1)</f>
        <v>58</v>
      </c>
      <c r="T482" s="7" t="str">
        <f>INDEX(Detail!$E$1:$E$1001,MATCH(Main!B482,Detail!$G$1:$G$1001,0))</f>
        <v>Gang Jamika No. 17</v>
      </c>
      <c r="U482" s="7" t="str">
        <f>INDEX(Detail!$B$1:$B$1001,MATCH(B482,Detail!$G$1:$G$1001,0),1)</f>
        <v>B+</v>
      </c>
      <c r="V482" s="7" t="str" cm="1">
        <f t="array" ref="V482">INDEX(Dosen!$B$3:$E$8,MATCH(Main!C482,Dosen!$A$3:$A$8,0),IF(AND(Main!A482&gt;=1,Main!A482&lt;=250),1,IF(AND(Main!A482&gt;=251,Main!A482&lt;=500),2,IF(AND(Main!A482&gt;=501,Main!A482&lt;=750),3,4))))</f>
        <v>Pak Andi</v>
      </c>
      <c r="W482" s="7" t="str">
        <f>_xlfn.XLOOKUP(B482,Detail!$G$1:$G$1001,Detail!$B$1:$B$1001)</f>
        <v>B+</v>
      </c>
    </row>
    <row r="483" spans="1:23" ht="15.75" x14ac:dyDescent="0.25">
      <c r="A483" s="7">
        <v>929</v>
      </c>
      <c r="B483" s="33" t="str">
        <f t="shared" si="26"/>
        <v>C0929</v>
      </c>
      <c r="C483" s="7" t="s">
        <v>1012</v>
      </c>
      <c r="D483" s="33" t="str">
        <f>VLOOKUP(B483,Detail!$G$1:$H$1001,2,FALSE)</f>
        <v>Prayoga Nurdiyanti</v>
      </c>
      <c r="E483" s="7">
        <v>56</v>
      </c>
      <c r="F483" s="7">
        <v>61</v>
      </c>
      <c r="G483" s="57">
        <v>94</v>
      </c>
      <c r="H483" s="7">
        <v>50</v>
      </c>
      <c r="I483" s="7">
        <v>83</v>
      </c>
      <c r="J483" s="7">
        <v>43</v>
      </c>
      <c r="K483" s="7">
        <v>91</v>
      </c>
      <c r="L483" s="56" t="str">
        <f>IFERROR(VLOOKUP(B483,Absen!$A$1:$C$501,2,FALSE),"No")</f>
        <v>No</v>
      </c>
      <c r="M483" s="58">
        <f t="shared" si="24"/>
        <v>9.1</v>
      </c>
      <c r="N483" s="57">
        <f t="shared" si="25"/>
        <v>67.75</v>
      </c>
      <c r="O483" s="7" t="str">
        <f>VLOOKUP(N483,Helper!$B$30:$C$35,2,TRUE)</f>
        <v>C</v>
      </c>
      <c r="P483" s="56">
        <f>INDEX(Detail!$A$1:$A$1001,MATCH(B483,Detail!$G$1:$G$1001,0))</f>
        <v>38221</v>
      </c>
      <c r="Q483" s="33" t="str">
        <f>INDEX(Detail!$F$1:$F$1001,MATCH(Main!B483,Detail!$G$1:$G$1001,0))</f>
        <v>Palu</v>
      </c>
      <c r="R483" s="7">
        <f>INDEX(Detail!$C$1:$C$1001,MATCH(B483,Detail!$G$1:$G$1001,0),1)</f>
        <v>160</v>
      </c>
      <c r="S483" s="7">
        <f>INDEX(Detail!$D$1:$D$1001,MATCH(B483,Detail!$G$1:$G$1001,0),1)</f>
        <v>72</v>
      </c>
      <c r="T483" s="7" t="str">
        <f>INDEX(Detail!$E$1:$E$1001,MATCH(Main!B483,Detail!$G$1:$G$1001,0))</f>
        <v xml:space="preserve">Jalan Otto Iskandardinata No. 9
</v>
      </c>
      <c r="U483" s="7" t="str">
        <f>INDEX(Detail!$B$1:$B$1001,MATCH(B483,Detail!$G$1:$G$1001,0),1)</f>
        <v>B+</v>
      </c>
      <c r="V483" s="7" t="str" cm="1">
        <f t="array" ref="V483">INDEX(Dosen!$B$3:$E$8,MATCH(Main!C483,Dosen!$A$3:$A$8,0),IF(AND(Main!A483&gt;=1,Main!A483&lt;=250),1,IF(AND(Main!A483&gt;=251,Main!A483&lt;=500),2,IF(AND(Main!A483&gt;=501,Main!A483&lt;=750),3,4))))</f>
        <v>Pak Andi</v>
      </c>
      <c r="W483" s="7" t="str">
        <f>_xlfn.XLOOKUP(B483,Detail!$G$1:$G$1001,Detail!$B$1:$B$1001)</f>
        <v>B+</v>
      </c>
    </row>
    <row r="484" spans="1:23" ht="15.75" x14ac:dyDescent="0.25">
      <c r="A484" s="7">
        <v>932</v>
      </c>
      <c r="B484" s="33" t="str">
        <f t="shared" si="26"/>
        <v>C0932</v>
      </c>
      <c r="C484" s="7" t="s">
        <v>1012</v>
      </c>
      <c r="D484" s="33" t="str">
        <f>VLOOKUP(B484,Detail!$G$1:$H$1001,2,FALSE)</f>
        <v>Purwadi Palastri</v>
      </c>
      <c r="E484" s="7">
        <v>61</v>
      </c>
      <c r="F484" s="7">
        <v>74</v>
      </c>
      <c r="G484" s="57">
        <v>63</v>
      </c>
      <c r="H484" s="7">
        <v>53</v>
      </c>
      <c r="I484" s="7">
        <v>89</v>
      </c>
      <c r="J484" s="7">
        <v>98</v>
      </c>
      <c r="K484" s="7">
        <v>62</v>
      </c>
      <c r="L484" s="56">
        <f>IFERROR(VLOOKUP(B484,Absen!$A$1:$C$501,2,FALSE),"No")</f>
        <v>44790</v>
      </c>
      <c r="M484" s="58">
        <f t="shared" si="24"/>
        <v>5.2</v>
      </c>
      <c r="N484" s="57">
        <f t="shared" si="25"/>
        <v>72.025000000000006</v>
      </c>
      <c r="O484" s="7" t="str">
        <f>VLOOKUP(N484,Helper!$B$30:$C$35,2,TRUE)</f>
        <v>B</v>
      </c>
      <c r="P484" s="56">
        <f>INDEX(Detail!$A$1:$A$1001,MATCH(B484,Detail!$G$1:$G$1001,0))</f>
        <v>37422</v>
      </c>
      <c r="Q484" s="33" t="str">
        <f>INDEX(Detail!$F$1:$F$1001,MATCH(Main!B484,Detail!$G$1:$G$1001,0))</f>
        <v>Mataram</v>
      </c>
      <c r="R484" s="7">
        <f>INDEX(Detail!$C$1:$C$1001,MATCH(B484,Detail!$G$1:$G$1001,0),1)</f>
        <v>150</v>
      </c>
      <c r="S484" s="7">
        <f>INDEX(Detail!$D$1:$D$1001,MATCH(B484,Detail!$G$1:$G$1001,0),1)</f>
        <v>68</v>
      </c>
      <c r="T484" s="7" t="str">
        <f>INDEX(Detail!$E$1:$E$1001,MATCH(Main!B484,Detail!$G$1:$G$1001,0))</f>
        <v>Gg. Siliwangi No. 53</v>
      </c>
      <c r="U484" s="7" t="str">
        <f>INDEX(Detail!$B$1:$B$1001,MATCH(B484,Detail!$G$1:$G$1001,0),1)</f>
        <v>O-</v>
      </c>
      <c r="V484" s="7" t="str" cm="1">
        <f t="array" ref="V484">INDEX(Dosen!$B$3:$E$8,MATCH(Main!C484,Dosen!$A$3:$A$8,0),IF(AND(Main!A484&gt;=1,Main!A484&lt;=250),1,IF(AND(Main!A484&gt;=251,Main!A484&lt;=500),2,IF(AND(Main!A484&gt;=501,Main!A484&lt;=750),3,4))))</f>
        <v>Pak Andi</v>
      </c>
      <c r="W484" s="7" t="str">
        <f>_xlfn.XLOOKUP(B484,Detail!$G$1:$G$1001,Detail!$B$1:$B$1001)</f>
        <v>O-</v>
      </c>
    </row>
    <row r="485" spans="1:23" ht="15.75" x14ac:dyDescent="0.25">
      <c r="A485" s="7">
        <v>941</v>
      </c>
      <c r="B485" s="33" t="str">
        <f t="shared" si="26"/>
        <v>C0941</v>
      </c>
      <c r="C485" s="7" t="s">
        <v>1012</v>
      </c>
      <c r="D485" s="33" t="str">
        <f>VLOOKUP(B485,Detail!$G$1:$H$1001,2,FALSE)</f>
        <v>Kala Hassanah</v>
      </c>
      <c r="E485" s="7">
        <v>54</v>
      </c>
      <c r="F485" s="7">
        <v>64</v>
      </c>
      <c r="G485" s="57">
        <v>67</v>
      </c>
      <c r="H485" s="7">
        <v>66</v>
      </c>
      <c r="I485" s="7">
        <v>90</v>
      </c>
      <c r="J485" s="7">
        <v>88</v>
      </c>
      <c r="K485" s="7">
        <v>98</v>
      </c>
      <c r="L485" s="56" t="str">
        <f>IFERROR(VLOOKUP(B485,Absen!$A$1:$C$501,2,FALSE),"No")</f>
        <v>No</v>
      </c>
      <c r="M485" s="58">
        <f t="shared" si="24"/>
        <v>9.8000000000000007</v>
      </c>
      <c r="N485" s="57">
        <f t="shared" si="25"/>
        <v>75.05</v>
      </c>
      <c r="O485" s="7" t="str">
        <f>VLOOKUP(N485,Helper!$B$30:$C$35,2,TRUE)</f>
        <v>B</v>
      </c>
      <c r="P485" s="56">
        <f>INDEX(Detail!$A$1:$A$1001,MATCH(B485,Detail!$G$1:$G$1001,0))</f>
        <v>38279</v>
      </c>
      <c r="Q485" s="33" t="str">
        <f>INDEX(Detail!$F$1:$F$1001,MATCH(Main!B485,Detail!$G$1:$G$1001,0))</f>
        <v>Tangerang Selatan</v>
      </c>
      <c r="R485" s="7">
        <f>INDEX(Detail!$C$1:$C$1001,MATCH(B485,Detail!$G$1:$G$1001,0),1)</f>
        <v>178</v>
      </c>
      <c r="S485" s="7">
        <f>INDEX(Detail!$D$1:$D$1001,MATCH(B485,Detail!$G$1:$G$1001,0),1)</f>
        <v>64</v>
      </c>
      <c r="T485" s="7" t="str">
        <f>INDEX(Detail!$E$1:$E$1001,MATCH(Main!B485,Detail!$G$1:$G$1001,0))</f>
        <v xml:space="preserve">Gg. Rawamangun No. 9
</v>
      </c>
      <c r="U485" s="7" t="str">
        <f>INDEX(Detail!$B$1:$B$1001,MATCH(B485,Detail!$G$1:$G$1001,0),1)</f>
        <v>AB-</v>
      </c>
      <c r="V485" s="7" t="str" cm="1">
        <f t="array" ref="V485">INDEX(Dosen!$B$3:$E$8,MATCH(Main!C485,Dosen!$A$3:$A$8,0),IF(AND(Main!A485&gt;=1,Main!A485&lt;=250),1,IF(AND(Main!A485&gt;=251,Main!A485&lt;=500),2,IF(AND(Main!A485&gt;=501,Main!A485&lt;=750),3,4))))</f>
        <v>Pak Andi</v>
      </c>
      <c r="W485" s="7" t="str">
        <f>_xlfn.XLOOKUP(B485,Detail!$G$1:$G$1001,Detail!$B$1:$B$1001)</f>
        <v>AB-</v>
      </c>
    </row>
    <row r="486" spans="1:23" ht="15.75" x14ac:dyDescent="0.25">
      <c r="A486" s="7">
        <v>951</v>
      </c>
      <c r="B486" s="33" t="str">
        <f t="shared" si="26"/>
        <v>C0951</v>
      </c>
      <c r="C486" s="7" t="s">
        <v>1012</v>
      </c>
      <c r="D486" s="33" t="str">
        <f>VLOOKUP(B486,Detail!$G$1:$H$1001,2,FALSE)</f>
        <v>Mahesa Maulana</v>
      </c>
      <c r="E486" s="7">
        <v>63</v>
      </c>
      <c r="F486" s="7">
        <v>48</v>
      </c>
      <c r="G486" s="57">
        <v>94</v>
      </c>
      <c r="H486" s="7">
        <v>54</v>
      </c>
      <c r="I486" s="7">
        <v>55</v>
      </c>
      <c r="J486" s="7">
        <v>99</v>
      </c>
      <c r="K486" s="7">
        <v>93</v>
      </c>
      <c r="L486" s="56">
        <f>IFERROR(VLOOKUP(B486,Absen!$A$1:$C$501,2,FALSE),"No")</f>
        <v>44780</v>
      </c>
      <c r="M486" s="58">
        <f t="shared" si="24"/>
        <v>8.3000000000000007</v>
      </c>
      <c r="N486" s="57">
        <f t="shared" si="25"/>
        <v>74.399999999999991</v>
      </c>
      <c r="O486" s="7" t="str">
        <f>VLOOKUP(N486,Helper!$B$30:$C$35,2,TRUE)</f>
        <v>B</v>
      </c>
      <c r="P486" s="56">
        <f>INDEX(Detail!$A$1:$A$1001,MATCH(B486,Detail!$G$1:$G$1001,0))</f>
        <v>38078</v>
      </c>
      <c r="Q486" s="33" t="str">
        <f>INDEX(Detail!$F$1:$F$1001,MATCH(Main!B486,Detail!$G$1:$G$1001,0))</f>
        <v>Tidore Kepulauan</v>
      </c>
      <c r="R486" s="7">
        <f>INDEX(Detail!$C$1:$C$1001,MATCH(B486,Detail!$G$1:$G$1001,0),1)</f>
        <v>161</v>
      </c>
      <c r="S486" s="7">
        <f>INDEX(Detail!$D$1:$D$1001,MATCH(B486,Detail!$G$1:$G$1001,0),1)</f>
        <v>73</v>
      </c>
      <c r="T486" s="7" t="str">
        <f>INDEX(Detail!$E$1:$E$1001,MATCH(Main!B486,Detail!$G$1:$G$1001,0))</f>
        <v xml:space="preserve">Gg. Jend. Sudirman No. 7
</v>
      </c>
      <c r="U486" s="7" t="str">
        <f>INDEX(Detail!$B$1:$B$1001,MATCH(B486,Detail!$G$1:$G$1001,0),1)</f>
        <v>A-</v>
      </c>
      <c r="V486" s="7" t="str" cm="1">
        <f t="array" ref="V486">INDEX(Dosen!$B$3:$E$8,MATCH(Main!C486,Dosen!$A$3:$A$8,0),IF(AND(Main!A486&gt;=1,Main!A486&lt;=250),1,IF(AND(Main!A486&gt;=251,Main!A486&lt;=500),2,IF(AND(Main!A486&gt;=501,Main!A486&lt;=750),3,4))))</f>
        <v>Pak Andi</v>
      </c>
      <c r="W486" s="7" t="str">
        <f>_xlfn.XLOOKUP(B486,Detail!$G$1:$G$1001,Detail!$B$1:$B$1001)</f>
        <v>A-</v>
      </c>
    </row>
    <row r="487" spans="1:23" ht="15.75" x14ac:dyDescent="0.25">
      <c r="A487" s="7">
        <v>952</v>
      </c>
      <c r="B487" s="33" t="str">
        <f t="shared" si="26"/>
        <v>C0952</v>
      </c>
      <c r="C487" s="7" t="s">
        <v>1012</v>
      </c>
      <c r="D487" s="33" t="str">
        <f>VLOOKUP(B487,Detail!$G$1:$H$1001,2,FALSE)</f>
        <v>Gantar Winarsih</v>
      </c>
      <c r="E487" s="7">
        <v>51</v>
      </c>
      <c r="F487" s="7">
        <v>47</v>
      </c>
      <c r="G487" s="57">
        <v>73</v>
      </c>
      <c r="H487" s="7">
        <v>53</v>
      </c>
      <c r="I487" s="7">
        <v>93</v>
      </c>
      <c r="J487" s="7">
        <v>93</v>
      </c>
      <c r="K487" s="7">
        <v>86</v>
      </c>
      <c r="L487" s="56" t="str">
        <f>IFERROR(VLOOKUP(B487,Absen!$A$1:$C$501,2,FALSE),"No")</f>
        <v>No</v>
      </c>
      <c r="M487" s="58">
        <f t="shared" si="24"/>
        <v>8.6</v>
      </c>
      <c r="N487" s="57">
        <f t="shared" si="25"/>
        <v>72.3</v>
      </c>
      <c r="O487" s="7" t="str">
        <f>VLOOKUP(N487,Helper!$B$30:$C$35,2,TRUE)</f>
        <v>B</v>
      </c>
      <c r="P487" s="56">
        <f>INDEX(Detail!$A$1:$A$1001,MATCH(B487,Detail!$G$1:$G$1001,0))</f>
        <v>38407</v>
      </c>
      <c r="Q487" s="33" t="str">
        <f>INDEX(Detail!$F$1:$F$1001,MATCH(Main!B487,Detail!$G$1:$G$1001,0))</f>
        <v>Kota Administrasi Jakarta Pusat</v>
      </c>
      <c r="R487" s="7">
        <f>INDEX(Detail!$C$1:$C$1001,MATCH(B487,Detail!$G$1:$G$1001,0),1)</f>
        <v>169</v>
      </c>
      <c r="S487" s="7">
        <f>INDEX(Detail!$D$1:$D$1001,MATCH(B487,Detail!$G$1:$G$1001,0),1)</f>
        <v>92</v>
      </c>
      <c r="T487" s="7" t="str">
        <f>INDEX(Detail!$E$1:$E$1001,MATCH(Main!B487,Detail!$G$1:$G$1001,0))</f>
        <v>Gg. Antapani Lama No. 19</v>
      </c>
      <c r="U487" s="7" t="str">
        <f>INDEX(Detail!$B$1:$B$1001,MATCH(B487,Detail!$G$1:$G$1001,0),1)</f>
        <v>B-</v>
      </c>
      <c r="V487" s="7" t="str" cm="1">
        <f t="array" ref="V487">INDEX(Dosen!$B$3:$E$8,MATCH(Main!C487,Dosen!$A$3:$A$8,0),IF(AND(Main!A487&gt;=1,Main!A487&lt;=250),1,IF(AND(Main!A487&gt;=251,Main!A487&lt;=500),2,IF(AND(Main!A487&gt;=501,Main!A487&lt;=750),3,4))))</f>
        <v>Pak Andi</v>
      </c>
      <c r="W487" s="7" t="str">
        <f>_xlfn.XLOOKUP(B487,Detail!$G$1:$G$1001,Detail!$B$1:$B$1001)</f>
        <v>B-</v>
      </c>
    </row>
    <row r="488" spans="1:23" ht="15.75" x14ac:dyDescent="0.25">
      <c r="A488" s="7">
        <v>979</v>
      </c>
      <c r="B488" s="33" t="str">
        <f t="shared" si="26"/>
        <v>C0979</v>
      </c>
      <c r="C488" s="7" t="s">
        <v>1012</v>
      </c>
      <c r="D488" s="33" t="str">
        <f>VLOOKUP(B488,Detail!$G$1:$H$1001,2,FALSE)</f>
        <v>Kajen Budiman</v>
      </c>
      <c r="E488" s="7">
        <v>80</v>
      </c>
      <c r="F488" s="7">
        <v>43</v>
      </c>
      <c r="G488" s="57">
        <v>87</v>
      </c>
      <c r="H488" s="7">
        <v>67</v>
      </c>
      <c r="I488" s="7">
        <v>89</v>
      </c>
      <c r="J488" s="7">
        <v>83</v>
      </c>
      <c r="K488" s="7">
        <v>84</v>
      </c>
      <c r="L488" s="56">
        <f>IFERROR(VLOOKUP(B488,Absen!$A$1:$C$501,2,FALSE),"No")</f>
        <v>44811</v>
      </c>
      <c r="M488" s="58">
        <f t="shared" si="24"/>
        <v>7.4</v>
      </c>
      <c r="N488" s="57">
        <f t="shared" si="25"/>
        <v>76.275000000000006</v>
      </c>
      <c r="O488" s="7" t="str">
        <f>VLOOKUP(N488,Helper!$B$30:$C$35,2,TRUE)</f>
        <v>B</v>
      </c>
      <c r="P488" s="56">
        <f>INDEX(Detail!$A$1:$A$1001,MATCH(B488,Detail!$G$1:$G$1001,0))</f>
        <v>38176</v>
      </c>
      <c r="Q488" s="33" t="str">
        <f>INDEX(Detail!$F$1:$F$1001,MATCH(Main!B488,Detail!$G$1:$G$1001,0))</f>
        <v>Manado</v>
      </c>
      <c r="R488" s="7">
        <f>INDEX(Detail!$C$1:$C$1001,MATCH(B488,Detail!$G$1:$G$1001,0),1)</f>
        <v>153</v>
      </c>
      <c r="S488" s="7">
        <f>INDEX(Detail!$D$1:$D$1001,MATCH(B488,Detail!$G$1:$G$1001,0),1)</f>
        <v>75</v>
      </c>
      <c r="T488" s="7" t="str">
        <f>INDEX(Detail!$E$1:$E$1001,MATCH(Main!B488,Detail!$G$1:$G$1001,0))</f>
        <v>Jl. M.H Thamrin No. 81</v>
      </c>
      <c r="U488" s="7" t="str">
        <f>INDEX(Detail!$B$1:$B$1001,MATCH(B488,Detail!$G$1:$G$1001,0),1)</f>
        <v>A+</v>
      </c>
      <c r="V488" s="7" t="str" cm="1">
        <f t="array" ref="V488">INDEX(Dosen!$B$3:$E$8,MATCH(Main!C488,Dosen!$A$3:$A$8,0),IF(AND(Main!A488&gt;=1,Main!A488&lt;=250),1,IF(AND(Main!A488&gt;=251,Main!A488&lt;=500),2,IF(AND(Main!A488&gt;=501,Main!A488&lt;=750),3,4))))</f>
        <v>Pak Andi</v>
      </c>
      <c r="W488" s="7" t="str">
        <f>_xlfn.XLOOKUP(B488,Detail!$G$1:$G$1001,Detail!$B$1:$B$1001)</f>
        <v>A+</v>
      </c>
    </row>
    <row r="489" spans="1:23" ht="15.75" x14ac:dyDescent="0.25">
      <c r="A489" s="7">
        <v>985</v>
      </c>
      <c r="B489" s="33" t="str">
        <f t="shared" si="26"/>
        <v>C0985</v>
      </c>
      <c r="C489" s="7" t="s">
        <v>1012</v>
      </c>
      <c r="D489" s="33" t="str">
        <f>VLOOKUP(B489,Detail!$G$1:$H$1001,2,FALSE)</f>
        <v>Endra Waskita</v>
      </c>
      <c r="E489" s="7">
        <v>55</v>
      </c>
      <c r="F489" s="7">
        <v>73</v>
      </c>
      <c r="G489" s="57">
        <v>54</v>
      </c>
      <c r="H489" s="7">
        <v>62</v>
      </c>
      <c r="I489" s="7">
        <v>63</v>
      </c>
      <c r="J489" s="7">
        <v>70</v>
      </c>
      <c r="K489" s="7">
        <v>72</v>
      </c>
      <c r="L489" s="56">
        <f>IFERROR(VLOOKUP(B489,Absen!$A$1:$C$501,2,FALSE),"No")</f>
        <v>44754</v>
      </c>
      <c r="M489" s="58">
        <f t="shared" si="24"/>
        <v>6.2</v>
      </c>
      <c r="N489" s="57">
        <f t="shared" si="25"/>
        <v>62.625</v>
      </c>
      <c r="O489" s="7" t="str">
        <f>VLOOKUP(N489,Helper!$B$30:$C$35,2,TRUE)</f>
        <v>C</v>
      </c>
      <c r="P489" s="56">
        <f>INDEX(Detail!$A$1:$A$1001,MATCH(B489,Detail!$G$1:$G$1001,0))</f>
        <v>37444</v>
      </c>
      <c r="Q489" s="33" t="str">
        <f>INDEX(Detail!$F$1:$F$1001,MATCH(Main!B489,Detail!$G$1:$G$1001,0))</f>
        <v>Malang</v>
      </c>
      <c r="R489" s="7">
        <f>INDEX(Detail!$C$1:$C$1001,MATCH(B489,Detail!$G$1:$G$1001,0),1)</f>
        <v>171</v>
      </c>
      <c r="S489" s="7">
        <f>INDEX(Detail!$D$1:$D$1001,MATCH(B489,Detail!$G$1:$G$1001,0),1)</f>
        <v>49</v>
      </c>
      <c r="T489" s="7" t="str">
        <f>INDEX(Detail!$E$1:$E$1001,MATCH(Main!B489,Detail!$G$1:$G$1001,0))</f>
        <v>Gg. Stasiun Wonokromo No. 34</v>
      </c>
      <c r="U489" s="7" t="str">
        <f>INDEX(Detail!$B$1:$B$1001,MATCH(B489,Detail!$G$1:$G$1001,0),1)</f>
        <v>A-</v>
      </c>
      <c r="V489" s="7" t="str" cm="1">
        <f t="array" ref="V489">INDEX(Dosen!$B$3:$E$8,MATCH(Main!C489,Dosen!$A$3:$A$8,0),IF(AND(Main!A489&gt;=1,Main!A489&lt;=250),1,IF(AND(Main!A489&gt;=251,Main!A489&lt;=500),2,IF(AND(Main!A489&gt;=501,Main!A489&lt;=750),3,4))))</f>
        <v>Pak Andi</v>
      </c>
      <c r="W489" s="7" t="str">
        <f>_xlfn.XLOOKUP(B489,Detail!$G$1:$G$1001,Detail!$B$1:$B$1001)</f>
        <v>A-</v>
      </c>
    </row>
    <row r="490" spans="1:23" ht="15.75" x14ac:dyDescent="0.25">
      <c r="A490" s="7">
        <v>989</v>
      </c>
      <c r="B490" s="33" t="str">
        <f t="shared" si="26"/>
        <v>C0989</v>
      </c>
      <c r="C490" s="7" t="s">
        <v>1012</v>
      </c>
      <c r="D490" s="33" t="str">
        <f>VLOOKUP(B490,Detail!$G$1:$H$1001,2,FALSE)</f>
        <v>Akarsana Nasyidah</v>
      </c>
      <c r="E490" s="7">
        <v>75</v>
      </c>
      <c r="F490" s="7">
        <v>64</v>
      </c>
      <c r="G490" s="57">
        <v>43</v>
      </c>
      <c r="H490" s="7">
        <v>58</v>
      </c>
      <c r="I490" s="7">
        <v>50</v>
      </c>
      <c r="J490" s="7">
        <v>77</v>
      </c>
      <c r="K490" s="7">
        <v>86</v>
      </c>
      <c r="L490" s="56">
        <f>IFERROR(VLOOKUP(B490,Absen!$A$1:$C$501,2,FALSE),"No")</f>
        <v>44858</v>
      </c>
      <c r="M490" s="58">
        <f t="shared" si="24"/>
        <v>7.6000000000000005</v>
      </c>
      <c r="N490" s="57">
        <f t="shared" si="25"/>
        <v>62.475000000000001</v>
      </c>
      <c r="O490" s="7" t="str">
        <f>VLOOKUP(N490,Helper!$B$30:$C$35,2,TRUE)</f>
        <v>C</v>
      </c>
      <c r="P490" s="56">
        <f>INDEX(Detail!$A$1:$A$1001,MATCH(B490,Detail!$G$1:$G$1001,0))</f>
        <v>38394</v>
      </c>
      <c r="Q490" s="33" t="str">
        <f>INDEX(Detail!$F$1:$F$1001,MATCH(Main!B490,Detail!$G$1:$G$1001,0))</f>
        <v>Lubuklinggau</v>
      </c>
      <c r="R490" s="7">
        <f>INDEX(Detail!$C$1:$C$1001,MATCH(B490,Detail!$G$1:$G$1001,0),1)</f>
        <v>176</v>
      </c>
      <c r="S490" s="7">
        <f>INDEX(Detail!$D$1:$D$1001,MATCH(B490,Detail!$G$1:$G$1001,0),1)</f>
        <v>91</v>
      </c>
      <c r="T490" s="7" t="str">
        <f>INDEX(Detail!$E$1:$E$1001,MATCH(Main!B490,Detail!$G$1:$G$1001,0))</f>
        <v>Gg. Ir. H. Djuanda No. 55</v>
      </c>
      <c r="U490" s="7" t="str">
        <f>INDEX(Detail!$B$1:$B$1001,MATCH(B490,Detail!$G$1:$G$1001,0),1)</f>
        <v>O+</v>
      </c>
      <c r="V490" s="7" t="str" cm="1">
        <f t="array" ref="V490">INDEX(Dosen!$B$3:$E$8,MATCH(Main!C490,Dosen!$A$3:$A$8,0),IF(AND(Main!A490&gt;=1,Main!A490&lt;=250),1,IF(AND(Main!A490&gt;=251,Main!A490&lt;=500),2,IF(AND(Main!A490&gt;=501,Main!A490&lt;=750),3,4))))</f>
        <v>Pak Andi</v>
      </c>
      <c r="W490" s="7" t="str">
        <f>_xlfn.XLOOKUP(B490,Detail!$G$1:$G$1001,Detail!$B$1:$B$1001)</f>
        <v>O+</v>
      </c>
    </row>
    <row r="491" spans="1:23" ht="15.75" x14ac:dyDescent="0.25">
      <c r="A491" s="7">
        <v>994</v>
      </c>
      <c r="B491" s="33" t="str">
        <f t="shared" si="26"/>
        <v>C0994</v>
      </c>
      <c r="C491" s="7" t="s">
        <v>1012</v>
      </c>
      <c r="D491" s="33" t="str">
        <f>VLOOKUP(B491,Detail!$G$1:$H$1001,2,FALSE)</f>
        <v>Yance Pranowo</v>
      </c>
      <c r="E491" s="7">
        <v>50</v>
      </c>
      <c r="F491" s="7">
        <v>50</v>
      </c>
      <c r="G491" s="57">
        <v>43</v>
      </c>
      <c r="H491" s="7">
        <v>52</v>
      </c>
      <c r="I491" s="7">
        <v>53</v>
      </c>
      <c r="J491" s="7">
        <v>93</v>
      </c>
      <c r="K491" s="7">
        <v>76</v>
      </c>
      <c r="L491" s="56">
        <f>IFERROR(VLOOKUP(B491,Absen!$A$1:$C$501,2,FALSE),"No")</f>
        <v>44846</v>
      </c>
      <c r="M491" s="58">
        <f t="shared" si="24"/>
        <v>6.6000000000000005</v>
      </c>
      <c r="N491" s="57">
        <f t="shared" si="25"/>
        <v>59.425000000000004</v>
      </c>
      <c r="O491" s="7" t="str">
        <f>VLOOKUP(N491,Helper!$B$30:$C$35,2,TRUE)</f>
        <v>D</v>
      </c>
      <c r="P491" s="56">
        <f>INDEX(Detail!$A$1:$A$1001,MATCH(B491,Detail!$G$1:$G$1001,0))</f>
        <v>37931</v>
      </c>
      <c r="Q491" s="33" t="str">
        <f>INDEX(Detail!$F$1:$F$1001,MATCH(Main!B491,Detail!$G$1:$G$1001,0))</f>
        <v>Banjar</v>
      </c>
      <c r="R491" s="7">
        <f>INDEX(Detail!$C$1:$C$1001,MATCH(B491,Detail!$G$1:$G$1001,0),1)</f>
        <v>175</v>
      </c>
      <c r="S491" s="7">
        <f>INDEX(Detail!$D$1:$D$1001,MATCH(B491,Detail!$G$1:$G$1001,0),1)</f>
        <v>73</v>
      </c>
      <c r="T491" s="7" t="str">
        <f>INDEX(Detail!$E$1:$E$1001,MATCH(Main!B491,Detail!$G$1:$G$1001,0))</f>
        <v>Jl. Kutisari Selatan No. 90</v>
      </c>
      <c r="U491" s="7" t="str">
        <f>INDEX(Detail!$B$1:$B$1001,MATCH(B491,Detail!$G$1:$G$1001,0),1)</f>
        <v>B-</v>
      </c>
      <c r="V491" s="7" t="str" cm="1">
        <f t="array" ref="V491">INDEX(Dosen!$B$3:$E$8,MATCH(Main!C491,Dosen!$A$3:$A$8,0),IF(AND(Main!A491&gt;=1,Main!A491&lt;=250),1,IF(AND(Main!A491&gt;=251,Main!A491&lt;=500),2,IF(AND(Main!A491&gt;=501,Main!A491&lt;=750),3,4))))</f>
        <v>Pak Andi</v>
      </c>
      <c r="W491" s="7" t="str">
        <f>_xlfn.XLOOKUP(B491,Detail!$G$1:$G$1001,Detail!$B$1:$B$1001)</f>
        <v>B-</v>
      </c>
    </row>
    <row r="492" spans="1:23" ht="15.75" x14ac:dyDescent="0.25">
      <c r="A492" s="7">
        <v>997</v>
      </c>
      <c r="B492" s="33" t="str">
        <f t="shared" si="26"/>
        <v>C0997</v>
      </c>
      <c r="C492" s="7" t="s">
        <v>1012</v>
      </c>
      <c r="D492" s="33" t="str">
        <f>VLOOKUP(B492,Detail!$G$1:$H$1001,2,FALSE)</f>
        <v>Gawati Melani</v>
      </c>
      <c r="E492" s="7">
        <v>80</v>
      </c>
      <c r="F492" s="7">
        <v>64</v>
      </c>
      <c r="G492" s="57">
        <v>57</v>
      </c>
      <c r="H492" s="7">
        <v>54</v>
      </c>
      <c r="I492" s="7">
        <v>68</v>
      </c>
      <c r="J492" s="7">
        <v>73</v>
      </c>
      <c r="K492" s="7">
        <v>85</v>
      </c>
      <c r="L492" s="56">
        <f>IFERROR(VLOOKUP(B492,Absen!$A$1:$C$501,2,FALSE),"No")</f>
        <v>44829</v>
      </c>
      <c r="M492" s="58">
        <f t="shared" si="24"/>
        <v>7.5</v>
      </c>
      <c r="N492" s="57">
        <f t="shared" si="25"/>
        <v>66.75</v>
      </c>
      <c r="O492" s="7" t="str">
        <f>VLOOKUP(N492,Helper!$B$30:$C$35,2,TRUE)</f>
        <v>C</v>
      </c>
      <c r="P492" s="56">
        <f>INDEX(Detail!$A$1:$A$1001,MATCH(B492,Detail!$G$1:$G$1001,0))</f>
        <v>37740</v>
      </c>
      <c r="Q492" s="33" t="str">
        <f>INDEX(Detail!$F$1:$F$1001,MATCH(Main!B492,Detail!$G$1:$G$1001,0))</f>
        <v>Kota Administrasi Jakarta Selatan</v>
      </c>
      <c r="R492" s="7">
        <f>INDEX(Detail!$C$1:$C$1001,MATCH(B492,Detail!$G$1:$G$1001,0),1)</f>
        <v>152</v>
      </c>
      <c r="S492" s="7">
        <f>INDEX(Detail!$D$1:$D$1001,MATCH(B492,Detail!$G$1:$G$1001,0),1)</f>
        <v>54</v>
      </c>
      <c r="T492" s="7" t="str">
        <f>INDEX(Detail!$E$1:$E$1001,MATCH(Main!B492,Detail!$G$1:$G$1001,0))</f>
        <v>Gang R.E Martadinata No. 17</v>
      </c>
      <c r="U492" s="7" t="str">
        <f>INDEX(Detail!$B$1:$B$1001,MATCH(B492,Detail!$G$1:$G$1001,0),1)</f>
        <v>AB-</v>
      </c>
      <c r="V492" s="7" t="str" cm="1">
        <f t="array" ref="V492">INDEX(Dosen!$B$3:$E$8,MATCH(Main!C492,Dosen!$A$3:$A$8,0),IF(AND(Main!A492&gt;=1,Main!A492&lt;=250),1,IF(AND(Main!A492&gt;=251,Main!A492&lt;=500),2,IF(AND(Main!A492&gt;=501,Main!A492&lt;=750),3,4))))</f>
        <v>Pak Andi</v>
      </c>
      <c r="W492" s="7" t="str">
        <f>_xlfn.XLOOKUP(B492,Detail!$G$1:$G$1001,Detail!$B$1:$B$1001)</f>
        <v>AB-</v>
      </c>
    </row>
    <row r="493" spans="1:23" ht="15.75" x14ac:dyDescent="0.25">
      <c r="A493" s="7">
        <v>1</v>
      </c>
      <c r="B493" s="33" t="str">
        <f t="shared" ref="B493:B524" si="27">CONCATENATE("D",TEXT(A493,"0000"))</f>
        <v>D0001</v>
      </c>
      <c r="C493" s="7" t="s">
        <v>1013</v>
      </c>
      <c r="D493" s="33" t="str">
        <f>VLOOKUP(B493,Detail!$G$1:$H$1001,2,FALSE)</f>
        <v>Legawa Riyanti</v>
      </c>
      <c r="E493" s="7">
        <v>79</v>
      </c>
      <c r="F493" s="7">
        <v>49</v>
      </c>
      <c r="G493" s="57">
        <v>66</v>
      </c>
      <c r="H493" s="7">
        <v>52</v>
      </c>
      <c r="I493" s="7">
        <v>52</v>
      </c>
      <c r="J493" s="7">
        <v>98</v>
      </c>
      <c r="K493" s="7">
        <v>85</v>
      </c>
      <c r="L493" s="56">
        <f>IFERROR(VLOOKUP(B493,Absen!$A$1:$C$501,2,FALSE),"No")</f>
        <v>44855</v>
      </c>
      <c r="M493" s="58">
        <f t="shared" si="24"/>
        <v>7.5</v>
      </c>
      <c r="N493" s="57">
        <f t="shared" si="25"/>
        <v>69.300000000000011</v>
      </c>
      <c r="O493" s="7" t="str">
        <f>VLOOKUP(N493,Helper!$B$30:$C$35,2,TRUE)</f>
        <v>C</v>
      </c>
      <c r="P493" s="56">
        <f>INDEX(Detail!$A$1:$A$1001,MATCH(B493,Detail!$G$1:$G$1001,0))</f>
        <v>37335</v>
      </c>
      <c r="Q493" s="33" t="str">
        <f>INDEX(Detail!$F$1:$F$1001,MATCH(Main!B493,Detail!$G$1:$G$1001,0))</f>
        <v>Probolinggo</v>
      </c>
      <c r="R493" s="7">
        <f>INDEX(Detail!$C$1:$C$1001,MATCH(B493,Detail!$G$1:$G$1001,0),1)</f>
        <v>166</v>
      </c>
      <c r="S493" s="7">
        <f>INDEX(Detail!$D$1:$D$1001,MATCH(B493,Detail!$G$1:$G$1001,0),1)</f>
        <v>95</v>
      </c>
      <c r="T493" s="7" t="str">
        <f>INDEX(Detail!$E$1:$E$1001,MATCH(Main!B493,Detail!$G$1:$G$1001,0))</f>
        <v xml:space="preserve">Jl. M.T Haryono No. 5
</v>
      </c>
      <c r="U493" s="7" t="str">
        <f>INDEX(Detail!$B$1:$B$1001,MATCH(B493,Detail!$G$1:$G$1001,0),1)</f>
        <v>A+</v>
      </c>
      <c r="V493" s="7" t="str" cm="1">
        <f t="array" ref="V493">INDEX(Dosen!$B$3:$E$8,MATCH(Main!C493,Dosen!$A$3:$A$8,0),IF(AND(Main!A493&gt;=1,Main!A493&lt;=250),1,IF(AND(Main!A493&gt;=251,Main!A493&lt;=500),2,IF(AND(Main!A493&gt;=501,Main!A493&lt;=750),3,4))))</f>
        <v>Bu Ratna</v>
      </c>
      <c r="W493" s="7" t="str">
        <f>_xlfn.XLOOKUP(B493,Detail!$G$1:$G$1001,Detail!$B$1:$B$1001)</f>
        <v>A+</v>
      </c>
    </row>
    <row r="494" spans="1:23" ht="15.75" x14ac:dyDescent="0.25">
      <c r="A494" s="7">
        <v>2</v>
      </c>
      <c r="B494" s="33" t="str">
        <f t="shared" si="27"/>
        <v>D0002</v>
      </c>
      <c r="C494" s="7" t="s">
        <v>1013</v>
      </c>
      <c r="D494" s="33" t="str">
        <f>VLOOKUP(B494,Detail!$G$1:$H$1001,2,FALSE)</f>
        <v>Kunthara Halimah</v>
      </c>
      <c r="E494" s="7">
        <v>65</v>
      </c>
      <c r="F494" s="7">
        <v>47</v>
      </c>
      <c r="G494" s="57">
        <v>72</v>
      </c>
      <c r="H494" s="7">
        <v>71</v>
      </c>
      <c r="I494" s="7">
        <v>70</v>
      </c>
      <c r="J494" s="7">
        <v>73</v>
      </c>
      <c r="K494" s="7">
        <v>82</v>
      </c>
      <c r="L494" s="56">
        <f>IFERROR(VLOOKUP(B494,Absen!$A$1:$C$501,2,FALSE),"No")</f>
        <v>44816</v>
      </c>
      <c r="M494" s="58">
        <f t="shared" si="24"/>
        <v>7.2</v>
      </c>
      <c r="N494" s="57">
        <f t="shared" si="25"/>
        <v>67.825000000000003</v>
      </c>
      <c r="O494" s="7" t="str">
        <f>VLOOKUP(N494,Helper!$B$30:$C$35,2,TRUE)</f>
        <v>C</v>
      </c>
      <c r="P494" s="56">
        <f>INDEX(Detail!$A$1:$A$1001,MATCH(B494,Detail!$G$1:$G$1001,0))</f>
        <v>38428</v>
      </c>
      <c r="Q494" s="33" t="str">
        <f>INDEX(Detail!$F$1:$F$1001,MATCH(Main!B494,Detail!$G$1:$G$1001,0))</f>
        <v>Tangerang Selatan</v>
      </c>
      <c r="R494" s="7">
        <f>INDEX(Detail!$C$1:$C$1001,MATCH(B494,Detail!$G$1:$G$1001,0),1)</f>
        <v>175</v>
      </c>
      <c r="S494" s="7">
        <f>INDEX(Detail!$D$1:$D$1001,MATCH(B494,Detail!$G$1:$G$1001,0),1)</f>
        <v>55</v>
      </c>
      <c r="T494" s="7" t="str">
        <f>INDEX(Detail!$E$1:$E$1001,MATCH(Main!B494,Detail!$G$1:$G$1001,0))</f>
        <v>Gang Setiabudhi No. 17</v>
      </c>
      <c r="U494" s="7" t="str">
        <f>INDEX(Detail!$B$1:$B$1001,MATCH(B494,Detail!$G$1:$G$1001,0),1)</f>
        <v>AB-</v>
      </c>
      <c r="V494" s="7" t="str" cm="1">
        <f t="array" ref="V494">INDEX(Dosen!$B$3:$E$8,MATCH(Main!C494,Dosen!$A$3:$A$8,0),IF(AND(Main!A494&gt;=1,Main!A494&lt;=250),1,IF(AND(Main!A494&gt;=251,Main!A494&lt;=500),2,IF(AND(Main!A494&gt;=501,Main!A494&lt;=750),3,4))))</f>
        <v>Bu Ratna</v>
      </c>
      <c r="W494" s="7" t="str">
        <f>_xlfn.XLOOKUP(B494,Detail!$G$1:$G$1001,Detail!$B$1:$B$1001)</f>
        <v>AB-</v>
      </c>
    </row>
    <row r="495" spans="1:23" ht="15.75" x14ac:dyDescent="0.25">
      <c r="A495" s="7">
        <v>3</v>
      </c>
      <c r="B495" s="33" t="str">
        <f t="shared" si="27"/>
        <v>D0003</v>
      </c>
      <c r="C495" s="7" t="s">
        <v>1013</v>
      </c>
      <c r="D495" s="33" t="str">
        <f>VLOOKUP(B495,Detail!$G$1:$H$1001,2,FALSE)</f>
        <v>Cakrawangsa Adriansyah</v>
      </c>
      <c r="E495" s="7">
        <v>89</v>
      </c>
      <c r="F495" s="7">
        <v>48</v>
      </c>
      <c r="G495" s="57">
        <v>36</v>
      </c>
      <c r="H495" s="7">
        <v>73</v>
      </c>
      <c r="I495" s="7">
        <v>82</v>
      </c>
      <c r="J495" s="7">
        <v>67</v>
      </c>
      <c r="K495" s="7">
        <v>79</v>
      </c>
      <c r="L495" s="56">
        <f>IFERROR(VLOOKUP(B495,Absen!$A$1:$C$501,2,FALSE),"No")</f>
        <v>44762</v>
      </c>
      <c r="M495" s="58">
        <f t="shared" si="24"/>
        <v>6.9</v>
      </c>
      <c r="N495" s="57">
        <f t="shared" si="25"/>
        <v>64</v>
      </c>
      <c r="O495" s="7" t="str">
        <f>VLOOKUP(N495,Helper!$B$30:$C$35,2,TRUE)</f>
        <v>C</v>
      </c>
      <c r="P495" s="56">
        <f>INDEX(Detail!$A$1:$A$1001,MATCH(B495,Detail!$G$1:$G$1001,0))</f>
        <v>37865</v>
      </c>
      <c r="Q495" s="33" t="str">
        <f>INDEX(Detail!$F$1:$F$1001,MATCH(Main!B495,Detail!$G$1:$G$1001,0))</f>
        <v>Malang</v>
      </c>
      <c r="R495" s="7">
        <f>INDEX(Detail!$C$1:$C$1001,MATCH(B495,Detail!$G$1:$G$1001,0),1)</f>
        <v>167</v>
      </c>
      <c r="S495" s="7">
        <f>INDEX(Detail!$D$1:$D$1001,MATCH(B495,Detail!$G$1:$G$1001,0),1)</f>
        <v>56</v>
      </c>
      <c r="T495" s="7" t="str">
        <f>INDEX(Detail!$E$1:$E$1001,MATCH(Main!B495,Detail!$G$1:$G$1001,0))</f>
        <v xml:space="preserve">Jl. Jayawijaya No. 7
</v>
      </c>
      <c r="U495" s="7" t="str">
        <f>INDEX(Detail!$B$1:$B$1001,MATCH(B495,Detail!$G$1:$G$1001,0),1)</f>
        <v>O+</v>
      </c>
      <c r="V495" s="7" t="str" cm="1">
        <f t="array" ref="V495">INDEX(Dosen!$B$3:$E$8,MATCH(Main!C495,Dosen!$A$3:$A$8,0),IF(AND(Main!A495&gt;=1,Main!A495&lt;=250),1,IF(AND(Main!A495&gt;=251,Main!A495&lt;=500),2,IF(AND(Main!A495&gt;=501,Main!A495&lt;=750),3,4))))</f>
        <v>Bu Ratna</v>
      </c>
      <c r="W495" s="7" t="str">
        <f>_xlfn.XLOOKUP(B495,Detail!$G$1:$G$1001,Detail!$B$1:$B$1001)</f>
        <v>O+</v>
      </c>
    </row>
    <row r="496" spans="1:23" ht="15.75" x14ac:dyDescent="0.25">
      <c r="A496" s="7">
        <v>4</v>
      </c>
      <c r="B496" s="33" t="str">
        <f t="shared" si="27"/>
        <v>D0004</v>
      </c>
      <c r="C496" s="7" t="s">
        <v>1013</v>
      </c>
      <c r="D496" s="33" t="str">
        <f>VLOOKUP(B496,Detail!$G$1:$H$1001,2,FALSE)</f>
        <v>Daliono Sudiati</v>
      </c>
      <c r="E496" s="7">
        <v>78</v>
      </c>
      <c r="F496" s="7">
        <v>44</v>
      </c>
      <c r="G496" s="57">
        <v>36</v>
      </c>
      <c r="H496" s="7">
        <v>74</v>
      </c>
      <c r="I496" s="7">
        <v>59</v>
      </c>
      <c r="J496" s="7">
        <v>90</v>
      </c>
      <c r="K496" s="7">
        <v>100</v>
      </c>
      <c r="L496" s="56" t="str">
        <f>IFERROR(VLOOKUP(B496,Absen!$A$1:$C$501,2,FALSE),"No")</f>
        <v>No</v>
      </c>
      <c r="M496" s="58">
        <f t="shared" si="24"/>
        <v>10</v>
      </c>
      <c r="N496" s="57">
        <f t="shared" si="25"/>
        <v>67.075000000000003</v>
      </c>
      <c r="O496" s="7" t="str">
        <f>VLOOKUP(N496,Helper!$B$30:$C$35,2,TRUE)</f>
        <v>C</v>
      </c>
      <c r="P496" s="56">
        <f>INDEX(Detail!$A$1:$A$1001,MATCH(B496,Detail!$G$1:$G$1001,0))</f>
        <v>37613</v>
      </c>
      <c r="Q496" s="33" t="str">
        <f>INDEX(Detail!$F$1:$F$1001,MATCH(Main!B496,Detail!$G$1:$G$1001,0))</f>
        <v>Padangpanjang</v>
      </c>
      <c r="R496" s="7">
        <f>INDEX(Detail!$C$1:$C$1001,MATCH(B496,Detail!$G$1:$G$1001,0),1)</f>
        <v>176</v>
      </c>
      <c r="S496" s="7">
        <f>INDEX(Detail!$D$1:$D$1001,MATCH(B496,Detail!$G$1:$G$1001,0),1)</f>
        <v>63</v>
      </c>
      <c r="T496" s="7" t="str">
        <f>INDEX(Detail!$E$1:$E$1001,MATCH(Main!B496,Detail!$G$1:$G$1001,0))</f>
        <v xml:space="preserve">Gang Ahmad Dahlan No. 7
</v>
      </c>
      <c r="U496" s="7" t="str">
        <f>INDEX(Detail!$B$1:$B$1001,MATCH(B496,Detail!$G$1:$G$1001,0),1)</f>
        <v>B+</v>
      </c>
      <c r="V496" s="7" t="str" cm="1">
        <f t="array" ref="V496">INDEX(Dosen!$B$3:$E$8,MATCH(Main!C496,Dosen!$A$3:$A$8,0),IF(AND(Main!A496&gt;=1,Main!A496&lt;=250),1,IF(AND(Main!A496&gt;=251,Main!A496&lt;=500),2,IF(AND(Main!A496&gt;=501,Main!A496&lt;=750),3,4))))</f>
        <v>Bu Ratna</v>
      </c>
      <c r="W496" s="7" t="str">
        <f>_xlfn.XLOOKUP(B496,Detail!$G$1:$G$1001,Detail!$B$1:$B$1001)</f>
        <v>B+</v>
      </c>
    </row>
    <row r="497" spans="1:23" ht="15.75" x14ac:dyDescent="0.25">
      <c r="A497" s="7">
        <v>5</v>
      </c>
      <c r="B497" s="33" t="str">
        <f t="shared" si="27"/>
        <v>D0005</v>
      </c>
      <c r="C497" s="7" t="s">
        <v>1013</v>
      </c>
      <c r="D497" s="33" t="str">
        <f>VLOOKUP(B497,Detail!$G$1:$H$1001,2,FALSE)</f>
        <v>Ilsa Hakim</v>
      </c>
      <c r="E497" s="7">
        <v>73</v>
      </c>
      <c r="F497" s="7">
        <v>48</v>
      </c>
      <c r="G497" s="57">
        <v>35</v>
      </c>
      <c r="H497" s="7">
        <v>62</v>
      </c>
      <c r="I497" s="7">
        <v>72</v>
      </c>
      <c r="J497" s="7">
        <v>51</v>
      </c>
      <c r="K497" s="7">
        <v>70</v>
      </c>
      <c r="L497" s="56">
        <f>IFERROR(VLOOKUP(B497,Absen!$A$1:$C$501,2,FALSE),"No")</f>
        <v>44771</v>
      </c>
      <c r="M497" s="58">
        <f t="shared" si="24"/>
        <v>6</v>
      </c>
      <c r="N497" s="57">
        <f t="shared" si="25"/>
        <v>55.075000000000003</v>
      </c>
      <c r="O497" s="7" t="str">
        <f>VLOOKUP(N497,Helper!$B$30:$C$35,2,TRUE)</f>
        <v>D</v>
      </c>
      <c r="P497" s="56">
        <f>INDEX(Detail!$A$1:$A$1001,MATCH(B497,Detail!$G$1:$G$1001,0))</f>
        <v>37464</v>
      </c>
      <c r="Q497" s="33" t="str">
        <f>INDEX(Detail!$F$1:$F$1001,MATCH(Main!B497,Detail!$G$1:$G$1001,0))</f>
        <v>Langsa</v>
      </c>
      <c r="R497" s="7">
        <f>INDEX(Detail!$C$1:$C$1001,MATCH(B497,Detail!$G$1:$G$1001,0),1)</f>
        <v>165</v>
      </c>
      <c r="S497" s="7">
        <f>INDEX(Detail!$D$1:$D$1001,MATCH(B497,Detail!$G$1:$G$1001,0),1)</f>
        <v>49</v>
      </c>
      <c r="T497" s="7" t="str">
        <f>INDEX(Detail!$E$1:$E$1001,MATCH(Main!B497,Detail!$G$1:$G$1001,0))</f>
        <v>Gg. Pasteur No. 47</v>
      </c>
      <c r="U497" s="7" t="str">
        <f>INDEX(Detail!$B$1:$B$1001,MATCH(B497,Detail!$G$1:$G$1001,0),1)</f>
        <v>A+</v>
      </c>
      <c r="V497" s="7" t="str" cm="1">
        <f t="array" ref="V497">INDEX(Dosen!$B$3:$E$8,MATCH(Main!C497,Dosen!$A$3:$A$8,0),IF(AND(Main!A497&gt;=1,Main!A497&lt;=250),1,IF(AND(Main!A497&gt;=251,Main!A497&lt;=500),2,IF(AND(Main!A497&gt;=501,Main!A497&lt;=750),3,4))))</f>
        <v>Bu Ratna</v>
      </c>
      <c r="W497" s="7" t="str">
        <f>_xlfn.XLOOKUP(B497,Detail!$G$1:$G$1001,Detail!$B$1:$B$1001)</f>
        <v>A+</v>
      </c>
    </row>
    <row r="498" spans="1:23" ht="15.75" x14ac:dyDescent="0.25">
      <c r="A498" s="7">
        <v>6</v>
      </c>
      <c r="B498" s="33" t="str">
        <f t="shared" si="27"/>
        <v>D0006</v>
      </c>
      <c r="C498" s="7" t="s">
        <v>1013</v>
      </c>
      <c r="D498" s="33" t="str">
        <f>VLOOKUP(B498,Detail!$G$1:$H$1001,2,FALSE)</f>
        <v>Artawan Lazuardi</v>
      </c>
      <c r="E498" s="7">
        <v>77</v>
      </c>
      <c r="F498" s="7">
        <v>53</v>
      </c>
      <c r="G498" s="57">
        <v>94</v>
      </c>
      <c r="H498" s="7">
        <v>65</v>
      </c>
      <c r="I498" s="7">
        <v>70</v>
      </c>
      <c r="J498" s="7">
        <v>57</v>
      </c>
      <c r="K498" s="7">
        <v>71</v>
      </c>
      <c r="L498" s="56" t="str">
        <f>IFERROR(VLOOKUP(B498,Absen!$A$1:$C$501,2,FALSE),"No")</f>
        <v>No</v>
      </c>
      <c r="M498" s="58">
        <f t="shared" si="24"/>
        <v>7.1000000000000005</v>
      </c>
      <c r="N498" s="57">
        <f t="shared" si="25"/>
        <v>70.424999999999997</v>
      </c>
      <c r="O498" s="7" t="str">
        <f>VLOOKUP(N498,Helper!$B$30:$C$35,2,TRUE)</f>
        <v>B</v>
      </c>
      <c r="P498" s="56">
        <f>INDEX(Detail!$A$1:$A$1001,MATCH(B498,Detail!$G$1:$G$1001,0))</f>
        <v>38070</v>
      </c>
      <c r="Q498" s="33" t="str">
        <f>INDEX(Detail!$F$1:$F$1001,MATCH(Main!B498,Detail!$G$1:$G$1001,0))</f>
        <v>Kota Administrasi Jakarta Timur</v>
      </c>
      <c r="R498" s="7">
        <f>INDEX(Detail!$C$1:$C$1001,MATCH(B498,Detail!$G$1:$G$1001,0),1)</f>
        <v>178</v>
      </c>
      <c r="S498" s="7">
        <f>INDEX(Detail!$D$1:$D$1001,MATCH(B498,Detail!$G$1:$G$1001,0),1)</f>
        <v>49</v>
      </c>
      <c r="T498" s="7" t="str">
        <f>INDEX(Detail!$E$1:$E$1001,MATCH(Main!B498,Detail!$G$1:$G$1001,0))</f>
        <v xml:space="preserve">Jalan Wonoayu No. 5
</v>
      </c>
      <c r="U498" s="7" t="str">
        <f>INDEX(Detail!$B$1:$B$1001,MATCH(B498,Detail!$G$1:$G$1001,0),1)</f>
        <v>B-</v>
      </c>
      <c r="V498" s="7" t="str" cm="1">
        <f t="array" ref="V498">INDEX(Dosen!$B$3:$E$8,MATCH(Main!C498,Dosen!$A$3:$A$8,0),IF(AND(Main!A498&gt;=1,Main!A498&lt;=250),1,IF(AND(Main!A498&gt;=251,Main!A498&lt;=500),2,IF(AND(Main!A498&gt;=501,Main!A498&lt;=750),3,4))))</f>
        <v>Bu Ratna</v>
      </c>
      <c r="W498" s="7" t="str">
        <f>_xlfn.XLOOKUP(B498,Detail!$G$1:$G$1001,Detail!$B$1:$B$1001)</f>
        <v>B-</v>
      </c>
    </row>
    <row r="499" spans="1:23" ht="15.75" x14ac:dyDescent="0.25">
      <c r="A499" s="7">
        <v>7</v>
      </c>
      <c r="B499" s="33" t="str">
        <f t="shared" si="27"/>
        <v>D0007</v>
      </c>
      <c r="C499" s="7" t="s">
        <v>1013</v>
      </c>
      <c r="D499" s="33" t="str">
        <f>VLOOKUP(B499,Detail!$G$1:$H$1001,2,FALSE)</f>
        <v>Jatmiko Nasyidah</v>
      </c>
      <c r="E499" s="7">
        <v>58</v>
      </c>
      <c r="F499" s="7">
        <v>61</v>
      </c>
      <c r="G499" s="57">
        <v>95</v>
      </c>
      <c r="H499" s="7">
        <v>54</v>
      </c>
      <c r="I499" s="7">
        <v>77</v>
      </c>
      <c r="J499" s="7">
        <v>65</v>
      </c>
      <c r="K499" s="7">
        <v>87</v>
      </c>
      <c r="L499" s="56" t="str">
        <f>IFERROR(VLOOKUP(B499,Absen!$A$1:$C$501,2,FALSE),"No")</f>
        <v>No</v>
      </c>
      <c r="M499" s="58">
        <f t="shared" si="24"/>
        <v>8.7000000000000011</v>
      </c>
      <c r="N499" s="57">
        <f t="shared" si="25"/>
        <v>71.95</v>
      </c>
      <c r="O499" s="7" t="str">
        <f>VLOOKUP(N499,Helper!$B$30:$C$35,2,TRUE)</f>
        <v>B</v>
      </c>
      <c r="P499" s="56">
        <f>INDEX(Detail!$A$1:$A$1001,MATCH(B499,Detail!$G$1:$G$1001,0))</f>
        <v>37117</v>
      </c>
      <c r="Q499" s="33" t="str">
        <f>INDEX(Detail!$F$1:$F$1001,MATCH(Main!B499,Detail!$G$1:$G$1001,0))</f>
        <v>Sibolga</v>
      </c>
      <c r="R499" s="7">
        <f>INDEX(Detail!$C$1:$C$1001,MATCH(B499,Detail!$G$1:$G$1001,0),1)</f>
        <v>170</v>
      </c>
      <c r="S499" s="7">
        <f>INDEX(Detail!$D$1:$D$1001,MATCH(B499,Detail!$G$1:$G$1001,0),1)</f>
        <v>48</v>
      </c>
      <c r="T499" s="7" t="str">
        <f>INDEX(Detail!$E$1:$E$1001,MATCH(Main!B499,Detail!$G$1:$G$1001,0))</f>
        <v>Jl. Cikutra Timur No. 25</v>
      </c>
      <c r="U499" s="7" t="str">
        <f>INDEX(Detail!$B$1:$B$1001,MATCH(B499,Detail!$G$1:$G$1001,0),1)</f>
        <v>O-</v>
      </c>
      <c r="V499" s="7" t="str" cm="1">
        <f t="array" ref="V499">INDEX(Dosen!$B$3:$E$8,MATCH(Main!C499,Dosen!$A$3:$A$8,0),IF(AND(Main!A499&gt;=1,Main!A499&lt;=250),1,IF(AND(Main!A499&gt;=251,Main!A499&lt;=500),2,IF(AND(Main!A499&gt;=501,Main!A499&lt;=750),3,4))))</f>
        <v>Bu Ratna</v>
      </c>
      <c r="W499" s="7" t="str">
        <f>_xlfn.XLOOKUP(B499,Detail!$G$1:$G$1001,Detail!$B$1:$B$1001)</f>
        <v>O-</v>
      </c>
    </row>
    <row r="500" spans="1:23" ht="15.75" x14ac:dyDescent="0.25">
      <c r="A500" s="7">
        <v>24</v>
      </c>
      <c r="B500" s="33" t="str">
        <f t="shared" si="27"/>
        <v>D0024</v>
      </c>
      <c r="C500" s="7" t="s">
        <v>1013</v>
      </c>
      <c r="D500" s="33" t="str">
        <f>VLOOKUP(B500,Detail!$G$1:$H$1001,2,FALSE)</f>
        <v>Kajen Pudjiastuti</v>
      </c>
      <c r="E500" s="7">
        <v>56</v>
      </c>
      <c r="F500" s="7">
        <v>57</v>
      </c>
      <c r="G500" s="57">
        <v>59</v>
      </c>
      <c r="H500" s="7">
        <v>56</v>
      </c>
      <c r="I500" s="7">
        <v>83</v>
      </c>
      <c r="J500" s="7">
        <v>48</v>
      </c>
      <c r="K500" s="7">
        <v>68</v>
      </c>
      <c r="L500" s="56" t="str">
        <f>IFERROR(VLOOKUP(B500,Absen!$A$1:$C$501,2,FALSE),"No")</f>
        <v>No</v>
      </c>
      <c r="M500" s="58">
        <f t="shared" si="24"/>
        <v>6.8000000000000007</v>
      </c>
      <c r="N500" s="57">
        <f t="shared" si="25"/>
        <v>59.7</v>
      </c>
      <c r="O500" s="7" t="str">
        <f>VLOOKUP(N500,Helper!$B$30:$C$35,2,TRUE)</f>
        <v>D</v>
      </c>
      <c r="P500" s="56">
        <f>INDEX(Detail!$A$1:$A$1001,MATCH(B500,Detail!$G$1:$G$1001,0))</f>
        <v>37270</v>
      </c>
      <c r="Q500" s="33" t="str">
        <f>INDEX(Detail!$F$1:$F$1001,MATCH(Main!B500,Detail!$G$1:$G$1001,0))</f>
        <v>Kendari</v>
      </c>
      <c r="R500" s="7">
        <f>INDEX(Detail!$C$1:$C$1001,MATCH(B500,Detail!$G$1:$G$1001,0),1)</f>
        <v>158</v>
      </c>
      <c r="S500" s="7">
        <f>INDEX(Detail!$D$1:$D$1001,MATCH(B500,Detail!$G$1:$G$1001,0),1)</f>
        <v>56</v>
      </c>
      <c r="T500" s="7" t="str">
        <f>INDEX(Detail!$E$1:$E$1001,MATCH(Main!B500,Detail!$G$1:$G$1001,0))</f>
        <v xml:space="preserve">Gg. Erlangga No. 6
</v>
      </c>
      <c r="U500" s="7" t="str">
        <f>INDEX(Detail!$B$1:$B$1001,MATCH(B500,Detail!$G$1:$G$1001,0),1)</f>
        <v>AB+</v>
      </c>
      <c r="V500" s="7" t="str" cm="1">
        <f t="array" ref="V500">INDEX(Dosen!$B$3:$E$8,MATCH(Main!C500,Dosen!$A$3:$A$8,0),IF(AND(Main!A500&gt;=1,Main!A500&lt;=250),1,IF(AND(Main!A500&gt;=251,Main!A500&lt;=500),2,IF(AND(Main!A500&gt;=501,Main!A500&lt;=750),3,4))))</f>
        <v>Bu Ratna</v>
      </c>
      <c r="W500" s="7" t="str">
        <f>_xlfn.XLOOKUP(B500,Detail!$G$1:$G$1001,Detail!$B$1:$B$1001)</f>
        <v>AB+</v>
      </c>
    </row>
    <row r="501" spans="1:23" ht="15.75" x14ac:dyDescent="0.25">
      <c r="A501" s="7">
        <v>27</v>
      </c>
      <c r="B501" s="33" t="str">
        <f t="shared" si="27"/>
        <v>D0027</v>
      </c>
      <c r="C501" s="7" t="s">
        <v>1013</v>
      </c>
      <c r="D501" s="33" t="str">
        <f>VLOOKUP(B501,Detail!$G$1:$H$1001,2,FALSE)</f>
        <v>Danang Pratiwi</v>
      </c>
      <c r="E501" s="7">
        <v>77</v>
      </c>
      <c r="F501" s="7">
        <v>54</v>
      </c>
      <c r="G501" s="57">
        <v>72</v>
      </c>
      <c r="H501" s="7">
        <v>52</v>
      </c>
      <c r="I501" s="7">
        <v>82</v>
      </c>
      <c r="J501" s="7">
        <v>73</v>
      </c>
      <c r="K501" s="7">
        <v>89</v>
      </c>
      <c r="L501" s="56">
        <f>IFERROR(VLOOKUP(B501,Absen!$A$1:$C$501,2,FALSE),"No")</f>
        <v>44824</v>
      </c>
      <c r="M501" s="58">
        <f t="shared" si="24"/>
        <v>7.9</v>
      </c>
      <c r="N501" s="57">
        <f t="shared" si="25"/>
        <v>70.025000000000006</v>
      </c>
      <c r="O501" s="7" t="str">
        <f>VLOOKUP(N501,Helper!$B$30:$C$35,2,TRUE)</f>
        <v>B</v>
      </c>
      <c r="P501" s="56">
        <f>INDEX(Detail!$A$1:$A$1001,MATCH(B501,Detail!$G$1:$G$1001,0))</f>
        <v>37067</v>
      </c>
      <c r="Q501" s="33" t="str">
        <f>INDEX(Detail!$F$1:$F$1001,MATCH(Main!B501,Detail!$G$1:$G$1001,0))</f>
        <v>Tarakan</v>
      </c>
      <c r="R501" s="7">
        <f>INDEX(Detail!$C$1:$C$1001,MATCH(B501,Detail!$G$1:$G$1001,0),1)</f>
        <v>153</v>
      </c>
      <c r="S501" s="7">
        <f>INDEX(Detail!$D$1:$D$1001,MATCH(B501,Detail!$G$1:$G$1001,0),1)</f>
        <v>84</v>
      </c>
      <c r="T501" s="7" t="str">
        <f>INDEX(Detail!$E$1:$E$1001,MATCH(Main!B501,Detail!$G$1:$G$1001,0))</f>
        <v>Gang Pelajar Pejuang No. 49</v>
      </c>
      <c r="U501" s="7" t="str">
        <f>INDEX(Detail!$B$1:$B$1001,MATCH(B501,Detail!$G$1:$G$1001,0),1)</f>
        <v>AB-</v>
      </c>
      <c r="V501" s="7" t="str" cm="1">
        <f t="array" ref="V501">INDEX(Dosen!$B$3:$E$8,MATCH(Main!C501,Dosen!$A$3:$A$8,0),IF(AND(Main!A501&gt;=1,Main!A501&lt;=250),1,IF(AND(Main!A501&gt;=251,Main!A501&lt;=500),2,IF(AND(Main!A501&gt;=501,Main!A501&lt;=750),3,4))))</f>
        <v>Bu Ratna</v>
      </c>
      <c r="W501" s="7" t="str">
        <f>_xlfn.XLOOKUP(B501,Detail!$G$1:$G$1001,Detail!$B$1:$B$1001)</f>
        <v>AB-</v>
      </c>
    </row>
    <row r="502" spans="1:23" ht="15.75" x14ac:dyDescent="0.25">
      <c r="A502" s="7">
        <v>39</v>
      </c>
      <c r="B502" s="33" t="str">
        <f t="shared" si="27"/>
        <v>D0039</v>
      </c>
      <c r="C502" s="7" t="s">
        <v>1013</v>
      </c>
      <c r="D502" s="33" t="str">
        <f>VLOOKUP(B502,Detail!$G$1:$H$1001,2,FALSE)</f>
        <v>Dinda Pranowo</v>
      </c>
      <c r="E502" s="7">
        <v>72</v>
      </c>
      <c r="F502" s="7">
        <v>48</v>
      </c>
      <c r="G502" s="57">
        <v>71</v>
      </c>
      <c r="H502" s="7">
        <v>71</v>
      </c>
      <c r="I502" s="7">
        <v>81</v>
      </c>
      <c r="J502" s="7">
        <v>44</v>
      </c>
      <c r="K502" s="7">
        <v>68</v>
      </c>
      <c r="L502" s="56">
        <f>IFERROR(VLOOKUP(B502,Absen!$A$1:$C$501,2,FALSE),"No")</f>
        <v>44764</v>
      </c>
      <c r="M502" s="58">
        <f t="shared" si="24"/>
        <v>5.8000000000000007</v>
      </c>
      <c r="N502" s="57">
        <f t="shared" si="25"/>
        <v>62.8</v>
      </c>
      <c r="O502" s="7" t="str">
        <f>VLOOKUP(N502,Helper!$B$30:$C$35,2,TRUE)</f>
        <v>C</v>
      </c>
      <c r="P502" s="56">
        <f>INDEX(Detail!$A$1:$A$1001,MATCH(B502,Detail!$G$1:$G$1001,0))</f>
        <v>38232</v>
      </c>
      <c r="Q502" s="33" t="str">
        <f>INDEX(Detail!$F$1:$F$1001,MATCH(Main!B502,Detail!$G$1:$G$1001,0))</f>
        <v>Tangerang</v>
      </c>
      <c r="R502" s="7">
        <f>INDEX(Detail!$C$1:$C$1001,MATCH(B502,Detail!$G$1:$G$1001,0),1)</f>
        <v>171</v>
      </c>
      <c r="S502" s="7">
        <f>INDEX(Detail!$D$1:$D$1001,MATCH(B502,Detail!$G$1:$G$1001,0),1)</f>
        <v>68</v>
      </c>
      <c r="T502" s="7" t="str">
        <f>INDEX(Detail!$E$1:$E$1001,MATCH(Main!B502,Detail!$G$1:$G$1001,0))</f>
        <v>Gg. Dipatiukur No. 10</v>
      </c>
      <c r="U502" s="7" t="str">
        <f>INDEX(Detail!$B$1:$B$1001,MATCH(B502,Detail!$G$1:$G$1001,0),1)</f>
        <v>B+</v>
      </c>
      <c r="V502" s="7" t="str" cm="1">
        <f t="array" ref="V502">INDEX(Dosen!$B$3:$E$8,MATCH(Main!C502,Dosen!$A$3:$A$8,0),IF(AND(Main!A502&gt;=1,Main!A502&lt;=250),1,IF(AND(Main!A502&gt;=251,Main!A502&lt;=500),2,IF(AND(Main!A502&gt;=501,Main!A502&lt;=750),3,4))))</f>
        <v>Bu Ratna</v>
      </c>
      <c r="W502" s="7" t="str">
        <f>_xlfn.XLOOKUP(B502,Detail!$G$1:$G$1001,Detail!$B$1:$B$1001)</f>
        <v>B+</v>
      </c>
    </row>
    <row r="503" spans="1:23" ht="15.75" x14ac:dyDescent="0.25">
      <c r="A503" s="7">
        <v>44</v>
      </c>
      <c r="B503" s="33" t="str">
        <f t="shared" si="27"/>
        <v>D0044</v>
      </c>
      <c r="C503" s="7" t="s">
        <v>1013</v>
      </c>
      <c r="D503" s="33" t="str">
        <f>VLOOKUP(B503,Detail!$G$1:$H$1001,2,FALSE)</f>
        <v>Restu Wibisono</v>
      </c>
      <c r="E503" s="7">
        <v>90</v>
      </c>
      <c r="F503" s="7">
        <v>43</v>
      </c>
      <c r="G503" s="57">
        <v>52</v>
      </c>
      <c r="H503" s="7">
        <v>71</v>
      </c>
      <c r="I503" s="7">
        <v>63</v>
      </c>
      <c r="J503" s="7">
        <v>83</v>
      </c>
      <c r="K503" s="7">
        <v>100</v>
      </c>
      <c r="L503" s="56">
        <f>IFERROR(VLOOKUP(B503,Absen!$A$1:$C$501,2,FALSE),"No")</f>
        <v>44888</v>
      </c>
      <c r="M503" s="58">
        <f t="shared" si="24"/>
        <v>9</v>
      </c>
      <c r="N503" s="57">
        <f t="shared" si="25"/>
        <v>69.375</v>
      </c>
      <c r="O503" s="7" t="str">
        <f>VLOOKUP(N503,Helper!$B$30:$C$35,2,TRUE)</f>
        <v>C</v>
      </c>
      <c r="P503" s="56">
        <f>INDEX(Detail!$A$1:$A$1001,MATCH(B503,Detail!$G$1:$G$1001,0))</f>
        <v>37202</v>
      </c>
      <c r="Q503" s="33" t="str">
        <f>INDEX(Detail!$F$1:$F$1001,MATCH(Main!B503,Detail!$G$1:$G$1001,0))</f>
        <v>Bengkulu</v>
      </c>
      <c r="R503" s="7">
        <f>INDEX(Detail!$C$1:$C$1001,MATCH(B503,Detail!$G$1:$G$1001,0),1)</f>
        <v>163</v>
      </c>
      <c r="S503" s="7">
        <f>INDEX(Detail!$D$1:$D$1001,MATCH(B503,Detail!$G$1:$G$1001,0),1)</f>
        <v>51</v>
      </c>
      <c r="T503" s="7" t="str">
        <f>INDEX(Detail!$E$1:$E$1001,MATCH(Main!B503,Detail!$G$1:$G$1001,0))</f>
        <v>Gang BKR No. 08</v>
      </c>
      <c r="U503" s="7" t="str">
        <f>INDEX(Detail!$B$1:$B$1001,MATCH(B503,Detail!$G$1:$G$1001,0),1)</f>
        <v>A+</v>
      </c>
      <c r="V503" s="7" t="str" cm="1">
        <f t="array" ref="V503">INDEX(Dosen!$B$3:$E$8,MATCH(Main!C503,Dosen!$A$3:$A$8,0),IF(AND(Main!A503&gt;=1,Main!A503&lt;=250),1,IF(AND(Main!A503&gt;=251,Main!A503&lt;=500),2,IF(AND(Main!A503&gt;=501,Main!A503&lt;=750),3,4))))</f>
        <v>Bu Ratna</v>
      </c>
      <c r="W503" s="7" t="str">
        <f>_xlfn.XLOOKUP(B503,Detail!$G$1:$G$1001,Detail!$B$1:$B$1001)</f>
        <v>A+</v>
      </c>
    </row>
    <row r="504" spans="1:23" ht="15.75" x14ac:dyDescent="0.25">
      <c r="A504" s="7">
        <v>52</v>
      </c>
      <c r="B504" s="33" t="str">
        <f t="shared" si="27"/>
        <v>D0052</v>
      </c>
      <c r="C504" s="7" t="s">
        <v>1013</v>
      </c>
      <c r="D504" s="33" t="str">
        <f>VLOOKUP(B504,Detail!$G$1:$H$1001,2,FALSE)</f>
        <v>Muhammad Suryatmi</v>
      </c>
      <c r="E504" s="7">
        <v>63</v>
      </c>
      <c r="F504" s="7">
        <v>73</v>
      </c>
      <c r="G504" s="57">
        <v>37</v>
      </c>
      <c r="H504" s="7">
        <v>69</v>
      </c>
      <c r="I504" s="7">
        <v>82</v>
      </c>
      <c r="J504" s="7">
        <v>70</v>
      </c>
      <c r="K504" s="7">
        <v>94</v>
      </c>
      <c r="L504" s="56" t="str">
        <f>IFERROR(VLOOKUP(B504,Absen!$A$1:$C$501,2,FALSE),"No")</f>
        <v>No</v>
      </c>
      <c r="M504" s="58">
        <f t="shared" si="24"/>
        <v>9.4</v>
      </c>
      <c r="N504" s="57">
        <f t="shared" si="25"/>
        <v>66.674999999999997</v>
      </c>
      <c r="O504" s="7" t="str">
        <f>VLOOKUP(N504,Helper!$B$30:$C$35,2,TRUE)</f>
        <v>C</v>
      </c>
      <c r="P504" s="56">
        <f>INDEX(Detail!$A$1:$A$1001,MATCH(B504,Detail!$G$1:$G$1001,0))</f>
        <v>38077</v>
      </c>
      <c r="Q504" s="33" t="str">
        <f>INDEX(Detail!$F$1:$F$1001,MATCH(Main!B504,Detail!$G$1:$G$1001,0))</f>
        <v>Pontianak</v>
      </c>
      <c r="R504" s="7">
        <f>INDEX(Detail!$C$1:$C$1001,MATCH(B504,Detail!$G$1:$G$1001,0),1)</f>
        <v>164</v>
      </c>
      <c r="S504" s="7">
        <f>INDEX(Detail!$D$1:$D$1001,MATCH(B504,Detail!$G$1:$G$1001,0),1)</f>
        <v>78</v>
      </c>
      <c r="T504" s="7" t="str">
        <f>INDEX(Detail!$E$1:$E$1001,MATCH(Main!B504,Detail!$G$1:$G$1001,0))</f>
        <v>Gg. Kendalsari No. 59</v>
      </c>
      <c r="U504" s="7" t="str">
        <f>INDEX(Detail!$B$1:$B$1001,MATCH(B504,Detail!$G$1:$G$1001,0),1)</f>
        <v>O-</v>
      </c>
      <c r="V504" s="7" t="str" cm="1">
        <f t="array" ref="V504">INDEX(Dosen!$B$3:$E$8,MATCH(Main!C504,Dosen!$A$3:$A$8,0),IF(AND(Main!A504&gt;=1,Main!A504&lt;=250),1,IF(AND(Main!A504&gt;=251,Main!A504&lt;=500),2,IF(AND(Main!A504&gt;=501,Main!A504&lt;=750),3,4))))</f>
        <v>Bu Ratna</v>
      </c>
      <c r="W504" s="7" t="str">
        <f>_xlfn.XLOOKUP(B504,Detail!$G$1:$G$1001,Detail!$B$1:$B$1001)</f>
        <v>O-</v>
      </c>
    </row>
    <row r="505" spans="1:23" ht="15.75" x14ac:dyDescent="0.25">
      <c r="A505" s="7">
        <v>57</v>
      </c>
      <c r="B505" s="33" t="str">
        <f t="shared" si="27"/>
        <v>D0057</v>
      </c>
      <c r="C505" s="7" t="s">
        <v>1013</v>
      </c>
      <c r="D505" s="33" t="str">
        <f>VLOOKUP(B505,Detail!$G$1:$H$1001,2,FALSE)</f>
        <v>Hari Aryani</v>
      </c>
      <c r="E505" s="7">
        <v>86</v>
      </c>
      <c r="F505" s="7">
        <v>64</v>
      </c>
      <c r="G505" s="57">
        <v>44</v>
      </c>
      <c r="H505" s="7">
        <v>61</v>
      </c>
      <c r="I505" s="7">
        <v>55</v>
      </c>
      <c r="J505" s="7">
        <v>56</v>
      </c>
      <c r="K505" s="7">
        <v>93</v>
      </c>
      <c r="L505" s="56" t="str">
        <f>IFERROR(VLOOKUP(B505,Absen!$A$1:$C$501,2,FALSE),"No")</f>
        <v>No</v>
      </c>
      <c r="M505" s="58">
        <f t="shared" si="24"/>
        <v>9.3000000000000007</v>
      </c>
      <c r="N505" s="57">
        <f t="shared" si="25"/>
        <v>62.55</v>
      </c>
      <c r="O505" s="7" t="str">
        <f>VLOOKUP(N505,Helper!$B$30:$C$35,2,TRUE)</f>
        <v>C</v>
      </c>
      <c r="P505" s="56">
        <f>INDEX(Detail!$A$1:$A$1001,MATCH(B505,Detail!$G$1:$G$1001,0))</f>
        <v>37256</v>
      </c>
      <c r="Q505" s="33" t="str">
        <f>INDEX(Detail!$F$1:$F$1001,MATCH(Main!B505,Detail!$G$1:$G$1001,0))</f>
        <v>Dumai</v>
      </c>
      <c r="R505" s="7">
        <f>INDEX(Detail!$C$1:$C$1001,MATCH(B505,Detail!$G$1:$G$1001,0),1)</f>
        <v>172</v>
      </c>
      <c r="S505" s="7">
        <f>INDEX(Detail!$D$1:$D$1001,MATCH(B505,Detail!$G$1:$G$1001,0),1)</f>
        <v>48</v>
      </c>
      <c r="T505" s="7" t="str">
        <f>INDEX(Detail!$E$1:$E$1001,MATCH(Main!B505,Detail!$G$1:$G$1001,0))</f>
        <v xml:space="preserve">Gg. Raya Ujungberung No. 7
</v>
      </c>
      <c r="U505" s="7" t="str">
        <f>INDEX(Detail!$B$1:$B$1001,MATCH(B505,Detail!$G$1:$G$1001,0),1)</f>
        <v>B+</v>
      </c>
      <c r="V505" s="7" t="str" cm="1">
        <f t="array" ref="V505">INDEX(Dosen!$B$3:$E$8,MATCH(Main!C505,Dosen!$A$3:$A$8,0),IF(AND(Main!A505&gt;=1,Main!A505&lt;=250),1,IF(AND(Main!A505&gt;=251,Main!A505&lt;=500),2,IF(AND(Main!A505&gt;=501,Main!A505&lt;=750),3,4))))</f>
        <v>Bu Ratna</v>
      </c>
      <c r="W505" s="7" t="str">
        <f>_xlfn.XLOOKUP(B505,Detail!$G$1:$G$1001,Detail!$B$1:$B$1001)</f>
        <v>B+</v>
      </c>
    </row>
    <row r="506" spans="1:23" ht="15.75" x14ac:dyDescent="0.25">
      <c r="A506" s="7">
        <v>61</v>
      </c>
      <c r="B506" s="33" t="str">
        <f t="shared" si="27"/>
        <v>D0061</v>
      </c>
      <c r="C506" s="7" t="s">
        <v>1013</v>
      </c>
      <c r="D506" s="33" t="str">
        <f>VLOOKUP(B506,Detail!$G$1:$H$1001,2,FALSE)</f>
        <v>Bakti Sirait</v>
      </c>
      <c r="E506" s="7">
        <v>50</v>
      </c>
      <c r="F506" s="7">
        <v>69</v>
      </c>
      <c r="G506" s="57">
        <v>94</v>
      </c>
      <c r="H506" s="7">
        <v>53</v>
      </c>
      <c r="I506" s="7">
        <v>51</v>
      </c>
      <c r="J506" s="7">
        <v>48</v>
      </c>
      <c r="K506" s="7">
        <v>89</v>
      </c>
      <c r="L506" s="56" t="str">
        <f>IFERROR(VLOOKUP(B506,Absen!$A$1:$C$501,2,FALSE),"No")</f>
        <v>No</v>
      </c>
      <c r="M506" s="58">
        <f t="shared" si="24"/>
        <v>8.9</v>
      </c>
      <c r="N506" s="57">
        <f t="shared" si="25"/>
        <v>65.174999999999997</v>
      </c>
      <c r="O506" s="7" t="str">
        <f>VLOOKUP(N506,Helper!$B$30:$C$35,2,TRUE)</f>
        <v>C</v>
      </c>
      <c r="P506" s="56">
        <f>INDEX(Detail!$A$1:$A$1001,MATCH(B506,Detail!$G$1:$G$1001,0))</f>
        <v>37754</v>
      </c>
      <c r="Q506" s="33" t="str">
        <f>INDEX(Detail!$F$1:$F$1001,MATCH(Main!B506,Detail!$G$1:$G$1001,0))</f>
        <v>Kediri</v>
      </c>
      <c r="R506" s="7">
        <f>INDEX(Detail!$C$1:$C$1001,MATCH(B506,Detail!$G$1:$G$1001,0),1)</f>
        <v>172</v>
      </c>
      <c r="S506" s="7">
        <f>INDEX(Detail!$D$1:$D$1001,MATCH(B506,Detail!$G$1:$G$1001,0),1)</f>
        <v>63</v>
      </c>
      <c r="T506" s="7" t="str">
        <f>INDEX(Detail!$E$1:$E$1001,MATCH(Main!B506,Detail!$G$1:$G$1001,0))</f>
        <v>Jalan Gedebage Selatan No. 07</v>
      </c>
      <c r="U506" s="7" t="str">
        <f>INDEX(Detail!$B$1:$B$1001,MATCH(B506,Detail!$G$1:$G$1001,0),1)</f>
        <v>O-</v>
      </c>
      <c r="V506" s="7" t="str" cm="1">
        <f t="array" ref="V506">INDEX(Dosen!$B$3:$E$8,MATCH(Main!C506,Dosen!$A$3:$A$8,0),IF(AND(Main!A506&gt;=1,Main!A506&lt;=250),1,IF(AND(Main!A506&gt;=251,Main!A506&lt;=500),2,IF(AND(Main!A506&gt;=501,Main!A506&lt;=750),3,4))))</f>
        <v>Bu Ratna</v>
      </c>
      <c r="W506" s="7" t="str">
        <f>_xlfn.XLOOKUP(B506,Detail!$G$1:$G$1001,Detail!$B$1:$B$1001)</f>
        <v>O-</v>
      </c>
    </row>
    <row r="507" spans="1:23" ht="15.75" x14ac:dyDescent="0.25">
      <c r="A507" s="7">
        <v>62</v>
      </c>
      <c r="B507" s="33" t="str">
        <f t="shared" si="27"/>
        <v>D0062</v>
      </c>
      <c r="C507" s="7" t="s">
        <v>1013</v>
      </c>
      <c r="D507" s="33" t="str">
        <f>VLOOKUP(B507,Detail!$G$1:$H$1001,2,FALSE)</f>
        <v>Mulya Waluyo</v>
      </c>
      <c r="E507" s="7">
        <v>67</v>
      </c>
      <c r="F507" s="7">
        <v>45</v>
      </c>
      <c r="G507" s="57">
        <v>83</v>
      </c>
      <c r="H507" s="7">
        <v>64</v>
      </c>
      <c r="I507" s="7">
        <v>53</v>
      </c>
      <c r="J507" s="7">
        <v>52</v>
      </c>
      <c r="K507" s="7">
        <v>100</v>
      </c>
      <c r="L507" s="56" t="str">
        <f>IFERROR(VLOOKUP(B507,Absen!$A$1:$C$501,2,FALSE),"No")</f>
        <v>No</v>
      </c>
      <c r="M507" s="58">
        <f t="shared" si="24"/>
        <v>10</v>
      </c>
      <c r="N507" s="57">
        <f t="shared" si="25"/>
        <v>65.625</v>
      </c>
      <c r="O507" s="7" t="str">
        <f>VLOOKUP(N507,Helper!$B$30:$C$35,2,TRUE)</f>
        <v>C</v>
      </c>
      <c r="P507" s="56">
        <f>INDEX(Detail!$A$1:$A$1001,MATCH(B507,Detail!$G$1:$G$1001,0))</f>
        <v>37235</v>
      </c>
      <c r="Q507" s="33" t="str">
        <f>INDEX(Detail!$F$1:$F$1001,MATCH(Main!B507,Detail!$G$1:$G$1001,0))</f>
        <v>Kupang</v>
      </c>
      <c r="R507" s="7">
        <f>INDEX(Detail!$C$1:$C$1001,MATCH(B507,Detail!$G$1:$G$1001,0),1)</f>
        <v>154</v>
      </c>
      <c r="S507" s="7">
        <f>INDEX(Detail!$D$1:$D$1001,MATCH(B507,Detail!$G$1:$G$1001,0),1)</f>
        <v>71</v>
      </c>
      <c r="T507" s="7" t="str">
        <f>INDEX(Detail!$E$1:$E$1001,MATCH(Main!B507,Detail!$G$1:$G$1001,0))</f>
        <v>Jl. Sukabumi No. 61</v>
      </c>
      <c r="U507" s="7" t="str">
        <f>INDEX(Detail!$B$1:$B$1001,MATCH(B507,Detail!$G$1:$G$1001,0),1)</f>
        <v>O-</v>
      </c>
      <c r="V507" s="7" t="str" cm="1">
        <f t="array" ref="V507">INDEX(Dosen!$B$3:$E$8,MATCH(Main!C507,Dosen!$A$3:$A$8,0),IF(AND(Main!A507&gt;=1,Main!A507&lt;=250),1,IF(AND(Main!A507&gt;=251,Main!A507&lt;=500),2,IF(AND(Main!A507&gt;=501,Main!A507&lt;=750),3,4))))</f>
        <v>Bu Ratna</v>
      </c>
      <c r="W507" s="7" t="str">
        <f>_xlfn.XLOOKUP(B507,Detail!$G$1:$G$1001,Detail!$B$1:$B$1001)</f>
        <v>O-</v>
      </c>
    </row>
    <row r="508" spans="1:23" ht="15.75" x14ac:dyDescent="0.25">
      <c r="A508" s="7">
        <v>68</v>
      </c>
      <c r="B508" s="33" t="str">
        <f t="shared" si="27"/>
        <v>D0068</v>
      </c>
      <c r="C508" s="7" t="s">
        <v>1013</v>
      </c>
      <c r="D508" s="33" t="str">
        <f>VLOOKUP(B508,Detail!$G$1:$H$1001,2,FALSE)</f>
        <v>Cengkir Dongoran</v>
      </c>
      <c r="E508" s="7">
        <v>53</v>
      </c>
      <c r="F508" s="7">
        <v>57</v>
      </c>
      <c r="G508" s="57">
        <v>48</v>
      </c>
      <c r="H508" s="7">
        <v>63</v>
      </c>
      <c r="I508" s="7">
        <v>84</v>
      </c>
      <c r="J508" s="7">
        <v>74</v>
      </c>
      <c r="K508" s="7">
        <v>78</v>
      </c>
      <c r="L508" s="56">
        <f>IFERROR(VLOOKUP(B508,Absen!$A$1:$C$501,2,FALSE),"No")</f>
        <v>44855</v>
      </c>
      <c r="M508" s="58">
        <f t="shared" si="24"/>
        <v>6.8000000000000007</v>
      </c>
      <c r="N508" s="57">
        <f t="shared" si="25"/>
        <v>63.325000000000003</v>
      </c>
      <c r="O508" s="7" t="str">
        <f>VLOOKUP(N508,Helper!$B$30:$C$35,2,TRUE)</f>
        <v>C</v>
      </c>
      <c r="P508" s="56">
        <f>INDEX(Detail!$A$1:$A$1001,MATCH(B508,Detail!$G$1:$G$1001,0))</f>
        <v>37953</v>
      </c>
      <c r="Q508" s="33" t="str">
        <f>INDEX(Detail!$F$1:$F$1001,MATCH(Main!B508,Detail!$G$1:$G$1001,0))</f>
        <v>Surabaya</v>
      </c>
      <c r="R508" s="7">
        <f>INDEX(Detail!$C$1:$C$1001,MATCH(B508,Detail!$G$1:$G$1001,0),1)</f>
        <v>162</v>
      </c>
      <c r="S508" s="7">
        <f>INDEX(Detail!$D$1:$D$1001,MATCH(B508,Detail!$G$1:$G$1001,0),1)</f>
        <v>78</v>
      </c>
      <c r="T508" s="7" t="str">
        <f>INDEX(Detail!$E$1:$E$1001,MATCH(Main!B508,Detail!$G$1:$G$1001,0))</f>
        <v>Gang Sukabumi No. 57</v>
      </c>
      <c r="U508" s="7" t="str">
        <f>INDEX(Detail!$B$1:$B$1001,MATCH(B508,Detail!$G$1:$G$1001,0),1)</f>
        <v>B+</v>
      </c>
      <c r="V508" s="7" t="str" cm="1">
        <f t="array" ref="V508">INDEX(Dosen!$B$3:$E$8,MATCH(Main!C508,Dosen!$A$3:$A$8,0),IF(AND(Main!A508&gt;=1,Main!A508&lt;=250),1,IF(AND(Main!A508&gt;=251,Main!A508&lt;=500),2,IF(AND(Main!A508&gt;=501,Main!A508&lt;=750),3,4))))</f>
        <v>Bu Ratna</v>
      </c>
      <c r="W508" s="7" t="str">
        <f>_xlfn.XLOOKUP(B508,Detail!$G$1:$G$1001,Detail!$B$1:$B$1001)</f>
        <v>B+</v>
      </c>
    </row>
    <row r="509" spans="1:23" ht="15.75" x14ac:dyDescent="0.25">
      <c r="A509" s="7">
        <v>70</v>
      </c>
      <c r="B509" s="33" t="str">
        <f t="shared" si="27"/>
        <v>D0070</v>
      </c>
      <c r="C509" s="7" t="s">
        <v>1013</v>
      </c>
      <c r="D509" s="33" t="str">
        <f>VLOOKUP(B509,Detail!$G$1:$H$1001,2,FALSE)</f>
        <v>Rafid Latupono</v>
      </c>
      <c r="E509" s="7">
        <v>62</v>
      </c>
      <c r="F509" s="7">
        <v>69</v>
      </c>
      <c r="G509" s="57">
        <v>92</v>
      </c>
      <c r="H509" s="7">
        <v>63</v>
      </c>
      <c r="I509" s="7">
        <v>55</v>
      </c>
      <c r="J509" s="7">
        <v>50</v>
      </c>
      <c r="K509" s="7">
        <v>65</v>
      </c>
      <c r="L509" s="56">
        <f>IFERROR(VLOOKUP(B509,Absen!$A$1:$C$501,2,FALSE),"No")</f>
        <v>44858</v>
      </c>
      <c r="M509" s="58">
        <f t="shared" si="24"/>
        <v>5.5</v>
      </c>
      <c r="N509" s="57">
        <f t="shared" si="25"/>
        <v>65.025000000000006</v>
      </c>
      <c r="O509" s="7" t="str">
        <f>VLOOKUP(N509,Helper!$B$30:$C$35,2,TRUE)</f>
        <v>C</v>
      </c>
      <c r="P509" s="56">
        <f>INDEX(Detail!$A$1:$A$1001,MATCH(B509,Detail!$G$1:$G$1001,0))</f>
        <v>37408</v>
      </c>
      <c r="Q509" s="33" t="str">
        <f>INDEX(Detail!$F$1:$F$1001,MATCH(Main!B509,Detail!$G$1:$G$1001,0))</f>
        <v>Padang</v>
      </c>
      <c r="R509" s="7">
        <f>INDEX(Detail!$C$1:$C$1001,MATCH(B509,Detail!$G$1:$G$1001,0),1)</f>
        <v>167</v>
      </c>
      <c r="S509" s="7">
        <f>INDEX(Detail!$D$1:$D$1001,MATCH(B509,Detail!$G$1:$G$1001,0),1)</f>
        <v>91</v>
      </c>
      <c r="T509" s="7" t="str">
        <f>INDEX(Detail!$E$1:$E$1001,MATCH(Main!B509,Detail!$G$1:$G$1001,0))</f>
        <v>Jl. Ronggowarsito No. 59</v>
      </c>
      <c r="U509" s="7" t="str">
        <f>INDEX(Detail!$B$1:$B$1001,MATCH(B509,Detail!$G$1:$G$1001,0),1)</f>
        <v>A-</v>
      </c>
      <c r="V509" s="7" t="str" cm="1">
        <f t="array" ref="V509">INDEX(Dosen!$B$3:$E$8,MATCH(Main!C509,Dosen!$A$3:$A$8,0),IF(AND(Main!A509&gt;=1,Main!A509&lt;=250),1,IF(AND(Main!A509&gt;=251,Main!A509&lt;=500),2,IF(AND(Main!A509&gt;=501,Main!A509&lt;=750),3,4))))</f>
        <v>Bu Ratna</v>
      </c>
      <c r="W509" s="7" t="str">
        <f>_xlfn.XLOOKUP(B509,Detail!$G$1:$G$1001,Detail!$B$1:$B$1001)</f>
        <v>A-</v>
      </c>
    </row>
    <row r="510" spans="1:23" ht="15.75" x14ac:dyDescent="0.25">
      <c r="A510" s="7">
        <v>72</v>
      </c>
      <c r="B510" s="33" t="str">
        <f t="shared" si="27"/>
        <v>D0072</v>
      </c>
      <c r="C510" s="7" t="s">
        <v>1013</v>
      </c>
      <c r="D510" s="33" t="str">
        <f>VLOOKUP(B510,Detail!$G$1:$H$1001,2,FALSE)</f>
        <v>Wisnu Nashiruddin</v>
      </c>
      <c r="E510" s="7">
        <v>77</v>
      </c>
      <c r="F510" s="7">
        <v>72</v>
      </c>
      <c r="G510" s="57">
        <v>93</v>
      </c>
      <c r="H510" s="7">
        <v>66</v>
      </c>
      <c r="I510" s="7">
        <v>55</v>
      </c>
      <c r="J510" s="7">
        <v>63</v>
      </c>
      <c r="K510" s="7">
        <v>97</v>
      </c>
      <c r="L510" s="56" t="str">
        <f>IFERROR(VLOOKUP(B510,Absen!$A$1:$C$501,2,FALSE),"No")</f>
        <v>No</v>
      </c>
      <c r="M510" s="58">
        <f t="shared" si="24"/>
        <v>9.7000000000000011</v>
      </c>
      <c r="N510" s="57">
        <f t="shared" si="25"/>
        <v>74.650000000000006</v>
      </c>
      <c r="O510" s="7" t="str">
        <f>VLOOKUP(N510,Helper!$B$30:$C$35,2,TRUE)</f>
        <v>B</v>
      </c>
      <c r="P510" s="56">
        <f>INDEX(Detail!$A$1:$A$1001,MATCH(B510,Detail!$G$1:$G$1001,0))</f>
        <v>37543</v>
      </c>
      <c r="Q510" s="33" t="str">
        <f>INDEX(Detail!$F$1:$F$1001,MATCH(Main!B510,Detail!$G$1:$G$1001,0))</f>
        <v>Kota Administrasi Jakarta Timur</v>
      </c>
      <c r="R510" s="7">
        <f>INDEX(Detail!$C$1:$C$1001,MATCH(B510,Detail!$G$1:$G$1001,0),1)</f>
        <v>154</v>
      </c>
      <c r="S510" s="7">
        <f>INDEX(Detail!$D$1:$D$1001,MATCH(B510,Detail!$G$1:$G$1001,0),1)</f>
        <v>60</v>
      </c>
      <c r="T510" s="7" t="str">
        <f>INDEX(Detail!$E$1:$E$1001,MATCH(Main!B510,Detail!$G$1:$G$1001,0))</f>
        <v>Jl. Raya Ujungberung No. 69</v>
      </c>
      <c r="U510" s="7" t="str">
        <f>INDEX(Detail!$B$1:$B$1001,MATCH(B510,Detail!$G$1:$G$1001,0),1)</f>
        <v>O+</v>
      </c>
      <c r="V510" s="7" t="str" cm="1">
        <f t="array" ref="V510">INDEX(Dosen!$B$3:$E$8,MATCH(Main!C510,Dosen!$A$3:$A$8,0),IF(AND(Main!A510&gt;=1,Main!A510&lt;=250),1,IF(AND(Main!A510&gt;=251,Main!A510&lt;=500),2,IF(AND(Main!A510&gt;=501,Main!A510&lt;=750),3,4))))</f>
        <v>Bu Ratna</v>
      </c>
      <c r="W510" s="7" t="str">
        <f>_xlfn.XLOOKUP(B510,Detail!$G$1:$G$1001,Detail!$B$1:$B$1001)</f>
        <v>O+</v>
      </c>
    </row>
    <row r="511" spans="1:23" ht="15.75" x14ac:dyDescent="0.25">
      <c r="A511" s="7">
        <v>90</v>
      </c>
      <c r="B511" s="33" t="str">
        <f t="shared" si="27"/>
        <v>D0090</v>
      </c>
      <c r="C511" s="7" t="s">
        <v>1013</v>
      </c>
      <c r="D511" s="33" t="str">
        <f>VLOOKUP(B511,Detail!$G$1:$H$1001,2,FALSE)</f>
        <v>Adinata Samosir</v>
      </c>
      <c r="E511" s="7">
        <v>69</v>
      </c>
      <c r="F511" s="7">
        <v>44</v>
      </c>
      <c r="G511" s="57">
        <v>81</v>
      </c>
      <c r="H511" s="7">
        <v>50</v>
      </c>
      <c r="I511" s="7">
        <v>57</v>
      </c>
      <c r="J511" s="7">
        <v>54</v>
      </c>
      <c r="K511" s="7">
        <v>88</v>
      </c>
      <c r="L511" s="56" t="str">
        <f>IFERROR(VLOOKUP(B511,Absen!$A$1:$C$501,2,FALSE),"No")</f>
        <v>No</v>
      </c>
      <c r="M511" s="58">
        <f t="shared" si="24"/>
        <v>8.8000000000000007</v>
      </c>
      <c r="N511" s="57">
        <f t="shared" si="25"/>
        <v>63.3</v>
      </c>
      <c r="O511" s="7" t="str">
        <f>VLOOKUP(N511,Helper!$B$30:$C$35,2,TRUE)</f>
        <v>C</v>
      </c>
      <c r="P511" s="56">
        <f>INDEX(Detail!$A$1:$A$1001,MATCH(B511,Detail!$G$1:$G$1001,0))</f>
        <v>38004</v>
      </c>
      <c r="Q511" s="33" t="str">
        <f>INDEX(Detail!$F$1:$F$1001,MATCH(Main!B511,Detail!$G$1:$G$1001,0))</f>
        <v>Bandar Lampung</v>
      </c>
      <c r="R511" s="7">
        <f>INDEX(Detail!$C$1:$C$1001,MATCH(B511,Detail!$G$1:$G$1001,0),1)</f>
        <v>150</v>
      </c>
      <c r="S511" s="7">
        <f>INDEX(Detail!$D$1:$D$1001,MATCH(B511,Detail!$G$1:$G$1001,0),1)</f>
        <v>64</v>
      </c>
      <c r="T511" s="7" t="str">
        <f>INDEX(Detail!$E$1:$E$1001,MATCH(Main!B511,Detail!$G$1:$G$1001,0))</f>
        <v>Jl. Yos Sudarso No. 91</v>
      </c>
      <c r="U511" s="7" t="str">
        <f>INDEX(Detail!$B$1:$B$1001,MATCH(B511,Detail!$G$1:$G$1001,0),1)</f>
        <v>AB+</v>
      </c>
      <c r="V511" s="7" t="str" cm="1">
        <f t="array" ref="V511">INDEX(Dosen!$B$3:$E$8,MATCH(Main!C511,Dosen!$A$3:$A$8,0),IF(AND(Main!A511&gt;=1,Main!A511&lt;=250),1,IF(AND(Main!A511&gt;=251,Main!A511&lt;=500),2,IF(AND(Main!A511&gt;=501,Main!A511&lt;=750),3,4))))</f>
        <v>Bu Ratna</v>
      </c>
      <c r="W511" s="7" t="str">
        <f>_xlfn.XLOOKUP(B511,Detail!$G$1:$G$1001,Detail!$B$1:$B$1001)</f>
        <v>AB+</v>
      </c>
    </row>
    <row r="512" spans="1:23" ht="15.75" x14ac:dyDescent="0.25">
      <c r="A512" s="7">
        <v>96</v>
      </c>
      <c r="B512" s="33" t="str">
        <f t="shared" si="27"/>
        <v>D0096</v>
      </c>
      <c r="C512" s="7" t="s">
        <v>1013</v>
      </c>
      <c r="D512" s="33" t="str">
        <f>VLOOKUP(B512,Detail!$G$1:$H$1001,2,FALSE)</f>
        <v>Umi Nainggolan</v>
      </c>
      <c r="E512" s="7">
        <v>69</v>
      </c>
      <c r="F512" s="7">
        <v>52</v>
      </c>
      <c r="G512" s="57">
        <v>57</v>
      </c>
      <c r="H512" s="7">
        <v>57</v>
      </c>
      <c r="I512" s="7">
        <v>76</v>
      </c>
      <c r="J512" s="7">
        <v>56</v>
      </c>
      <c r="K512" s="7">
        <v>65</v>
      </c>
      <c r="L512" s="56">
        <f>IFERROR(VLOOKUP(B512,Absen!$A$1:$C$501,2,FALSE),"No")</f>
        <v>44804</v>
      </c>
      <c r="M512" s="58">
        <f t="shared" si="24"/>
        <v>5.5</v>
      </c>
      <c r="N512" s="57">
        <f t="shared" si="25"/>
        <v>59.85</v>
      </c>
      <c r="O512" s="7" t="str">
        <f>VLOOKUP(N512,Helper!$B$30:$C$35,2,TRUE)</f>
        <v>D</v>
      </c>
      <c r="P512" s="56">
        <f>INDEX(Detail!$A$1:$A$1001,MATCH(B512,Detail!$G$1:$G$1001,0))</f>
        <v>37891</v>
      </c>
      <c r="Q512" s="33" t="str">
        <f>INDEX(Detail!$F$1:$F$1001,MATCH(Main!B512,Detail!$G$1:$G$1001,0))</f>
        <v>Binjai</v>
      </c>
      <c r="R512" s="7">
        <f>INDEX(Detail!$C$1:$C$1001,MATCH(B512,Detail!$G$1:$G$1001,0),1)</f>
        <v>156</v>
      </c>
      <c r="S512" s="7">
        <f>INDEX(Detail!$D$1:$D$1001,MATCH(B512,Detail!$G$1:$G$1001,0),1)</f>
        <v>63</v>
      </c>
      <c r="T512" s="7" t="str">
        <f>INDEX(Detail!$E$1:$E$1001,MATCH(Main!B512,Detail!$G$1:$G$1001,0))</f>
        <v>Jl. Sukajadi No. 95</v>
      </c>
      <c r="U512" s="7" t="str">
        <f>INDEX(Detail!$B$1:$B$1001,MATCH(B512,Detail!$G$1:$G$1001,0),1)</f>
        <v>B-</v>
      </c>
      <c r="V512" s="7" t="str" cm="1">
        <f t="array" ref="V512">INDEX(Dosen!$B$3:$E$8,MATCH(Main!C512,Dosen!$A$3:$A$8,0),IF(AND(Main!A512&gt;=1,Main!A512&lt;=250),1,IF(AND(Main!A512&gt;=251,Main!A512&lt;=500),2,IF(AND(Main!A512&gt;=501,Main!A512&lt;=750),3,4))))</f>
        <v>Bu Ratna</v>
      </c>
      <c r="W512" s="7" t="str">
        <f>_xlfn.XLOOKUP(B512,Detail!$G$1:$G$1001,Detail!$B$1:$B$1001)</f>
        <v>B-</v>
      </c>
    </row>
    <row r="513" spans="1:23" ht="15.75" x14ac:dyDescent="0.25">
      <c r="A513" s="7">
        <v>97</v>
      </c>
      <c r="B513" s="33" t="str">
        <f t="shared" si="27"/>
        <v>D0097</v>
      </c>
      <c r="C513" s="7" t="s">
        <v>1013</v>
      </c>
      <c r="D513" s="33" t="str">
        <f>VLOOKUP(B513,Detail!$G$1:$H$1001,2,FALSE)</f>
        <v>Oliva Lailasari</v>
      </c>
      <c r="E513" s="7">
        <v>93</v>
      </c>
      <c r="F513" s="7">
        <v>52</v>
      </c>
      <c r="G513" s="57">
        <v>93</v>
      </c>
      <c r="H513" s="7">
        <v>56</v>
      </c>
      <c r="I513" s="7">
        <v>84</v>
      </c>
      <c r="J513" s="7">
        <v>97</v>
      </c>
      <c r="K513" s="7">
        <v>64</v>
      </c>
      <c r="L513" s="56">
        <f>IFERROR(VLOOKUP(B513,Absen!$A$1:$C$501,2,FALSE),"No")</f>
        <v>44800</v>
      </c>
      <c r="M513" s="58">
        <f t="shared" si="24"/>
        <v>5.4</v>
      </c>
      <c r="N513" s="57">
        <f t="shared" si="25"/>
        <v>79.025000000000006</v>
      </c>
      <c r="O513" s="7" t="str">
        <f>VLOOKUP(N513,Helper!$B$30:$C$35,2,TRUE)</f>
        <v>B</v>
      </c>
      <c r="P513" s="56">
        <f>INDEX(Detail!$A$1:$A$1001,MATCH(B513,Detail!$G$1:$G$1001,0))</f>
        <v>38042</v>
      </c>
      <c r="Q513" s="33" t="str">
        <f>INDEX(Detail!$F$1:$F$1001,MATCH(Main!B513,Detail!$G$1:$G$1001,0))</f>
        <v>Kota Administrasi Jakarta Barat</v>
      </c>
      <c r="R513" s="7">
        <f>INDEX(Detail!$C$1:$C$1001,MATCH(B513,Detail!$G$1:$G$1001,0),1)</f>
        <v>168</v>
      </c>
      <c r="S513" s="7">
        <f>INDEX(Detail!$D$1:$D$1001,MATCH(B513,Detail!$G$1:$G$1001,0),1)</f>
        <v>45</v>
      </c>
      <c r="T513" s="7" t="str">
        <f>INDEX(Detail!$E$1:$E$1001,MATCH(Main!B513,Detail!$G$1:$G$1001,0))</f>
        <v>Jl. Antapani Lama No. 52</v>
      </c>
      <c r="U513" s="7" t="str">
        <f>INDEX(Detail!$B$1:$B$1001,MATCH(B513,Detail!$G$1:$G$1001,0),1)</f>
        <v>B+</v>
      </c>
      <c r="V513" s="7" t="str" cm="1">
        <f t="array" ref="V513">INDEX(Dosen!$B$3:$E$8,MATCH(Main!C513,Dosen!$A$3:$A$8,0),IF(AND(Main!A513&gt;=1,Main!A513&lt;=250),1,IF(AND(Main!A513&gt;=251,Main!A513&lt;=500),2,IF(AND(Main!A513&gt;=501,Main!A513&lt;=750),3,4))))</f>
        <v>Bu Ratna</v>
      </c>
      <c r="W513" s="7" t="str">
        <f>_xlfn.XLOOKUP(B513,Detail!$G$1:$G$1001,Detail!$B$1:$B$1001)</f>
        <v>B+</v>
      </c>
    </row>
    <row r="514" spans="1:23" ht="15.75" x14ac:dyDescent="0.25">
      <c r="A514" s="7">
        <v>102</v>
      </c>
      <c r="B514" s="33" t="str">
        <f t="shared" si="27"/>
        <v>D0102</v>
      </c>
      <c r="C514" s="7" t="s">
        <v>1013</v>
      </c>
      <c r="D514" s="33" t="str">
        <f>VLOOKUP(B514,Detail!$G$1:$H$1001,2,FALSE)</f>
        <v>Edward Wasita</v>
      </c>
      <c r="E514" s="7">
        <v>50</v>
      </c>
      <c r="F514" s="7">
        <v>42</v>
      </c>
      <c r="G514" s="57">
        <v>89</v>
      </c>
      <c r="H514" s="7">
        <v>59</v>
      </c>
      <c r="I514" s="7">
        <v>85</v>
      </c>
      <c r="J514" s="7">
        <v>66</v>
      </c>
      <c r="K514" s="7">
        <v>60</v>
      </c>
      <c r="L514" s="56">
        <f>IFERROR(VLOOKUP(B514,Absen!$A$1:$C$501,2,FALSE),"No")</f>
        <v>44825</v>
      </c>
      <c r="M514" s="58">
        <f t="shared" ref="M514:M577" si="28">IF(L514="no",K514,K514-10)*10%</f>
        <v>5</v>
      </c>
      <c r="N514" s="57">
        <f t="shared" ref="N514:N577" si="29">SUM(E514*12.5%,F514*12.5%,H514*12.5%,I514*12.5%,G514*20%,J514*20%,M514)</f>
        <v>65.5</v>
      </c>
      <c r="O514" s="7" t="str">
        <f>VLOOKUP(N514,Helper!$B$30:$C$35,2,TRUE)</f>
        <v>C</v>
      </c>
      <c r="P514" s="56">
        <f>INDEX(Detail!$A$1:$A$1001,MATCH(B514,Detail!$G$1:$G$1001,0))</f>
        <v>37757</v>
      </c>
      <c r="Q514" s="33" t="str">
        <f>INDEX(Detail!$F$1:$F$1001,MATCH(Main!B514,Detail!$G$1:$G$1001,0))</f>
        <v>Surabaya</v>
      </c>
      <c r="R514" s="7">
        <f>INDEX(Detail!$C$1:$C$1001,MATCH(B514,Detail!$G$1:$G$1001,0),1)</f>
        <v>150</v>
      </c>
      <c r="S514" s="7">
        <f>INDEX(Detail!$D$1:$D$1001,MATCH(B514,Detail!$G$1:$G$1001,0),1)</f>
        <v>91</v>
      </c>
      <c r="T514" s="7" t="str">
        <f>INDEX(Detail!$E$1:$E$1001,MATCH(Main!B514,Detail!$G$1:$G$1001,0))</f>
        <v xml:space="preserve">Jalan Gegerkalong Hilir No. 0
</v>
      </c>
      <c r="U514" s="7" t="str">
        <f>INDEX(Detail!$B$1:$B$1001,MATCH(B514,Detail!$G$1:$G$1001,0),1)</f>
        <v>AB-</v>
      </c>
      <c r="V514" s="7" t="str" cm="1">
        <f t="array" ref="V514">INDEX(Dosen!$B$3:$E$8,MATCH(Main!C514,Dosen!$A$3:$A$8,0),IF(AND(Main!A514&gt;=1,Main!A514&lt;=250),1,IF(AND(Main!A514&gt;=251,Main!A514&lt;=500),2,IF(AND(Main!A514&gt;=501,Main!A514&lt;=750),3,4))))</f>
        <v>Bu Ratna</v>
      </c>
      <c r="W514" s="7" t="str">
        <f>_xlfn.XLOOKUP(B514,Detail!$G$1:$G$1001,Detail!$B$1:$B$1001)</f>
        <v>AB-</v>
      </c>
    </row>
    <row r="515" spans="1:23" ht="15.75" x14ac:dyDescent="0.25">
      <c r="A515" s="7">
        <v>103</v>
      </c>
      <c r="B515" s="33" t="str">
        <f t="shared" si="27"/>
        <v>D0103</v>
      </c>
      <c r="C515" s="7" t="s">
        <v>1013</v>
      </c>
      <c r="D515" s="33" t="str">
        <f>VLOOKUP(B515,Detail!$G$1:$H$1001,2,FALSE)</f>
        <v>Kartika Napitupulu</v>
      </c>
      <c r="E515" s="7">
        <v>69</v>
      </c>
      <c r="F515" s="7">
        <v>72</v>
      </c>
      <c r="G515" s="57">
        <v>42</v>
      </c>
      <c r="H515" s="7">
        <v>71</v>
      </c>
      <c r="I515" s="7">
        <v>87</v>
      </c>
      <c r="J515" s="7">
        <v>67</v>
      </c>
      <c r="K515" s="7">
        <v>69</v>
      </c>
      <c r="L515" s="56" t="str">
        <f>IFERROR(VLOOKUP(B515,Absen!$A$1:$C$501,2,FALSE),"No")</f>
        <v>No</v>
      </c>
      <c r="M515" s="58">
        <f t="shared" si="28"/>
        <v>6.9</v>
      </c>
      <c r="N515" s="57">
        <f t="shared" si="29"/>
        <v>66.075000000000003</v>
      </c>
      <c r="O515" s="7" t="str">
        <f>VLOOKUP(N515,Helper!$B$30:$C$35,2,TRUE)</f>
        <v>C</v>
      </c>
      <c r="P515" s="56">
        <f>INDEX(Detail!$A$1:$A$1001,MATCH(B515,Detail!$G$1:$G$1001,0))</f>
        <v>37705</v>
      </c>
      <c r="Q515" s="33" t="str">
        <f>INDEX(Detail!$F$1:$F$1001,MATCH(Main!B515,Detail!$G$1:$G$1001,0))</f>
        <v>Kota Administrasi Jakarta Utara</v>
      </c>
      <c r="R515" s="7">
        <f>INDEX(Detail!$C$1:$C$1001,MATCH(B515,Detail!$G$1:$G$1001,0),1)</f>
        <v>155</v>
      </c>
      <c r="S515" s="7">
        <f>INDEX(Detail!$D$1:$D$1001,MATCH(B515,Detail!$G$1:$G$1001,0),1)</f>
        <v>87</v>
      </c>
      <c r="T515" s="7" t="str">
        <f>INDEX(Detail!$E$1:$E$1001,MATCH(Main!B515,Detail!$G$1:$G$1001,0))</f>
        <v>Gang Gardujati No. 63</v>
      </c>
      <c r="U515" s="7" t="str">
        <f>INDEX(Detail!$B$1:$B$1001,MATCH(B515,Detail!$G$1:$G$1001,0),1)</f>
        <v>O-</v>
      </c>
      <c r="V515" s="7" t="str" cm="1">
        <f t="array" ref="V515">INDEX(Dosen!$B$3:$E$8,MATCH(Main!C515,Dosen!$A$3:$A$8,0),IF(AND(Main!A515&gt;=1,Main!A515&lt;=250),1,IF(AND(Main!A515&gt;=251,Main!A515&lt;=500),2,IF(AND(Main!A515&gt;=501,Main!A515&lt;=750),3,4))))</f>
        <v>Bu Ratna</v>
      </c>
      <c r="W515" s="7" t="str">
        <f>_xlfn.XLOOKUP(B515,Detail!$G$1:$G$1001,Detail!$B$1:$B$1001)</f>
        <v>O-</v>
      </c>
    </row>
    <row r="516" spans="1:23" ht="15.75" x14ac:dyDescent="0.25">
      <c r="A516" s="7">
        <v>105</v>
      </c>
      <c r="B516" s="33" t="str">
        <f t="shared" si="27"/>
        <v>D0105</v>
      </c>
      <c r="C516" s="7" t="s">
        <v>1013</v>
      </c>
      <c r="D516" s="33" t="str">
        <f>VLOOKUP(B516,Detail!$G$1:$H$1001,2,FALSE)</f>
        <v>Bakiman Uwais</v>
      </c>
      <c r="E516" s="7">
        <v>87</v>
      </c>
      <c r="F516" s="7">
        <v>67</v>
      </c>
      <c r="G516" s="57">
        <v>85</v>
      </c>
      <c r="H516" s="7">
        <v>56</v>
      </c>
      <c r="I516" s="7">
        <v>60</v>
      </c>
      <c r="J516" s="7">
        <v>77</v>
      </c>
      <c r="K516" s="7">
        <v>83</v>
      </c>
      <c r="L516" s="56" t="str">
        <f>IFERROR(VLOOKUP(B516,Absen!$A$1:$C$501,2,FALSE),"No")</f>
        <v>No</v>
      </c>
      <c r="M516" s="58">
        <f t="shared" si="28"/>
        <v>8.3000000000000007</v>
      </c>
      <c r="N516" s="57">
        <f t="shared" si="29"/>
        <v>74.45</v>
      </c>
      <c r="O516" s="7" t="str">
        <f>VLOOKUP(N516,Helper!$B$30:$C$35,2,TRUE)</f>
        <v>B</v>
      </c>
      <c r="P516" s="56">
        <f>INDEX(Detail!$A$1:$A$1001,MATCH(B516,Detail!$G$1:$G$1001,0))</f>
        <v>37182</v>
      </c>
      <c r="Q516" s="33" t="str">
        <f>INDEX(Detail!$F$1:$F$1001,MATCH(Main!B516,Detail!$G$1:$G$1001,0))</f>
        <v>Cilegon</v>
      </c>
      <c r="R516" s="7">
        <f>INDEX(Detail!$C$1:$C$1001,MATCH(B516,Detail!$G$1:$G$1001,0),1)</f>
        <v>171</v>
      </c>
      <c r="S516" s="7">
        <f>INDEX(Detail!$D$1:$D$1001,MATCH(B516,Detail!$G$1:$G$1001,0),1)</f>
        <v>45</v>
      </c>
      <c r="T516" s="7" t="str">
        <f>INDEX(Detail!$E$1:$E$1001,MATCH(Main!B516,Detail!$G$1:$G$1001,0))</f>
        <v>Gang Gedebage Selatan No. 22</v>
      </c>
      <c r="U516" s="7" t="str">
        <f>INDEX(Detail!$B$1:$B$1001,MATCH(B516,Detail!$G$1:$G$1001,0),1)</f>
        <v>O-</v>
      </c>
      <c r="V516" s="7" t="str" cm="1">
        <f t="array" ref="V516">INDEX(Dosen!$B$3:$E$8,MATCH(Main!C516,Dosen!$A$3:$A$8,0),IF(AND(Main!A516&gt;=1,Main!A516&lt;=250),1,IF(AND(Main!A516&gt;=251,Main!A516&lt;=500),2,IF(AND(Main!A516&gt;=501,Main!A516&lt;=750),3,4))))</f>
        <v>Bu Ratna</v>
      </c>
      <c r="W516" s="7" t="str">
        <f>_xlfn.XLOOKUP(B516,Detail!$G$1:$G$1001,Detail!$B$1:$B$1001)</f>
        <v>O-</v>
      </c>
    </row>
    <row r="517" spans="1:23" ht="15.75" x14ac:dyDescent="0.25">
      <c r="A517" s="7">
        <v>114</v>
      </c>
      <c r="B517" s="33" t="str">
        <f t="shared" si="27"/>
        <v>D0114</v>
      </c>
      <c r="C517" s="7" t="s">
        <v>1013</v>
      </c>
      <c r="D517" s="33" t="str">
        <f>VLOOKUP(B517,Detail!$G$1:$H$1001,2,FALSE)</f>
        <v>Eluh Siregar</v>
      </c>
      <c r="E517" s="7">
        <v>93</v>
      </c>
      <c r="F517" s="7">
        <v>72</v>
      </c>
      <c r="G517" s="57">
        <v>48</v>
      </c>
      <c r="H517" s="7">
        <v>75</v>
      </c>
      <c r="I517" s="7">
        <v>92</v>
      </c>
      <c r="J517" s="7">
        <v>55</v>
      </c>
      <c r="K517" s="7">
        <v>66</v>
      </c>
      <c r="L517" s="56" t="str">
        <f>IFERROR(VLOOKUP(B517,Absen!$A$1:$C$501,2,FALSE),"No")</f>
        <v>No</v>
      </c>
      <c r="M517" s="58">
        <f t="shared" si="28"/>
        <v>6.6000000000000005</v>
      </c>
      <c r="N517" s="57">
        <f t="shared" si="29"/>
        <v>68.7</v>
      </c>
      <c r="O517" s="7" t="str">
        <f>VLOOKUP(N517,Helper!$B$30:$C$35,2,TRUE)</f>
        <v>C</v>
      </c>
      <c r="P517" s="56">
        <f>INDEX(Detail!$A$1:$A$1001,MATCH(B517,Detail!$G$1:$G$1001,0))</f>
        <v>37013</v>
      </c>
      <c r="Q517" s="33" t="str">
        <f>INDEX(Detail!$F$1:$F$1001,MATCH(Main!B517,Detail!$G$1:$G$1001,0))</f>
        <v>Pematangsiantar</v>
      </c>
      <c r="R517" s="7">
        <f>INDEX(Detail!$C$1:$C$1001,MATCH(B517,Detail!$G$1:$G$1001,0),1)</f>
        <v>178</v>
      </c>
      <c r="S517" s="7">
        <f>INDEX(Detail!$D$1:$D$1001,MATCH(B517,Detail!$G$1:$G$1001,0),1)</f>
        <v>81</v>
      </c>
      <c r="T517" s="7" t="str">
        <f>INDEX(Detail!$E$1:$E$1001,MATCH(Main!B517,Detail!$G$1:$G$1001,0))</f>
        <v>Jalan Setiabudhi No. 75</v>
      </c>
      <c r="U517" s="7" t="str">
        <f>INDEX(Detail!$B$1:$B$1001,MATCH(B517,Detail!$G$1:$G$1001,0),1)</f>
        <v>A+</v>
      </c>
      <c r="V517" s="7" t="str" cm="1">
        <f t="array" ref="V517">INDEX(Dosen!$B$3:$E$8,MATCH(Main!C517,Dosen!$A$3:$A$8,0),IF(AND(Main!A517&gt;=1,Main!A517&lt;=250),1,IF(AND(Main!A517&gt;=251,Main!A517&lt;=500),2,IF(AND(Main!A517&gt;=501,Main!A517&lt;=750),3,4))))</f>
        <v>Bu Ratna</v>
      </c>
      <c r="W517" s="7" t="str">
        <f>_xlfn.XLOOKUP(B517,Detail!$G$1:$G$1001,Detail!$B$1:$B$1001)</f>
        <v>A+</v>
      </c>
    </row>
    <row r="518" spans="1:23" ht="15.75" x14ac:dyDescent="0.25">
      <c r="A518" s="7">
        <v>131</v>
      </c>
      <c r="B518" s="33" t="str">
        <f t="shared" si="27"/>
        <v>D0131</v>
      </c>
      <c r="C518" s="7" t="s">
        <v>1013</v>
      </c>
      <c r="D518" s="33" t="str">
        <f>VLOOKUP(B518,Detail!$G$1:$H$1001,2,FALSE)</f>
        <v>Tira Sihombing</v>
      </c>
      <c r="E518" s="7">
        <v>75</v>
      </c>
      <c r="F518" s="7">
        <v>74</v>
      </c>
      <c r="G518" s="57">
        <v>67</v>
      </c>
      <c r="H518" s="7">
        <v>68</v>
      </c>
      <c r="I518" s="7">
        <v>80</v>
      </c>
      <c r="J518" s="7">
        <v>85</v>
      </c>
      <c r="K518" s="7">
        <v>94</v>
      </c>
      <c r="L518" s="56">
        <f>IFERROR(VLOOKUP(B518,Absen!$A$1:$C$501,2,FALSE),"No")</f>
        <v>44837</v>
      </c>
      <c r="M518" s="58">
        <f t="shared" si="28"/>
        <v>8.4</v>
      </c>
      <c r="N518" s="57">
        <f t="shared" si="29"/>
        <v>75.925000000000011</v>
      </c>
      <c r="O518" s="7" t="str">
        <f>VLOOKUP(N518,Helper!$B$30:$C$35,2,TRUE)</f>
        <v>B</v>
      </c>
      <c r="P518" s="56">
        <f>INDEX(Detail!$A$1:$A$1001,MATCH(B518,Detail!$G$1:$G$1001,0))</f>
        <v>37952</v>
      </c>
      <c r="Q518" s="33" t="str">
        <f>INDEX(Detail!$F$1:$F$1001,MATCH(Main!B518,Detail!$G$1:$G$1001,0))</f>
        <v>Banjarmasin</v>
      </c>
      <c r="R518" s="7">
        <f>INDEX(Detail!$C$1:$C$1001,MATCH(B518,Detail!$G$1:$G$1001,0),1)</f>
        <v>170</v>
      </c>
      <c r="S518" s="7">
        <f>INDEX(Detail!$D$1:$D$1001,MATCH(B518,Detail!$G$1:$G$1001,0),1)</f>
        <v>57</v>
      </c>
      <c r="T518" s="7" t="str">
        <f>INDEX(Detail!$E$1:$E$1001,MATCH(Main!B518,Detail!$G$1:$G$1001,0))</f>
        <v>Gg. Dipatiukur No. 31</v>
      </c>
      <c r="U518" s="7" t="str">
        <f>INDEX(Detail!$B$1:$B$1001,MATCH(B518,Detail!$G$1:$G$1001,0),1)</f>
        <v>AB-</v>
      </c>
      <c r="V518" s="7" t="str" cm="1">
        <f t="array" ref="V518">INDEX(Dosen!$B$3:$E$8,MATCH(Main!C518,Dosen!$A$3:$A$8,0),IF(AND(Main!A518&gt;=1,Main!A518&lt;=250),1,IF(AND(Main!A518&gt;=251,Main!A518&lt;=500),2,IF(AND(Main!A518&gt;=501,Main!A518&lt;=750),3,4))))</f>
        <v>Bu Ratna</v>
      </c>
      <c r="W518" s="7" t="str">
        <f>_xlfn.XLOOKUP(B518,Detail!$G$1:$G$1001,Detail!$B$1:$B$1001)</f>
        <v>AB-</v>
      </c>
    </row>
    <row r="519" spans="1:23" ht="15.75" x14ac:dyDescent="0.25">
      <c r="A519" s="7">
        <v>135</v>
      </c>
      <c r="B519" s="33" t="str">
        <f t="shared" si="27"/>
        <v>D0135</v>
      </c>
      <c r="C519" s="7" t="s">
        <v>1013</v>
      </c>
      <c r="D519" s="33" t="str">
        <f>VLOOKUP(B519,Detail!$G$1:$H$1001,2,FALSE)</f>
        <v>Yono Wastuti</v>
      </c>
      <c r="E519" s="7">
        <v>55</v>
      </c>
      <c r="F519" s="7">
        <v>48</v>
      </c>
      <c r="G519" s="57">
        <v>41</v>
      </c>
      <c r="H519" s="7">
        <v>66</v>
      </c>
      <c r="I519" s="7">
        <v>57</v>
      </c>
      <c r="J519" s="7">
        <v>97</v>
      </c>
      <c r="K519" s="7">
        <v>86</v>
      </c>
      <c r="L519" s="56" t="str">
        <f>IFERROR(VLOOKUP(B519,Absen!$A$1:$C$501,2,FALSE),"No")</f>
        <v>No</v>
      </c>
      <c r="M519" s="58">
        <f t="shared" si="28"/>
        <v>8.6</v>
      </c>
      <c r="N519" s="57">
        <f t="shared" si="29"/>
        <v>64.45</v>
      </c>
      <c r="O519" s="7" t="str">
        <f>VLOOKUP(N519,Helper!$B$30:$C$35,2,TRUE)</f>
        <v>C</v>
      </c>
      <c r="P519" s="56">
        <f>INDEX(Detail!$A$1:$A$1001,MATCH(B519,Detail!$G$1:$G$1001,0))</f>
        <v>37558</v>
      </c>
      <c r="Q519" s="33" t="str">
        <f>INDEX(Detail!$F$1:$F$1001,MATCH(Main!B519,Detail!$G$1:$G$1001,0))</f>
        <v>Madiun</v>
      </c>
      <c r="R519" s="7">
        <f>INDEX(Detail!$C$1:$C$1001,MATCH(B519,Detail!$G$1:$G$1001,0),1)</f>
        <v>179</v>
      </c>
      <c r="S519" s="7">
        <f>INDEX(Detail!$D$1:$D$1001,MATCH(B519,Detail!$G$1:$G$1001,0),1)</f>
        <v>68</v>
      </c>
      <c r="T519" s="7" t="str">
        <f>INDEX(Detail!$E$1:$E$1001,MATCH(Main!B519,Detail!$G$1:$G$1001,0))</f>
        <v>Jl. Surapati No. 64</v>
      </c>
      <c r="U519" s="7" t="str">
        <f>INDEX(Detail!$B$1:$B$1001,MATCH(B519,Detail!$G$1:$G$1001,0),1)</f>
        <v>O-</v>
      </c>
      <c r="V519" s="7" t="str" cm="1">
        <f t="array" ref="V519">INDEX(Dosen!$B$3:$E$8,MATCH(Main!C519,Dosen!$A$3:$A$8,0),IF(AND(Main!A519&gt;=1,Main!A519&lt;=250),1,IF(AND(Main!A519&gt;=251,Main!A519&lt;=500),2,IF(AND(Main!A519&gt;=501,Main!A519&lt;=750),3,4))))</f>
        <v>Bu Ratna</v>
      </c>
      <c r="W519" s="7" t="str">
        <f>_xlfn.XLOOKUP(B519,Detail!$G$1:$G$1001,Detail!$B$1:$B$1001)</f>
        <v>O-</v>
      </c>
    </row>
    <row r="520" spans="1:23" ht="15.75" x14ac:dyDescent="0.25">
      <c r="A520" s="7">
        <v>136</v>
      </c>
      <c r="B520" s="33" t="str">
        <f t="shared" si="27"/>
        <v>D0136</v>
      </c>
      <c r="C520" s="7" t="s">
        <v>1013</v>
      </c>
      <c r="D520" s="33" t="str">
        <f>VLOOKUP(B520,Detail!$G$1:$H$1001,2,FALSE)</f>
        <v>Taufan Mandala</v>
      </c>
      <c r="E520" s="7">
        <v>65</v>
      </c>
      <c r="F520" s="7">
        <v>61</v>
      </c>
      <c r="G520" s="57">
        <v>85</v>
      </c>
      <c r="H520" s="7">
        <v>75</v>
      </c>
      <c r="I520" s="7">
        <v>53</v>
      </c>
      <c r="J520" s="7">
        <v>44</v>
      </c>
      <c r="K520" s="7">
        <v>85</v>
      </c>
      <c r="L520" s="56">
        <f>IFERROR(VLOOKUP(B520,Absen!$A$1:$C$501,2,FALSE),"No")</f>
        <v>44830</v>
      </c>
      <c r="M520" s="58">
        <f t="shared" si="28"/>
        <v>7.5</v>
      </c>
      <c r="N520" s="57">
        <f t="shared" si="29"/>
        <v>65.05</v>
      </c>
      <c r="O520" s="7" t="str">
        <f>VLOOKUP(N520,Helper!$B$30:$C$35,2,TRUE)</f>
        <v>C</v>
      </c>
      <c r="P520" s="56">
        <f>INDEX(Detail!$A$1:$A$1001,MATCH(B520,Detail!$G$1:$G$1001,0))</f>
        <v>37317</v>
      </c>
      <c r="Q520" s="33" t="str">
        <f>INDEX(Detail!$F$1:$F$1001,MATCH(Main!B520,Detail!$G$1:$G$1001,0))</f>
        <v>Tual</v>
      </c>
      <c r="R520" s="7">
        <f>INDEX(Detail!$C$1:$C$1001,MATCH(B520,Detail!$G$1:$G$1001,0),1)</f>
        <v>179</v>
      </c>
      <c r="S520" s="7">
        <f>INDEX(Detail!$D$1:$D$1001,MATCH(B520,Detail!$G$1:$G$1001,0),1)</f>
        <v>69</v>
      </c>
      <c r="T520" s="7" t="str">
        <f>INDEX(Detail!$E$1:$E$1001,MATCH(Main!B520,Detail!$G$1:$G$1001,0))</f>
        <v>Gg. Gedebage Selatan No. 46</v>
      </c>
      <c r="U520" s="7" t="str">
        <f>INDEX(Detail!$B$1:$B$1001,MATCH(B520,Detail!$G$1:$G$1001,0),1)</f>
        <v>O-</v>
      </c>
      <c r="V520" s="7" t="str" cm="1">
        <f t="array" ref="V520">INDEX(Dosen!$B$3:$E$8,MATCH(Main!C520,Dosen!$A$3:$A$8,0),IF(AND(Main!A520&gt;=1,Main!A520&lt;=250),1,IF(AND(Main!A520&gt;=251,Main!A520&lt;=500),2,IF(AND(Main!A520&gt;=501,Main!A520&lt;=750),3,4))))</f>
        <v>Bu Ratna</v>
      </c>
      <c r="W520" s="7" t="str">
        <f>_xlfn.XLOOKUP(B520,Detail!$G$1:$G$1001,Detail!$B$1:$B$1001)</f>
        <v>O-</v>
      </c>
    </row>
    <row r="521" spans="1:23" ht="15.75" x14ac:dyDescent="0.25">
      <c r="A521" s="7">
        <v>141</v>
      </c>
      <c r="B521" s="33" t="str">
        <f t="shared" si="27"/>
        <v>D0141</v>
      </c>
      <c r="C521" s="7" t="s">
        <v>1013</v>
      </c>
      <c r="D521" s="33" t="str">
        <f>VLOOKUP(B521,Detail!$G$1:$H$1001,2,FALSE)</f>
        <v>Virman Irawan</v>
      </c>
      <c r="E521" s="7">
        <v>85</v>
      </c>
      <c r="F521" s="7">
        <v>74</v>
      </c>
      <c r="G521" s="57">
        <v>54</v>
      </c>
      <c r="H521" s="7">
        <v>73</v>
      </c>
      <c r="I521" s="7">
        <v>65</v>
      </c>
      <c r="J521" s="7">
        <v>91</v>
      </c>
      <c r="K521" s="7">
        <v>91</v>
      </c>
      <c r="L521" s="56" t="str">
        <f>IFERROR(VLOOKUP(B521,Absen!$A$1:$C$501,2,FALSE),"No")</f>
        <v>No</v>
      </c>
      <c r="M521" s="58">
        <f t="shared" si="28"/>
        <v>9.1</v>
      </c>
      <c r="N521" s="57">
        <f t="shared" si="29"/>
        <v>75.224999999999994</v>
      </c>
      <c r="O521" s="7" t="str">
        <f>VLOOKUP(N521,Helper!$B$30:$C$35,2,TRUE)</f>
        <v>B</v>
      </c>
      <c r="P521" s="56">
        <f>INDEX(Detail!$A$1:$A$1001,MATCH(B521,Detail!$G$1:$G$1001,0))</f>
        <v>37683</v>
      </c>
      <c r="Q521" s="33" t="str">
        <f>INDEX(Detail!$F$1:$F$1001,MATCH(Main!B521,Detail!$G$1:$G$1001,0))</f>
        <v>Meulaboh</v>
      </c>
      <c r="R521" s="7">
        <f>INDEX(Detail!$C$1:$C$1001,MATCH(B521,Detail!$G$1:$G$1001,0),1)</f>
        <v>153</v>
      </c>
      <c r="S521" s="7">
        <f>INDEX(Detail!$D$1:$D$1001,MATCH(B521,Detail!$G$1:$G$1001,0),1)</f>
        <v>69</v>
      </c>
      <c r="T521" s="7" t="str">
        <f>INDEX(Detail!$E$1:$E$1001,MATCH(Main!B521,Detail!$G$1:$G$1001,0))</f>
        <v xml:space="preserve">Jl. S. Parman No. 0
</v>
      </c>
      <c r="U521" s="7" t="str">
        <f>INDEX(Detail!$B$1:$B$1001,MATCH(B521,Detail!$G$1:$G$1001,0),1)</f>
        <v>B-</v>
      </c>
      <c r="V521" s="7" t="str" cm="1">
        <f t="array" ref="V521">INDEX(Dosen!$B$3:$E$8,MATCH(Main!C521,Dosen!$A$3:$A$8,0),IF(AND(Main!A521&gt;=1,Main!A521&lt;=250),1,IF(AND(Main!A521&gt;=251,Main!A521&lt;=500),2,IF(AND(Main!A521&gt;=501,Main!A521&lt;=750),3,4))))</f>
        <v>Bu Ratna</v>
      </c>
      <c r="W521" s="7" t="str">
        <f>_xlfn.XLOOKUP(B521,Detail!$G$1:$G$1001,Detail!$B$1:$B$1001)</f>
        <v>B-</v>
      </c>
    </row>
    <row r="522" spans="1:23" ht="15.75" x14ac:dyDescent="0.25">
      <c r="A522" s="7">
        <v>148</v>
      </c>
      <c r="B522" s="33" t="str">
        <f t="shared" si="27"/>
        <v>D0148</v>
      </c>
      <c r="C522" s="7" t="s">
        <v>1013</v>
      </c>
      <c r="D522" s="33" t="str">
        <f>VLOOKUP(B522,Detail!$G$1:$H$1001,2,FALSE)</f>
        <v>Labuh Puspasari</v>
      </c>
      <c r="E522" s="7">
        <v>93</v>
      </c>
      <c r="F522" s="7">
        <v>42</v>
      </c>
      <c r="G522" s="57">
        <v>60</v>
      </c>
      <c r="H522" s="7">
        <v>52</v>
      </c>
      <c r="I522" s="7">
        <v>60</v>
      </c>
      <c r="J522" s="7">
        <v>68</v>
      </c>
      <c r="K522" s="7">
        <v>77</v>
      </c>
      <c r="L522" s="56" t="str">
        <f>IFERROR(VLOOKUP(B522,Absen!$A$1:$C$501,2,FALSE),"No")</f>
        <v>No</v>
      </c>
      <c r="M522" s="58">
        <f t="shared" si="28"/>
        <v>7.7</v>
      </c>
      <c r="N522" s="57">
        <f t="shared" si="29"/>
        <v>64.174999999999997</v>
      </c>
      <c r="O522" s="7" t="str">
        <f>VLOOKUP(N522,Helper!$B$30:$C$35,2,TRUE)</f>
        <v>C</v>
      </c>
      <c r="P522" s="56">
        <f>INDEX(Detail!$A$1:$A$1001,MATCH(B522,Detail!$G$1:$G$1001,0))</f>
        <v>37447</v>
      </c>
      <c r="Q522" s="33" t="str">
        <f>INDEX(Detail!$F$1:$F$1001,MATCH(Main!B522,Detail!$G$1:$G$1001,0))</f>
        <v>Tanjungpinang</v>
      </c>
      <c r="R522" s="7">
        <f>INDEX(Detail!$C$1:$C$1001,MATCH(B522,Detail!$G$1:$G$1001,0),1)</f>
        <v>177</v>
      </c>
      <c r="S522" s="7">
        <f>INDEX(Detail!$D$1:$D$1001,MATCH(B522,Detail!$G$1:$G$1001,0),1)</f>
        <v>71</v>
      </c>
      <c r="T522" s="7" t="str">
        <f>INDEX(Detail!$E$1:$E$1001,MATCH(Main!B522,Detail!$G$1:$G$1001,0))</f>
        <v xml:space="preserve">Jalan Dipenogoro No. 9
</v>
      </c>
      <c r="U522" s="7" t="str">
        <f>INDEX(Detail!$B$1:$B$1001,MATCH(B522,Detail!$G$1:$G$1001,0),1)</f>
        <v>B-</v>
      </c>
      <c r="V522" s="7" t="str" cm="1">
        <f t="array" ref="V522">INDEX(Dosen!$B$3:$E$8,MATCH(Main!C522,Dosen!$A$3:$A$8,0),IF(AND(Main!A522&gt;=1,Main!A522&lt;=250),1,IF(AND(Main!A522&gt;=251,Main!A522&lt;=500),2,IF(AND(Main!A522&gt;=501,Main!A522&lt;=750),3,4))))</f>
        <v>Bu Ratna</v>
      </c>
      <c r="W522" s="7" t="str">
        <f>_xlfn.XLOOKUP(B522,Detail!$G$1:$G$1001,Detail!$B$1:$B$1001)</f>
        <v>B-</v>
      </c>
    </row>
    <row r="523" spans="1:23" ht="15.75" x14ac:dyDescent="0.25">
      <c r="A523" s="7">
        <v>153</v>
      </c>
      <c r="B523" s="33" t="str">
        <f t="shared" si="27"/>
        <v>D0153</v>
      </c>
      <c r="C523" s="7" t="s">
        <v>1013</v>
      </c>
      <c r="D523" s="33" t="str">
        <f>VLOOKUP(B523,Detail!$G$1:$H$1001,2,FALSE)</f>
        <v>Chandra Mangunsong</v>
      </c>
      <c r="E523" s="7">
        <v>89</v>
      </c>
      <c r="F523" s="7">
        <v>42</v>
      </c>
      <c r="G523" s="57">
        <v>42</v>
      </c>
      <c r="H523" s="7">
        <v>68</v>
      </c>
      <c r="I523" s="7">
        <v>93</v>
      </c>
      <c r="J523" s="7">
        <v>72</v>
      </c>
      <c r="K523" s="7">
        <v>75</v>
      </c>
      <c r="L523" s="56" t="str">
        <f>IFERROR(VLOOKUP(B523,Absen!$A$1:$C$501,2,FALSE),"No")</f>
        <v>No</v>
      </c>
      <c r="M523" s="58">
        <f t="shared" si="28"/>
        <v>7.5</v>
      </c>
      <c r="N523" s="57">
        <f t="shared" si="29"/>
        <v>66.8</v>
      </c>
      <c r="O523" s="7" t="str">
        <f>VLOOKUP(N523,Helper!$B$30:$C$35,2,TRUE)</f>
        <v>C</v>
      </c>
      <c r="P523" s="56">
        <f>INDEX(Detail!$A$1:$A$1001,MATCH(B523,Detail!$G$1:$G$1001,0))</f>
        <v>37776</v>
      </c>
      <c r="Q523" s="33" t="str">
        <f>INDEX(Detail!$F$1:$F$1001,MATCH(Main!B523,Detail!$G$1:$G$1001,0))</f>
        <v>Samarinda</v>
      </c>
      <c r="R523" s="7">
        <f>INDEX(Detail!$C$1:$C$1001,MATCH(B523,Detail!$G$1:$G$1001,0),1)</f>
        <v>171</v>
      </c>
      <c r="S523" s="7">
        <f>INDEX(Detail!$D$1:$D$1001,MATCH(B523,Detail!$G$1:$G$1001,0),1)</f>
        <v>57</v>
      </c>
      <c r="T523" s="7" t="str">
        <f>INDEX(Detail!$E$1:$E$1001,MATCH(Main!B523,Detail!$G$1:$G$1001,0))</f>
        <v xml:space="preserve">Jl. Ir. H. Djuanda No. 0
</v>
      </c>
      <c r="U523" s="7" t="str">
        <f>INDEX(Detail!$B$1:$B$1001,MATCH(B523,Detail!$G$1:$G$1001,0),1)</f>
        <v>AB+</v>
      </c>
      <c r="V523" s="7" t="str" cm="1">
        <f t="array" ref="V523">INDEX(Dosen!$B$3:$E$8,MATCH(Main!C523,Dosen!$A$3:$A$8,0),IF(AND(Main!A523&gt;=1,Main!A523&lt;=250),1,IF(AND(Main!A523&gt;=251,Main!A523&lt;=500),2,IF(AND(Main!A523&gt;=501,Main!A523&lt;=750),3,4))))</f>
        <v>Bu Ratna</v>
      </c>
      <c r="W523" s="7" t="str">
        <f>_xlfn.XLOOKUP(B523,Detail!$G$1:$G$1001,Detail!$B$1:$B$1001)</f>
        <v>AB+</v>
      </c>
    </row>
    <row r="524" spans="1:23" ht="15.75" x14ac:dyDescent="0.25">
      <c r="A524" s="7">
        <v>157</v>
      </c>
      <c r="B524" s="33" t="str">
        <f t="shared" si="27"/>
        <v>D0157</v>
      </c>
      <c r="C524" s="7" t="s">
        <v>1013</v>
      </c>
      <c r="D524" s="33" t="str">
        <f>VLOOKUP(B524,Detail!$G$1:$H$1001,2,FALSE)</f>
        <v>Chelsea Kusumo</v>
      </c>
      <c r="E524" s="7">
        <v>65</v>
      </c>
      <c r="F524" s="7">
        <v>40</v>
      </c>
      <c r="G524" s="57">
        <v>73</v>
      </c>
      <c r="H524" s="7">
        <v>61</v>
      </c>
      <c r="I524" s="7">
        <v>53</v>
      </c>
      <c r="J524" s="7">
        <v>76</v>
      </c>
      <c r="K524" s="7">
        <v>71</v>
      </c>
      <c r="L524" s="56" t="str">
        <f>IFERROR(VLOOKUP(B524,Absen!$A$1:$C$501,2,FALSE),"No")</f>
        <v>No</v>
      </c>
      <c r="M524" s="58">
        <f t="shared" si="28"/>
        <v>7.1000000000000005</v>
      </c>
      <c r="N524" s="57">
        <f t="shared" si="29"/>
        <v>64.275000000000006</v>
      </c>
      <c r="O524" s="7" t="str">
        <f>VLOOKUP(N524,Helper!$B$30:$C$35,2,TRUE)</f>
        <v>C</v>
      </c>
      <c r="P524" s="56">
        <f>INDEX(Detail!$A$1:$A$1001,MATCH(B524,Detail!$G$1:$G$1001,0))</f>
        <v>37648</v>
      </c>
      <c r="Q524" s="33" t="str">
        <f>INDEX(Detail!$F$1:$F$1001,MATCH(Main!B524,Detail!$G$1:$G$1001,0))</f>
        <v>Balikpapan</v>
      </c>
      <c r="R524" s="7">
        <f>INDEX(Detail!$C$1:$C$1001,MATCH(B524,Detail!$G$1:$G$1001,0),1)</f>
        <v>175</v>
      </c>
      <c r="S524" s="7">
        <f>INDEX(Detail!$D$1:$D$1001,MATCH(B524,Detail!$G$1:$G$1001,0),1)</f>
        <v>93</v>
      </c>
      <c r="T524" s="7" t="str">
        <f>INDEX(Detail!$E$1:$E$1001,MATCH(Main!B524,Detail!$G$1:$G$1001,0))</f>
        <v>Jalan Rajiman No. 35</v>
      </c>
      <c r="U524" s="7" t="str">
        <f>INDEX(Detail!$B$1:$B$1001,MATCH(B524,Detail!$G$1:$G$1001,0),1)</f>
        <v>A+</v>
      </c>
      <c r="V524" s="7" t="str" cm="1">
        <f t="array" ref="V524">INDEX(Dosen!$B$3:$E$8,MATCH(Main!C524,Dosen!$A$3:$A$8,0),IF(AND(Main!A524&gt;=1,Main!A524&lt;=250),1,IF(AND(Main!A524&gt;=251,Main!A524&lt;=500),2,IF(AND(Main!A524&gt;=501,Main!A524&lt;=750),3,4))))</f>
        <v>Bu Ratna</v>
      </c>
      <c r="W524" s="7" t="str">
        <f>_xlfn.XLOOKUP(B524,Detail!$G$1:$G$1001,Detail!$B$1:$B$1001)</f>
        <v>A+</v>
      </c>
    </row>
    <row r="525" spans="1:23" ht="15.75" x14ac:dyDescent="0.25">
      <c r="A525" s="7">
        <v>158</v>
      </c>
      <c r="B525" s="33" t="str">
        <f t="shared" ref="B525:B556" si="30">CONCATENATE("D",TEXT(A525,"0000"))</f>
        <v>D0158</v>
      </c>
      <c r="C525" s="7" t="s">
        <v>1013</v>
      </c>
      <c r="D525" s="33" t="str">
        <f>VLOOKUP(B525,Detail!$G$1:$H$1001,2,FALSE)</f>
        <v>Nova Rahmawati</v>
      </c>
      <c r="E525" s="7">
        <v>52</v>
      </c>
      <c r="F525" s="7">
        <v>47</v>
      </c>
      <c r="G525" s="57">
        <v>46</v>
      </c>
      <c r="H525" s="7">
        <v>53</v>
      </c>
      <c r="I525" s="7">
        <v>57</v>
      </c>
      <c r="J525" s="7">
        <v>67</v>
      </c>
      <c r="K525" s="7">
        <v>93</v>
      </c>
      <c r="L525" s="56" t="str">
        <f>IFERROR(VLOOKUP(B525,Absen!$A$1:$C$501,2,FALSE),"No")</f>
        <v>No</v>
      </c>
      <c r="M525" s="58">
        <f t="shared" si="28"/>
        <v>9.3000000000000007</v>
      </c>
      <c r="N525" s="57">
        <f t="shared" si="29"/>
        <v>58.025000000000006</v>
      </c>
      <c r="O525" s="7" t="str">
        <f>VLOOKUP(N525,Helper!$B$30:$C$35,2,TRUE)</f>
        <v>D</v>
      </c>
      <c r="P525" s="56">
        <f>INDEX(Detail!$A$1:$A$1001,MATCH(B525,Detail!$G$1:$G$1001,0))</f>
        <v>37235</v>
      </c>
      <c r="Q525" s="33" t="str">
        <f>INDEX(Detail!$F$1:$F$1001,MATCH(Main!B525,Detail!$G$1:$G$1001,0))</f>
        <v>Tanjungbalai</v>
      </c>
      <c r="R525" s="7">
        <f>INDEX(Detail!$C$1:$C$1001,MATCH(B525,Detail!$G$1:$G$1001,0),1)</f>
        <v>156</v>
      </c>
      <c r="S525" s="7">
        <f>INDEX(Detail!$D$1:$D$1001,MATCH(B525,Detail!$G$1:$G$1001,0),1)</f>
        <v>86</v>
      </c>
      <c r="T525" s="7" t="str">
        <f>INDEX(Detail!$E$1:$E$1001,MATCH(Main!B525,Detail!$G$1:$G$1001,0))</f>
        <v xml:space="preserve">Gg. M.T Haryono No. 5
</v>
      </c>
      <c r="U525" s="7" t="str">
        <f>INDEX(Detail!$B$1:$B$1001,MATCH(B525,Detail!$G$1:$G$1001,0),1)</f>
        <v>A+</v>
      </c>
      <c r="V525" s="7" t="str" cm="1">
        <f t="array" ref="V525">INDEX(Dosen!$B$3:$E$8,MATCH(Main!C525,Dosen!$A$3:$A$8,0),IF(AND(Main!A525&gt;=1,Main!A525&lt;=250),1,IF(AND(Main!A525&gt;=251,Main!A525&lt;=500),2,IF(AND(Main!A525&gt;=501,Main!A525&lt;=750),3,4))))</f>
        <v>Bu Ratna</v>
      </c>
      <c r="W525" s="7" t="str">
        <f>_xlfn.XLOOKUP(B525,Detail!$G$1:$G$1001,Detail!$B$1:$B$1001)</f>
        <v>A+</v>
      </c>
    </row>
    <row r="526" spans="1:23" ht="15.75" x14ac:dyDescent="0.25">
      <c r="A526" s="7">
        <v>160</v>
      </c>
      <c r="B526" s="33" t="str">
        <f t="shared" si="30"/>
        <v>D0160</v>
      </c>
      <c r="C526" s="7" t="s">
        <v>1013</v>
      </c>
      <c r="D526" s="33" t="str">
        <f>VLOOKUP(B526,Detail!$G$1:$H$1001,2,FALSE)</f>
        <v>Xanana Lailasari</v>
      </c>
      <c r="E526" s="7">
        <v>53</v>
      </c>
      <c r="F526" s="7">
        <v>71</v>
      </c>
      <c r="G526" s="57">
        <v>55</v>
      </c>
      <c r="H526" s="7">
        <v>53</v>
      </c>
      <c r="I526" s="7">
        <v>76</v>
      </c>
      <c r="J526" s="7">
        <v>57</v>
      </c>
      <c r="K526" s="7">
        <v>76</v>
      </c>
      <c r="L526" s="56">
        <f>IFERROR(VLOOKUP(B526,Absen!$A$1:$C$501,2,FALSE),"No")</f>
        <v>44838</v>
      </c>
      <c r="M526" s="58">
        <f t="shared" si="28"/>
        <v>6.6000000000000005</v>
      </c>
      <c r="N526" s="57">
        <f t="shared" si="29"/>
        <v>60.625</v>
      </c>
      <c r="O526" s="7" t="str">
        <f>VLOOKUP(N526,Helper!$B$30:$C$35,2,TRUE)</f>
        <v>C</v>
      </c>
      <c r="P526" s="56">
        <f>INDEX(Detail!$A$1:$A$1001,MATCH(B526,Detail!$G$1:$G$1001,0))</f>
        <v>37736</v>
      </c>
      <c r="Q526" s="33" t="str">
        <f>INDEX(Detail!$F$1:$F$1001,MATCH(Main!B526,Detail!$G$1:$G$1001,0))</f>
        <v>Probolinggo</v>
      </c>
      <c r="R526" s="7">
        <f>INDEX(Detail!$C$1:$C$1001,MATCH(B526,Detail!$G$1:$G$1001,0),1)</f>
        <v>152</v>
      </c>
      <c r="S526" s="7">
        <f>INDEX(Detail!$D$1:$D$1001,MATCH(B526,Detail!$G$1:$G$1001,0),1)</f>
        <v>94</v>
      </c>
      <c r="T526" s="7" t="str">
        <f>INDEX(Detail!$E$1:$E$1001,MATCH(Main!B526,Detail!$G$1:$G$1001,0))</f>
        <v>Jl. Indragiri No. 63</v>
      </c>
      <c r="U526" s="7" t="str">
        <f>INDEX(Detail!$B$1:$B$1001,MATCH(B526,Detail!$G$1:$G$1001,0),1)</f>
        <v>A+</v>
      </c>
      <c r="V526" s="7" t="str" cm="1">
        <f t="array" ref="V526">INDEX(Dosen!$B$3:$E$8,MATCH(Main!C526,Dosen!$A$3:$A$8,0),IF(AND(Main!A526&gt;=1,Main!A526&lt;=250),1,IF(AND(Main!A526&gt;=251,Main!A526&lt;=500),2,IF(AND(Main!A526&gt;=501,Main!A526&lt;=750),3,4))))</f>
        <v>Bu Ratna</v>
      </c>
      <c r="W526" s="7" t="str">
        <f>_xlfn.XLOOKUP(B526,Detail!$G$1:$G$1001,Detail!$B$1:$B$1001)</f>
        <v>A+</v>
      </c>
    </row>
    <row r="527" spans="1:23" ht="15.75" x14ac:dyDescent="0.25">
      <c r="A527" s="7">
        <v>163</v>
      </c>
      <c r="B527" s="33" t="str">
        <f t="shared" si="30"/>
        <v>D0163</v>
      </c>
      <c r="C527" s="7" t="s">
        <v>1013</v>
      </c>
      <c r="D527" s="33" t="str">
        <f>VLOOKUP(B527,Detail!$G$1:$H$1001,2,FALSE)</f>
        <v>Ellis Pratiwi</v>
      </c>
      <c r="E527" s="7">
        <v>75</v>
      </c>
      <c r="F527" s="7">
        <v>60</v>
      </c>
      <c r="G527" s="57">
        <v>33</v>
      </c>
      <c r="H527" s="7">
        <v>73</v>
      </c>
      <c r="I527" s="7">
        <v>83</v>
      </c>
      <c r="J527" s="7">
        <v>74</v>
      </c>
      <c r="K527" s="7">
        <v>85</v>
      </c>
      <c r="L527" s="56">
        <f>IFERROR(VLOOKUP(B527,Absen!$A$1:$C$501,2,FALSE),"No")</f>
        <v>44905</v>
      </c>
      <c r="M527" s="58">
        <f t="shared" si="28"/>
        <v>7.5</v>
      </c>
      <c r="N527" s="57">
        <f t="shared" si="29"/>
        <v>65.275000000000006</v>
      </c>
      <c r="O527" s="7" t="str">
        <f>VLOOKUP(N527,Helper!$B$30:$C$35,2,TRUE)</f>
        <v>C</v>
      </c>
      <c r="P527" s="56">
        <f>INDEX(Detail!$A$1:$A$1001,MATCH(B527,Detail!$G$1:$G$1001,0))</f>
        <v>38272</v>
      </c>
      <c r="Q527" s="33" t="str">
        <f>INDEX(Detail!$F$1:$F$1001,MATCH(Main!B527,Detail!$G$1:$G$1001,0))</f>
        <v>Tangerang Selatan</v>
      </c>
      <c r="R527" s="7">
        <f>INDEX(Detail!$C$1:$C$1001,MATCH(B527,Detail!$G$1:$G$1001,0),1)</f>
        <v>175</v>
      </c>
      <c r="S527" s="7">
        <f>INDEX(Detail!$D$1:$D$1001,MATCH(B527,Detail!$G$1:$G$1001,0),1)</f>
        <v>57</v>
      </c>
      <c r="T527" s="7" t="str">
        <f>INDEX(Detail!$E$1:$E$1001,MATCH(Main!B527,Detail!$G$1:$G$1001,0))</f>
        <v>Jalan Monginsidi No. 21</v>
      </c>
      <c r="U527" s="7" t="str">
        <f>INDEX(Detail!$B$1:$B$1001,MATCH(B527,Detail!$G$1:$G$1001,0),1)</f>
        <v>B-</v>
      </c>
      <c r="V527" s="7" t="str" cm="1">
        <f t="array" ref="V527">INDEX(Dosen!$B$3:$E$8,MATCH(Main!C527,Dosen!$A$3:$A$8,0),IF(AND(Main!A527&gt;=1,Main!A527&lt;=250),1,IF(AND(Main!A527&gt;=251,Main!A527&lt;=500),2,IF(AND(Main!A527&gt;=501,Main!A527&lt;=750),3,4))))</f>
        <v>Bu Ratna</v>
      </c>
      <c r="W527" s="7" t="str">
        <f>_xlfn.XLOOKUP(B527,Detail!$G$1:$G$1001,Detail!$B$1:$B$1001)</f>
        <v>B-</v>
      </c>
    </row>
    <row r="528" spans="1:23" ht="15.75" x14ac:dyDescent="0.25">
      <c r="A528" s="7">
        <v>165</v>
      </c>
      <c r="B528" s="33" t="str">
        <f t="shared" si="30"/>
        <v>D0165</v>
      </c>
      <c r="C528" s="7" t="s">
        <v>1013</v>
      </c>
      <c r="D528" s="33" t="str">
        <f>VLOOKUP(B528,Detail!$G$1:$H$1001,2,FALSE)</f>
        <v>Gading Hakim</v>
      </c>
      <c r="E528" s="7">
        <v>58</v>
      </c>
      <c r="F528" s="7">
        <v>66</v>
      </c>
      <c r="G528" s="57">
        <v>58</v>
      </c>
      <c r="H528" s="7">
        <v>59</v>
      </c>
      <c r="I528" s="7">
        <v>85</v>
      </c>
      <c r="J528" s="7">
        <v>88</v>
      </c>
      <c r="K528" s="7">
        <v>78</v>
      </c>
      <c r="L528" s="56" t="str">
        <f>IFERROR(VLOOKUP(B528,Absen!$A$1:$C$501,2,FALSE),"No")</f>
        <v>No</v>
      </c>
      <c r="M528" s="58">
        <f t="shared" si="28"/>
        <v>7.8000000000000007</v>
      </c>
      <c r="N528" s="57">
        <f t="shared" si="29"/>
        <v>70.5</v>
      </c>
      <c r="O528" s="7" t="str">
        <f>VLOOKUP(N528,Helper!$B$30:$C$35,2,TRUE)</f>
        <v>B</v>
      </c>
      <c r="P528" s="56">
        <f>INDEX(Detail!$A$1:$A$1001,MATCH(B528,Detail!$G$1:$G$1001,0))</f>
        <v>37095</v>
      </c>
      <c r="Q528" s="33" t="str">
        <f>INDEX(Detail!$F$1:$F$1001,MATCH(Main!B528,Detail!$G$1:$G$1001,0))</f>
        <v>Gorontalo</v>
      </c>
      <c r="R528" s="7">
        <f>INDEX(Detail!$C$1:$C$1001,MATCH(B528,Detail!$G$1:$G$1001,0),1)</f>
        <v>179</v>
      </c>
      <c r="S528" s="7">
        <f>INDEX(Detail!$D$1:$D$1001,MATCH(B528,Detail!$G$1:$G$1001,0),1)</f>
        <v>76</v>
      </c>
      <c r="T528" s="7" t="str">
        <f>INDEX(Detail!$E$1:$E$1001,MATCH(Main!B528,Detail!$G$1:$G$1001,0))</f>
        <v>Gang Cikapayang No. 76</v>
      </c>
      <c r="U528" s="7" t="str">
        <f>INDEX(Detail!$B$1:$B$1001,MATCH(B528,Detail!$G$1:$G$1001,0),1)</f>
        <v>A-</v>
      </c>
      <c r="V528" s="7" t="str" cm="1">
        <f t="array" ref="V528">INDEX(Dosen!$B$3:$E$8,MATCH(Main!C528,Dosen!$A$3:$A$8,0),IF(AND(Main!A528&gt;=1,Main!A528&lt;=250),1,IF(AND(Main!A528&gt;=251,Main!A528&lt;=500),2,IF(AND(Main!A528&gt;=501,Main!A528&lt;=750),3,4))))</f>
        <v>Bu Ratna</v>
      </c>
      <c r="W528" s="7" t="str">
        <f>_xlfn.XLOOKUP(B528,Detail!$G$1:$G$1001,Detail!$B$1:$B$1001)</f>
        <v>A-</v>
      </c>
    </row>
    <row r="529" spans="1:23" ht="15.75" x14ac:dyDescent="0.25">
      <c r="A529" s="7">
        <v>167</v>
      </c>
      <c r="B529" s="33" t="str">
        <f t="shared" si="30"/>
        <v>D0167</v>
      </c>
      <c r="C529" s="7" t="s">
        <v>1013</v>
      </c>
      <c r="D529" s="33" t="str">
        <f>VLOOKUP(B529,Detail!$G$1:$H$1001,2,FALSE)</f>
        <v>Liman Hartati</v>
      </c>
      <c r="E529" s="7">
        <v>78</v>
      </c>
      <c r="F529" s="7">
        <v>67</v>
      </c>
      <c r="G529" s="57">
        <v>83</v>
      </c>
      <c r="H529" s="7">
        <v>64</v>
      </c>
      <c r="I529" s="7">
        <v>69</v>
      </c>
      <c r="J529" s="7">
        <v>86</v>
      </c>
      <c r="K529" s="7">
        <v>92</v>
      </c>
      <c r="L529" s="56">
        <f>IFERROR(VLOOKUP(B529,Absen!$A$1:$C$501,2,FALSE),"No")</f>
        <v>44828</v>
      </c>
      <c r="M529" s="58">
        <f t="shared" si="28"/>
        <v>8.2000000000000011</v>
      </c>
      <c r="N529" s="57">
        <f t="shared" si="29"/>
        <v>76.75</v>
      </c>
      <c r="O529" s="7" t="str">
        <f>VLOOKUP(N529,Helper!$B$30:$C$35,2,TRUE)</f>
        <v>B</v>
      </c>
      <c r="P529" s="56">
        <f>INDEX(Detail!$A$1:$A$1001,MATCH(B529,Detail!$G$1:$G$1001,0))</f>
        <v>38272</v>
      </c>
      <c r="Q529" s="33" t="str">
        <f>INDEX(Detail!$F$1:$F$1001,MATCH(Main!B529,Detail!$G$1:$G$1001,0))</f>
        <v>Makassar</v>
      </c>
      <c r="R529" s="7">
        <f>INDEX(Detail!$C$1:$C$1001,MATCH(B529,Detail!$G$1:$G$1001,0),1)</f>
        <v>175</v>
      </c>
      <c r="S529" s="7">
        <f>INDEX(Detail!$D$1:$D$1001,MATCH(B529,Detail!$G$1:$G$1001,0),1)</f>
        <v>93</v>
      </c>
      <c r="T529" s="7" t="str">
        <f>INDEX(Detail!$E$1:$E$1001,MATCH(Main!B529,Detail!$G$1:$G$1001,0))</f>
        <v>Gg. Lembong No. 64</v>
      </c>
      <c r="U529" s="7" t="str">
        <f>INDEX(Detail!$B$1:$B$1001,MATCH(B529,Detail!$G$1:$G$1001,0),1)</f>
        <v>O+</v>
      </c>
      <c r="V529" s="7" t="str" cm="1">
        <f t="array" ref="V529">INDEX(Dosen!$B$3:$E$8,MATCH(Main!C529,Dosen!$A$3:$A$8,0),IF(AND(Main!A529&gt;=1,Main!A529&lt;=250),1,IF(AND(Main!A529&gt;=251,Main!A529&lt;=500),2,IF(AND(Main!A529&gt;=501,Main!A529&lt;=750),3,4))))</f>
        <v>Bu Ratna</v>
      </c>
      <c r="W529" s="7" t="str">
        <f>_xlfn.XLOOKUP(B529,Detail!$G$1:$G$1001,Detail!$B$1:$B$1001)</f>
        <v>O+</v>
      </c>
    </row>
    <row r="530" spans="1:23" ht="15.75" x14ac:dyDescent="0.25">
      <c r="A530" s="7">
        <v>171</v>
      </c>
      <c r="B530" s="33" t="str">
        <f t="shared" si="30"/>
        <v>D0171</v>
      </c>
      <c r="C530" s="7" t="s">
        <v>1013</v>
      </c>
      <c r="D530" s="33" t="str">
        <f>VLOOKUP(B530,Detail!$G$1:$H$1001,2,FALSE)</f>
        <v>Digdaya Saptono</v>
      </c>
      <c r="E530" s="7">
        <v>67</v>
      </c>
      <c r="F530" s="7">
        <v>68</v>
      </c>
      <c r="G530" s="57">
        <v>93</v>
      </c>
      <c r="H530" s="7">
        <v>52</v>
      </c>
      <c r="I530" s="7">
        <v>83</v>
      </c>
      <c r="J530" s="7">
        <v>85</v>
      </c>
      <c r="K530" s="7">
        <v>90</v>
      </c>
      <c r="L530" s="56" t="str">
        <f>IFERROR(VLOOKUP(B530,Absen!$A$1:$C$501,2,FALSE),"No")</f>
        <v>No</v>
      </c>
      <c r="M530" s="58">
        <f t="shared" si="28"/>
        <v>9</v>
      </c>
      <c r="N530" s="57">
        <f t="shared" si="29"/>
        <v>78.349999999999994</v>
      </c>
      <c r="O530" s="7" t="str">
        <f>VLOOKUP(N530,Helper!$B$30:$C$35,2,TRUE)</f>
        <v>B</v>
      </c>
      <c r="P530" s="56">
        <f>INDEX(Detail!$A$1:$A$1001,MATCH(B530,Detail!$G$1:$G$1001,0))</f>
        <v>38141</v>
      </c>
      <c r="Q530" s="33" t="str">
        <f>INDEX(Detail!$F$1:$F$1001,MATCH(Main!B530,Detail!$G$1:$G$1001,0))</f>
        <v>Tebingtinggi</v>
      </c>
      <c r="R530" s="7">
        <f>INDEX(Detail!$C$1:$C$1001,MATCH(B530,Detail!$G$1:$G$1001,0),1)</f>
        <v>168</v>
      </c>
      <c r="S530" s="7">
        <f>INDEX(Detail!$D$1:$D$1001,MATCH(B530,Detail!$G$1:$G$1001,0),1)</f>
        <v>77</v>
      </c>
      <c r="T530" s="7" t="str">
        <f>INDEX(Detail!$E$1:$E$1001,MATCH(Main!B530,Detail!$G$1:$G$1001,0))</f>
        <v>Jl. Yos Sudarso No. 38</v>
      </c>
      <c r="U530" s="7" t="str">
        <f>INDEX(Detail!$B$1:$B$1001,MATCH(B530,Detail!$G$1:$G$1001,0),1)</f>
        <v>O+</v>
      </c>
      <c r="V530" s="7" t="str" cm="1">
        <f t="array" ref="V530">INDEX(Dosen!$B$3:$E$8,MATCH(Main!C530,Dosen!$A$3:$A$8,0),IF(AND(Main!A530&gt;=1,Main!A530&lt;=250),1,IF(AND(Main!A530&gt;=251,Main!A530&lt;=500),2,IF(AND(Main!A530&gt;=501,Main!A530&lt;=750),3,4))))</f>
        <v>Bu Ratna</v>
      </c>
      <c r="W530" s="7" t="str">
        <f>_xlfn.XLOOKUP(B530,Detail!$G$1:$G$1001,Detail!$B$1:$B$1001)</f>
        <v>O+</v>
      </c>
    </row>
    <row r="531" spans="1:23" ht="15.75" x14ac:dyDescent="0.25">
      <c r="A531" s="7">
        <v>194</v>
      </c>
      <c r="B531" s="33" t="str">
        <f t="shared" si="30"/>
        <v>D0194</v>
      </c>
      <c r="C531" s="7" t="s">
        <v>1013</v>
      </c>
      <c r="D531" s="33" t="str">
        <f>VLOOKUP(B531,Detail!$G$1:$H$1001,2,FALSE)</f>
        <v>Okto Hastuti</v>
      </c>
      <c r="E531" s="7">
        <v>77</v>
      </c>
      <c r="F531" s="7">
        <v>60</v>
      </c>
      <c r="G531" s="57">
        <v>93</v>
      </c>
      <c r="H531" s="7">
        <v>51</v>
      </c>
      <c r="I531" s="7">
        <v>95</v>
      </c>
      <c r="J531" s="7">
        <v>52</v>
      </c>
      <c r="K531" s="7">
        <v>63</v>
      </c>
      <c r="L531" s="56">
        <f>IFERROR(VLOOKUP(B531,Absen!$A$1:$C$501,2,FALSE),"No")</f>
        <v>44756</v>
      </c>
      <c r="M531" s="58">
        <f t="shared" si="28"/>
        <v>5.3000000000000007</v>
      </c>
      <c r="N531" s="57">
        <f t="shared" si="29"/>
        <v>69.674999999999997</v>
      </c>
      <c r="O531" s="7" t="str">
        <f>VLOOKUP(N531,Helper!$B$30:$C$35,2,TRUE)</f>
        <v>C</v>
      </c>
      <c r="P531" s="56">
        <f>INDEX(Detail!$A$1:$A$1001,MATCH(B531,Detail!$G$1:$G$1001,0))</f>
        <v>38332</v>
      </c>
      <c r="Q531" s="33" t="str">
        <f>INDEX(Detail!$F$1:$F$1001,MATCH(Main!B531,Detail!$G$1:$G$1001,0))</f>
        <v>Metro</v>
      </c>
      <c r="R531" s="7">
        <f>INDEX(Detail!$C$1:$C$1001,MATCH(B531,Detail!$G$1:$G$1001,0),1)</f>
        <v>176</v>
      </c>
      <c r="S531" s="7">
        <f>INDEX(Detail!$D$1:$D$1001,MATCH(B531,Detail!$G$1:$G$1001,0),1)</f>
        <v>64</v>
      </c>
      <c r="T531" s="7" t="str">
        <f>INDEX(Detail!$E$1:$E$1001,MATCH(Main!B531,Detail!$G$1:$G$1001,0))</f>
        <v xml:space="preserve">Jalan Rumah Sakit No. 7
</v>
      </c>
      <c r="U531" s="7" t="str">
        <f>INDEX(Detail!$B$1:$B$1001,MATCH(B531,Detail!$G$1:$G$1001,0),1)</f>
        <v>AB-</v>
      </c>
      <c r="V531" s="7" t="str" cm="1">
        <f t="array" ref="V531">INDEX(Dosen!$B$3:$E$8,MATCH(Main!C531,Dosen!$A$3:$A$8,0),IF(AND(Main!A531&gt;=1,Main!A531&lt;=250),1,IF(AND(Main!A531&gt;=251,Main!A531&lt;=500),2,IF(AND(Main!A531&gt;=501,Main!A531&lt;=750),3,4))))</f>
        <v>Bu Ratna</v>
      </c>
      <c r="W531" s="7" t="str">
        <f>_xlfn.XLOOKUP(B531,Detail!$G$1:$G$1001,Detail!$B$1:$B$1001)</f>
        <v>AB-</v>
      </c>
    </row>
    <row r="532" spans="1:23" ht="15.75" x14ac:dyDescent="0.25">
      <c r="A532" s="7">
        <v>199</v>
      </c>
      <c r="B532" s="33" t="str">
        <f t="shared" si="30"/>
        <v>D0199</v>
      </c>
      <c r="C532" s="7" t="s">
        <v>1013</v>
      </c>
      <c r="D532" s="33" t="str">
        <f>VLOOKUP(B532,Detail!$G$1:$H$1001,2,FALSE)</f>
        <v>Kusuma Mayasari</v>
      </c>
      <c r="E532" s="7">
        <v>93</v>
      </c>
      <c r="F532" s="7">
        <v>44</v>
      </c>
      <c r="G532" s="57">
        <v>91</v>
      </c>
      <c r="H532" s="7">
        <v>69</v>
      </c>
      <c r="I532" s="7">
        <v>83</v>
      </c>
      <c r="J532" s="7">
        <v>41</v>
      </c>
      <c r="K532" s="7">
        <v>69</v>
      </c>
      <c r="L532" s="56">
        <f>IFERROR(VLOOKUP(B532,Absen!$A$1:$C$501,2,FALSE),"No")</f>
        <v>44746</v>
      </c>
      <c r="M532" s="58">
        <f t="shared" si="28"/>
        <v>5.9</v>
      </c>
      <c r="N532" s="57">
        <f t="shared" si="29"/>
        <v>68.425000000000011</v>
      </c>
      <c r="O532" s="7" t="str">
        <f>VLOOKUP(N532,Helper!$B$30:$C$35,2,TRUE)</f>
        <v>C</v>
      </c>
      <c r="P532" s="56">
        <f>INDEX(Detail!$A$1:$A$1001,MATCH(B532,Detail!$G$1:$G$1001,0))</f>
        <v>37037</v>
      </c>
      <c r="Q532" s="33" t="str">
        <f>INDEX(Detail!$F$1:$F$1001,MATCH(Main!B532,Detail!$G$1:$G$1001,0))</f>
        <v>Bima</v>
      </c>
      <c r="R532" s="7">
        <f>INDEX(Detail!$C$1:$C$1001,MATCH(B532,Detail!$G$1:$G$1001,0),1)</f>
        <v>180</v>
      </c>
      <c r="S532" s="7">
        <f>INDEX(Detail!$D$1:$D$1001,MATCH(B532,Detail!$G$1:$G$1001,0),1)</f>
        <v>80</v>
      </c>
      <c r="T532" s="7" t="str">
        <f>INDEX(Detail!$E$1:$E$1001,MATCH(Main!B532,Detail!$G$1:$G$1001,0))</f>
        <v>Jalan Sukajadi No. 78</v>
      </c>
      <c r="U532" s="7" t="str">
        <f>INDEX(Detail!$B$1:$B$1001,MATCH(B532,Detail!$G$1:$G$1001,0),1)</f>
        <v>AB+</v>
      </c>
      <c r="V532" s="7" t="str" cm="1">
        <f t="array" ref="V532">INDEX(Dosen!$B$3:$E$8,MATCH(Main!C532,Dosen!$A$3:$A$8,0),IF(AND(Main!A532&gt;=1,Main!A532&lt;=250),1,IF(AND(Main!A532&gt;=251,Main!A532&lt;=500),2,IF(AND(Main!A532&gt;=501,Main!A532&lt;=750),3,4))))</f>
        <v>Bu Ratna</v>
      </c>
      <c r="W532" s="7" t="str">
        <f>_xlfn.XLOOKUP(B532,Detail!$G$1:$G$1001,Detail!$B$1:$B$1001)</f>
        <v>AB+</v>
      </c>
    </row>
    <row r="533" spans="1:23" ht="15.75" x14ac:dyDescent="0.25">
      <c r="A533" s="7">
        <v>220</v>
      </c>
      <c r="B533" s="33" t="str">
        <f t="shared" si="30"/>
        <v>D0220</v>
      </c>
      <c r="C533" s="7" t="s">
        <v>1013</v>
      </c>
      <c r="D533" s="33" t="str">
        <f>VLOOKUP(B533,Detail!$G$1:$H$1001,2,FALSE)</f>
        <v>Indah Salahudin</v>
      </c>
      <c r="E533" s="7">
        <v>76</v>
      </c>
      <c r="F533" s="7">
        <v>65</v>
      </c>
      <c r="G533" s="57">
        <v>49</v>
      </c>
      <c r="H533" s="7">
        <v>72</v>
      </c>
      <c r="I533" s="7">
        <v>61</v>
      </c>
      <c r="J533" s="7">
        <v>41</v>
      </c>
      <c r="K533" s="7">
        <v>81</v>
      </c>
      <c r="L533" s="56">
        <f>IFERROR(VLOOKUP(B533,Absen!$A$1:$C$501,2,FALSE),"No")</f>
        <v>44864</v>
      </c>
      <c r="M533" s="58">
        <f t="shared" si="28"/>
        <v>7.1000000000000005</v>
      </c>
      <c r="N533" s="57">
        <f t="shared" si="29"/>
        <v>59.35</v>
      </c>
      <c r="O533" s="7" t="str">
        <f>VLOOKUP(N533,Helper!$B$30:$C$35,2,TRUE)</f>
        <v>D</v>
      </c>
      <c r="P533" s="56">
        <f>INDEX(Detail!$A$1:$A$1001,MATCH(B533,Detail!$G$1:$G$1001,0))</f>
        <v>37258</v>
      </c>
      <c r="Q533" s="33" t="str">
        <f>INDEX(Detail!$F$1:$F$1001,MATCH(Main!B533,Detail!$G$1:$G$1001,0))</f>
        <v>Bima</v>
      </c>
      <c r="R533" s="7">
        <f>INDEX(Detail!$C$1:$C$1001,MATCH(B533,Detail!$G$1:$G$1001,0),1)</f>
        <v>174</v>
      </c>
      <c r="S533" s="7">
        <f>INDEX(Detail!$D$1:$D$1001,MATCH(B533,Detail!$G$1:$G$1001,0),1)</f>
        <v>47</v>
      </c>
      <c r="T533" s="7" t="str">
        <f>INDEX(Detail!$E$1:$E$1001,MATCH(Main!B533,Detail!$G$1:$G$1001,0))</f>
        <v>Gg. Lembong No. 31</v>
      </c>
      <c r="U533" s="7" t="str">
        <f>INDEX(Detail!$B$1:$B$1001,MATCH(B533,Detail!$G$1:$G$1001,0),1)</f>
        <v>O-</v>
      </c>
      <c r="V533" s="7" t="str" cm="1">
        <f t="array" ref="V533">INDEX(Dosen!$B$3:$E$8,MATCH(Main!C533,Dosen!$A$3:$A$8,0),IF(AND(Main!A533&gt;=1,Main!A533&lt;=250),1,IF(AND(Main!A533&gt;=251,Main!A533&lt;=500),2,IF(AND(Main!A533&gt;=501,Main!A533&lt;=750),3,4))))</f>
        <v>Bu Ratna</v>
      </c>
      <c r="W533" s="7" t="str">
        <f>_xlfn.XLOOKUP(B533,Detail!$G$1:$G$1001,Detail!$B$1:$B$1001)</f>
        <v>O-</v>
      </c>
    </row>
    <row r="534" spans="1:23" ht="15.75" x14ac:dyDescent="0.25">
      <c r="A534" s="7">
        <v>224</v>
      </c>
      <c r="B534" s="33" t="str">
        <f t="shared" si="30"/>
        <v>D0224</v>
      </c>
      <c r="C534" s="7" t="s">
        <v>1013</v>
      </c>
      <c r="D534" s="33" t="str">
        <f>VLOOKUP(B534,Detail!$G$1:$H$1001,2,FALSE)</f>
        <v>Cahyadi Pradana</v>
      </c>
      <c r="E534" s="7">
        <v>78</v>
      </c>
      <c r="F534" s="7">
        <v>75</v>
      </c>
      <c r="G534" s="57">
        <v>44</v>
      </c>
      <c r="H534" s="7">
        <v>56</v>
      </c>
      <c r="I534" s="7">
        <v>73</v>
      </c>
      <c r="J534" s="7">
        <v>82</v>
      </c>
      <c r="K534" s="7">
        <v>87</v>
      </c>
      <c r="L534" s="56" t="str">
        <f>IFERROR(VLOOKUP(B534,Absen!$A$1:$C$501,2,FALSE),"No")</f>
        <v>No</v>
      </c>
      <c r="M534" s="58">
        <f t="shared" si="28"/>
        <v>8.7000000000000011</v>
      </c>
      <c r="N534" s="57">
        <f t="shared" si="29"/>
        <v>69.150000000000006</v>
      </c>
      <c r="O534" s="7" t="str">
        <f>VLOOKUP(N534,Helper!$B$30:$C$35,2,TRUE)</f>
        <v>C</v>
      </c>
      <c r="P534" s="56">
        <f>INDEX(Detail!$A$1:$A$1001,MATCH(B534,Detail!$G$1:$G$1001,0))</f>
        <v>37629</v>
      </c>
      <c r="Q534" s="33" t="str">
        <f>INDEX(Detail!$F$1:$F$1001,MATCH(Main!B534,Detail!$G$1:$G$1001,0))</f>
        <v>Sibolga</v>
      </c>
      <c r="R534" s="7">
        <f>INDEX(Detail!$C$1:$C$1001,MATCH(B534,Detail!$G$1:$G$1001,0),1)</f>
        <v>162</v>
      </c>
      <c r="S534" s="7">
        <f>INDEX(Detail!$D$1:$D$1001,MATCH(B534,Detail!$G$1:$G$1001,0),1)</f>
        <v>95</v>
      </c>
      <c r="T534" s="7" t="str">
        <f>INDEX(Detail!$E$1:$E$1001,MATCH(Main!B534,Detail!$G$1:$G$1001,0))</f>
        <v>Jalan PHH. Mustofa No. 42</v>
      </c>
      <c r="U534" s="7" t="str">
        <f>INDEX(Detail!$B$1:$B$1001,MATCH(B534,Detail!$G$1:$G$1001,0),1)</f>
        <v>O+</v>
      </c>
      <c r="V534" s="7" t="str" cm="1">
        <f t="array" ref="V534">INDEX(Dosen!$B$3:$E$8,MATCH(Main!C534,Dosen!$A$3:$A$8,0),IF(AND(Main!A534&gt;=1,Main!A534&lt;=250),1,IF(AND(Main!A534&gt;=251,Main!A534&lt;=500),2,IF(AND(Main!A534&gt;=501,Main!A534&lt;=750),3,4))))</f>
        <v>Bu Ratna</v>
      </c>
      <c r="W534" s="7" t="str">
        <f>_xlfn.XLOOKUP(B534,Detail!$G$1:$G$1001,Detail!$B$1:$B$1001)</f>
        <v>O+</v>
      </c>
    </row>
    <row r="535" spans="1:23" ht="15.75" x14ac:dyDescent="0.25">
      <c r="A535" s="7">
        <v>232</v>
      </c>
      <c r="B535" s="33" t="str">
        <f t="shared" si="30"/>
        <v>D0232</v>
      </c>
      <c r="C535" s="7" t="s">
        <v>1013</v>
      </c>
      <c r="D535" s="33" t="str">
        <f>VLOOKUP(B535,Detail!$G$1:$H$1001,2,FALSE)</f>
        <v>Kemal Napitupulu</v>
      </c>
      <c r="E535" s="7">
        <v>90</v>
      </c>
      <c r="F535" s="7">
        <v>60</v>
      </c>
      <c r="G535" s="57">
        <v>75</v>
      </c>
      <c r="H535" s="7">
        <v>65</v>
      </c>
      <c r="I535" s="7">
        <v>90</v>
      </c>
      <c r="J535" s="7">
        <v>64</v>
      </c>
      <c r="K535" s="7">
        <v>77</v>
      </c>
      <c r="L535" s="56" t="str">
        <f>IFERROR(VLOOKUP(B535,Absen!$A$1:$C$501,2,FALSE),"No")</f>
        <v>No</v>
      </c>
      <c r="M535" s="58">
        <f t="shared" si="28"/>
        <v>7.7</v>
      </c>
      <c r="N535" s="57">
        <f t="shared" si="29"/>
        <v>73.625</v>
      </c>
      <c r="O535" s="7" t="str">
        <f>VLOOKUP(N535,Helper!$B$30:$C$35,2,TRUE)</f>
        <v>B</v>
      </c>
      <c r="P535" s="56">
        <f>INDEX(Detail!$A$1:$A$1001,MATCH(B535,Detail!$G$1:$G$1001,0))</f>
        <v>38444</v>
      </c>
      <c r="Q535" s="33" t="str">
        <f>INDEX(Detail!$F$1:$F$1001,MATCH(Main!B535,Detail!$G$1:$G$1001,0))</f>
        <v>Sorong</v>
      </c>
      <c r="R535" s="7">
        <f>INDEX(Detail!$C$1:$C$1001,MATCH(B535,Detail!$G$1:$G$1001,0),1)</f>
        <v>179</v>
      </c>
      <c r="S535" s="7">
        <f>INDEX(Detail!$D$1:$D$1001,MATCH(B535,Detail!$G$1:$G$1001,0),1)</f>
        <v>75</v>
      </c>
      <c r="T535" s="7" t="str">
        <f>INDEX(Detail!$E$1:$E$1001,MATCH(Main!B535,Detail!$G$1:$G$1001,0))</f>
        <v>Gang M.H Thamrin No. 30</v>
      </c>
      <c r="U535" s="7" t="str">
        <f>INDEX(Detail!$B$1:$B$1001,MATCH(B535,Detail!$G$1:$G$1001,0),1)</f>
        <v>AB+</v>
      </c>
      <c r="V535" s="7" t="str" cm="1">
        <f t="array" ref="V535">INDEX(Dosen!$B$3:$E$8,MATCH(Main!C535,Dosen!$A$3:$A$8,0),IF(AND(Main!A535&gt;=1,Main!A535&lt;=250),1,IF(AND(Main!A535&gt;=251,Main!A535&lt;=500),2,IF(AND(Main!A535&gt;=501,Main!A535&lt;=750),3,4))))</f>
        <v>Bu Ratna</v>
      </c>
      <c r="W535" s="7" t="str">
        <f>_xlfn.XLOOKUP(B535,Detail!$G$1:$G$1001,Detail!$B$1:$B$1001)</f>
        <v>AB+</v>
      </c>
    </row>
    <row r="536" spans="1:23" ht="15.75" x14ac:dyDescent="0.25">
      <c r="A536" s="7">
        <v>236</v>
      </c>
      <c r="B536" s="33" t="str">
        <f t="shared" si="30"/>
        <v>D0236</v>
      </c>
      <c r="C536" s="7" t="s">
        <v>1013</v>
      </c>
      <c r="D536" s="33" t="str">
        <f>VLOOKUP(B536,Detail!$G$1:$H$1001,2,FALSE)</f>
        <v>Iriana Maulana</v>
      </c>
      <c r="E536" s="7">
        <v>95</v>
      </c>
      <c r="F536" s="7">
        <v>43</v>
      </c>
      <c r="G536" s="57">
        <v>54</v>
      </c>
      <c r="H536" s="7">
        <v>56</v>
      </c>
      <c r="I536" s="7">
        <v>54</v>
      </c>
      <c r="J536" s="7">
        <v>58</v>
      </c>
      <c r="K536" s="7">
        <v>62</v>
      </c>
      <c r="L536" s="56" t="str">
        <f>IFERROR(VLOOKUP(B536,Absen!$A$1:$C$501,2,FALSE),"No")</f>
        <v>No</v>
      </c>
      <c r="M536" s="58">
        <f t="shared" si="28"/>
        <v>6.2</v>
      </c>
      <c r="N536" s="57">
        <f t="shared" si="29"/>
        <v>59.6</v>
      </c>
      <c r="O536" s="7" t="str">
        <f>VLOOKUP(N536,Helper!$B$30:$C$35,2,TRUE)</f>
        <v>D</v>
      </c>
      <c r="P536" s="56">
        <f>INDEX(Detail!$A$1:$A$1001,MATCH(B536,Detail!$G$1:$G$1001,0))</f>
        <v>37613</v>
      </c>
      <c r="Q536" s="33" t="str">
        <f>INDEX(Detail!$F$1:$F$1001,MATCH(Main!B536,Detail!$G$1:$G$1001,0))</f>
        <v>Semarang</v>
      </c>
      <c r="R536" s="7">
        <f>INDEX(Detail!$C$1:$C$1001,MATCH(B536,Detail!$G$1:$G$1001,0),1)</f>
        <v>171</v>
      </c>
      <c r="S536" s="7">
        <f>INDEX(Detail!$D$1:$D$1001,MATCH(B536,Detail!$G$1:$G$1001,0),1)</f>
        <v>72</v>
      </c>
      <c r="T536" s="7" t="str">
        <f>INDEX(Detail!$E$1:$E$1001,MATCH(Main!B536,Detail!$G$1:$G$1001,0))</f>
        <v>Jalan Dr. Djunjunan No. 96</v>
      </c>
      <c r="U536" s="7" t="str">
        <f>INDEX(Detail!$B$1:$B$1001,MATCH(B536,Detail!$G$1:$G$1001,0),1)</f>
        <v>AB-</v>
      </c>
      <c r="V536" s="7" t="str" cm="1">
        <f t="array" ref="V536">INDEX(Dosen!$B$3:$E$8,MATCH(Main!C536,Dosen!$A$3:$A$8,0),IF(AND(Main!A536&gt;=1,Main!A536&lt;=250),1,IF(AND(Main!A536&gt;=251,Main!A536&lt;=500),2,IF(AND(Main!A536&gt;=501,Main!A536&lt;=750),3,4))))</f>
        <v>Bu Ratna</v>
      </c>
      <c r="W536" s="7" t="str">
        <f>_xlfn.XLOOKUP(B536,Detail!$G$1:$G$1001,Detail!$B$1:$B$1001)</f>
        <v>AB-</v>
      </c>
    </row>
    <row r="537" spans="1:23" ht="15.75" x14ac:dyDescent="0.25">
      <c r="A537" s="7">
        <v>238</v>
      </c>
      <c r="B537" s="33" t="str">
        <f t="shared" si="30"/>
        <v>D0238</v>
      </c>
      <c r="C537" s="7" t="s">
        <v>1013</v>
      </c>
      <c r="D537" s="33" t="str">
        <f>VLOOKUP(B537,Detail!$G$1:$H$1001,2,FALSE)</f>
        <v>Cahyo Mustofa</v>
      </c>
      <c r="E537" s="7">
        <v>82</v>
      </c>
      <c r="F537" s="7">
        <v>74</v>
      </c>
      <c r="G537" s="57">
        <v>87</v>
      </c>
      <c r="H537" s="7">
        <v>62</v>
      </c>
      <c r="I537" s="7">
        <v>66</v>
      </c>
      <c r="J537" s="7">
        <v>50</v>
      </c>
      <c r="K537" s="7">
        <v>78</v>
      </c>
      <c r="L537" s="56">
        <f>IFERROR(VLOOKUP(B537,Absen!$A$1:$C$501,2,FALSE),"No")</f>
        <v>44837</v>
      </c>
      <c r="M537" s="58">
        <f t="shared" si="28"/>
        <v>6.8000000000000007</v>
      </c>
      <c r="N537" s="57">
        <f t="shared" si="29"/>
        <v>69.7</v>
      </c>
      <c r="O537" s="7" t="str">
        <f>VLOOKUP(N537,Helper!$B$30:$C$35,2,TRUE)</f>
        <v>C</v>
      </c>
      <c r="P537" s="56">
        <f>INDEX(Detail!$A$1:$A$1001,MATCH(B537,Detail!$G$1:$G$1001,0))</f>
        <v>37329</v>
      </c>
      <c r="Q537" s="33" t="str">
        <f>INDEX(Detail!$F$1:$F$1001,MATCH(Main!B537,Detail!$G$1:$G$1001,0))</f>
        <v>Lhokseumawe</v>
      </c>
      <c r="R537" s="7">
        <f>INDEX(Detail!$C$1:$C$1001,MATCH(B537,Detail!$G$1:$G$1001,0),1)</f>
        <v>156</v>
      </c>
      <c r="S537" s="7">
        <f>INDEX(Detail!$D$1:$D$1001,MATCH(B537,Detail!$G$1:$G$1001,0),1)</f>
        <v>84</v>
      </c>
      <c r="T537" s="7" t="str">
        <f>INDEX(Detail!$E$1:$E$1001,MATCH(Main!B537,Detail!$G$1:$G$1001,0))</f>
        <v xml:space="preserve">Gg. Suryakencana No. 0
</v>
      </c>
      <c r="U537" s="7" t="str">
        <f>INDEX(Detail!$B$1:$B$1001,MATCH(B537,Detail!$G$1:$G$1001,0),1)</f>
        <v>B-</v>
      </c>
      <c r="V537" s="7" t="str" cm="1">
        <f t="array" ref="V537">INDEX(Dosen!$B$3:$E$8,MATCH(Main!C537,Dosen!$A$3:$A$8,0),IF(AND(Main!A537&gt;=1,Main!A537&lt;=250),1,IF(AND(Main!A537&gt;=251,Main!A537&lt;=500),2,IF(AND(Main!A537&gt;=501,Main!A537&lt;=750),3,4))))</f>
        <v>Bu Ratna</v>
      </c>
      <c r="W537" s="7" t="str">
        <f>_xlfn.XLOOKUP(B537,Detail!$G$1:$G$1001,Detail!$B$1:$B$1001)</f>
        <v>B-</v>
      </c>
    </row>
    <row r="538" spans="1:23" ht="15.75" x14ac:dyDescent="0.25">
      <c r="A538" s="7">
        <v>241</v>
      </c>
      <c r="B538" s="33" t="str">
        <f t="shared" si="30"/>
        <v>D0241</v>
      </c>
      <c r="C538" s="7" t="s">
        <v>1013</v>
      </c>
      <c r="D538" s="33" t="str">
        <f>VLOOKUP(B538,Detail!$G$1:$H$1001,2,FALSE)</f>
        <v>Prayitna Habibi</v>
      </c>
      <c r="E538" s="7">
        <v>74</v>
      </c>
      <c r="F538" s="7">
        <v>55</v>
      </c>
      <c r="G538" s="57">
        <v>65</v>
      </c>
      <c r="H538" s="7">
        <v>74</v>
      </c>
      <c r="I538" s="7">
        <v>89</v>
      </c>
      <c r="J538" s="7">
        <v>66</v>
      </c>
      <c r="K538" s="7">
        <v>85</v>
      </c>
      <c r="L538" s="56">
        <f>IFERROR(VLOOKUP(B538,Absen!$A$1:$C$501,2,FALSE),"No")</f>
        <v>44875</v>
      </c>
      <c r="M538" s="58">
        <f t="shared" si="28"/>
        <v>7.5</v>
      </c>
      <c r="N538" s="57">
        <f t="shared" si="29"/>
        <v>70.2</v>
      </c>
      <c r="O538" s="7" t="str">
        <f>VLOOKUP(N538,Helper!$B$30:$C$35,2,TRUE)</f>
        <v>B</v>
      </c>
      <c r="P538" s="56">
        <f>INDEX(Detail!$A$1:$A$1001,MATCH(B538,Detail!$G$1:$G$1001,0))</f>
        <v>37766</v>
      </c>
      <c r="Q538" s="33" t="str">
        <f>INDEX(Detail!$F$1:$F$1001,MATCH(Main!B538,Detail!$G$1:$G$1001,0))</f>
        <v>Tual</v>
      </c>
      <c r="R538" s="7">
        <f>INDEX(Detail!$C$1:$C$1001,MATCH(B538,Detail!$G$1:$G$1001,0),1)</f>
        <v>151</v>
      </c>
      <c r="S538" s="7">
        <f>INDEX(Detail!$D$1:$D$1001,MATCH(B538,Detail!$G$1:$G$1001,0),1)</f>
        <v>45</v>
      </c>
      <c r="T538" s="7" t="str">
        <f>INDEX(Detail!$E$1:$E$1001,MATCH(Main!B538,Detail!$G$1:$G$1001,0))</f>
        <v xml:space="preserve">Gang PHH. Mustofa No. 8
</v>
      </c>
      <c r="U538" s="7" t="str">
        <f>INDEX(Detail!$B$1:$B$1001,MATCH(B538,Detail!$G$1:$G$1001,0),1)</f>
        <v>AB-</v>
      </c>
      <c r="V538" s="7" t="str" cm="1">
        <f t="array" ref="V538">INDEX(Dosen!$B$3:$E$8,MATCH(Main!C538,Dosen!$A$3:$A$8,0),IF(AND(Main!A538&gt;=1,Main!A538&lt;=250),1,IF(AND(Main!A538&gt;=251,Main!A538&lt;=500),2,IF(AND(Main!A538&gt;=501,Main!A538&lt;=750),3,4))))</f>
        <v>Bu Ratna</v>
      </c>
      <c r="W538" s="7" t="str">
        <f>_xlfn.XLOOKUP(B538,Detail!$G$1:$G$1001,Detail!$B$1:$B$1001)</f>
        <v>AB-</v>
      </c>
    </row>
    <row r="539" spans="1:23" ht="15.75" x14ac:dyDescent="0.25">
      <c r="A539" s="7">
        <v>259</v>
      </c>
      <c r="B539" s="33" t="str">
        <f t="shared" si="30"/>
        <v>D0259</v>
      </c>
      <c r="C539" s="7" t="s">
        <v>1013</v>
      </c>
      <c r="D539" s="33" t="str">
        <f>VLOOKUP(B539,Detail!$G$1:$H$1001,2,FALSE)</f>
        <v>Luluh Putra</v>
      </c>
      <c r="E539" s="7">
        <v>80</v>
      </c>
      <c r="F539" s="7">
        <v>51</v>
      </c>
      <c r="G539" s="57">
        <v>70</v>
      </c>
      <c r="H539" s="7">
        <v>60</v>
      </c>
      <c r="I539" s="7">
        <v>52</v>
      </c>
      <c r="J539" s="7">
        <v>97</v>
      </c>
      <c r="K539" s="7">
        <v>72</v>
      </c>
      <c r="L539" s="56" t="str">
        <f>IFERROR(VLOOKUP(B539,Absen!$A$1:$C$501,2,FALSE),"No")</f>
        <v>No</v>
      </c>
      <c r="M539" s="58">
        <f t="shared" si="28"/>
        <v>7.2</v>
      </c>
      <c r="N539" s="57">
        <f t="shared" si="29"/>
        <v>70.975000000000009</v>
      </c>
      <c r="O539" s="7" t="str">
        <f>VLOOKUP(N539,Helper!$B$30:$C$35,2,TRUE)</f>
        <v>B</v>
      </c>
      <c r="P539" s="56">
        <f>INDEX(Detail!$A$1:$A$1001,MATCH(B539,Detail!$G$1:$G$1001,0))</f>
        <v>37419</v>
      </c>
      <c r="Q539" s="33" t="str">
        <f>INDEX(Detail!$F$1:$F$1001,MATCH(Main!B539,Detail!$G$1:$G$1001,0))</f>
        <v>Mataram</v>
      </c>
      <c r="R539" s="7">
        <f>INDEX(Detail!$C$1:$C$1001,MATCH(B539,Detail!$G$1:$G$1001,0),1)</f>
        <v>161</v>
      </c>
      <c r="S539" s="7">
        <f>INDEX(Detail!$D$1:$D$1001,MATCH(B539,Detail!$G$1:$G$1001,0),1)</f>
        <v>50</v>
      </c>
      <c r="T539" s="7" t="str">
        <f>INDEX(Detail!$E$1:$E$1001,MATCH(Main!B539,Detail!$G$1:$G$1001,0))</f>
        <v>Gang Suryakencana No. 35</v>
      </c>
      <c r="U539" s="7" t="str">
        <f>INDEX(Detail!$B$1:$B$1001,MATCH(B539,Detail!$G$1:$G$1001,0),1)</f>
        <v>A-</v>
      </c>
      <c r="V539" s="7" t="str" cm="1">
        <f t="array" ref="V539">INDEX(Dosen!$B$3:$E$8,MATCH(Main!C539,Dosen!$A$3:$A$8,0),IF(AND(Main!A539&gt;=1,Main!A539&lt;=250),1,IF(AND(Main!A539&gt;=251,Main!A539&lt;=500),2,IF(AND(Main!A539&gt;=501,Main!A539&lt;=750),3,4))))</f>
        <v>Pak Andi</v>
      </c>
      <c r="W539" s="7" t="str">
        <f>_xlfn.XLOOKUP(B539,Detail!$G$1:$G$1001,Detail!$B$1:$B$1001)</f>
        <v>A-</v>
      </c>
    </row>
    <row r="540" spans="1:23" ht="15.75" x14ac:dyDescent="0.25">
      <c r="A540" s="7">
        <v>262</v>
      </c>
      <c r="B540" s="33" t="str">
        <f t="shared" si="30"/>
        <v>D0262</v>
      </c>
      <c r="C540" s="7" t="s">
        <v>1013</v>
      </c>
      <c r="D540" s="33" t="str">
        <f>VLOOKUP(B540,Detail!$G$1:$H$1001,2,FALSE)</f>
        <v>Pangestu Manullang</v>
      </c>
      <c r="E540" s="7">
        <v>53</v>
      </c>
      <c r="F540" s="7">
        <v>72</v>
      </c>
      <c r="G540" s="57">
        <v>43</v>
      </c>
      <c r="H540" s="7">
        <v>66</v>
      </c>
      <c r="I540" s="7">
        <v>79</v>
      </c>
      <c r="J540" s="7">
        <v>82</v>
      </c>
      <c r="K540" s="7">
        <v>86</v>
      </c>
      <c r="L540" s="56">
        <f>IFERROR(VLOOKUP(B540,Absen!$A$1:$C$501,2,FALSE),"No")</f>
        <v>44786</v>
      </c>
      <c r="M540" s="58">
        <f t="shared" si="28"/>
        <v>7.6000000000000005</v>
      </c>
      <c r="N540" s="57">
        <f t="shared" si="29"/>
        <v>66.349999999999994</v>
      </c>
      <c r="O540" s="7" t="str">
        <f>VLOOKUP(N540,Helper!$B$30:$C$35,2,TRUE)</f>
        <v>C</v>
      </c>
      <c r="P540" s="56">
        <f>INDEX(Detail!$A$1:$A$1001,MATCH(B540,Detail!$G$1:$G$1001,0))</f>
        <v>38358</v>
      </c>
      <c r="Q540" s="33" t="str">
        <f>INDEX(Detail!$F$1:$F$1001,MATCH(Main!B540,Detail!$G$1:$G$1001,0))</f>
        <v>Sibolga</v>
      </c>
      <c r="R540" s="7">
        <f>INDEX(Detail!$C$1:$C$1001,MATCH(B540,Detail!$G$1:$G$1001,0),1)</f>
        <v>177</v>
      </c>
      <c r="S540" s="7">
        <f>INDEX(Detail!$D$1:$D$1001,MATCH(B540,Detail!$G$1:$G$1001,0),1)</f>
        <v>62</v>
      </c>
      <c r="T540" s="7" t="str">
        <f>INDEX(Detail!$E$1:$E$1001,MATCH(Main!B540,Detail!$G$1:$G$1001,0))</f>
        <v>Jl. Siliwangi No. 20</v>
      </c>
      <c r="U540" s="7" t="str">
        <f>INDEX(Detail!$B$1:$B$1001,MATCH(B540,Detail!$G$1:$G$1001,0),1)</f>
        <v>O+</v>
      </c>
      <c r="V540" s="7" t="str" cm="1">
        <f t="array" ref="V540">INDEX(Dosen!$B$3:$E$8,MATCH(Main!C540,Dosen!$A$3:$A$8,0),IF(AND(Main!A540&gt;=1,Main!A540&lt;=250),1,IF(AND(Main!A540&gt;=251,Main!A540&lt;=500),2,IF(AND(Main!A540&gt;=501,Main!A540&lt;=750),3,4))))</f>
        <v>Pak Andi</v>
      </c>
      <c r="W540" s="7" t="str">
        <f>_xlfn.XLOOKUP(B540,Detail!$G$1:$G$1001,Detail!$B$1:$B$1001)</f>
        <v>O+</v>
      </c>
    </row>
    <row r="541" spans="1:23" ht="15.75" x14ac:dyDescent="0.25">
      <c r="A541" s="7">
        <v>266</v>
      </c>
      <c r="B541" s="33" t="str">
        <f t="shared" si="30"/>
        <v>D0266</v>
      </c>
      <c r="C541" s="7" t="s">
        <v>1013</v>
      </c>
      <c r="D541" s="33" t="str">
        <f>VLOOKUP(B541,Detail!$G$1:$H$1001,2,FALSE)</f>
        <v>Emil Jailani</v>
      </c>
      <c r="E541" s="7">
        <v>72</v>
      </c>
      <c r="F541" s="7">
        <v>61</v>
      </c>
      <c r="G541" s="57">
        <v>85</v>
      </c>
      <c r="H541" s="7">
        <v>52</v>
      </c>
      <c r="I541" s="7">
        <v>59</v>
      </c>
      <c r="J541" s="7">
        <v>60</v>
      </c>
      <c r="K541" s="7">
        <v>92</v>
      </c>
      <c r="L541" s="56" t="str">
        <f>IFERROR(VLOOKUP(B541,Absen!$A$1:$C$501,2,FALSE),"No")</f>
        <v>No</v>
      </c>
      <c r="M541" s="58">
        <f t="shared" si="28"/>
        <v>9.2000000000000011</v>
      </c>
      <c r="N541" s="57">
        <f t="shared" si="29"/>
        <v>68.7</v>
      </c>
      <c r="O541" s="7" t="str">
        <f>VLOOKUP(N541,Helper!$B$30:$C$35,2,TRUE)</f>
        <v>C</v>
      </c>
      <c r="P541" s="56">
        <f>INDEX(Detail!$A$1:$A$1001,MATCH(B541,Detail!$G$1:$G$1001,0))</f>
        <v>37125</v>
      </c>
      <c r="Q541" s="33" t="str">
        <f>INDEX(Detail!$F$1:$F$1001,MATCH(Main!B541,Detail!$G$1:$G$1001,0))</f>
        <v>Tarakan</v>
      </c>
      <c r="R541" s="7">
        <f>INDEX(Detail!$C$1:$C$1001,MATCH(B541,Detail!$G$1:$G$1001,0),1)</f>
        <v>158</v>
      </c>
      <c r="S541" s="7">
        <f>INDEX(Detail!$D$1:$D$1001,MATCH(B541,Detail!$G$1:$G$1001,0),1)</f>
        <v>64</v>
      </c>
      <c r="T541" s="7" t="str">
        <f>INDEX(Detail!$E$1:$E$1001,MATCH(Main!B541,Detail!$G$1:$G$1001,0))</f>
        <v xml:space="preserve">Jalan Surapati No. 6
</v>
      </c>
      <c r="U541" s="7" t="str">
        <f>INDEX(Detail!$B$1:$B$1001,MATCH(B541,Detail!$G$1:$G$1001,0),1)</f>
        <v>O-</v>
      </c>
      <c r="V541" s="7" t="str" cm="1">
        <f t="array" ref="V541">INDEX(Dosen!$B$3:$E$8,MATCH(Main!C541,Dosen!$A$3:$A$8,0),IF(AND(Main!A541&gt;=1,Main!A541&lt;=250),1,IF(AND(Main!A541&gt;=251,Main!A541&lt;=500),2,IF(AND(Main!A541&gt;=501,Main!A541&lt;=750),3,4))))</f>
        <v>Pak Andi</v>
      </c>
      <c r="W541" s="7" t="str">
        <f>_xlfn.XLOOKUP(B541,Detail!$G$1:$G$1001,Detail!$B$1:$B$1001)</f>
        <v>O-</v>
      </c>
    </row>
    <row r="542" spans="1:23" ht="15.75" x14ac:dyDescent="0.25">
      <c r="A542" s="7">
        <v>270</v>
      </c>
      <c r="B542" s="33" t="str">
        <f t="shared" si="30"/>
        <v>D0270</v>
      </c>
      <c r="C542" s="7" t="s">
        <v>1013</v>
      </c>
      <c r="D542" s="33" t="str">
        <f>VLOOKUP(B542,Detail!$G$1:$H$1001,2,FALSE)</f>
        <v>Bajragin Riyanti</v>
      </c>
      <c r="E542" s="7">
        <v>94</v>
      </c>
      <c r="F542" s="7">
        <v>44</v>
      </c>
      <c r="G542" s="57">
        <v>64</v>
      </c>
      <c r="H542" s="7">
        <v>64</v>
      </c>
      <c r="I542" s="7">
        <v>95</v>
      </c>
      <c r="J542" s="7">
        <v>47</v>
      </c>
      <c r="K542" s="7">
        <v>90</v>
      </c>
      <c r="L542" s="56">
        <f>IFERROR(VLOOKUP(B542,Absen!$A$1:$C$501,2,FALSE),"No")</f>
        <v>44901</v>
      </c>
      <c r="M542" s="58">
        <f t="shared" si="28"/>
        <v>8</v>
      </c>
      <c r="N542" s="57">
        <f t="shared" si="29"/>
        <v>67.324999999999989</v>
      </c>
      <c r="O542" s="7" t="str">
        <f>VLOOKUP(N542,Helper!$B$30:$C$35,2,TRUE)</f>
        <v>C</v>
      </c>
      <c r="P542" s="56">
        <f>INDEX(Detail!$A$1:$A$1001,MATCH(B542,Detail!$G$1:$G$1001,0))</f>
        <v>37552</v>
      </c>
      <c r="Q542" s="33" t="str">
        <f>INDEX(Detail!$F$1:$F$1001,MATCH(Main!B542,Detail!$G$1:$G$1001,0))</f>
        <v>Magelang</v>
      </c>
      <c r="R542" s="7">
        <f>INDEX(Detail!$C$1:$C$1001,MATCH(B542,Detail!$G$1:$G$1001,0),1)</f>
        <v>168</v>
      </c>
      <c r="S542" s="7">
        <f>INDEX(Detail!$D$1:$D$1001,MATCH(B542,Detail!$G$1:$G$1001,0),1)</f>
        <v>88</v>
      </c>
      <c r="T542" s="7" t="str">
        <f>INDEX(Detail!$E$1:$E$1001,MATCH(Main!B542,Detail!$G$1:$G$1001,0))</f>
        <v xml:space="preserve">Jalan Cikutra Timur No. 9
</v>
      </c>
      <c r="U542" s="7" t="str">
        <f>INDEX(Detail!$B$1:$B$1001,MATCH(B542,Detail!$G$1:$G$1001,0),1)</f>
        <v>A+</v>
      </c>
      <c r="V542" s="7" t="str" cm="1">
        <f t="array" ref="V542">INDEX(Dosen!$B$3:$E$8,MATCH(Main!C542,Dosen!$A$3:$A$8,0),IF(AND(Main!A542&gt;=1,Main!A542&lt;=250),1,IF(AND(Main!A542&gt;=251,Main!A542&lt;=500),2,IF(AND(Main!A542&gt;=501,Main!A542&lt;=750),3,4))))</f>
        <v>Pak Andi</v>
      </c>
      <c r="W542" s="7" t="str">
        <f>_xlfn.XLOOKUP(B542,Detail!$G$1:$G$1001,Detail!$B$1:$B$1001)</f>
        <v>A+</v>
      </c>
    </row>
    <row r="543" spans="1:23" ht="15.75" x14ac:dyDescent="0.25">
      <c r="A543" s="7">
        <v>271</v>
      </c>
      <c r="B543" s="33" t="str">
        <f t="shared" si="30"/>
        <v>D0271</v>
      </c>
      <c r="C543" s="7" t="s">
        <v>1013</v>
      </c>
      <c r="D543" s="33" t="str">
        <f>VLOOKUP(B543,Detail!$G$1:$H$1001,2,FALSE)</f>
        <v>Vera Suryatmi</v>
      </c>
      <c r="E543" s="7">
        <v>53</v>
      </c>
      <c r="F543" s="7">
        <v>74</v>
      </c>
      <c r="G543" s="57">
        <v>38</v>
      </c>
      <c r="H543" s="7">
        <v>72</v>
      </c>
      <c r="I543" s="7">
        <v>54</v>
      </c>
      <c r="J543" s="7">
        <v>73</v>
      </c>
      <c r="K543" s="7">
        <v>78</v>
      </c>
      <c r="L543" s="56" t="str">
        <f>IFERROR(VLOOKUP(B543,Absen!$A$1:$C$501,2,FALSE),"No")</f>
        <v>No</v>
      </c>
      <c r="M543" s="58">
        <f t="shared" si="28"/>
        <v>7.8000000000000007</v>
      </c>
      <c r="N543" s="57">
        <f t="shared" si="29"/>
        <v>61.625</v>
      </c>
      <c r="O543" s="7" t="str">
        <f>VLOOKUP(N543,Helper!$B$30:$C$35,2,TRUE)</f>
        <v>C</v>
      </c>
      <c r="P543" s="56">
        <f>INDEX(Detail!$A$1:$A$1001,MATCH(B543,Detail!$G$1:$G$1001,0))</f>
        <v>37447</v>
      </c>
      <c r="Q543" s="33" t="str">
        <f>INDEX(Detail!$F$1:$F$1001,MATCH(Main!B543,Detail!$G$1:$G$1001,0))</f>
        <v>Kota Administrasi Jakarta Barat</v>
      </c>
      <c r="R543" s="7">
        <f>INDEX(Detail!$C$1:$C$1001,MATCH(B543,Detail!$G$1:$G$1001,0),1)</f>
        <v>168</v>
      </c>
      <c r="S543" s="7">
        <f>INDEX(Detail!$D$1:$D$1001,MATCH(B543,Detail!$G$1:$G$1001,0),1)</f>
        <v>64</v>
      </c>
      <c r="T543" s="7" t="str">
        <f>INDEX(Detail!$E$1:$E$1001,MATCH(Main!B543,Detail!$G$1:$G$1001,0))</f>
        <v>Jalan W.R. Supratman No. 21</v>
      </c>
      <c r="U543" s="7" t="str">
        <f>INDEX(Detail!$B$1:$B$1001,MATCH(B543,Detail!$G$1:$G$1001,0),1)</f>
        <v>AB+</v>
      </c>
      <c r="V543" s="7" t="str" cm="1">
        <f t="array" ref="V543">INDEX(Dosen!$B$3:$E$8,MATCH(Main!C543,Dosen!$A$3:$A$8,0),IF(AND(Main!A543&gt;=1,Main!A543&lt;=250),1,IF(AND(Main!A543&gt;=251,Main!A543&lt;=500),2,IF(AND(Main!A543&gt;=501,Main!A543&lt;=750),3,4))))</f>
        <v>Pak Andi</v>
      </c>
      <c r="W543" s="7" t="str">
        <f>_xlfn.XLOOKUP(B543,Detail!$G$1:$G$1001,Detail!$B$1:$B$1001)</f>
        <v>AB+</v>
      </c>
    </row>
    <row r="544" spans="1:23" ht="15.75" x14ac:dyDescent="0.25">
      <c r="A544" s="7">
        <v>283</v>
      </c>
      <c r="B544" s="33" t="str">
        <f t="shared" si="30"/>
        <v>D0283</v>
      </c>
      <c r="C544" s="7" t="s">
        <v>1013</v>
      </c>
      <c r="D544" s="33" t="str">
        <f>VLOOKUP(B544,Detail!$G$1:$H$1001,2,FALSE)</f>
        <v>Victoria Handayani</v>
      </c>
      <c r="E544" s="7">
        <v>74</v>
      </c>
      <c r="F544" s="7">
        <v>54</v>
      </c>
      <c r="G544" s="57">
        <v>51</v>
      </c>
      <c r="H544" s="7">
        <v>50</v>
      </c>
      <c r="I544" s="7">
        <v>70</v>
      </c>
      <c r="J544" s="7">
        <v>85</v>
      </c>
      <c r="K544" s="7">
        <v>84</v>
      </c>
      <c r="L544" s="56" t="str">
        <f>IFERROR(VLOOKUP(B544,Absen!$A$1:$C$501,2,FALSE),"No")</f>
        <v>No</v>
      </c>
      <c r="M544" s="58">
        <f t="shared" si="28"/>
        <v>8.4</v>
      </c>
      <c r="N544" s="57">
        <f t="shared" si="29"/>
        <v>66.600000000000009</v>
      </c>
      <c r="O544" s="7" t="str">
        <f>VLOOKUP(N544,Helper!$B$30:$C$35,2,TRUE)</f>
        <v>C</v>
      </c>
      <c r="P544" s="56">
        <f>INDEX(Detail!$A$1:$A$1001,MATCH(B544,Detail!$G$1:$G$1001,0))</f>
        <v>37663</v>
      </c>
      <c r="Q544" s="33" t="str">
        <f>INDEX(Detail!$F$1:$F$1001,MATCH(Main!B544,Detail!$G$1:$G$1001,0))</f>
        <v>Palembang</v>
      </c>
      <c r="R544" s="7">
        <f>INDEX(Detail!$C$1:$C$1001,MATCH(B544,Detail!$G$1:$G$1001,0),1)</f>
        <v>168</v>
      </c>
      <c r="S544" s="7">
        <f>INDEX(Detail!$D$1:$D$1001,MATCH(B544,Detail!$G$1:$G$1001,0),1)</f>
        <v>80</v>
      </c>
      <c r="T544" s="7" t="str">
        <f>INDEX(Detail!$E$1:$E$1001,MATCH(Main!B544,Detail!$G$1:$G$1001,0))</f>
        <v>Gg. PHH. Mustofa No. 87</v>
      </c>
      <c r="U544" s="7" t="str">
        <f>INDEX(Detail!$B$1:$B$1001,MATCH(B544,Detail!$G$1:$G$1001,0),1)</f>
        <v>AB-</v>
      </c>
      <c r="V544" s="7" t="str" cm="1">
        <f t="array" ref="V544">INDEX(Dosen!$B$3:$E$8,MATCH(Main!C544,Dosen!$A$3:$A$8,0),IF(AND(Main!A544&gt;=1,Main!A544&lt;=250),1,IF(AND(Main!A544&gt;=251,Main!A544&lt;=500),2,IF(AND(Main!A544&gt;=501,Main!A544&lt;=750),3,4))))</f>
        <v>Pak Andi</v>
      </c>
      <c r="W544" s="7" t="str">
        <f>_xlfn.XLOOKUP(B544,Detail!$G$1:$G$1001,Detail!$B$1:$B$1001)</f>
        <v>AB-</v>
      </c>
    </row>
    <row r="545" spans="1:23" ht="15.75" x14ac:dyDescent="0.25">
      <c r="A545" s="7">
        <v>287</v>
      </c>
      <c r="B545" s="33" t="str">
        <f t="shared" si="30"/>
        <v>D0287</v>
      </c>
      <c r="C545" s="7" t="s">
        <v>1013</v>
      </c>
      <c r="D545" s="33" t="str">
        <f>VLOOKUP(B545,Detail!$G$1:$H$1001,2,FALSE)</f>
        <v>Danuja Utama</v>
      </c>
      <c r="E545" s="7">
        <v>71</v>
      </c>
      <c r="F545" s="7">
        <v>59</v>
      </c>
      <c r="G545" s="57">
        <v>55</v>
      </c>
      <c r="H545" s="7">
        <v>57</v>
      </c>
      <c r="I545" s="7">
        <v>64</v>
      </c>
      <c r="J545" s="7">
        <v>65</v>
      </c>
      <c r="K545" s="7">
        <v>81</v>
      </c>
      <c r="L545" s="56">
        <f>IFERROR(VLOOKUP(B545,Absen!$A$1:$C$501,2,FALSE),"No")</f>
        <v>44843</v>
      </c>
      <c r="M545" s="58">
        <f t="shared" si="28"/>
        <v>7.1000000000000005</v>
      </c>
      <c r="N545" s="57">
        <f t="shared" si="29"/>
        <v>62.475000000000001</v>
      </c>
      <c r="O545" s="7" t="str">
        <f>VLOOKUP(N545,Helper!$B$30:$C$35,2,TRUE)</f>
        <v>C</v>
      </c>
      <c r="P545" s="56">
        <f>INDEX(Detail!$A$1:$A$1001,MATCH(B545,Detail!$G$1:$G$1001,0))</f>
        <v>37556</v>
      </c>
      <c r="Q545" s="33" t="str">
        <f>INDEX(Detail!$F$1:$F$1001,MATCH(Main!B545,Detail!$G$1:$G$1001,0))</f>
        <v>Tarakan</v>
      </c>
      <c r="R545" s="7">
        <f>INDEX(Detail!$C$1:$C$1001,MATCH(B545,Detail!$G$1:$G$1001,0),1)</f>
        <v>167</v>
      </c>
      <c r="S545" s="7">
        <f>INDEX(Detail!$D$1:$D$1001,MATCH(B545,Detail!$G$1:$G$1001,0),1)</f>
        <v>55</v>
      </c>
      <c r="T545" s="7" t="str">
        <f>INDEX(Detail!$E$1:$E$1001,MATCH(Main!B545,Detail!$G$1:$G$1001,0))</f>
        <v>Jl. Tubagus Ismail No. 73</v>
      </c>
      <c r="U545" s="7" t="str">
        <f>INDEX(Detail!$B$1:$B$1001,MATCH(B545,Detail!$G$1:$G$1001,0),1)</f>
        <v>O-</v>
      </c>
      <c r="V545" s="7" t="str" cm="1">
        <f t="array" ref="V545">INDEX(Dosen!$B$3:$E$8,MATCH(Main!C545,Dosen!$A$3:$A$8,0),IF(AND(Main!A545&gt;=1,Main!A545&lt;=250),1,IF(AND(Main!A545&gt;=251,Main!A545&lt;=500),2,IF(AND(Main!A545&gt;=501,Main!A545&lt;=750),3,4))))</f>
        <v>Pak Andi</v>
      </c>
      <c r="W545" s="7" t="str">
        <f>_xlfn.XLOOKUP(B545,Detail!$G$1:$G$1001,Detail!$B$1:$B$1001)</f>
        <v>O-</v>
      </c>
    </row>
    <row r="546" spans="1:23" ht="15.75" x14ac:dyDescent="0.25">
      <c r="A546" s="7">
        <v>292</v>
      </c>
      <c r="B546" s="33" t="str">
        <f t="shared" si="30"/>
        <v>D0292</v>
      </c>
      <c r="C546" s="7" t="s">
        <v>1013</v>
      </c>
      <c r="D546" s="33" t="str">
        <f>VLOOKUP(B546,Detail!$G$1:$H$1001,2,FALSE)</f>
        <v>Akarsana Firgantoro</v>
      </c>
      <c r="E546" s="7">
        <v>63</v>
      </c>
      <c r="F546" s="7">
        <v>56</v>
      </c>
      <c r="G546" s="57">
        <v>80</v>
      </c>
      <c r="H546" s="7">
        <v>56</v>
      </c>
      <c r="I546" s="7">
        <v>55</v>
      </c>
      <c r="J546" s="7">
        <v>97</v>
      </c>
      <c r="K546" s="7">
        <v>95</v>
      </c>
      <c r="L546" s="56">
        <f>IFERROR(VLOOKUP(B546,Absen!$A$1:$C$501,2,FALSE),"No")</f>
        <v>44855</v>
      </c>
      <c r="M546" s="58">
        <f t="shared" si="28"/>
        <v>8.5</v>
      </c>
      <c r="N546" s="57">
        <f t="shared" si="29"/>
        <v>72.650000000000006</v>
      </c>
      <c r="O546" s="7" t="str">
        <f>VLOOKUP(N546,Helper!$B$30:$C$35,2,TRUE)</f>
        <v>B</v>
      </c>
      <c r="P546" s="56">
        <f>INDEX(Detail!$A$1:$A$1001,MATCH(B546,Detail!$G$1:$G$1001,0))</f>
        <v>37761</v>
      </c>
      <c r="Q546" s="33" t="str">
        <f>INDEX(Detail!$F$1:$F$1001,MATCH(Main!B546,Detail!$G$1:$G$1001,0))</f>
        <v>Bandar Lampung</v>
      </c>
      <c r="R546" s="7">
        <f>INDEX(Detail!$C$1:$C$1001,MATCH(B546,Detail!$G$1:$G$1001,0),1)</f>
        <v>158</v>
      </c>
      <c r="S546" s="7">
        <f>INDEX(Detail!$D$1:$D$1001,MATCH(B546,Detail!$G$1:$G$1001,0),1)</f>
        <v>74</v>
      </c>
      <c r="T546" s="7" t="str">
        <f>INDEX(Detail!$E$1:$E$1001,MATCH(Main!B546,Detail!$G$1:$G$1001,0))</f>
        <v>Jl. Wonoayu No. 78</v>
      </c>
      <c r="U546" s="7" t="str">
        <f>INDEX(Detail!$B$1:$B$1001,MATCH(B546,Detail!$G$1:$G$1001,0),1)</f>
        <v>B-</v>
      </c>
      <c r="V546" s="7" t="str" cm="1">
        <f t="array" ref="V546">INDEX(Dosen!$B$3:$E$8,MATCH(Main!C546,Dosen!$A$3:$A$8,0),IF(AND(Main!A546&gt;=1,Main!A546&lt;=250),1,IF(AND(Main!A546&gt;=251,Main!A546&lt;=500),2,IF(AND(Main!A546&gt;=501,Main!A546&lt;=750),3,4))))</f>
        <v>Pak Andi</v>
      </c>
      <c r="W546" s="7" t="str">
        <f>_xlfn.XLOOKUP(B546,Detail!$G$1:$G$1001,Detail!$B$1:$B$1001)</f>
        <v>B-</v>
      </c>
    </row>
    <row r="547" spans="1:23" ht="15.75" x14ac:dyDescent="0.25">
      <c r="A547" s="7">
        <v>303</v>
      </c>
      <c r="B547" s="33" t="str">
        <f t="shared" si="30"/>
        <v>D0303</v>
      </c>
      <c r="C547" s="7" t="s">
        <v>1013</v>
      </c>
      <c r="D547" s="33" t="str">
        <f>VLOOKUP(B547,Detail!$G$1:$H$1001,2,FALSE)</f>
        <v>Wirda Sirait</v>
      </c>
      <c r="E547" s="7">
        <v>50</v>
      </c>
      <c r="F547" s="7">
        <v>62</v>
      </c>
      <c r="G547" s="57">
        <v>51</v>
      </c>
      <c r="H547" s="7">
        <v>63</v>
      </c>
      <c r="I547" s="7">
        <v>53</v>
      </c>
      <c r="J547" s="7">
        <v>96</v>
      </c>
      <c r="K547" s="7">
        <v>61</v>
      </c>
      <c r="L547" s="56">
        <f>IFERROR(VLOOKUP(B547,Absen!$A$1:$C$501,2,FALSE),"No")</f>
        <v>44810</v>
      </c>
      <c r="M547" s="58">
        <f t="shared" si="28"/>
        <v>5.1000000000000005</v>
      </c>
      <c r="N547" s="57">
        <f t="shared" si="29"/>
        <v>63.000000000000007</v>
      </c>
      <c r="O547" s="7" t="str">
        <f>VLOOKUP(N547,Helper!$B$30:$C$35,2,TRUE)</f>
        <v>C</v>
      </c>
      <c r="P547" s="56">
        <f>INDEX(Detail!$A$1:$A$1001,MATCH(B547,Detail!$G$1:$G$1001,0))</f>
        <v>38440</v>
      </c>
      <c r="Q547" s="33" t="str">
        <f>INDEX(Detail!$F$1:$F$1001,MATCH(Main!B547,Detail!$G$1:$G$1001,0))</f>
        <v>Tidore Kepulauan</v>
      </c>
      <c r="R547" s="7">
        <f>INDEX(Detail!$C$1:$C$1001,MATCH(B547,Detail!$G$1:$G$1001,0),1)</f>
        <v>152</v>
      </c>
      <c r="S547" s="7">
        <f>INDEX(Detail!$D$1:$D$1001,MATCH(B547,Detail!$G$1:$G$1001,0),1)</f>
        <v>77</v>
      </c>
      <c r="T547" s="7" t="str">
        <f>INDEX(Detail!$E$1:$E$1001,MATCH(Main!B547,Detail!$G$1:$G$1001,0))</f>
        <v xml:space="preserve">Jl. Dr. Djunjunan No. 2
</v>
      </c>
      <c r="U547" s="7" t="str">
        <f>INDEX(Detail!$B$1:$B$1001,MATCH(B547,Detail!$G$1:$G$1001,0),1)</f>
        <v>AB+</v>
      </c>
      <c r="V547" s="7" t="str" cm="1">
        <f t="array" ref="V547">INDEX(Dosen!$B$3:$E$8,MATCH(Main!C547,Dosen!$A$3:$A$8,0),IF(AND(Main!A547&gt;=1,Main!A547&lt;=250),1,IF(AND(Main!A547&gt;=251,Main!A547&lt;=500),2,IF(AND(Main!A547&gt;=501,Main!A547&lt;=750),3,4))))</f>
        <v>Pak Andi</v>
      </c>
      <c r="W547" s="7" t="str">
        <f>_xlfn.XLOOKUP(B547,Detail!$G$1:$G$1001,Detail!$B$1:$B$1001)</f>
        <v>AB+</v>
      </c>
    </row>
    <row r="548" spans="1:23" ht="15.75" x14ac:dyDescent="0.25">
      <c r="A548" s="7">
        <v>304</v>
      </c>
      <c r="B548" s="33" t="str">
        <f t="shared" si="30"/>
        <v>D0304</v>
      </c>
      <c r="C548" s="7" t="s">
        <v>1013</v>
      </c>
      <c r="D548" s="33" t="str">
        <f>VLOOKUP(B548,Detail!$G$1:$H$1001,2,FALSE)</f>
        <v>Nugraha Suryono</v>
      </c>
      <c r="E548" s="7">
        <v>87</v>
      </c>
      <c r="F548" s="7">
        <v>62</v>
      </c>
      <c r="G548" s="57">
        <v>57</v>
      </c>
      <c r="H548" s="7">
        <v>68</v>
      </c>
      <c r="I548" s="7">
        <v>55</v>
      </c>
      <c r="J548" s="7">
        <v>96</v>
      </c>
      <c r="K548" s="7">
        <v>82</v>
      </c>
      <c r="L548" s="56" t="str">
        <f>IFERROR(VLOOKUP(B548,Absen!$A$1:$C$501,2,FALSE),"No")</f>
        <v>No</v>
      </c>
      <c r="M548" s="58">
        <f t="shared" si="28"/>
        <v>8.2000000000000011</v>
      </c>
      <c r="N548" s="57">
        <f t="shared" si="29"/>
        <v>72.8</v>
      </c>
      <c r="O548" s="7" t="str">
        <f>VLOOKUP(N548,Helper!$B$30:$C$35,2,TRUE)</f>
        <v>B</v>
      </c>
      <c r="P548" s="56">
        <f>INDEX(Detail!$A$1:$A$1001,MATCH(B548,Detail!$G$1:$G$1001,0))</f>
        <v>38133</v>
      </c>
      <c r="Q548" s="33" t="str">
        <f>INDEX(Detail!$F$1:$F$1001,MATCH(Main!B548,Detail!$G$1:$G$1001,0))</f>
        <v>Pekalongan</v>
      </c>
      <c r="R548" s="7">
        <f>INDEX(Detail!$C$1:$C$1001,MATCH(B548,Detail!$G$1:$G$1001,0),1)</f>
        <v>176</v>
      </c>
      <c r="S548" s="7">
        <f>INDEX(Detail!$D$1:$D$1001,MATCH(B548,Detail!$G$1:$G$1001,0),1)</f>
        <v>52</v>
      </c>
      <c r="T548" s="7" t="str">
        <f>INDEX(Detail!$E$1:$E$1001,MATCH(Main!B548,Detail!$G$1:$G$1001,0))</f>
        <v xml:space="preserve">Jalan Soekarno Hatta No. 7
</v>
      </c>
      <c r="U548" s="7" t="str">
        <f>INDEX(Detail!$B$1:$B$1001,MATCH(B548,Detail!$G$1:$G$1001,0),1)</f>
        <v>A-</v>
      </c>
      <c r="V548" s="7" t="str" cm="1">
        <f t="array" ref="V548">INDEX(Dosen!$B$3:$E$8,MATCH(Main!C548,Dosen!$A$3:$A$8,0),IF(AND(Main!A548&gt;=1,Main!A548&lt;=250),1,IF(AND(Main!A548&gt;=251,Main!A548&lt;=500),2,IF(AND(Main!A548&gt;=501,Main!A548&lt;=750),3,4))))</f>
        <v>Pak Andi</v>
      </c>
      <c r="W548" s="7" t="str">
        <f>_xlfn.XLOOKUP(B548,Detail!$G$1:$G$1001,Detail!$B$1:$B$1001)</f>
        <v>A-</v>
      </c>
    </row>
    <row r="549" spans="1:23" ht="15.75" x14ac:dyDescent="0.25">
      <c r="A549" s="7">
        <v>312</v>
      </c>
      <c r="B549" s="33" t="str">
        <f t="shared" si="30"/>
        <v>D0312</v>
      </c>
      <c r="C549" s="7" t="s">
        <v>1013</v>
      </c>
      <c r="D549" s="33" t="str">
        <f>VLOOKUP(B549,Detail!$G$1:$H$1001,2,FALSE)</f>
        <v>Bakidin Hasanah</v>
      </c>
      <c r="E549" s="7">
        <v>76</v>
      </c>
      <c r="F549" s="7">
        <v>57</v>
      </c>
      <c r="G549" s="57">
        <v>62</v>
      </c>
      <c r="H549" s="7">
        <v>70</v>
      </c>
      <c r="I549" s="7">
        <v>91</v>
      </c>
      <c r="J549" s="7">
        <v>84</v>
      </c>
      <c r="K549" s="7">
        <v>87</v>
      </c>
      <c r="L549" s="56">
        <f>IFERROR(VLOOKUP(B549,Absen!$A$1:$C$501,2,FALSE),"No")</f>
        <v>44817</v>
      </c>
      <c r="M549" s="58">
        <f t="shared" si="28"/>
        <v>7.7</v>
      </c>
      <c r="N549" s="57">
        <f t="shared" si="29"/>
        <v>73.650000000000006</v>
      </c>
      <c r="O549" s="7" t="str">
        <f>VLOOKUP(N549,Helper!$B$30:$C$35,2,TRUE)</f>
        <v>B</v>
      </c>
      <c r="P549" s="56">
        <f>INDEX(Detail!$A$1:$A$1001,MATCH(B549,Detail!$G$1:$G$1001,0))</f>
        <v>37626</v>
      </c>
      <c r="Q549" s="33" t="str">
        <f>INDEX(Detail!$F$1:$F$1001,MATCH(Main!B549,Detail!$G$1:$G$1001,0))</f>
        <v>Batam</v>
      </c>
      <c r="R549" s="7">
        <f>INDEX(Detail!$C$1:$C$1001,MATCH(B549,Detail!$G$1:$G$1001,0),1)</f>
        <v>176</v>
      </c>
      <c r="S549" s="7">
        <f>INDEX(Detail!$D$1:$D$1001,MATCH(B549,Detail!$G$1:$G$1001,0),1)</f>
        <v>65</v>
      </c>
      <c r="T549" s="7" t="str">
        <f>INDEX(Detail!$E$1:$E$1001,MATCH(Main!B549,Detail!$G$1:$G$1001,0))</f>
        <v xml:space="preserve">Gg. Kutisari Selatan No. 8
</v>
      </c>
      <c r="U549" s="7" t="str">
        <f>INDEX(Detail!$B$1:$B$1001,MATCH(B549,Detail!$G$1:$G$1001,0),1)</f>
        <v>AB+</v>
      </c>
      <c r="V549" s="7" t="str" cm="1">
        <f t="array" ref="V549">INDEX(Dosen!$B$3:$E$8,MATCH(Main!C549,Dosen!$A$3:$A$8,0),IF(AND(Main!A549&gt;=1,Main!A549&lt;=250),1,IF(AND(Main!A549&gt;=251,Main!A549&lt;=500),2,IF(AND(Main!A549&gt;=501,Main!A549&lt;=750),3,4))))</f>
        <v>Pak Andi</v>
      </c>
      <c r="W549" s="7" t="str">
        <f>_xlfn.XLOOKUP(B549,Detail!$G$1:$G$1001,Detail!$B$1:$B$1001)</f>
        <v>AB+</v>
      </c>
    </row>
    <row r="550" spans="1:23" ht="15.75" x14ac:dyDescent="0.25">
      <c r="A550" s="7">
        <v>315</v>
      </c>
      <c r="B550" s="33" t="str">
        <f t="shared" si="30"/>
        <v>D0315</v>
      </c>
      <c r="C550" s="7" t="s">
        <v>1013</v>
      </c>
      <c r="D550" s="33" t="str">
        <f>VLOOKUP(B550,Detail!$G$1:$H$1001,2,FALSE)</f>
        <v>Puti Zulaika</v>
      </c>
      <c r="E550" s="7">
        <v>75</v>
      </c>
      <c r="F550" s="7">
        <v>54</v>
      </c>
      <c r="G550" s="57">
        <v>89</v>
      </c>
      <c r="H550" s="7">
        <v>72</v>
      </c>
      <c r="I550" s="7">
        <v>62</v>
      </c>
      <c r="J550" s="7">
        <v>96</v>
      </c>
      <c r="K550" s="7">
        <v>68</v>
      </c>
      <c r="L550" s="56" t="str">
        <f>IFERROR(VLOOKUP(B550,Absen!$A$1:$C$501,2,FALSE),"No")</f>
        <v>No</v>
      </c>
      <c r="M550" s="58">
        <f t="shared" si="28"/>
        <v>6.8000000000000007</v>
      </c>
      <c r="N550" s="57">
        <f t="shared" si="29"/>
        <v>76.674999999999997</v>
      </c>
      <c r="O550" s="7" t="str">
        <f>VLOOKUP(N550,Helper!$B$30:$C$35,2,TRUE)</f>
        <v>B</v>
      </c>
      <c r="P550" s="56">
        <f>INDEX(Detail!$A$1:$A$1001,MATCH(B550,Detail!$G$1:$G$1001,0))</f>
        <v>37988</v>
      </c>
      <c r="Q550" s="33" t="str">
        <f>INDEX(Detail!$F$1:$F$1001,MATCH(Main!B550,Detail!$G$1:$G$1001,0))</f>
        <v>Serang</v>
      </c>
      <c r="R550" s="7">
        <f>INDEX(Detail!$C$1:$C$1001,MATCH(B550,Detail!$G$1:$G$1001,0),1)</f>
        <v>177</v>
      </c>
      <c r="S550" s="7">
        <f>INDEX(Detail!$D$1:$D$1001,MATCH(B550,Detail!$G$1:$G$1001,0),1)</f>
        <v>67</v>
      </c>
      <c r="T550" s="7" t="str">
        <f>INDEX(Detail!$E$1:$E$1001,MATCH(Main!B550,Detail!$G$1:$G$1001,0))</f>
        <v>Jl. Ciwastra No. 45</v>
      </c>
      <c r="U550" s="7" t="str">
        <f>INDEX(Detail!$B$1:$B$1001,MATCH(B550,Detail!$G$1:$G$1001,0),1)</f>
        <v>B+</v>
      </c>
      <c r="V550" s="7" t="str" cm="1">
        <f t="array" ref="V550">INDEX(Dosen!$B$3:$E$8,MATCH(Main!C550,Dosen!$A$3:$A$8,0),IF(AND(Main!A550&gt;=1,Main!A550&lt;=250),1,IF(AND(Main!A550&gt;=251,Main!A550&lt;=500),2,IF(AND(Main!A550&gt;=501,Main!A550&lt;=750),3,4))))</f>
        <v>Pak Andi</v>
      </c>
      <c r="W550" s="7" t="str">
        <f>_xlfn.XLOOKUP(B550,Detail!$G$1:$G$1001,Detail!$B$1:$B$1001)</f>
        <v>B+</v>
      </c>
    </row>
    <row r="551" spans="1:23" ht="15.75" x14ac:dyDescent="0.25">
      <c r="A551" s="7">
        <v>318</v>
      </c>
      <c r="B551" s="33" t="str">
        <f t="shared" si="30"/>
        <v>D0318</v>
      </c>
      <c r="C551" s="7" t="s">
        <v>1013</v>
      </c>
      <c r="D551" s="33" t="str">
        <f>VLOOKUP(B551,Detail!$G$1:$H$1001,2,FALSE)</f>
        <v>Hafshah Haryanti</v>
      </c>
      <c r="E551" s="7">
        <v>86</v>
      </c>
      <c r="F551" s="7">
        <v>74</v>
      </c>
      <c r="G551" s="57">
        <v>59</v>
      </c>
      <c r="H551" s="7">
        <v>71</v>
      </c>
      <c r="I551" s="7">
        <v>55</v>
      </c>
      <c r="J551" s="7">
        <v>48</v>
      </c>
      <c r="K551" s="7">
        <v>95</v>
      </c>
      <c r="L551" s="56" t="str">
        <f>IFERROR(VLOOKUP(B551,Absen!$A$1:$C$501,2,FALSE),"No")</f>
        <v>No</v>
      </c>
      <c r="M551" s="58">
        <f t="shared" si="28"/>
        <v>9.5</v>
      </c>
      <c r="N551" s="57">
        <f t="shared" si="29"/>
        <v>66.650000000000006</v>
      </c>
      <c r="O551" s="7" t="str">
        <f>VLOOKUP(N551,Helper!$B$30:$C$35,2,TRUE)</f>
        <v>C</v>
      </c>
      <c r="P551" s="56">
        <f>INDEX(Detail!$A$1:$A$1001,MATCH(B551,Detail!$G$1:$G$1001,0))</f>
        <v>37255</v>
      </c>
      <c r="Q551" s="33" t="str">
        <f>INDEX(Detail!$F$1:$F$1001,MATCH(Main!B551,Detail!$G$1:$G$1001,0))</f>
        <v>Metro</v>
      </c>
      <c r="R551" s="7">
        <f>INDEX(Detail!$C$1:$C$1001,MATCH(B551,Detail!$G$1:$G$1001,0),1)</f>
        <v>177</v>
      </c>
      <c r="S551" s="7">
        <f>INDEX(Detail!$D$1:$D$1001,MATCH(B551,Detail!$G$1:$G$1001,0),1)</f>
        <v>67</v>
      </c>
      <c r="T551" s="7" t="str">
        <f>INDEX(Detail!$E$1:$E$1001,MATCH(Main!B551,Detail!$G$1:$G$1001,0))</f>
        <v>Gang Tebet Barat Dalam No. 83</v>
      </c>
      <c r="U551" s="7" t="str">
        <f>INDEX(Detail!$B$1:$B$1001,MATCH(B551,Detail!$G$1:$G$1001,0),1)</f>
        <v>A-</v>
      </c>
      <c r="V551" s="7" t="str" cm="1">
        <f t="array" ref="V551">INDEX(Dosen!$B$3:$E$8,MATCH(Main!C551,Dosen!$A$3:$A$8,0),IF(AND(Main!A551&gt;=1,Main!A551&lt;=250),1,IF(AND(Main!A551&gt;=251,Main!A551&lt;=500),2,IF(AND(Main!A551&gt;=501,Main!A551&lt;=750),3,4))))</f>
        <v>Pak Andi</v>
      </c>
      <c r="W551" s="7" t="str">
        <f>_xlfn.XLOOKUP(B551,Detail!$G$1:$G$1001,Detail!$B$1:$B$1001)</f>
        <v>A-</v>
      </c>
    </row>
    <row r="552" spans="1:23" ht="15.75" x14ac:dyDescent="0.25">
      <c r="A552" s="7">
        <v>323</v>
      </c>
      <c r="B552" s="33" t="str">
        <f t="shared" si="30"/>
        <v>D0323</v>
      </c>
      <c r="C552" s="7" t="s">
        <v>1013</v>
      </c>
      <c r="D552" s="33" t="str">
        <f>VLOOKUP(B552,Detail!$G$1:$H$1001,2,FALSE)</f>
        <v>Nrima Novitasari</v>
      </c>
      <c r="E552" s="7">
        <v>95</v>
      </c>
      <c r="F552" s="7">
        <v>64</v>
      </c>
      <c r="G552" s="57">
        <v>45</v>
      </c>
      <c r="H552" s="7">
        <v>64</v>
      </c>
      <c r="I552" s="7">
        <v>88</v>
      </c>
      <c r="J552" s="7">
        <v>60</v>
      </c>
      <c r="K552" s="7">
        <v>68</v>
      </c>
      <c r="L552" s="56" t="str">
        <f>IFERROR(VLOOKUP(B552,Absen!$A$1:$C$501,2,FALSE),"No")</f>
        <v>No</v>
      </c>
      <c r="M552" s="58">
        <f t="shared" si="28"/>
        <v>6.8000000000000007</v>
      </c>
      <c r="N552" s="57">
        <f t="shared" si="29"/>
        <v>66.674999999999997</v>
      </c>
      <c r="O552" s="7" t="str">
        <f>VLOOKUP(N552,Helper!$B$30:$C$35,2,TRUE)</f>
        <v>C</v>
      </c>
      <c r="P552" s="56">
        <f>INDEX(Detail!$A$1:$A$1001,MATCH(B552,Detail!$G$1:$G$1001,0))</f>
        <v>37969</v>
      </c>
      <c r="Q552" s="33" t="str">
        <f>INDEX(Detail!$F$1:$F$1001,MATCH(Main!B552,Detail!$G$1:$G$1001,0))</f>
        <v>Ambon</v>
      </c>
      <c r="R552" s="7">
        <f>INDEX(Detail!$C$1:$C$1001,MATCH(B552,Detail!$G$1:$G$1001,0),1)</f>
        <v>180</v>
      </c>
      <c r="S552" s="7">
        <f>INDEX(Detail!$D$1:$D$1001,MATCH(B552,Detail!$G$1:$G$1001,0),1)</f>
        <v>70</v>
      </c>
      <c r="T552" s="7" t="str">
        <f>INDEX(Detail!$E$1:$E$1001,MATCH(Main!B552,Detail!$G$1:$G$1001,0))</f>
        <v>Jl. Veteran No. 94</v>
      </c>
      <c r="U552" s="7" t="str">
        <f>INDEX(Detail!$B$1:$B$1001,MATCH(B552,Detail!$G$1:$G$1001,0),1)</f>
        <v>AB-</v>
      </c>
      <c r="V552" s="7" t="str" cm="1">
        <f t="array" ref="V552">INDEX(Dosen!$B$3:$E$8,MATCH(Main!C552,Dosen!$A$3:$A$8,0),IF(AND(Main!A552&gt;=1,Main!A552&lt;=250),1,IF(AND(Main!A552&gt;=251,Main!A552&lt;=500),2,IF(AND(Main!A552&gt;=501,Main!A552&lt;=750),3,4))))</f>
        <v>Pak Andi</v>
      </c>
      <c r="W552" s="7" t="str">
        <f>_xlfn.XLOOKUP(B552,Detail!$G$1:$G$1001,Detail!$B$1:$B$1001)</f>
        <v>AB-</v>
      </c>
    </row>
    <row r="553" spans="1:23" ht="15.75" x14ac:dyDescent="0.25">
      <c r="A553" s="7">
        <v>332</v>
      </c>
      <c r="B553" s="33" t="str">
        <f t="shared" si="30"/>
        <v>D0332</v>
      </c>
      <c r="C553" s="7" t="s">
        <v>1013</v>
      </c>
      <c r="D553" s="33" t="str">
        <f>VLOOKUP(B553,Detail!$G$1:$H$1001,2,FALSE)</f>
        <v>Mujur Halimah</v>
      </c>
      <c r="E553" s="7">
        <v>63</v>
      </c>
      <c r="F553" s="7">
        <v>53</v>
      </c>
      <c r="G553" s="57">
        <v>31</v>
      </c>
      <c r="H553" s="7">
        <v>55</v>
      </c>
      <c r="I553" s="7">
        <v>65</v>
      </c>
      <c r="J553" s="7">
        <v>84</v>
      </c>
      <c r="K553" s="7">
        <v>96</v>
      </c>
      <c r="L553" s="56" t="str">
        <f>IFERROR(VLOOKUP(B553,Absen!$A$1:$C$501,2,FALSE),"No")</f>
        <v>No</v>
      </c>
      <c r="M553" s="58">
        <f t="shared" si="28"/>
        <v>9.6000000000000014</v>
      </c>
      <c r="N553" s="57">
        <f t="shared" si="29"/>
        <v>62.1</v>
      </c>
      <c r="O553" s="7" t="str">
        <f>VLOOKUP(N553,Helper!$B$30:$C$35,2,TRUE)</f>
        <v>C</v>
      </c>
      <c r="P553" s="56">
        <f>INDEX(Detail!$A$1:$A$1001,MATCH(B553,Detail!$G$1:$G$1001,0))</f>
        <v>38301</v>
      </c>
      <c r="Q553" s="33" t="str">
        <f>INDEX(Detail!$F$1:$F$1001,MATCH(Main!B553,Detail!$G$1:$G$1001,0))</f>
        <v>Cilegon</v>
      </c>
      <c r="R553" s="7">
        <f>INDEX(Detail!$C$1:$C$1001,MATCH(B553,Detail!$G$1:$G$1001,0),1)</f>
        <v>157</v>
      </c>
      <c r="S553" s="7">
        <f>INDEX(Detail!$D$1:$D$1001,MATCH(B553,Detail!$G$1:$G$1001,0),1)</f>
        <v>65</v>
      </c>
      <c r="T553" s="7" t="str">
        <f>INDEX(Detail!$E$1:$E$1001,MATCH(Main!B553,Detail!$G$1:$G$1001,0))</f>
        <v>Jl. Ciumbuleuit No. 87</v>
      </c>
      <c r="U553" s="7" t="str">
        <f>INDEX(Detail!$B$1:$B$1001,MATCH(B553,Detail!$G$1:$G$1001,0),1)</f>
        <v>O+</v>
      </c>
      <c r="V553" s="7" t="str" cm="1">
        <f t="array" ref="V553">INDEX(Dosen!$B$3:$E$8,MATCH(Main!C553,Dosen!$A$3:$A$8,0),IF(AND(Main!A553&gt;=1,Main!A553&lt;=250),1,IF(AND(Main!A553&gt;=251,Main!A553&lt;=500),2,IF(AND(Main!A553&gt;=501,Main!A553&lt;=750),3,4))))</f>
        <v>Pak Andi</v>
      </c>
      <c r="W553" s="7" t="str">
        <f>_xlfn.XLOOKUP(B553,Detail!$G$1:$G$1001,Detail!$B$1:$B$1001)</f>
        <v>O+</v>
      </c>
    </row>
    <row r="554" spans="1:23" ht="15.75" x14ac:dyDescent="0.25">
      <c r="A554" s="7">
        <v>334</v>
      </c>
      <c r="B554" s="33" t="str">
        <f t="shared" si="30"/>
        <v>D0334</v>
      </c>
      <c r="C554" s="7" t="s">
        <v>1013</v>
      </c>
      <c r="D554" s="33" t="str">
        <f>VLOOKUP(B554,Detail!$G$1:$H$1001,2,FALSE)</f>
        <v>Raina Yuliarti</v>
      </c>
      <c r="E554" s="7">
        <v>54</v>
      </c>
      <c r="F554" s="7">
        <v>72</v>
      </c>
      <c r="G554" s="57">
        <v>50</v>
      </c>
      <c r="H554" s="7">
        <v>73</v>
      </c>
      <c r="I554" s="7">
        <v>75</v>
      </c>
      <c r="J554" s="7">
        <v>78</v>
      </c>
      <c r="K554" s="7">
        <v>96</v>
      </c>
      <c r="L554" s="56">
        <f>IFERROR(VLOOKUP(B554,Absen!$A$1:$C$501,2,FALSE),"No")</f>
        <v>44767</v>
      </c>
      <c r="M554" s="58">
        <f t="shared" si="28"/>
        <v>8.6</v>
      </c>
      <c r="N554" s="57">
        <f t="shared" si="29"/>
        <v>68.45</v>
      </c>
      <c r="O554" s="7" t="str">
        <f>VLOOKUP(N554,Helper!$B$30:$C$35,2,TRUE)</f>
        <v>C</v>
      </c>
      <c r="P554" s="56">
        <f>INDEX(Detail!$A$1:$A$1001,MATCH(B554,Detail!$G$1:$G$1001,0))</f>
        <v>38119</v>
      </c>
      <c r="Q554" s="33" t="str">
        <f>INDEX(Detail!$F$1:$F$1001,MATCH(Main!B554,Detail!$G$1:$G$1001,0))</f>
        <v>Meulaboh</v>
      </c>
      <c r="R554" s="7">
        <f>INDEX(Detail!$C$1:$C$1001,MATCH(B554,Detail!$G$1:$G$1001,0),1)</f>
        <v>154</v>
      </c>
      <c r="S554" s="7">
        <f>INDEX(Detail!$D$1:$D$1001,MATCH(B554,Detail!$G$1:$G$1001,0),1)</f>
        <v>58</v>
      </c>
      <c r="T554" s="7" t="str">
        <f>INDEX(Detail!$E$1:$E$1001,MATCH(Main!B554,Detail!$G$1:$G$1001,0))</f>
        <v>Gang Pasteur No. 81</v>
      </c>
      <c r="U554" s="7" t="str">
        <f>INDEX(Detail!$B$1:$B$1001,MATCH(B554,Detail!$G$1:$G$1001,0),1)</f>
        <v>A+</v>
      </c>
      <c r="V554" s="7" t="str" cm="1">
        <f t="array" ref="V554">INDEX(Dosen!$B$3:$E$8,MATCH(Main!C554,Dosen!$A$3:$A$8,0),IF(AND(Main!A554&gt;=1,Main!A554&lt;=250),1,IF(AND(Main!A554&gt;=251,Main!A554&lt;=500),2,IF(AND(Main!A554&gt;=501,Main!A554&lt;=750),3,4))))</f>
        <v>Pak Andi</v>
      </c>
      <c r="W554" s="7" t="str">
        <f>_xlfn.XLOOKUP(B554,Detail!$G$1:$G$1001,Detail!$B$1:$B$1001)</f>
        <v>A+</v>
      </c>
    </row>
    <row r="555" spans="1:23" ht="15.75" x14ac:dyDescent="0.25">
      <c r="A555" s="7">
        <v>337</v>
      </c>
      <c r="B555" s="33" t="str">
        <f t="shared" si="30"/>
        <v>D0337</v>
      </c>
      <c r="C555" s="7" t="s">
        <v>1013</v>
      </c>
      <c r="D555" s="33" t="str">
        <f>VLOOKUP(B555,Detail!$G$1:$H$1001,2,FALSE)</f>
        <v>Darmaji Manullang</v>
      </c>
      <c r="E555" s="7">
        <v>78</v>
      </c>
      <c r="F555" s="7">
        <v>72</v>
      </c>
      <c r="G555" s="57">
        <v>52</v>
      </c>
      <c r="H555" s="7">
        <v>66</v>
      </c>
      <c r="I555" s="7">
        <v>59</v>
      </c>
      <c r="J555" s="7">
        <v>46</v>
      </c>
      <c r="K555" s="7">
        <v>88</v>
      </c>
      <c r="L555" s="56">
        <f>IFERROR(VLOOKUP(B555,Absen!$A$1:$C$501,2,FALSE),"No")</f>
        <v>44772</v>
      </c>
      <c r="M555" s="58">
        <f t="shared" si="28"/>
        <v>7.8000000000000007</v>
      </c>
      <c r="N555" s="57">
        <f t="shared" si="29"/>
        <v>61.775000000000006</v>
      </c>
      <c r="O555" s="7" t="str">
        <f>VLOOKUP(N555,Helper!$B$30:$C$35,2,TRUE)</f>
        <v>C</v>
      </c>
      <c r="P555" s="56">
        <f>INDEX(Detail!$A$1:$A$1001,MATCH(B555,Detail!$G$1:$G$1001,0))</f>
        <v>37845</v>
      </c>
      <c r="Q555" s="33" t="str">
        <f>INDEX(Detail!$F$1:$F$1001,MATCH(Main!B555,Detail!$G$1:$G$1001,0))</f>
        <v>Singkawang</v>
      </c>
      <c r="R555" s="7">
        <f>INDEX(Detail!$C$1:$C$1001,MATCH(B555,Detail!$G$1:$G$1001,0),1)</f>
        <v>173</v>
      </c>
      <c r="S555" s="7">
        <f>INDEX(Detail!$D$1:$D$1001,MATCH(B555,Detail!$G$1:$G$1001,0),1)</f>
        <v>56</v>
      </c>
      <c r="T555" s="7" t="str">
        <f>INDEX(Detail!$E$1:$E$1001,MATCH(Main!B555,Detail!$G$1:$G$1001,0))</f>
        <v>Gang PHH. Mustofa No. 91</v>
      </c>
      <c r="U555" s="7" t="str">
        <f>INDEX(Detail!$B$1:$B$1001,MATCH(B555,Detail!$G$1:$G$1001,0),1)</f>
        <v>B-</v>
      </c>
      <c r="V555" s="7" t="str" cm="1">
        <f t="array" ref="V555">INDEX(Dosen!$B$3:$E$8,MATCH(Main!C555,Dosen!$A$3:$A$8,0),IF(AND(Main!A555&gt;=1,Main!A555&lt;=250),1,IF(AND(Main!A555&gt;=251,Main!A555&lt;=500),2,IF(AND(Main!A555&gt;=501,Main!A555&lt;=750),3,4))))</f>
        <v>Pak Andi</v>
      </c>
      <c r="W555" s="7" t="str">
        <f>_xlfn.XLOOKUP(B555,Detail!$G$1:$G$1001,Detail!$B$1:$B$1001)</f>
        <v>B-</v>
      </c>
    </row>
    <row r="556" spans="1:23" ht="15.75" x14ac:dyDescent="0.25">
      <c r="A556" s="7">
        <v>342</v>
      </c>
      <c r="B556" s="33" t="str">
        <f t="shared" si="30"/>
        <v>D0342</v>
      </c>
      <c r="C556" s="7" t="s">
        <v>1013</v>
      </c>
      <c r="D556" s="33" t="str">
        <f>VLOOKUP(B556,Detail!$G$1:$H$1001,2,FALSE)</f>
        <v>Maman Winarsih</v>
      </c>
      <c r="E556" s="7">
        <v>57</v>
      </c>
      <c r="F556" s="7">
        <v>41</v>
      </c>
      <c r="G556" s="57">
        <v>76</v>
      </c>
      <c r="H556" s="7">
        <v>70</v>
      </c>
      <c r="I556" s="7">
        <v>65</v>
      </c>
      <c r="J556" s="7">
        <v>89</v>
      </c>
      <c r="K556" s="7">
        <v>84</v>
      </c>
      <c r="L556" s="56" t="str">
        <f>IFERROR(VLOOKUP(B556,Absen!$A$1:$C$501,2,FALSE),"No")</f>
        <v>No</v>
      </c>
      <c r="M556" s="58">
        <f t="shared" si="28"/>
        <v>8.4</v>
      </c>
      <c r="N556" s="57">
        <f t="shared" si="29"/>
        <v>70.525000000000006</v>
      </c>
      <c r="O556" s="7" t="str">
        <f>VLOOKUP(N556,Helper!$B$30:$C$35,2,TRUE)</f>
        <v>B</v>
      </c>
      <c r="P556" s="56">
        <f>INDEX(Detail!$A$1:$A$1001,MATCH(B556,Detail!$G$1:$G$1001,0))</f>
        <v>37918</v>
      </c>
      <c r="Q556" s="33" t="str">
        <f>INDEX(Detail!$F$1:$F$1001,MATCH(Main!B556,Detail!$G$1:$G$1001,0))</f>
        <v>Lubuklinggau</v>
      </c>
      <c r="R556" s="7">
        <f>INDEX(Detail!$C$1:$C$1001,MATCH(B556,Detail!$G$1:$G$1001,0),1)</f>
        <v>158</v>
      </c>
      <c r="S556" s="7">
        <f>INDEX(Detail!$D$1:$D$1001,MATCH(B556,Detail!$G$1:$G$1001,0),1)</f>
        <v>92</v>
      </c>
      <c r="T556" s="7" t="str">
        <f>INDEX(Detail!$E$1:$E$1001,MATCH(Main!B556,Detail!$G$1:$G$1001,0))</f>
        <v>Jalan Cikutra Timur No. 80</v>
      </c>
      <c r="U556" s="7" t="str">
        <f>INDEX(Detail!$B$1:$B$1001,MATCH(B556,Detail!$G$1:$G$1001,0),1)</f>
        <v>B+</v>
      </c>
      <c r="V556" s="7" t="str" cm="1">
        <f t="array" ref="V556">INDEX(Dosen!$B$3:$E$8,MATCH(Main!C556,Dosen!$A$3:$A$8,0),IF(AND(Main!A556&gt;=1,Main!A556&lt;=250),1,IF(AND(Main!A556&gt;=251,Main!A556&lt;=500),2,IF(AND(Main!A556&gt;=501,Main!A556&lt;=750),3,4))))</f>
        <v>Pak Andi</v>
      </c>
      <c r="W556" s="7" t="str">
        <f>_xlfn.XLOOKUP(B556,Detail!$G$1:$G$1001,Detail!$B$1:$B$1001)</f>
        <v>B+</v>
      </c>
    </row>
    <row r="557" spans="1:23" ht="15.75" x14ac:dyDescent="0.25">
      <c r="A557" s="7">
        <v>344</v>
      </c>
      <c r="B557" s="33" t="str">
        <f t="shared" ref="B557:B588" si="31">CONCATENATE("D",TEXT(A557,"0000"))</f>
        <v>D0344</v>
      </c>
      <c r="C557" s="7" t="s">
        <v>1013</v>
      </c>
      <c r="D557" s="33" t="str">
        <f>VLOOKUP(B557,Detail!$G$1:$H$1001,2,FALSE)</f>
        <v>Zelaya Suartini</v>
      </c>
      <c r="E557" s="7">
        <v>94</v>
      </c>
      <c r="F557" s="7">
        <v>61</v>
      </c>
      <c r="G557" s="57">
        <v>79</v>
      </c>
      <c r="H557" s="7">
        <v>53</v>
      </c>
      <c r="I557" s="7">
        <v>52</v>
      </c>
      <c r="J557" s="7">
        <v>57</v>
      </c>
      <c r="K557" s="7">
        <v>71</v>
      </c>
      <c r="L557" s="56" t="str">
        <f>IFERROR(VLOOKUP(B557,Absen!$A$1:$C$501,2,FALSE),"No")</f>
        <v>No</v>
      </c>
      <c r="M557" s="58">
        <f t="shared" si="28"/>
        <v>7.1000000000000005</v>
      </c>
      <c r="N557" s="57">
        <f t="shared" si="29"/>
        <v>66.8</v>
      </c>
      <c r="O557" s="7" t="str">
        <f>VLOOKUP(N557,Helper!$B$30:$C$35,2,TRUE)</f>
        <v>C</v>
      </c>
      <c r="P557" s="56">
        <f>INDEX(Detail!$A$1:$A$1001,MATCH(B557,Detail!$G$1:$G$1001,0))</f>
        <v>37534</v>
      </c>
      <c r="Q557" s="33" t="str">
        <f>INDEX(Detail!$F$1:$F$1001,MATCH(Main!B557,Detail!$G$1:$G$1001,0))</f>
        <v>Manado</v>
      </c>
      <c r="R557" s="7">
        <f>INDEX(Detail!$C$1:$C$1001,MATCH(B557,Detail!$G$1:$G$1001,0),1)</f>
        <v>154</v>
      </c>
      <c r="S557" s="7">
        <f>INDEX(Detail!$D$1:$D$1001,MATCH(B557,Detail!$G$1:$G$1001,0),1)</f>
        <v>48</v>
      </c>
      <c r="T557" s="7" t="str">
        <f>INDEX(Detail!$E$1:$E$1001,MATCH(Main!B557,Detail!$G$1:$G$1001,0))</f>
        <v>Jalan Peta No. 59</v>
      </c>
      <c r="U557" s="7" t="str">
        <f>INDEX(Detail!$B$1:$B$1001,MATCH(B557,Detail!$G$1:$G$1001,0),1)</f>
        <v>B+</v>
      </c>
      <c r="V557" s="7" t="str" cm="1">
        <f t="array" ref="V557">INDEX(Dosen!$B$3:$E$8,MATCH(Main!C557,Dosen!$A$3:$A$8,0),IF(AND(Main!A557&gt;=1,Main!A557&lt;=250),1,IF(AND(Main!A557&gt;=251,Main!A557&lt;=500),2,IF(AND(Main!A557&gt;=501,Main!A557&lt;=750),3,4))))</f>
        <v>Pak Andi</v>
      </c>
      <c r="W557" s="7" t="str">
        <f>_xlfn.XLOOKUP(B557,Detail!$G$1:$G$1001,Detail!$B$1:$B$1001)</f>
        <v>B+</v>
      </c>
    </row>
    <row r="558" spans="1:23" ht="15.75" x14ac:dyDescent="0.25">
      <c r="A558" s="7">
        <v>347</v>
      </c>
      <c r="B558" s="33" t="str">
        <f t="shared" si="31"/>
        <v>D0347</v>
      </c>
      <c r="C558" s="7" t="s">
        <v>1013</v>
      </c>
      <c r="D558" s="33" t="str">
        <f>VLOOKUP(B558,Detail!$G$1:$H$1001,2,FALSE)</f>
        <v>Dartono Purnawati</v>
      </c>
      <c r="E558" s="7">
        <v>89</v>
      </c>
      <c r="F558" s="7">
        <v>72</v>
      </c>
      <c r="G558" s="57">
        <v>38</v>
      </c>
      <c r="H558" s="7">
        <v>52</v>
      </c>
      <c r="I558" s="7">
        <v>65</v>
      </c>
      <c r="J558" s="7">
        <v>98</v>
      </c>
      <c r="K558" s="7">
        <v>64</v>
      </c>
      <c r="L558" s="56" t="str">
        <f>IFERROR(VLOOKUP(B558,Absen!$A$1:$C$501,2,FALSE),"No")</f>
        <v>No</v>
      </c>
      <c r="M558" s="58">
        <f t="shared" si="28"/>
        <v>6.4</v>
      </c>
      <c r="N558" s="57">
        <f t="shared" si="29"/>
        <v>68.350000000000009</v>
      </c>
      <c r="O558" s="7" t="str">
        <f>VLOOKUP(N558,Helper!$B$30:$C$35,2,TRUE)</f>
        <v>C</v>
      </c>
      <c r="P558" s="56">
        <f>INDEX(Detail!$A$1:$A$1001,MATCH(B558,Detail!$G$1:$G$1001,0))</f>
        <v>37246</v>
      </c>
      <c r="Q558" s="33" t="str">
        <f>INDEX(Detail!$F$1:$F$1001,MATCH(Main!B558,Detail!$G$1:$G$1001,0))</f>
        <v>Purwokerto</v>
      </c>
      <c r="R558" s="7">
        <f>INDEX(Detail!$C$1:$C$1001,MATCH(B558,Detail!$G$1:$G$1001,0),1)</f>
        <v>160</v>
      </c>
      <c r="S558" s="7">
        <f>INDEX(Detail!$D$1:$D$1001,MATCH(B558,Detail!$G$1:$G$1001,0),1)</f>
        <v>48</v>
      </c>
      <c r="T558" s="7" t="str">
        <f>INDEX(Detail!$E$1:$E$1001,MATCH(Main!B558,Detail!$G$1:$G$1001,0))</f>
        <v xml:space="preserve">Jalan Pacuan Kuda No. 5
</v>
      </c>
      <c r="U558" s="7" t="str">
        <f>INDEX(Detail!$B$1:$B$1001,MATCH(B558,Detail!$G$1:$G$1001,0),1)</f>
        <v>AB+</v>
      </c>
      <c r="V558" s="7" t="str" cm="1">
        <f t="array" ref="V558">INDEX(Dosen!$B$3:$E$8,MATCH(Main!C558,Dosen!$A$3:$A$8,0),IF(AND(Main!A558&gt;=1,Main!A558&lt;=250),1,IF(AND(Main!A558&gt;=251,Main!A558&lt;=500),2,IF(AND(Main!A558&gt;=501,Main!A558&lt;=750),3,4))))</f>
        <v>Pak Andi</v>
      </c>
      <c r="W558" s="7" t="str">
        <f>_xlfn.XLOOKUP(B558,Detail!$G$1:$G$1001,Detail!$B$1:$B$1001)</f>
        <v>AB+</v>
      </c>
    </row>
    <row r="559" spans="1:23" ht="15.75" x14ac:dyDescent="0.25">
      <c r="A559" s="7">
        <v>348</v>
      </c>
      <c r="B559" s="33" t="str">
        <f t="shared" si="31"/>
        <v>D0348</v>
      </c>
      <c r="C559" s="7" t="s">
        <v>1013</v>
      </c>
      <c r="D559" s="33" t="str">
        <f>VLOOKUP(B559,Detail!$G$1:$H$1001,2,FALSE)</f>
        <v>Muni Mangunsong</v>
      </c>
      <c r="E559" s="7">
        <v>64</v>
      </c>
      <c r="F559" s="7">
        <v>75</v>
      </c>
      <c r="G559" s="57">
        <v>59</v>
      </c>
      <c r="H559" s="7">
        <v>74</v>
      </c>
      <c r="I559" s="7">
        <v>64</v>
      </c>
      <c r="J559" s="7">
        <v>46</v>
      </c>
      <c r="K559" s="7">
        <v>65</v>
      </c>
      <c r="L559" s="56" t="str">
        <f>IFERROR(VLOOKUP(B559,Absen!$A$1:$C$501,2,FALSE),"No")</f>
        <v>No</v>
      </c>
      <c r="M559" s="58">
        <f t="shared" si="28"/>
        <v>6.5</v>
      </c>
      <c r="N559" s="57">
        <f t="shared" si="29"/>
        <v>62.125</v>
      </c>
      <c r="O559" s="7" t="str">
        <f>VLOOKUP(N559,Helper!$B$30:$C$35,2,TRUE)</f>
        <v>C</v>
      </c>
      <c r="P559" s="56">
        <f>INDEX(Detail!$A$1:$A$1001,MATCH(B559,Detail!$G$1:$G$1001,0))</f>
        <v>37838</v>
      </c>
      <c r="Q559" s="33" t="str">
        <f>INDEX(Detail!$F$1:$F$1001,MATCH(Main!B559,Detail!$G$1:$G$1001,0))</f>
        <v>Pagaralam</v>
      </c>
      <c r="R559" s="7">
        <f>INDEX(Detail!$C$1:$C$1001,MATCH(B559,Detail!$G$1:$G$1001,0),1)</f>
        <v>173</v>
      </c>
      <c r="S559" s="7">
        <f>INDEX(Detail!$D$1:$D$1001,MATCH(B559,Detail!$G$1:$G$1001,0),1)</f>
        <v>89</v>
      </c>
      <c r="T559" s="7" t="str">
        <f>INDEX(Detail!$E$1:$E$1001,MATCH(Main!B559,Detail!$G$1:$G$1001,0))</f>
        <v>Jalan Moch. Toha No. 73</v>
      </c>
      <c r="U559" s="7" t="str">
        <f>INDEX(Detail!$B$1:$B$1001,MATCH(B559,Detail!$G$1:$G$1001,0),1)</f>
        <v>A-</v>
      </c>
      <c r="V559" s="7" t="str" cm="1">
        <f t="array" ref="V559">INDEX(Dosen!$B$3:$E$8,MATCH(Main!C559,Dosen!$A$3:$A$8,0),IF(AND(Main!A559&gt;=1,Main!A559&lt;=250),1,IF(AND(Main!A559&gt;=251,Main!A559&lt;=500),2,IF(AND(Main!A559&gt;=501,Main!A559&lt;=750),3,4))))</f>
        <v>Pak Andi</v>
      </c>
      <c r="W559" s="7" t="str">
        <f>_xlfn.XLOOKUP(B559,Detail!$G$1:$G$1001,Detail!$B$1:$B$1001)</f>
        <v>A-</v>
      </c>
    </row>
    <row r="560" spans="1:23" ht="15.75" x14ac:dyDescent="0.25">
      <c r="A560" s="7">
        <v>359</v>
      </c>
      <c r="B560" s="33" t="str">
        <f t="shared" si="31"/>
        <v>D0359</v>
      </c>
      <c r="C560" s="7" t="s">
        <v>1013</v>
      </c>
      <c r="D560" s="33" t="str">
        <f>VLOOKUP(B560,Detail!$G$1:$H$1001,2,FALSE)</f>
        <v>Dartono Lestari</v>
      </c>
      <c r="E560" s="7">
        <v>67</v>
      </c>
      <c r="F560" s="7">
        <v>74</v>
      </c>
      <c r="G560" s="57">
        <v>92</v>
      </c>
      <c r="H560" s="7">
        <v>73</v>
      </c>
      <c r="I560" s="7">
        <v>59</v>
      </c>
      <c r="J560" s="7">
        <v>45</v>
      </c>
      <c r="K560" s="7">
        <v>85</v>
      </c>
      <c r="L560" s="56">
        <f>IFERROR(VLOOKUP(B560,Absen!$A$1:$C$501,2,FALSE),"No")</f>
        <v>44797</v>
      </c>
      <c r="M560" s="58">
        <f t="shared" si="28"/>
        <v>7.5</v>
      </c>
      <c r="N560" s="57">
        <f t="shared" si="29"/>
        <v>69.025000000000006</v>
      </c>
      <c r="O560" s="7" t="str">
        <f>VLOOKUP(N560,Helper!$B$30:$C$35,2,TRUE)</f>
        <v>C</v>
      </c>
      <c r="P560" s="56">
        <f>INDEX(Detail!$A$1:$A$1001,MATCH(B560,Detail!$G$1:$G$1001,0))</f>
        <v>37400</v>
      </c>
      <c r="Q560" s="33" t="str">
        <f>INDEX(Detail!$F$1:$F$1001,MATCH(Main!B560,Detail!$G$1:$G$1001,0))</f>
        <v>Kotamobagu</v>
      </c>
      <c r="R560" s="7">
        <f>INDEX(Detail!$C$1:$C$1001,MATCH(B560,Detail!$G$1:$G$1001,0),1)</f>
        <v>169</v>
      </c>
      <c r="S560" s="7">
        <f>INDEX(Detail!$D$1:$D$1001,MATCH(B560,Detail!$G$1:$G$1001,0),1)</f>
        <v>48</v>
      </c>
      <c r="T560" s="7" t="str">
        <f>INDEX(Detail!$E$1:$E$1001,MATCH(Main!B560,Detail!$G$1:$G$1001,0))</f>
        <v>Jalan M.H Thamrin No. 08</v>
      </c>
      <c r="U560" s="7" t="str">
        <f>INDEX(Detail!$B$1:$B$1001,MATCH(B560,Detail!$G$1:$G$1001,0),1)</f>
        <v>AB-</v>
      </c>
      <c r="V560" s="7" t="str" cm="1">
        <f t="array" ref="V560">INDEX(Dosen!$B$3:$E$8,MATCH(Main!C560,Dosen!$A$3:$A$8,0),IF(AND(Main!A560&gt;=1,Main!A560&lt;=250),1,IF(AND(Main!A560&gt;=251,Main!A560&lt;=500),2,IF(AND(Main!A560&gt;=501,Main!A560&lt;=750),3,4))))</f>
        <v>Pak Andi</v>
      </c>
      <c r="W560" s="7" t="str">
        <f>_xlfn.XLOOKUP(B560,Detail!$G$1:$G$1001,Detail!$B$1:$B$1001)</f>
        <v>AB-</v>
      </c>
    </row>
    <row r="561" spans="1:23" ht="15.75" x14ac:dyDescent="0.25">
      <c r="A561" s="7">
        <v>362</v>
      </c>
      <c r="B561" s="33" t="str">
        <f t="shared" si="31"/>
        <v>D0362</v>
      </c>
      <c r="C561" s="7" t="s">
        <v>1013</v>
      </c>
      <c r="D561" s="33" t="str">
        <f>VLOOKUP(B561,Detail!$G$1:$H$1001,2,FALSE)</f>
        <v>Ade Simbolon</v>
      </c>
      <c r="E561" s="7">
        <v>85</v>
      </c>
      <c r="F561" s="7">
        <v>45</v>
      </c>
      <c r="G561" s="57">
        <v>65</v>
      </c>
      <c r="H561" s="7">
        <v>51</v>
      </c>
      <c r="I561" s="7">
        <v>73</v>
      </c>
      <c r="J561" s="7">
        <v>54</v>
      </c>
      <c r="K561" s="7">
        <v>60</v>
      </c>
      <c r="L561" s="56" t="str">
        <f>IFERROR(VLOOKUP(B561,Absen!$A$1:$C$501,2,FALSE),"No")</f>
        <v>No</v>
      </c>
      <c r="M561" s="58">
        <f t="shared" si="28"/>
        <v>6</v>
      </c>
      <c r="N561" s="57">
        <f t="shared" si="29"/>
        <v>61.55</v>
      </c>
      <c r="O561" s="7" t="str">
        <f>VLOOKUP(N561,Helper!$B$30:$C$35,2,TRUE)</f>
        <v>C</v>
      </c>
      <c r="P561" s="56">
        <f>INDEX(Detail!$A$1:$A$1001,MATCH(B561,Detail!$G$1:$G$1001,0))</f>
        <v>37021</v>
      </c>
      <c r="Q561" s="33" t="str">
        <f>INDEX(Detail!$F$1:$F$1001,MATCH(Main!B561,Detail!$G$1:$G$1001,0))</f>
        <v>Batam</v>
      </c>
      <c r="R561" s="7">
        <f>INDEX(Detail!$C$1:$C$1001,MATCH(B561,Detail!$G$1:$G$1001,0),1)</f>
        <v>153</v>
      </c>
      <c r="S561" s="7">
        <f>INDEX(Detail!$D$1:$D$1001,MATCH(B561,Detail!$G$1:$G$1001,0),1)</f>
        <v>65</v>
      </c>
      <c r="T561" s="7" t="str">
        <f>INDEX(Detail!$E$1:$E$1001,MATCH(Main!B561,Detail!$G$1:$G$1001,0))</f>
        <v>Gg. Rawamangun No. 87</v>
      </c>
      <c r="U561" s="7" t="str">
        <f>INDEX(Detail!$B$1:$B$1001,MATCH(B561,Detail!$G$1:$G$1001,0),1)</f>
        <v>AB+</v>
      </c>
      <c r="V561" s="7" t="str" cm="1">
        <f t="array" ref="V561">INDEX(Dosen!$B$3:$E$8,MATCH(Main!C561,Dosen!$A$3:$A$8,0),IF(AND(Main!A561&gt;=1,Main!A561&lt;=250),1,IF(AND(Main!A561&gt;=251,Main!A561&lt;=500),2,IF(AND(Main!A561&gt;=501,Main!A561&lt;=750),3,4))))</f>
        <v>Pak Andi</v>
      </c>
      <c r="W561" s="7" t="str">
        <f>_xlfn.XLOOKUP(B561,Detail!$G$1:$G$1001,Detail!$B$1:$B$1001)</f>
        <v>AB+</v>
      </c>
    </row>
    <row r="562" spans="1:23" ht="15.75" x14ac:dyDescent="0.25">
      <c r="A562" s="7">
        <v>375</v>
      </c>
      <c r="B562" s="33" t="str">
        <f t="shared" si="31"/>
        <v>D0375</v>
      </c>
      <c r="C562" s="7" t="s">
        <v>1013</v>
      </c>
      <c r="D562" s="33" t="str">
        <f>VLOOKUP(B562,Detail!$G$1:$H$1001,2,FALSE)</f>
        <v>Bahuraksa Nuraini</v>
      </c>
      <c r="E562" s="7">
        <v>90</v>
      </c>
      <c r="F562" s="7">
        <v>67</v>
      </c>
      <c r="G562" s="57">
        <v>81</v>
      </c>
      <c r="H562" s="7">
        <v>73</v>
      </c>
      <c r="I562" s="7">
        <v>58</v>
      </c>
      <c r="J562" s="7">
        <v>67</v>
      </c>
      <c r="K562" s="7">
        <v>90</v>
      </c>
      <c r="L562" s="56">
        <f>IFERROR(VLOOKUP(B562,Absen!$A$1:$C$501,2,FALSE),"No")</f>
        <v>44766</v>
      </c>
      <c r="M562" s="58">
        <f t="shared" si="28"/>
        <v>8</v>
      </c>
      <c r="N562" s="57">
        <f t="shared" si="29"/>
        <v>73.600000000000009</v>
      </c>
      <c r="O562" s="7" t="str">
        <f>VLOOKUP(N562,Helper!$B$30:$C$35,2,TRUE)</f>
        <v>B</v>
      </c>
      <c r="P562" s="56">
        <f>INDEX(Detail!$A$1:$A$1001,MATCH(B562,Detail!$G$1:$G$1001,0))</f>
        <v>37476</v>
      </c>
      <c r="Q562" s="33" t="str">
        <f>INDEX(Detail!$F$1:$F$1001,MATCH(Main!B562,Detail!$G$1:$G$1001,0))</f>
        <v>Jayapura</v>
      </c>
      <c r="R562" s="7">
        <f>INDEX(Detail!$C$1:$C$1001,MATCH(B562,Detail!$G$1:$G$1001,0),1)</f>
        <v>173</v>
      </c>
      <c r="S562" s="7">
        <f>INDEX(Detail!$D$1:$D$1001,MATCH(B562,Detail!$G$1:$G$1001,0),1)</f>
        <v>69</v>
      </c>
      <c r="T562" s="7" t="str">
        <f>INDEX(Detail!$E$1:$E$1001,MATCH(Main!B562,Detail!$G$1:$G$1001,0))</f>
        <v>Jalan Merdeka No. 78</v>
      </c>
      <c r="U562" s="7" t="str">
        <f>INDEX(Detail!$B$1:$B$1001,MATCH(B562,Detail!$G$1:$G$1001,0),1)</f>
        <v>B+</v>
      </c>
      <c r="V562" s="7" t="str" cm="1">
        <f t="array" ref="V562">INDEX(Dosen!$B$3:$E$8,MATCH(Main!C562,Dosen!$A$3:$A$8,0),IF(AND(Main!A562&gt;=1,Main!A562&lt;=250),1,IF(AND(Main!A562&gt;=251,Main!A562&lt;=500),2,IF(AND(Main!A562&gt;=501,Main!A562&lt;=750),3,4))))</f>
        <v>Pak Andi</v>
      </c>
      <c r="W562" s="7" t="str">
        <f>_xlfn.XLOOKUP(B562,Detail!$G$1:$G$1001,Detail!$B$1:$B$1001)</f>
        <v>B+</v>
      </c>
    </row>
    <row r="563" spans="1:23" ht="15.75" x14ac:dyDescent="0.25">
      <c r="A563" s="7">
        <v>378</v>
      </c>
      <c r="B563" s="33" t="str">
        <f t="shared" si="31"/>
        <v>D0378</v>
      </c>
      <c r="C563" s="7" t="s">
        <v>1013</v>
      </c>
      <c r="D563" s="33" t="str">
        <f>VLOOKUP(B563,Detail!$G$1:$H$1001,2,FALSE)</f>
        <v>Raden Oktaviani</v>
      </c>
      <c r="E563" s="7">
        <v>91</v>
      </c>
      <c r="F563" s="7">
        <v>44</v>
      </c>
      <c r="G563" s="57">
        <v>76</v>
      </c>
      <c r="H563" s="7">
        <v>60</v>
      </c>
      <c r="I563" s="7">
        <v>79</v>
      </c>
      <c r="J563" s="7">
        <v>98</v>
      </c>
      <c r="K563" s="7">
        <v>100</v>
      </c>
      <c r="L563" s="56" t="str">
        <f>IFERROR(VLOOKUP(B563,Absen!$A$1:$C$501,2,FALSE),"No")</f>
        <v>No</v>
      </c>
      <c r="M563" s="58">
        <f t="shared" si="28"/>
        <v>10</v>
      </c>
      <c r="N563" s="57">
        <f t="shared" si="29"/>
        <v>79.050000000000011</v>
      </c>
      <c r="O563" s="7" t="str">
        <f>VLOOKUP(N563,Helper!$B$30:$C$35,2,TRUE)</f>
        <v>B</v>
      </c>
      <c r="P563" s="56">
        <f>INDEX(Detail!$A$1:$A$1001,MATCH(B563,Detail!$G$1:$G$1001,0))</f>
        <v>38186</v>
      </c>
      <c r="Q563" s="33" t="str">
        <f>INDEX(Detail!$F$1:$F$1001,MATCH(Main!B563,Detail!$G$1:$G$1001,0))</f>
        <v>Kendari</v>
      </c>
      <c r="R563" s="7">
        <f>INDEX(Detail!$C$1:$C$1001,MATCH(B563,Detail!$G$1:$G$1001,0),1)</f>
        <v>155</v>
      </c>
      <c r="S563" s="7">
        <f>INDEX(Detail!$D$1:$D$1001,MATCH(B563,Detail!$G$1:$G$1001,0),1)</f>
        <v>49</v>
      </c>
      <c r="T563" s="7" t="str">
        <f>INDEX(Detail!$E$1:$E$1001,MATCH(Main!B563,Detail!$G$1:$G$1001,0))</f>
        <v>Gg. Ahmad Dahlan No. 90</v>
      </c>
      <c r="U563" s="7" t="str">
        <f>INDEX(Detail!$B$1:$B$1001,MATCH(B563,Detail!$G$1:$G$1001,0),1)</f>
        <v>AB-</v>
      </c>
      <c r="V563" s="7" t="str" cm="1">
        <f t="array" ref="V563">INDEX(Dosen!$B$3:$E$8,MATCH(Main!C563,Dosen!$A$3:$A$8,0),IF(AND(Main!A563&gt;=1,Main!A563&lt;=250),1,IF(AND(Main!A563&gt;=251,Main!A563&lt;=500),2,IF(AND(Main!A563&gt;=501,Main!A563&lt;=750),3,4))))</f>
        <v>Pak Andi</v>
      </c>
      <c r="W563" s="7" t="str">
        <f>_xlfn.XLOOKUP(B563,Detail!$G$1:$G$1001,Detail!$B$1:$B$1001)</f>
        <v>AB-</v>
      </c>
    </row>
    <row r="564" spans="1:23" ht="15.75" x14ac:dyDescent="0.25">
      <c r="A564" s="7">
        <v>380</v>
      </c>
      <c r="B564" s="33" t="str">
        <f t="shared" si="31"/>
        <v>D0380</v>
      </c>
      <c r="C564" s="7" t="s">
        <v>1013</v>
      </c>
      <c r="D564" s="33" t="str">
        <f>VLOOKUP(B564,Detail!$G$1:$H$1001,2,FALSE)</f>
        <v>Kiandra Agustina</v>
      </c>
      <c r="E564" s="7">
        <v>66</v>
      </c>
      <c r="F564" s="7">
        <v>42</v>
      </c>
      <c r="G564" s="57">
        <v>92</v>
      </c>
      <c r="H564" s="7">
        <v>71</v>
      </c>
      <c r="I564" s="7">
        <v>66</v>
      </c>
      <c r="J564" s="7">
        <v>48</v>
      </c>
      <c r="K564" s="7">
        <v>73</v>
      </c>
      <c r="L564" s="56">
        <f>IFERROR(VLOOKUP(B564,Absen!$A$1:$C$501,2,FALSE),"No")</f>
        <v>44849</v>
      </c>
      <c r="M564" s="58">
        <f t="shared" si="28"/>
        <v>6.3000000000000007</v>
      </c>
      <c r="N564" s="57">
        <f t="shared" si="29"/>
        <v>64.925000000000011</v>
      </c>
      <c r="O564" s="7" t="str">
        <f>VLOOKUP(N564,Helper!$B$30:$C$35,2,TRUE)</f>
        <v>C</v>
      </c>
      <c r="P564" s="56">
        <f>INDEX(Detail!$A$1:$A$1001,MATCH(B564,Detail!$G$1:$G$1001,0))</f>
        <v>37066</v>
      </c>
      <c r="Q564" s="33" t="str">
        <f>INDEX(Detail!$F$1:$F$1001,MATCH(Main!B564,Detail!$G$1:$G$1001,0))</f>
        <v>Banjarmasin</v>
      </c>
      <c r="R564" s="7">
        <f>INDEX(Detail!$C$1:$C$1001,MATCH(B564,Detail!$G$1:$G$1001,0),1)</f>
        <v>174</v>
      </c>
      <c r="S564" s="7">
        <f>INDEX(Detail!$D$1:$D$1001,MATCH(B564,Detail!$G$1:$G$1001,0),1)</f>
        <v>81</v>
      </c>
      <c r="T564" s="7" t="str">
        <f>INDEX(Detail!$E$1:$E$1001,MATCH(Main!B564,Detail!$G$1:$G$1001,0))</f>
        <v>Gang Raya Setiabudhi No. 58</v>
      </c>
      <c r="U564" s="7" t="str">
        <f>INDEX(Detail!$B$1:$B$1001,MATCH(B564,Detail!$G$1:$G$1001,0),1)</f>
        <v>B-</v>
      </c>
      <c r="V564" s="7" t="str" cm="1">
        <f t="array" ref="V564">INDEX(Dosen!$B$3:$E$8,MATCH(Main!C564,Dosen!$A$3:$A$8,0),IF(AND(Main!A564&gt;=1,Main!A564&lt;=250),1,IF(AND(Main!A564&gt;=251,Main!A564&lt;=500),2,IF(AND(Main!A564&gt;=501,Main!A564&lt;=750),3,4))))</f>
        <v>Pak Andi</v>
      </c>
      <c r="W564" s="7" t="str">
        <f>_xlfn.XLOOKUP(B564,Detail!$G$1:$G$1001,Detail!$B$1:$B$1001)</f>
        <v>B-</v>
      </c>
    </row>
    <row r="565" spans="1:23" ht="15.75" x14ac:dyDescent="0.25">
      <c r="A565" s="7">
        <v>382</v>
      </c>
      <c r="B565" s="33" t="str">
        <f t="shared" si="31"/>
        <v>D0382</v>
      </c>
      <c r="C565" s="7" t="s">
        <v>1013</v>
      </c>
      <c r="D565" s="33" t="str">
        <f>VLOOKUP(B565,Detail!$G$1:$H$1001,2,FALSE)</f>
        <v>Elisa Habibi</v>
      </c>
      <c r="E565" s="7">
        <v>82</v>
      </c>
      <c r="F565" s="7">
        <v>66</v>
      </c>
      <c r="G565" s="57">
        <v>95</v>
      </c>
      <c r="H565" s="7">
        <v>52</v>
      </c>
      <c r="I565" s="7">
        <v>89</v>
      </c>
      <c r="J565" s="7">
        <v>93</v>
      </c>
      <c r="K565" s="7">
        <v>100</v>
      </c>
      <c r="L565" s="56" t="str">
        <f>IFERROR(VLOOKUP(B565,Absen!$A$1:$C$501,2,FALSE),"No")</f>
        <v>No</v>
      </c>
      <c r="M565" s="58">
        <f t="shared" si="28"/>
        <v>10</v>
      </c>
      <c r="N565" s="57">
        <f t="shared" si="29"/>
        <v>83.724999999999994</v>
      </c>
      <c r="O565" s="7" t="str">
        <f>VLOOKUP(N565,Helper!$B$30:$C$35,2,TRUE)</f>
        <v>A</v>
      </c>
      <c r="P565" s="56">
        <f>INDEX(Detail!$A$1:$A$1001,MATCH(B565,Detail!$G$1:$G$1001,0))</f>
        <v>37592</v>
      </c>
      <c r="Q565" s="33" t="str">
        <f>INDEX(Detail!$F$1:$F$1001,MATCH(Main!B565,Detail!$G$1:$G$1001,0))</f>
        <v>Mataram</v>
      </c>
      <c r="R565" s="7">
        <f>INDEX(Detail!$C$1:$C$1001,MATCH(B565,Detail!$G$1:$G$1001,0),1)</f>
        <v>161</v>
      </c>
      <c r="S565" s="7">
        <f>INDEX(Detail!$D$1:$D$1001,MATCH(B565,Detail!$G$1:$G$1001,0),1)</f>
        <v>48</v>
      </c>
      <c r="T565" s="7" t="str">
        <f>INDEX(Detail!$E$1:$E$1001,MATCH(Main!B565,Detail!$G$1:$G$1001,0))</f>
        <v>Jl. Cikapayang No. 52</v>
      </c>
      <c r="U565" s="7" t="str">
        <f>INDEX(Detail!$B$1:$B$1001,MATCH(B565,Detail!$G$1:$G$1001,0),1)</f>
        <v>A-</v>
      </c>
      <c r="V565" s="7" t="str" cm="1">
        <f t="array" ref="V565">INDEX(Dosen!$B$3:$E$8,MATCH(Main!C565,Dosen!$A$3:$A$8,0),IF(AND(Main!A565&gt;=1,Main!A565&lt;=250),1,IF(AND(Main!A565&gt;=251,Main!A565&lt;=500),2,IF(AND(Main!A565&gt;=501,Main!A565&lt;=750),3,4))))</f>
        <v>Pak Andi</v>
      </c>
      <c r="W565" s="7" t="str">
        <f>_xlfn.XLOOKUP(B565,Detail!$G$1:$G$1001,Detail!$B$1:$B$1001)</f>
        <v>A-</v>
      </c>
    </row>
    <row r="566" spans="1:23" ht="15.75" x14ac:dyDescent="0.25">
      <c r="A566" s="7">
        <v>393</v>
      </c>
      <c r="B566" s="33" t="str">
        <f t="shared" si="31"/>
        <v>D0393</v>
      </c>
      <c r="C566" s="7" t="s">
        <v>1013</v>
      </c>
      <c r="D566" s="33" t="str">
        <f>VLOOKUP(B566,Detail!$G$1:$H$1001,2,FALSE)</f>
        <v>Adhiarja Prasasta</v>
      </c>
      <c r="E566" s="7">
        <v>77</v>
      </c>
      <c r="F566" s="7">
        <v>46</v>
      </c>
      <c r="G566" s="57">
        <v>64</v>
      </c>
      <c r="H566" s="7">
        <v>71</v>
      </c>
      <c r="I566" s="7">
        <v>92</v>
      </c>
      <c r="J566" s="7">
        <v>97</v>
      </c>
      <c r="K566" s="7">
        <v>86</v>
      </c>
      <c r="L566" s="56">
        <f>IFERROR(VLOOKUP(B566,Absen!$A$1:$C$501,2,FALSE),"No")</f>
        <v>44831</v>
      </c>
      <c r="M566" s="58">
        <f t="shared" si="28"/>
        <v>7.6000000000000005</v>
      </c>
      <c r="N566" s="57">
        <f t="shared" si="29"/>
        <v>75.55</v>
      </c>
      <c r="O566" s="7" t="str">
        <f>VLOOKUP(N566,Helper!$B$30:$C$35,2,TRUE)</f>
        <v>B</v>
      </c>
      <c r="P566" s="56">
        <f>INDEX(Detail!$A$1:$A$1001,MATCH(B566,Detail!$G$1:$G$1001,0))</f>
        <v>37799</v>
      </c>
      <c r="Q566" s="33" t="str">
        <f>INDEX(Detail!$F$1:$F$1001,MATCH(Main!B566,Detail!$G$1:$G$1001,0))</f>
        <v>Banjar</v>
      </c>
      <c r="R566" s="7">
        <f>INDEX(Detail!$C$1:$C$1001,MATCH(B566,Detail!$G$1:$G$1001,0),1)</f>
        <v>172</v>
      </c>
      <c r="S566" s="7">
        <f>INDEX(Detail!$D$1:$D$1001,MATCH(B566,Detail!$G$1:$G$1001,0),1)</f>
        <v>51</v>
      </c>
      <c r="T566" s="7" t="str">
        <f>INDEX(Detail!$E$1:$E$1001,MATCH(Main!B566,Detail!$G$1:$G$1001,0))</f>
        <v>Jalan Ciwastra No. 05</v>
      </c>
      <c r="U566" s="7" t="str">
        <f>INDEX(Detail!$B$1:$B$1001,MATCH(B566,Detail!$G$1:$G$1001,0),1)</f>
        <v>AB+</v>
      </c>
      <c r="V566" s="7" t="str" cm="1">
        <f t="array" ref="V566">INDEX(Dosen!$B$3:$E$8,MATCH(Main!C566,Dosen!$A$3:$A$8,0),IF(AND(Main!A566&gt;=1,Main!A566&lt;=250),1,IF(AND(Main!A566&gt;=251,Main!A566&lt;=500),2,IF(AND(Main!A566&gt;=501,Main!A566&lt;=750),3,4))))</f>
        <v>Pak Andi</v>
      </c>
      <c r="W566" s="7" t="str">
        <f>_xlfn.XLOOKUP(B566,Detail!$G$1:$G$1001,Detail!$B$1:$B$1001)</f>
        <v>AB+</v>
      </c>
    </row>
    <row r="567" spans="1:23" ht="15.75" x14ac:dyDescent="0.25">
      <c r="A567" s="7">
        <v>396</v>
      </c>
      <c r="B567" s="33" t="str">
        <f t="shared" si="31"/>
        <v>D0396</v>
      </c>
      <c r="C567" s="7" t="s">
        <v>1013</v>
      </c>
      <c r="D567" s="33" t="str">
        <f>VLOOKUP(B567,Detail!$G$1:$H$1001,2,FALSE)</f>
        <v>Ami Prasetya</v>
      </c>
      <c r="E567" s="7">
        <v>51</v>
      </c>
      <c r="F567" s="7">
        <v>56</v>
      </c>
      <c r="G567" s="57">
        <v>81</v>
      </c>
      <c r="H567" s="7">
        <v>60</v>
      </c>
      <c r="I567" s="7">
        <v>91</v>
      </c>
      <c r="J567" s="7">
        <v>54</v>
      </c>
      <c r="K567" s="7">
        <v>63</v>
      </c>
      <c r="L567" s="56" t="str">
        <f>IFERROR(VLOOKUP(B567,Absen!$A$1:$C$501,2,FALSE),"No")</f>
        <v>No</v>
      </c>
      <c r="M567" s="58">
        <f t="shared" si="28"/>
        <v>6.3000000000000007</v>
      </c>
      <c r="N567" s="57">
        <f t="shared" si="29"/>
        <v>65.55</v>
      </c>
      <c r="O567" s="7" t="str">
        <f>VLOOKUP(N567,Helper!$B$30:$C$35,2,TRUE)</f>
        <v>C</v>
      </c>
      <c r="P567" s="56">
        <f>INDEX(Detail!$A$1:$A$1001,MATCH(B567,Detail!$G$1:$G$1001,0))</f>
        <v>38404</v>
      </c>
      <c r="Q567" s="33" t="str">
        <f>INDEX(Detail!$F$1:$F$1001,MATCH(Main!B567,Detail!$G$1:$G$1001,0))</f>
        <v>Langsa</v>
      </c>
      <c r="R567" s="7">
        <f>INDEX(Detail!$C$1:$C$1001,MATCH(B567,Detail!$G$1:$G$1001,0),1)</f>
        <v>163</v>
      </c>
      <c r="S567" s="7">
        <f>INDEX(Detail!$D$1:$D$1001,MATCH(B567,Detail!$G$1:$G$1001,0),1)</f>
        <v>51</v>
      </c>
      <c r="T567" s="7" t="str">
        <f>INDEX(Detail!$E$1:$E$1001,MATCH(Main!B567,Detail!$G$1:$G$1001,0))</f>
        <v>Jalan Pacuan Kuda No. 45</v>
      </c>
      <c r="U567" s="7" t="str">
        <f>INDEX(Detail!$B$1:$B$1001,MATCH(B567,Detail!$G$1:$G$1001,0),1)</f>
        <v>O+</v>
      </c>
      <c r="V567" s="7" t="str" cm="1">
        <f t="array" ref="V567">INDEX(Dosen!$B$3:$E$8,MATCH(Main!C567,Dosen!$A$3:$A$8,0),IF(AND(Main!A567&gt;=1,Main!A567&lt;=250),1,IF(AND(Main!A567&gt;=251,Main!A567&lt;=500),2,IF(AND(Main!A567&gt;=501,Main!A567&lt;=750),3,4))))</f>
        <v>Pak Andi</v>
      </c>
      <c r="W567" s="7" t="str">
        <f>_xlfn.XLOOKUP(B567,Detail!$G$1:$G$1001,Detail!$B$1:$B$1001)</f>
        <v>O+</v>
      </c>
    </row>
    <row r="568" spans="1:23" ht="15.75" x14ac:dyDescent="0.25">
      <c r="A568" s="7">
        <v>400</v>
      </c>
      <c r="B568" s="33" t="str">
        <f t="shared" si="31"/>
        <v>D0400</v>
      </c>
      <c r="C568" s="7" t="s">
        <v>1013</v>
      </c>
      <c r="D568" s="33" t="str">
        <f>VLOOKUP(B568,Detail!$G$1:$H$1001,2,FALSE)</f>
        <v>Gandi Wibisono</v>
      </c>
      <c r="E568" s="7">
        <v>88</v>
      </c>
      <c r="F568" s="7">
        <v>69</v>
      </c>
      <c r="G568" s="57">
        <v>83</v>
      </c>
      <c r="H568" s="7">
        <v>63</v>
      </c>
      <c r="I568" s="7">
        <v>84</v>
      </c>
      <c r="J568" s="7">
        <v>42</v>
      </c>
      <c r="K568" s="7">
        <v>61</v>
      </c>
      <c r="L568" s="56">
        <f>IFERROR(VLOOKUP(B568,Absen!$A$1:$C$501,2,FALSE),"No")</f>
        <v>44765</v>
      </c>
      <c r="M568" s="58">
        <f t="shared" si="28"/>
        <v>5.1000000000000005</v>
      </c>
      <c r="N568" s="57">
        <f t="shared" si="29"/>
        <v>68.099999999999994</v>
      </c>
      <c r="O568" s="7" t="str">
        <f>VLOOKUP(N568,Helper!$B$30:$C$35,2,TRUE)</f>
        <v>C</v>
      </c>
      <c r="P568" s="56">
        <f>INDEX(Detail!$A$1:$A$1001,MATCH(B568,Detail!$G$1:$G$1001,0))</f>
        <v>38340</v>
      </c>
      <c r="Q568" s="33" t="str">
        <f>INDEX(Detail!$F$1:$F$1001,MATCH(Main!B568,Detail!$G$1:$G$1001,0))</f>
        <v>Batu</v>
      </c>
      <c r="R568" s="7">
        <f>INDEX(Detail!$C$1:$C$1001,MATCH(B568,Detail!$G$1:$G$1001,0),1)</f>
        <v>153</v>
      </c>
      <c r="S568" s="7">
        <f>INDEX(Detail!$D$1:$D$1001,MATCH(B568,Detail!$G$1:$G$1001,0),1)</f>
        <v>94</v>
      </c>
      <c r="T568" s="7" t="str">
        <f>INDEX(Detail!$E$1:$E$1001,MATCH(Main!B568,Detail!$G$1:$G$1001,0))</f>
        <v xml:space="preserve">Gang W.R. Supratman No. 9
</v>
      </c>
      <c r="U568" s="7" t="str">
        <f>INDEX(Detail!$B$1:$B$1001,MATCH(B568,Detail!$G$1:$G$1001,0),1)</f>
        <v>B-</v>
      </c>
      <c r="V568" s="7" t="str" cm="1">
        <f t="array" ref="V568">INDEX(Dosen!$B$3:$E$8,MATCH(Main!C568,Dosen!$A$3:$A$8,0),IF(AND(Main!A568&gt;=1,Main!A568&lt;=250),1,IF(AND(Main!A568&gt;=251,Main!A568&lt;=500),2,IF(AND(Main!A568&gt;=501,Main!A568&lt;=750),3,4))))</f>
        <v>Pak Andi</v>
      </c>
      <c r="W568" s="7" t="str">
        <f>_xlfn.XLOOKUP(B568,Detail!$G$1:$G$1001,Detail!$B$1:$B$1001)</f>
        <v>B-</v>
      </c>
    </row>
    <row r="569" spans="1:23" ht="15.75" x14ac:dyDescent="0.25">
      <c r="A569" s="7">
        <v>412</v>
      </c>
      <c r="B569" s="33" t="str">
        <f t="shared" si="31"/>
        <v>D0412</v>
      </c>
      <c r="C569" s="7" t="s">
        <v>1013</v>
      </c>
      <c r="D569" s="33" t="str">
        <f>VLOOKUP(B569,Detail!$G$1:$H$1001,2,FALSE)</f>
        <v>Taswir Nababan</v>
      </c>
      <c r="E569" s="7">
        <v>79</v>
      </c>
      <c r="F569" s="7">
        <v>48</v>
      </c>
      <c r="G569" s="57">
        <v>40</v>
      </c>
      <c r="H569" s="7">
        <v>71</v>
      </c>
      <c r="I569" s="7">
        <v>72</v>
      </c>
      <c r="J569" s="7">
        <v>100</v>
      </c>
      <c r="K569" s="7">
        <v>63</v>
      </c>
      <c r="L569" s="56" t="str">
        <f>IFERROR(VLOOKUP(B569,Absen!$A$1:$C$501,2,FALSE),"No")</f>
        <v>No</v>
      </c>
      <c r="M569" s="58">
        <f t="shared" si="28"/>
        <v>6.3000000000000007</v>
      </c>
      <c r="N569" s="57">
        <f t="shared" si="29"/>
        <v>68.05</v>
      </c>
      <c r="O569" s="7" t="str">
        <f>VLOOKUP(N569,Helper!$B$30:$C$35,2,TRUE)</f>
        <v>C</v>
      </c>
      <c r="P569" s="56">
        <f>INDEX(Detail!$A$1:$A$1001,MATCH(B569,Detail!$G$1:$G$1001,0))</f>
        <v>37347</v>
      </c>
      <c r="Q569" s="33" t="str">
        <f>INDEX(Detail!$F$1:$F$1001,MATCH(Main!B569,Detail!$G$1:$G$1001,0))</f>
        <v>Solok</v>
      </c>
      <c r="R569" s="7">
        <f>INDEX(Detail!$C$1:$C$1001,MATCH(B569,Detail!$G$1:$G$1001,0),1)</f>
        <v>159</v>
      </c>
      <c r="S569" s="7">
        <f>INDEX(Detail!$D$1:$D$1001,MATCH(B569,Detail!$G$1:$G$1001,0),1)</f>
        <v>82</v>
      </c>
      <c r="T569" s="7" t="str">
        <f>INDEX(Detail!$E$1:$E$1001,MATCH(Main!B569,Detail!$G$1:$G$1001,0))</f>
        <v>Jalan Kutisari Selatan No. 41</v>
      </c>
      <c r="U569" s="7" t="str">
        <f>INDEX(Detail!$B$1:$B$1001,MATCH(B569,Detail!$G$1:$G$1001,0),1)</f>
        <v>A-</v>
      </c>
      <c r="V569" s="7" t="str" cm="1">
        <f t="array" ref="V569">INDEX(Dosen!$B$3:$E$8,MATCH(Main!C569,Dosen!$A$3:$A$8,0),IF(AND(Main!A569&gt;=1,Main!A569&lt;=250),1,IF(AND(Main!A569&gt;=251,Main!A569&lt;=500),2,IF(AND(Main!A569&gt;=501,Main!A569&lt;=750),3,4))))</f>
        <v>Pak Andi</v>
      </c>
      <c r="W569" s="7" t="str">
        <f>_xlfn.XLOOKUP(B569,Detail!$G$1:$G$1001,Detail!$B$1:$B$1001)</f>
        <v>A-</v>
      </c>
    </row>
    <row r="570" spans="1:23" ht="15.75" x14ac:dyDescent="0.25">
      <c r="A570" s="7">
        <v>417</v>
      </c>
      <c r="B570" s="33" t="str">
        <f t="shared" si="31"/>
        <v>D0417</v>
      </c>
      <c r="C570" s="7" t="s">
        <v>1013</v>
      </c>
      <c r="D570" s="33" t="str">
        <f>VLOOKUP(B570,Detail!$G$1:$H$1001,2,FALSE)</f>
        <v>Agus Halim</v>
      </c>
      <c r="E570" s="7">
        <v>63</v>
      </c>
      <c r="F570" s="7">
        <v>65</v>
      </c>
      <c r="G570" s="57">
        <v>63</v>
      </c>
      <c r="H570" s="7">
        <v>64</v>
      </c>
      <c r="I570" s="7">
        <v>58</v>
      </c>
      <c r="J570" s="7">
        <v>73</v>
      </c>
      <c r="K570" s="7">
        <v>99</v>
      </c>
      <c r="L570" s="56" t="str">
        <f>IFERROR(VLOOKUP(B570,Absen!$A$1:$C$501,2,FALSE),"No")</f>
        <v>No</v>
      </c>
      <c r="M570" s="58">
        <f t="shared" si="28"/>
        <v>9.9</v>
      </c>
      <c r="N570" s="57">
        <f t="shared" si="29"/>
        <v>68.350000000000009</v>
      </c>
      <c r="O570" s="7" t="str">
        <f>VLOOKUP(N570,Helper!$B$30:$C$35,2,TRUE)</f>
        <v>C</v>
      </c>
      <c r="P570" s="56">
        <f>INDEX(Detail!$A$1:$A$1001,MATCH(B570,Detail!$G$1:$G$1001,0))</f>
        <v>37397</v>
      </c>
      <c r="Q570" s="33" t="str">
        <f>INDEX(Detail!$F$1:$F$1001,MATCH(Main!B570,Detail!$G$1:$G$1001,0))</f>
        <v>Magelang</v>
      </c>
      <c r="R570" s="7">
        <f>INDEX(Detail!$C$1:$C$1001,MATCH(B570,Detail!$G$1:$G$1001,0),1)</f>
        <v>173</v>
      </c>
      <c r="S570" s="7">
        <f>INDEX(Detail!$D$1:$D$1001,MATCH(B570,Detail!$G$1:$G$1001,0),1)</f>
        <v>74</v>
      </c>
      <c r="T570" s="7" t="str">
        <f>INDEX(Detail!$E$1:$E$1001,MATCH(Main!B570,Detail!$G$1:$G$1001,0))</f>
        <v>Jalan Cikutra Timur No. 62</v>
      </c>
      <c r="U570" s="7" t="str">
        <f>INDEX(Detail!$B$1:$B$1001,MATCH(B570,Detail!$G$1:$G$1001,0),1)</f>
        <v>B+</v>
      </c>
      <c r="V570" s="7" t="str" cm="1">
        <f t="array" ref="V570">INDEX(Dosen!$B$3:$E$8,MATCH(Main!C570,Dosen!$A$3:$A$8,0),IF(AND(Main!A570&gt;=1,Main!A570&lt;=250),1,IF(AND(Main!A570&gt;=251,Main!A570&lt;=500),2,IF(AND(Main!A570&gt;=501,Main!A570&lt;=750),3,4))))</f>
        <v>Pak Andi</v>
      </c>
      <c r="W570" s="7" t="str">
        <f>_xlfn.XLOOKUP(B570,Detail!$G$1:$G$1001,Detail!$B$1:$B$1001)</f>
        <v>B+</v>
      </c>
    </row>
    <row r="571" spans="1:23" ht="15.75" x14ac:dyDescent="0.25">
      <c r="A571" s="7">
        <v>421</v>
      </c>
      <c r="B571" s="33" t="str">
        <f t="shared" si="31"/>
        <v>D0421</v>
      </c>
      <c r="C571" s="7" t="s">
        <v>1013</v>
      </c>
      <c r="D571" s="33" t="str">
        <f>VLOOKUP(B571,Detail!$G$1:$H$1001,2,FALSE)</f>
        <v>Elvina Wulandari</v>
      </c>
      <c r="E571" s="7">
        <v>85</v>
      </c>
      <c r="F571" s="7">
        <v>61</v>
      </c>
      <c r="G571" s="57">
        <v>53</v>
      </c>
      <c r="H571" s="7">
        <v>50</v>
      </c>
      <c r="I571" s="7">
        <v>60</v>
      </c>
      <c r="J571" s="7">
        <v>78</v>
      </c>
      <c r="K571" s="7">
        <v>93</v>
      </c>
      <c r="L571" s="56">
        <f>IFERROR(VLOOKUP(B571,Absen!$A$1:$C$501,2,FALSE),"No")</f>
        <v>44854</v>
      </c>
      <c r="M571" s="58">
        <f t="shared" si="28"/>
        <v>8.3000000000000007</v>
      </c>
      <c r="N571" s="57">
        <f t="shared" si="29"/>
        <v>66.5</v>
      </c>
      <c r="O571" s="7" t="str">
        <f>VLOOKUP(N571,Helper!$B$30:$C$35,2,TRUE)</f>
        <v>C</v>
      </c>
      <c r="P571" s="56">
        <f>INDEX(Detail!$A$1:$A$1001,MATCH(B571,Detail!$G$1:$G$1001,0))</f>
        <v>37186</v>
      </c>
      <c r="Q571" s="33" t="str">
        <f>INDEX(Detail!$F$1:$F$1001,MATCH(Main!B571,Detail!$G$1:$G$1001,0))</f>
        <v>Kendari</v>
      </c>
      <c r="R571" s="7">
        <f>INDEX(Detail!$C$1:$C$1001,MATCH(B571,Detail!$G$1:$G$1001,0),1)</f>
        <v>167</v>
      </c>
      <c r="S571" s="7">
        <f>INDEX(Detail!$D$1:$D$1001,MATCH(B571,Detail!$G$1:$G$1001,0),1)</f>
        <v>51</v>
      </c>
      <c r="T571" s="7" t="str">
        <f>INDEX(Detail!$E$1:$E$1001,MATCH(Main!B571,Detail!$G$1:$G$1001,0))</f>
        <v>Jl. Sukajadi No. 80</v>
      </c>
      <c r="U571" s="7" t="str">
        <f>INDEX(Detail!$B$1:$B$1001,MATCH(B571,Detail!$G$1:$G$1001,0),1)</f>
        <v>O+</v>
      </c>
      <c r="V571" s="7" t="str" cm="1">
        <f t="array" ref="V571">INDEX(Dosen!$B$3:$E$8,MATCH(Main!C571,Dosen!$A$3:$A$8,0),IF(AND(Main!A571&gt;=1,Main!A571&lt;=250),1,IF(AND(Main!A571&gt;=251,Main!A571&lt;=500),2,IF(AND(Main!A571&gt;=501,Main!A571&lt;=750),3,4))))</f>
        <v>Pak Andi</v>
      </c>
      <c r="W571" s="7" t="str">
        <f>_xlfn.XLOOKUP(B571,Detail!$G$1:$G$1001,Detail!$B$1:$B$1001)</f>
        <v>O+</v>
      </c>
    </row>
    <row r="572" spans="1:23" ht="15.75" x14ac:dyDescent="0.25">
      <c r="A572" s="7">
        <v>424</v>
      </c>
      <c r="B572" s="33" t="str">
        <f t="shared" si="31"/>
        <v>D0424</v>
      </c>
      <c r="C572" s="7" t="s">
        <v>1013</v>
      </c>
      <c r="D572" s="33" t="str">
        <f>VLOOKUP(B572,Detail!$G$1:$H$1001,2,FALSE)</f>
        <v>Bakiono Suartini</v>
      </c>
      <c r="E572" s="7">
        <v>64</v>
      </c>
      <c r="F572" s="7">
        <v>49</v>
      </c>
      <c r="G572" s="57">
        <v>56</v>
      </c>
      <c r="H572" s="7">
        <v>52</v>
      </c>
      <c r="I572" s="7">
        <v>67</v>
      </c>
      <c r="J572" s="7">
        <v>87</v>
      </c>
      <c r="K572" s="7">
        <v>92</v>
      </c>
      <c r="L572" s="56">
        <f>IFERROR(VLOOKUP(B572,Absen!$A$1:$C$501,2,FALSE),"No")</f>
        <v>44812</v>
      </c>
      <c r="M572" s="58">
        <f t="shared" si="28"/>
        <v>8.2000000000000011</v>
      </c>
      <c r="N572" s="57">
        <f t="shared" si="29"/>
        <v>65.800000000000011</v>
      </c>
      <c r="O572" s="7" t="str">
        <f>VLOOKUP(N572,Helper!$B$30:$C$35,2,TRUE)</f>
        <v>C</v>
      </c>
      <c r="P572" s="56">
        <f>INDEX(Detail!$A$1:$A$1001,MATCH(B572,Detail!$G$1:$G$1001,0))</f>
        <v>37714</v>
      </c>
      <c r="Q572" s="33" t="str">
        <f>INDEX(Detail!$F$1:$F$1001,MATCH(Main!B572,Detail!$G$1:$G$1001,0))</f>
        <v>Pekalongan</v>
      </c>
      <c r="R572" s="7">
        <f>INDEX(Detail!$C$1:$C$1001,MATCH(B572,Detail!$G$1:$G$1001,0),1)</f>
        <v>158</v>
      </c>
      <c r="S572" s="7">
        <f>INDEX(Detail!$D$1:$D$1001,MATCH(B572,Detail!$G$1:$G$1001,0),1)</f>
        <v>79</v>
      </c>
      <c r="T572" s="7" t="str">
        <f>INDEX(Detail!$E$1:$E$1001,MATCH(Main!B572,Detail!$G$1:$G$1001,0))</f>
        <v>Jl. Rajawali Barat No. 96</v>
      </c>
      <c r="U572" s="7" t="str">
        <f>INDEX(Detail!$B$1:$B$1001,MATCH(B572,Detail!$G$1:$G$1001,0),1)</f>
        <v>A+</v>
      </c>
      <c r="V572" s="7" t="str" cm="1">
        <f t="array" ref="V572">INDEX(Dosen!$B$3:$E$8,MATCH(Main!C572,Dosen!$A$3:$A$8,0),IF(AND(Main!A572&gt;=1,Main!A572&lt;=250),1,IF(AND(Main!A572&gt;=251,Main!A572&lt;=500),2,IF(AND(Main!A572&gt;=501,Main!A572&lt;=750),3,4))))</f>
        <v>Pak Andi</v>
      </c>
      <c r="W572" s="7" t="str">
        <f>_xlfn.XLOOKUP(B572,Detail!$G$1:$G$1001,Detail!$B$1:$B$1001)</f>
        <v>A+</v>
      </c>
    </row>
    <row r="573" spans="1:23" ht="15.75" x14ac:dyDescent="0.25">
      <c r="A573" s="7">
        <v>425</v>
      </c>
      <c r="B573" s="33" t="str">
        <f t="shared" si="31"/>
        <v>D0425</v>
      </c>
      <c r="C573" s="7" t="s">
        <v>1013</v>
      </c>
      <c r="D573" s="33" t="str">
        <f>VLOOKUP(B573,Detail!$G$1:$H$1001,2,FALSE)</f>
        <v>Harjo Permata</v>
      </c>
      <c r="E573" s="7">
        <v>81</v>
      </c>
      <c r="F573" s="7">
        <v>68</v>
      </c>
      <c r="G573" s="57">
        <v>76</v>
      </c>
      <c r="H573" s="7">
        <v>74</v>
      </c>
      <c r="I573" s="7">
        <v>80</v>
      </c>
      <c r="J573" s="7">
        <v>72</v>
      </c>
      <c r="K573" s="7">
        <v>74</v>
      </c>
      <c r="L573" s="56" t="str">
        <f>IFERROR(VLOOKUP(B573,Absen!$A$1:$C$501,2,FALSE),"No")</f>
        <v>No</v>
      </c>
      <c r="M573" s="58">
        <f t="shared" si="28"/>
        <v>7.4</v>
      </c>
      <c r="N573" s="57">
        <f t="shared" si="29"/>
        <v>74.875000000000014</v>
      </c>
      <c r="O573" s="7" t="str">
        <f>VLOOKUP(N573,Helper!$B$30:$C$35,2,TRUE)</f>
        <v>B</v>
      </c>
      <c r="P573" s="56">
        <f>INDEX(Detail!$A$1:$A$1001,MATCH(B573,Detail!$G$1:$G$1001,0))</f>
        <v>37905</v>
      </c>
      <c r="Q573" s="33" t="str">
        <f>INDEX(Detail!$F$1:$F$1001,MATCH(Main!B573,Detail!$G$1:$G$1001,0))</f>
        <v>Kota Administrasi Jakarta Utara</v>
      </c>
      <c r="R573" s="7">
        <f>INDEX(Detail!$C$1:$C$1001,MATCH(B573,Detail!$G$1:$G$1001,0),1)</f>
        <v>164</v>
      </c>
      <c r="S573" s="7">
        <f>INDEX(Detail!$D$1:$D$1001,MATCH(B573,Detail!$G$1:$G$1001,0),1)</f>
        <v>94</v>
      </c>
      <c r="T573" s="7" t="str">
        <f>INDEX(Detail!$E$1:$E$1001,MATCH(Main!B573,Detail!$G$1:$G$1001,0))</f>
        <v xml:space="preserve">Jalan Kebonjati No. 7
</v>
      </c>
      <c r="U573" s="7" t="str">
        <f>INDEX(Detail!$B$1:$B$1001,MATCH(B573,Detail!$G$1:$G$1001,0),1)</f>
        <v>O+</v>
      </c>
      <c r="V573" s="7" t="str" cm="1">
        <f t="array" ref="V573">INDEX(Dosen!$B$3:$E$8,MATCH(Main!C573,Dosen!$A$3:$A$8,0),IF(AND(Main!A573&gt;=1,Main!A573&lt;=250),1,IF(AND(Main!A573&gt;=251,Main!A573&lt;=500),2,IF(AND(Main!A573&gt;=501,Main!A573&lt;=750),3,4))))</f>
        <v>Pak Andi</v>
      </c>
      <c r="W573" s="7" t="str">
        <f>_xlfn.XLOOKUP(B573,Detail!$G$1:$G$1001,Detail!$B$1:$B$1001)</f>
        <v>O+</v>
      </c>
    </row>
    <row r="574" spans="1:23" ht="15.75" x14ac:dyDescent="0.25">
      <c r="A574" s="7">
        <v>427</v>
      </c>
      <c r="B574" s="33" t="str">
        <f t="shared" si="31"/>
        <v>D0427</v>
      </c>
      <c r="C574" s="7" t="s">
        <v>1013</v>
      </c>
      <c r="D574" s="33" t="str">
        <f>VLOOKUP(B574,Detail!$G$1:$H$1001,2,FALSE)</f>
        <v>Jasmani Mustofa</v>
      </c>
      <c r="E574" s="7">
        <v>88</v>
      </c>
      <c r="F574" s="7">
        <v>73</v>
      </c>
      <c r="G574" s="57">
        <v>30</v>
      </c>
      <c r="H574" s="7">
        <v>51</v>
      </c>
      <c r="I574" s="7">
        <v>62</v>
      </c>
      <c r="J574" s="7">
        <v>92</v>
      </c>
      <c r="K574" s="7">
        <v>64</v>
      </c>
      <c r="L574" s="56" t="str">
        <f>IFERROR(VLOOKUP(B574,Absen!$A$1:$C$501,2,FALSE),"No")</f>
        <v>No</v>
      </c>
      <c r="M574" s="58">
        <f t="shared" si="28"/>
        <v>6.4</v>
      </c>
      <c r="N574" s="57">
        <f t="shared" si="29"/>
        <v>65.050000000000011</v>
      </c>
      <c r="O574" s="7" t="str">
        <f>VLOOKUP(N574,Helper!$B$30:$C$35,2,TRUE)</f>
        <v>C</v>
      </c>
      <c r="P574" s="56">
        <f>INDEX(Detail!$A$1:$A$1001,MATCH(B574,Detail!$G$1:$G$1001,0))</f>
        <v>38069</v>
      </c>
      <c r="Q574" s="33" t="str">
        <f>INDEX(Detail!$F$1:$F$1001,MATCH(Main!B574,Detail!$G$1:$G$1001,0))</f>
        <v>Cimahi</v>
      </c>
      <c r="R574" s="7">
        <f>INDEX(Detail!$C$1:$C$1001,MATCH(B574,Detail!$G$1:$G$1001,0),1)</f>
        <v>174</v>
      </c>
      <c r="S574" s="7">
        <f>INDEX(Detail!$D$1:$D$1001,MATCH(B574,Detail!$G$1:$G$1001,0),1)</f>
        <v>49</v>
      </c>
      <c r="T574" s="7" t="str">
        <f>INDEX(Detail!$E$1:$E$1001,MATCH(Main!B574,Detail!$G$1:$G$1001,0))</f>
        <v xml:space="preserve">Gg. PHH. Mustofa No. 6
</v>
      </c>
      <c r="U574" s="7" t="str">
        <f>INDEX(Detail!$B$1:$B$1001,MATCH(B574,Detail!$G$1:$G$1001,0),1)</f>
        <v>B+</v>
      </c>
      <c r="V574" s="7" t="str" cm="1">
        <f t="array" ref="V574">INDEX(Dosen!$B$3:$E$8,MATCH(Main!C574,Dosen!$A$3:$A$8,0),IF(AND(Main!A574&gt;=1,Main!A574&lt;=250),1,IF(AND(Main!A574&gt;=251,Main!A574&lt;=500),2,IF(AND(Main!A574&gt;=501,Main!A574&lt;=750),3,4))))</f>
        <v>Pak Andi</v>
      </c>
      <c r="W574" s="7" t="str">
        <f>_xlfn.XLOOKUP(B574,Detail!$G$1:$G$1001,Detail!$B$1:$B$1001)</f>
        <v>B+</v>
      </c>
    </row>
    <row r="575" spans="1:23" ht="15.75" x14ac:dyDescent="0.25">
      <c r="A575" s="7">
        <v>437</v>
      </c>
      <c r="B575" s="33" t="str">
        <f t="shared" si="31"/>
        <v>D0437</v>
      </c>
      <c r="C575" s="7" t="s">
        <v>1013</v>
      </c>
      <c r="D575" s="33" t="str">
        <f>VLOOKUP(B575,Detail!$G$1:$H$1001,2,FALSE)</f>
        <v>Darsirah Wacana</v>
      </c>
      <c r="E575" s="7">
        <v>58</v>
      </c>
      <c r="F575" s="7">
        <v>74</v>
      </c>
      <c r="G575" s="57">
        <v>62</v>
      </c>
      <c r="H575" s="7">
        <v>69</v>
      </c>
      <c r="I575" s="7">
        <v>78</v>
      </c>
      <c r="J575" s="7">
        <v>73</v>
      </c>
      <c r="K575" s="7">
        <v>78</v>
      </c>
      <c r="L575" s="56">
        <f>IFERROR(VLOOKUP(B575,Absen!$A$1:$C$501,2,FALSE),"No")</f>
        <v>44883</v>
      </c>
      <c r="M575" s="58">
        <f t="shared" si="28"/>
        <v>6.8000000000000007</v>
      </c>
      <c r="N575" s="57">
        <f t="shared" si="29"/>
        <v>68.674999999999997</v>
      </c>
      <c r="O575" s="7" t="str">
        <f>VLOOKUP(N575,Helper!$B$30:$C$35,2,TRUE)</f>
        <v>C</v>
      </c>
      <c r="P575" s="56">
        <f>INDEX(Detail!$A$1:$A$1001,MATCH(B575,Detail!$G$1:$G$1001,0))</f>
        <v>37847</v>
      </c>
      <c r="Q575" s="33" t="str">
        <f>INDEX(Detail!$F$1:$F$1001,MATCH(Main!B575,Detail!$G$1:$G$1001,0))</f>
        <v>Surakarta</v>
      </c>
      <c r="R575" s="7">
        <f>INDEX(Detail!$C$1:$C$1001,MATCH(B575,Detail!$G$1:$G$1001,0),1)</f>
        <v>171</v>
      </c>
      <c r="S575" s="7">
        <f>INDEX(Detail!$D$1:$D$1001,MATCH(B575,Detail!$G$1:$G$1001,0),1)</f>
        <v>75</v>
      </c>
      <c r="T575" s="7" t="str">
        <f>INDEX(Detail!$E$1:$E$1001,MATCH(Main!B575,Detail!$G$1:$G$1001,0))</f>
        <v>Gang Kutisari Selatan No. 72</v>
      </c>
      <c r="U575" s="7" t="str">
        <f>INDEX(Detail!$B$1:$B$1001,MATCH(B575,Detail!$G$1:$G$1001,0),1)</f>
        <v>AB-</v>
      </c>
      <c r="V575" s="7" t="str" cm="1">
        <f t="array" ref="V575">INDEX(Dosen!$B$3:$E$8,MATCH(Main!C575,Dosen!$A$3:$A$8,0),IF(AND(Main!A575&gt;=1,Main!A575&lt;=250),1,IF(AND(Main!A575&gt;=251,Main!A575&lt;=500),2,IF(AND(Main!A575&gt;=501,Main!A575&lt;=750),3,4))))</f>
        <v>Pak Andi</v>
      </c>
      <c r="W575" s="7" t="str">
        <f>_xlfn.XLOOKUP(B575,Detail!$G$1:$G$1001,Detail!$B$1:$B$1001)</f>
        <v>AB-</v>
      </c>
    </row>
    <row r="576" spans="1:23" ht="15.75" x14ac:dyDescent="0.25">
      <c r="A576" s="7">
        <v>440</v>
      </c>
      <c r="B576" s="33" t="str">
        <f t="shared" si="31"/>
        <v>D0440</v>
      </c>
      <c r="C576" s="7" t="s">
        <v>1013</v>
      </c>
      <c r="D576" s="33" t="str">
        <f>VLOOKUP(B576,Detail!$G$1:$H$1001,2,FALSE)</f>
        <v>Ozy Salahudin</v>
      </c>
      <c r="E576" s="7">
        <v>73</v>
      </c>
      <c r="F576" s="7">
        <v>46</v>
      </c>
      <c r="G576" s="57">
        <v>75</v>
      </c>
      <c r="H576" s="7">
        <v>51</v>
      </c>
      <c r="I576" s="7">
        <v>73</v>
      </c>
      <c r="J576" s="7">
        <v>59</v>
      </c>
      <c r="K576" s="7">
        <v>85</v>
      </c>
      <c r="L576" s="56">
        <f>IFERROR(VLOOKUP(B576,Absen!$A$1:$C$501,2,FALSE),"No")</f>
        <v>44765</v>
      </c>
      <c r="M576" s="58">
        <f t="shared" si="28"/>
        <v>7.5</v>
      </c>
      <c r="N576" s="57">
        <f t="shared" si="29"/>
        <v>64.674999999999997</v>
      </c>
      <c r="O576" s="7" t="str">
        <f>VLOOKUP(N576,Helper!$B$30:$C$35,2,TRUE)</f>
        <v>C</v>
      </c>
      <c r="P576" s="56">
        <f>INDEX(Detail!$A$1:$A$1001,MATCH(B576,Detail!$G$1:$G$1001,0))</f>
        <v>37246</v>
      </c>
      <c r="Q576" s="33" t="str">
        <f>INDEX(Detail!$F$1:$F$1001,MATCH(Main!B576,Detail!$G$1:$G$1001,0))</f>
        <v>Bima</v>
      </c>
      <c r="R576" s="7">
        <f>INDEX(Detail!$C$1:$C$1001,MATCH(B576,Detail!$G$1:$G$1001,0),1)</f>
        <v>159</v>
      </c>
      <c r="S576" s="7">
        <f>INDEX(Detail!$D$1:$D$1001,MATCH(B576,Detail!$G$1:$G$1001,0),1)</f>
        <v>53</v>
      </c>
      <c r="T576" s="7" t="str">
        <f>INDEX(Detail!$E$1:$E$1001,MATCH(Main!B576,Detail!$G$1:$G$1001,0))</f>
        <v xml:space="preserve">Jl. Otto Iskandardinata No. 4
</v>
      </c>
      <c r="U576" s="7" t="str">
        <f>INDEX(Detail!$B$1:$B$1001,MATCH(B576,Detail!$G$1:$G$1001,0),1)</f>
        <v>A-</v>
      </c>
      <c r="V576" s="7" t="str" cm="1">
        <f t="array" ref="V576">INDEX(Dosen!$B$3:$E$8,MATCH(Main!C576,Dosen!$A$3:$A$8,0),IF(AND(Main!A576&gt;=1,Main!A576&lt;=250),1,IF(AND(Main!A576&gt;=251,Main!A576&lt;=500),2,IF(AND(Main!A576&gt;=501,Main!A576&lt;=750),3,4))))</f>
        <v>Pak Andi</v>
      </c>
      <c r="W576" s="7" t="str">
        <f>_xlfn.XLOOKUP(B576,Detail!$G$1:$G$1001,Detail!$B$1:$B$1001)</f>
        <v>A-</v>
      </c>
    </row>
    <row r="577" spans="1:23" ht="15.75" x14ac:dyDescent="0.25">
      <c r="A577" s="7">
        <v>442</v>
      </c>
      <c r="B577" s="33" t="str">
        <f t="shared" si="31"/>
        <v>D0442</v>
      </c>
      <c r="C577" s="7" t="s">
        <v>1013</v>
      </c>
      <c r="D577" s="33" t="str">
        <f>VLOOKUP(B577,Detail!$G$1:$H$1001,2,FALSE)</f>
        <v>Bakiman Lailasari</v>
      </c>
      <c r="E577" s="7">
        <v>72</v>
      </c>
      <c r="F577" s="7">
        <v>49</v>
      </c>
      <c r="G577" s="57">
        <v>62</v>
      </c>
      <c r="H577" s="7">
        <v>54</v>
      </c>
      <c r="I577" s="7">
        <v>66</v>
      </c>
      <c r="J577" s="7">
        <v>88</v>
      </c>
      <c r="K577" s="7">
        <v>96</v>
      </c>
      <c r="L577" s="56" t="str">
        <f>IFERROR(VLOOKUP(B577,Absen!$A$1:$C$501,2,FALSE),"No")</f>
        <v>No</v>
      </c>
      <c r="M577" s="58">
        <f t="shared" si="28"/>
        <v>9.6000000000000014</v>
      </c>
      <c r="N577" s="57">
        <f t="shared" si="29"/>
        <v>69.724999999999994</v>
      </c>
      <c r="O577" s="7" t="str">
        <f>VLOOKUP(N577,Helper!$B$30:$C$35,2,TRUE)</f>
        <v>C</v>
      </c>
      <c r="P577" s="56">
        <f>INDEX(Detail!$A$1:$A$1001,MATCH(B577,Detail!$G$1:$G$1001,0))</f>
        <v>37180</v>
      </c>
      <c r="Q577" s="33" t="str">
        <f>INDEX(Detail!$F$1:$F$1001,MATCH(Main!B577,Detail!$G$1:$G$1001,0))</f>
        <v>Yogyakarta</v>
      </c>
      <c r="R577" s="7">
        <f>INDEX(Detail!$C$1:$C$1001,MATCH(B577,Detail!$G$1:$G$1001,0),1)</f>
        <v>157</v>
      </c>
      <c r="S577" s="7">
        <f>INDEX(Detail!$D$1:$D$1001,MATCH(B577,Detail!$G$1:$G$1001,0),1)</f>
        <v>48</v>
      </c>
      <c r="T577" s="7" t="str">
        <f>INDEX(Detail!$E$1:$E$1001,MATCH(Main!B577,Detail!$G$1:$G$1001,0))</f>
        <v>Jalan Peta No. 14</v>
      </c>
      <c r="U577" s="7" t="str">
        <f>INDEX(Detail!$B$1:$B$1001,MATCH(B577,Detail!$G$1:$G$1001,0),1)</f>
        <v>O+</v>
      </c>
      <c r="V577" s="7" t="str" cm="1">
        <f t="array" ref="V577">INDEX(Dosen!$B$3:$E$8,MATCH(Main!C577,Dosen!$A$3:$A$8,0),IF(AND(Main!A577&gt;=1,Main!A577&lt;=250),1,IF(AND(Main!A577&gt;=251,Main!A577&lt;=500),2,IF(AND(Main!A577&gt;=501,Main!A577&lt;=750),3,4))))</f>
        <v>Pak Andi</v>
      </c>
      <c r="W577" s="7" t="str">
        <f>_xlfn.XLOOKUP(B577,Detail!$G$1:$G$1001,Detail!$B$1:$B$1001)</f>
        <v>O+</v>
      </c>
    </row>
    <row r="578" spans="1:23" ht="15.75" x14ac:dyDescent="0.25">
      <c r="A578" s="7">
        <v>445</v>
      </c>
      <c r="B578" s="33" t="str">
        <f t="shared" si="31"/>
        <v>D0445</v>
      </c>
      <c r="C578" s="7" t="s">
        <v>1013</v>
      </c>
      <c r="D578" s="33" t="str">
        <f>VLOOKUP(B578,Detail!$G$1:$H$1001,2,FALSE)</f>
        <v>Rachel Salahudin</v>
      </c>
      <c r="E578" s="7">
        <v>91</v>
      </c>
      <c r="F578" s="7">
        <v>45</v>
      </c>
      <c r="G578" s="57">
        <v>38</v>
      </c>
      <c r="H578" s="7">
        <v>67</v>
      </c>
      <c r="I578" s="7">
        <v>74</v>
      </c>
      <c r="J578" s="7">
        <v>55</v>
      </c>
      <c r="K578" s="7">
        <v>80</v>
      </c>
      <c r="L578" s="56" t="str">
        <f>IFERROR(VLOOKUP(B578,Absen!$A$1:$C$501,2,FALSE),"No")</f>
        <v>No</v>
      </c>
      <c r="M578" s="58">
        <f t="shared" ref="M578:M641" si="32">IF(L578="no",K578,K578-10)*10%</f>
        <v>8</v>
      </c>
      <c r="N578" s="57">
        <f t="shared" ref="N578:N641" si="33">SUM(E578*12.5%,F578*12.5%,H578*12.5%,I578*12.5%,G578*20%,J578*20%,M578)</f>
        <v>61.225000000000001</v>
      </c>
      <c r="O578" s="7" t="str">
        <f>VLOOKUP(N578,Helper!$B$30:$C$35,2,TRUE)</f>
        <v>C</v>
      </c>
      <c r="P578" s="56">
        <f>INDEX(Detail!$A$1:$A$1001,MATCH(B578,Detail!$G$1:$G$1001,0))</f>
        <v>37536</v>
      </c>
      <c r="Q578" s="33" t="str">
        <f>INDEX(Detail!$F$1:$F$1001,MATCH(Main!B578,Detail!$G$1:$G$1001,0))</f>
        <v>Kota Administrasi Jakarta Utara</v>
      </c>
      <c r="R578" s="7">
        <f>INDEX(Detail!$C$1:$C$1001,MATCH(B578,Detail!$G$1:$G$1001,0),1)</f>
        <v>157</v>
      </c>
      <c r="S578" s="7">
        <f>INDEX(Detail!$D$1:$D$1001,MATCH(B578,Detail!$G$1:$G$1001,0),1)</f>
        <v>49</v>
      </c>
      <c r="T578" s="7" t="str">
        <f>INDEX(Detail!$E$1:$E$1001,MATCH(Main!B578,Detail!$G$1:$G$1001,0))</f>
        <v>Gang Kutai No. 51</v>
      </c>
      <c r="U578" s="7" t="str">
        <f>INDEX(Detail!$B$1:$B$1001,MATCH(B578,Detail!$G$1:$G$1001,0),1)</f>
        <v>A-</v>
      </c>
      <c r="V578" s="7" t="str" cm="1">
        <f t="array" ref="V578">INDEX(Dosen!$B$3:$E$8,MATCH(Main!C578,Dosen!$A$3:$A$8,0),IF(AND(Main!A578&gt;=1,Main!A578&lt;=250),1,IF(AND(Main!A578&gt;=251,Main!A578&lt;=500),2,IF(AND(Main!A578&gt;=501,Main!A578&lt;=750),3,4))))</f>
        <v>Pak Andi</v>
      </c>
      <c r="W578" s="7" t="str">
        <f>_xlfn.XLOOKUP(B578,Detail!$G$1:$G$1001,Detail!$B$1:$B$1001)</f>
        <v>A-</v>
      </c>
    </row>
    <row r="579" spans="1:23" ht="15.75" x14ac:dyDescent="0.25">
      <c r="A579" s="7">
        <v>447</v>
      </c>
      <c r="B579" s="33" t="str">
        <f t="shared" si="31"/>
        <v>D0447</v>
      </c>
      <c r="C579" s="7" t="s">
        <v>1013</v>
      </c>
      <c r="D579" s="33" t="str">
        <f>VLOOKUP(B579,Detail!$G$1:$H$1001,2,FALSE)</f>
        <v>Cahya Halimah</v>
      </c>
      <c r="E579" s="7">
        <v>54</v>
      </c>
      <c r="F579" s="7">
        <v>41</v>
      </c>
      <c r="G579" s="57">
        <v>45</v>
      </c>
      <c r="H579" s="7">
        <v>59</v>
      </c>
      <c r="I579" s="7">
        <v>62</v>
      </c>
      <c r="J579" s="7">
        <v>54</v>
      </c>
      <c r="K579" s="7">
        <v>63</v>
      </c>
      <c r="L579" s="56">
        <f>IFERROR(VLOOKUP(B579,Absen!$A$1:$C$501,2,FALSE),"No")</f>
        <v>44758</v>
      </c>
      <c r="M579" s="58">
        <f t="shared" si="32"/>
        <v>5.3000000000000007</v>
      </c>
      <c r="N579" s="57">
        <f t="shared" si="33"/>
        <v>52.099999999999994</v>
      </c>
      <c r="O579" s="7" t="str">
        <f>VLOOKUP(N579,Helper!$B$30:$C$35,2,TRUE)</f>
        <v>D</v>
      </c>
      <c r="P579" s="56">
        <f>INDEX(Detail!$A$1:$A$1001,MATCH(B579,Detail!$G$1:$G$1001,0))</f>
        <v>38374</v>
      </c>
      <c r="Q579" s="33" t="str">
        <f>INDEX(Detail!$F$1:$F$1001,MATCH(Main!B579,Detail!$G$1:$G$1001,0))</f>
        <v>Medan</v>
      </c>
      <c r="R579" s="7">
        <f>INDEX(Detail!$C$1:$C$1001,MATCH(B579,Detail!$G$1:$G$1001,0),1)</f>
        <v>165</v>
      </c>
      <c r="S579" s="7">
        <f>INDEX(Detail!$D$1:$D$1001,MATCH(B579,Detail!$G$1:$G$1001,0),1)</f>
        <v>57</v>
      </c>
      <c r="T579" s="7" t="str">
        <f>INDEX(Detail!$E$1:$E$1001,MATCH(Main!B579,Detail!$G$1:$G$1001,0))</f>
        <v>Jl. Setiabudhi No. 18</v>
      </c>
      <c r="U579" s="7" t="str">
        <f>INDEX(Detail!$B$1:$B$1001,MATCH(B579,Detail!$G$1:$G$1001,0),1)</f>
        <v>A-</v>
      </c>
      <c r="V579" s="7" t="str" cm="1">
        <f t="array" ref="V579">INDEX(Dosen!$B$3:$E$8,MATCH(Main!C579,Dosen!$A$3:$A$8,0),IF(AND(Main!A579&gt;=1,Main!A579&lt;=250),1,IF(AND(Main!A579&gt;=251,Main!A579&lt;=500),2,IF(AND(Main!A579&gt;=501,Main!A579&lt;=750),3,4))))</f>
        <v>Pak Andi</v>
      </c>
      <c r="W579" s="7" t="str">
        <f>_xlfn.XLOOKUP(B579,Detail!$G$1:$G$1001,Detail!$B$1:$B$1001)</f>
        <v>A-</v>
      </c>
    </row>
    <row r="580" spans="1:23" ht="15.75" x14ac:dyDescent="0.25">
      <c r="A580" s="7">
        <v>454</v>
      </c>
      <c r="B580" s="33" t="str">
        <f t="shared" si="31"/>
        <v>D0454</v>
      </c>
      <c r="C580" s="7" t="s">
        <v>1013</v>
      </c>
      <c r="D580" s="33" t="str">
        <f>VLOOKUP(B580,Detail!$G$1:$H$1001,2,FALSE)</f>
        <v>Jaya Mayasari</v>
      </c>
      <c r="E580" s="7">
        <v>91</v>
      </c>
      <c r="F580" s="7">
        <v>48</v>
      </c>
      <c r="G580" s="57">
        <v>60</v>
      </c>
      <c r="H580" s="7">
        <v>64</v>
      </c>
      <c r="I580" s="7">
        <v>86</v>
      </c>
      <c r="J580" s="7">
        <v>52</v>
      </c>
      <c r="K580" s="7">
        <v>68</v>
      </c>
      <c r="L580" s="56">
        <f>IFERROR(VLOOKUP(B580,Absen!$A$1:$C$501,2,FALSE),"No")</f>
        <v>44778</v>
      </c>
      <c r="M580" s="58">
        <f t="shared" si="32"/>
        <v>5.8000000000000007</v>
      </c>
      <c r="N580" s="57">
        <f t="shared" si="33"/>
        <v>64.325000000000003</v>
      </c>
      <c r="O580" s="7" t="str">
        <f>VLOOKUP(N580,Helper!$B$30:$C$35,2,TRUE)</f>
        <v>C</v>
      </c>
      <c r="P580" s="56">
        <f>INDEX(Detail!$A$1:$A$1001,MATCH(B580,Detail!$G$1:$G$1001,0))</f>
        <v>37142</v>
      </c>
      <c r="Q580" s="33" t="str">
        <f>INDEX(Detail!$F$1:$F$1001,MATCH(Main!B580,Detail!$G$1:$G$1001,0))</f>
        <v>Kota Administrasi Jakarta Pusat</v>
      </c>
      <c r="R580" s="7">
        <f>INDEX(Detail!$C$1:$C$1001,MATCH(B580,Detail!$G$1:$G$1001,0),1)</f>
        <v>169</v>
      </c>
      <c r="S580" s="7">
        <f>INDEX(Detail!$D$1:$D$1001,MATCH(B580,Detail!$G$1:$G$1001,0),1)</f>
        <v>81</v>
      </c>
      <c r="T580" s="7" t="str">
        <f>INDEX(Detail!$E$1:$E$1001,MATCH(Main!B580,Detail!$G$1:$G$1001,0))</f>
        <v>Jalan Dipatiukur No. 16</v>
      </c>
      <c r="U580" s="7" t="str">
        <f>INDEX(Detail!$B$1:$B$1001,MATCH(B580,Detail!$G$1:$G$1001,0),1)</f>
        <v>B+</v>
      </c>
      <c r="V580" s="7" t="str" cm="1">
        <f t="array" ref="V580">INDEX(Dosen!$B$3:$E$8,MATCH(Main!C580,Dosen!$A$3:$A$8,0),IF(AND(Main!A580&gt;=1,Main!A580&lt;=250),1,IF(AND(Main!A580&gt;=251,Main!A580&lt;=500),2,IF(AND(Main!A580&gt;=501,Main!A580&lt;=750),3,4))))</f>
        <v>Pak Andi</v>
      </c>
      <c r="W580" s="7" t="str">
        <f>_xlfn.XLOOKUP(B580,Detail!$G$1:$G$1001,Detail!$B$1:$B$1001)</f>
        <v>B+</v>
      </c>
    </row>
    <row r="581" spans="1:23" ht="15.75" x14ac:dyDescent="0.25">
      <c r="A581" s="7">
        <v>457</v>
      </c>
      <c r="B581" s="33" t="str">
        <f t="shared" si="31"/>
        <v>D0457</v>
      </c>
      <c r="C581" s="7" t="s">
        <v>1013</v>
      </c>
      <c r="D581" s="33" t="str">
        <f>VLOOKUP(B581,Detail!$G$1:$H$1001,2,FALSE)</f>
        <v>Dasa Purwanti</v>
      </c>
      <c r="E581" s="7">
        <v>75</v>
      </c>
      <c r="F581" s="7">
        <v>59</v>
      </c>
      <c r="G581" s="57">
        <v>92</v>
      </c>
      <c r="H581" s="7">
        <v>74</v>
      </c>
      <c r="I581" s="7">
        <v>91</v>
      </c>
      <c r="J581" s="7">
        <v>94</v>
      </c>
      <c r="K581" s="7">
        <v>79</v>
      </c>
      <c r="L581" s="56">
        <f>IFERROR(VLOOKUP(B581,Absen!$A$1:$C$501,2,FALSE),"No")</f>
        <v>44830</v>
      </c>
      <c r="M581" s="58">
        <f t="shared" si="32"/>
        <v>6.9</v>
      </c>
      <c r="N581" s="57">
        <f t="shared" si="33"/>
        <v>81.475000000000009</v>
      </c>
      <c r="O581" s="7" t="str">
        <f>VLOOKUP(N581,Helper!$B$30:$C$35,2,TRUE)</f>
        <v>A</v>
      </c>
      <c r="P581" s="56">
        <f>INDEX(Detail!$A$1:$A$1001,MATCH(B581,Detail!$G$1:$G$1001,0))</f>
        <v>37795</v>
      </c>
      <c r="Q581" s="33" t="str">
        <f>INDEX(Detail!$F$1:$F$1001,MATCH(Main!B581,Detail!$G$1:$G$1001,0))</f>
        <v>Mataram</v>
      </c>
      <c r="R581" s="7">
        <f>INDEX(Detail!$C$1:$C$1001,MATCH(B581,Detail!$G$1:$G$1001,0),1)</f>
        <v>166</v>
      </c>
      <c r="S581" s="7">
        <f>INDEX(Detail!$D$1:$D$1001,MATCH(B581,Detail!$G$1:$G$1001,0),1)</f>
        <v>68</v>
      </c>
      <c r="T581" s="7" t="str">
        <f>INDEX(Detail!$E$1:$E$1001,MATCH(Main!B581,Detail!$G$1:$G$1001,0))</f>
        <v>Gang Raya Ujungberung No. 29</v>
      </c>
      <c r="U581" s="7" t="str">
        <f>INDEX(Detail!$B$1:$B$1001,MATCH(B581,Detail!$G$1:$G$1001,0),1)</f>
        <v>A+</v>
      </c>
      <c r="V581" s="7" t="str" cm="1">
        <f t="array" ref="V581">INDEX(Dosen!$B$3:$E$8,MATCH(Main!C581,Dosen!$A$3:$A$8,0),IF(AND(Main!A581&gt;=1,Main!A581&lt;=250),1,IF(AND(Main!A581&gt;=251,Main!A581&lt;=500),2,IF(AND(Main!A581&gt;=501,Main!A581&lt;=750),3,4))))</f>
        <v>Pak Andi</v>
      </c>
      <c r="W581" s="7" t="str">
        <f>_xlfn.XLOOKUP(B581,Detail!$G$1:$G$1001,Detail!$B$1:$B$1001)</f>
        <v>A+</v>
      </c>
    </row>
    <row r="582" spans="1:23" ht="15.75" x14ac:dyDescent="0.25">
      <c r="A582" s="7">
        <v>468</v>
      </c>
      <c r="B582" s="33" t="str">
        <f t="shared" si="31"/>
        <v>D0468</v>
      </c>
      <c r="C582" s="7" t="s">
        <v>1013</v>
      </c>
      <c r="D582" s="33" t="str">
        <f>VLOOKUP(B582,Detail!$G$1:$H$1001,2,FALSE)</f>
        <v>Nalar Permadi</v>
      </c>
      <c r="E582" s="7">
        <v>83</v>
      </c>
      <c r="F582" s="7">
        <v>49</v>
      </c>
      <c r="G582" s="57">
        <v>52</v>
      </c>
      <c r="H582" s="7">
        <v>66</v>
      </c>
      <c r="I582" s="7">
        <v>61</v>
      </c>
      <c r="J582" s="7">
        <v>48</v>
      </c>
      <c r="K582" s="7">
        <v>69</v>
      </c>
      <c r="L582" s="56">
        <f>IFERROR(VLOOKUP(B582,Absen!$A$1:$C$501,2,FALSE),"No")</f>
        <v>44764</v>
      </c>
      <c r="M582" s="58">
        <f t="shared" si="32"/>
        <v>5.9</v>
      </c>
      <c r="N582" s="57">
        <f t="shared" si="33"/>
        <v>58.274999999999999</v>
      </c>
      <c r="O582" s="7" t="str">
        <f>VLOOKUP(N582,Helper!$B$30:$C$35,2,TRUE)</f>
        <v>D</v>
      </c>
      <c r="P582" s="56">
        <f>INDEX(Detail!$A$1:$A$1001,MATCH(B582,Detail!$G$1:$G$1001,0))</f>
        <v>38238</v>
      </c>
      <c r="Q582" s="33" t="str">
        <f>INDEX(Detail!$F$1:$F$1001,MATCH(Main!B582,Detail!$G$1:$G$1001,0))</f>
        <v>Kupang</v>
      </c>
      <c r="R582" s="7">
        <f>INDEX(Detail!$C$1:$C$1001,MATCH(B582,Detail!$G$1:$G$1001,0),1)</f>
        <v>157</v>
      </c>
      <c r="S582" s="7">
        <f>INDEX(Detail!$D$1:$D$1001,MATCH(B582,Detail!$G$1:$G$1001,0),1)</f>
        <v>72</v>
      </c>
      <c r="T582" s="7" t="str">
        <f>INDEX(Detail!$E$1:$E$1001,MATCH(Main!B582,Detail!$G$1:$G$1001,0))</f>
        <v>Jl. Gedebage Selatan No. 21</v>
      </c>
      <c r="U582" s="7" t="str">
        <f>INDEX(Detail!$B$1:$B$1001,MATCH(B582,Detail!$G$1:$G$1001,0),1)</f>
        <v>B+</v>
      </c>
      <c r="V582" s="7" t="str" cm="1">
        <f t="array" ref="V582">INDEX(Dosen!$B$3:$E$8,MATCH(Main!C582,Dosen!$A$3:$A$8,0),IF(AND(Main!A582&gt;=1,Main!A582&lt;=250),1,IF(AND(Main!A582&gt;=251,Main!A582&lt;=500),2,IF(AND(Main!A582&gt;=501,Main!A582&lt;=750),3,4))))</f>
        <v>Pak Andi</v>
      </c>
      <c r="W582" s="7" t="str">
        <f>_xlfn.XLOOKUP(B582,Detail!$G$1:$G$1001,Detail!$B$1:$B$1001)</f>
        <v>B+</v>
      </c>
    </row>
    <row r="583" spans="1:23" ht="15.75" x14ac:dyDescent="0.25">
      <c r="A583" s="7">
        <v>477</v>
      </c>
      <c r="B583" s="33" t="str">
        <f t="shared" si="31"/>
        <v>D0477</v>
      </c>
      <c r="C583" s="7" t="s">
        <v>1013</v>
      </c>
      <c r="D583" s="33" t="str">
        <f>VLOOKUP(B583,Detail!$G$1:$H$1001,2,FALSE)</f>
        <v>Marsito Ardianto</v>
      </c>
      <c r="E583" s="7">
        <v>68</v>
      </c>
      <c r="F583" s="7">
        <v>43</v>
      </c>
      <c r="G583" s="57">
        <v>59</v>
      </c>
      <c r="H583" s="7">
        <v>53</v>
      </c>
      <c r="I583" s="7">
        <v>59</v>
      </c>
      <c r="J583" s="7">
        <v>46</v>
      </c>
      <c r="K583" s="7">
        <v>87</v>
      </c>
      <c r="L583" s="56">
        <f>IFERROR(VLOOKUP(B583,Absen!$A$1:$C$501,2,FALSE),"No")</f>
        <v>44802</v>
      </c>
      <c r="M583" s="58">
        <f t="shared" si="32"/>
        <v>7.7</v>
      </c>
      <c r="N583" s="57">
        <f t="shared" si="33"/>
        <v>56.575000000000003</v>
      </c>
      <c r="O583" s="7" t="str">
        <f>VLOOKUP(N583,Helper!$B$30:$C$35,2,TRUE)</f>
        <v>D</v>
      </c>
      <c r="P583" s="56">
        <f>INDEX(Detail!$A$1:$A$1001,MATCH(B583,Detail!$G$1:$G$1001,0))</f>
        <v>37906</v>
      </c>
      <c r="Q583" s="33" t="str">
        <f>INDEX(Detail!$F$1:$F$1001,MATCH(Main!B583,Detail!$G$1:$G$1001,0))</f>
        <v>Kota Administrasi Jakarta Barat</v>
      </c>
      <c r="R583" s="7">
        <f>INDEX(Detail!$C$1:$C$1001,MATCH(B583,Detail!$G$1:$G$1001,0),1)</f>
        <v>159</v>
      </c>
      <c r="S583" s="7">
        <f>INDEX(Detail!$D$1:$D$1001,MATCH(B583,Detail!$G$1:$G$1001,0),1)</f>
        <v>68</v>
      </c>
      <c r="T583" s="7" t="str">
        <f>INDEX(Detail!$E$1:$E$1001,MATCH(Main!B583,Detail!$G$1:$G$1001,0))</f>
        <v>Jalan Sukabumi No. 64</v>
      </c>
      <c r="U583" s="7" t="str">
        <f>INDEX(Detail!$B$1:$B$1001,MATCH(B583,Detail!$G$1:$G$1001,0),1)</f>
        <v>AB-</v>
      </c>
      <c r="V583" s="7" t="str" cm="1">
        <f t="array" ref="V583">INDEX(Dosen!$B$3:$E$8,MATCH(Main!C583,Dosen!$A$3:$A$8,0),IF(AND(Main!A583&gt;=1,Main!A583&lt;=250),1,IF(AND(Main!A583&gt;=251,Main!A583&lt;=500),2,IF(AND(Main!A583&gt;=501,Main!A583&lt;=750),3,4))))</f>
        <v>Pak Andi</v>
      </c>
      <c r="W583" s="7" t="str">
        <f>_xlfn.XLOOKUP(B583,Detail!$G$1:$G$1001,Detail!$B$1:$B$1001)</f>
        <v>AB-</v>
      </c>
    </row>
    <row r="584" spans="1:23" ht="15.75" x14ac:dyDescent="0.25">
      <c r="A584" s="7">
        <v>479</v>
      </c>
      <c r="B584" s="33" t="str">
        <f t="shared" si="31"/>
        <v>D0479</v>
      </c>
      <c r="C584" s="7" t="s">
        <v>1013</v>
      </c>
      <c r="D584" s="33" t="str">
        <f>VLOOKUP(B584,Detail!$G$1:$H$1001,2,FALSE)</f>
        <v>Puspa Fujiati</v>
      </c>
      <c r="E584" s="7">
        <v>89</v>
      </c>
      <c r="F584" s="7">
        <v>41</v>
      </c>
      <c r="G584" s="57">
        <v>65</v>
      </c>
      <c r="H584" s="7">
        <v>65</v>
      </c>
      <c r="I584" s="7">
        <v>54</v>
      </c>
      <c r="J584" s="7">
        <v>88</v>
      </c>
      <c r="K584" s="7">
        <v>79</v>
      </c>
      <c r="L584" s="56">
        <f>IFERROR(VLOOKUP(B584,Absen!$A$1:$C$501,2,FALSE),"No")</f>
        <v>44817</v>
      </c>
      <c r="M584" s="58">
        <f t="shared" si="32"/>
        <v>6.9</v>
      </c>
      <c r="N584" s="57">
        <f t="shared" si="33"/>
        <v>68.625</v>
      </c>
      <c r="O584" s="7" t="str">
        <f>VLOOKUP(N584,Helper!$B$30:$C$35,2,TRUE)</f>
        <v>C</v>
      </c>
      <c r="P584" s="56">
        <f>INDEX(Detail!$A$1:$A$1001,MATCH(B584,Detail!$G$1:$G$1001,0))</f>
        <v>37929</v>
      </c>
      <c r="Q584" s="33" t="str">
        <f>INDEX(Detail!$F$1:$F$1001,MATCH(Main!B584,Detail!$G$1:$G$1001,0))</f>
        <v>Bontang</v>
      </c>
      <c r="R584" s="7">
        <f>INDEX(Detail!$C$1:$C$1001,MATCH(B584,Detail!$G$1:$G$1001,0),1)</f>
        <v>163</v>
      </c>
      <c r="S584" s="7">
        <f>INDEX(Detail!$D$1:$D$1001,MATCH(B584,Detail!$G$1:$G$1001,0),1)</f>
        <v>67</v>
      </c>
      <c r="T584" s="7" t="str">
        <f>INDEX(Detail!$E$1:$E$1001,MATCH(Main!B584,Detail!$G$1:$G$1001,0))</f>
        <v>Gang Cempaka No. 14</v>
      </c>
      <c r="U584" s="7" t="str">
        <f>INDEX(Detail!$B$1:$B$1001,MATCH(B584,Detail!$G$1:$G$1001,0),1)</f>
        <v>A+</v>
      </c>
      <c r="V584" s="7" t="str" cm="1">
        <f t="array" ref="V584">INDEX(Dosen!$B$3:$E$8,MATCH(Main!C584,Dosen!$A$3:$A$8,0),IF(AND(Main!A584&gt;=1,Main!A584&lt;=250),1,IF(AND(Main!A584&gt;=251,Main!A584&lt;=500),2,IF(AND(Main!A584&gt;=501,Main!A584&lt;=750),3,4))))</f>
        <v>Pak Andi</v>
      </c>
      <c r="W584" s="7" t="str">
        <f>_xlfn.XLOOKUP(B584,Detail!$G$1:$G$1001,Detail!$B$1:$B$1001)</f>
        <v>A+</v>
      </c>
    </row>
    <row r="585" spans="1:23" ht="15.75" x14ac:dyDescent="0.25">
      <c r="A585" s="7">
        <v>486</v>
      </c>
      <c r="B585" s="33" t="str">
        <f t="shared" si="31"/>
        <v>D0486</v>
      </c>
      <c r="C585" s="7" t="s">
        <v>1013</v>
      </c>
      <c r="D585" s="33" t="str">
        <f>VLOOKUP(B585,Detail!$G$1:$H$1001,2,FALSE)</f>
        <v>Ajiman Hakim</v>
      </c>
      <c r="E585" s="7">
        <v>95</v>
      </c>
      <c r="F585" s="7">
        <v>44</v>
      </c>
      <c r="G585" s="57">
        <v>48</v>
      </c>
      <c r="H585" s="7">
        <v>74</v>
      </c>
      <c r="I585" s="7">
        <v>73</v>
      </c>
      <c r="J585" s="7">
        <v>97</v>
      </c>
      <c r="K585" s="7">
        <v>72</v>
      </c>
      <c r="L585" s="56" t="str">
        <f>IFERROR(VLOOKUP(B585,Absen!$A$1:$C$501,2,FALSE),"No")</f>
        <v>No</v>
      </c>
      <c r="M585" s="58">
        <f t="shared" si="32"/>
        <v>7.2</v>
      </c>
      <c r="N585" s="57">
        <f t="shared" si="33"/>
        <v>71.95</v>
      </c>
      <c r="O585" s="7" t="str">
        <f>VLOOKUP(N585,Helper!$B$30:$C$35,2,TRUE)</f>
        <v>B</v>
      </c>
      <c r="P585" s="56">
        <f>INDEX(Detail!$A$1:$A$1001,MATCH(B585,Detail!$G$1:$G$1001,0))</f>
        <v>37363</v>
      </c>
      <c r="Q585" s="33" t="str">
        <f>INDEX(Detail!$F$1:$F$1001,MATCH(Main!B585,Detail!$G$1:$G$1001,0))</f>
        <v>Salatiga</v>
      </c>
      <c r="R585" s="7">
        <f>INDEX(Detail!$C$1:$C$1001,MATCH(B585,Detail!$G$1:$G$1001,0),1)</f>
        <v>179</v>
      </c>
      <c r="S585" s="7">
        <f>INDEX(Detail!$D$1:$D$1001,MATCH(B585,Detail!$G$1:$G$1001,0),1)</f>
        <v>50</v>
      </c>
      <c r="T585" s="7" t="str">
        <f>INDEX(Detail!$E$1:$E$1001,MATCH(Main!B585,Detail!$G$1:$G$1001,0))</f>
        <v xml:space="preserve">Gg. Sentot Alibasa No. 8
</v>
      </c>
      <c r="U585" s="7" t="str">
        <f>INDEX(Detail!$B$1:$B$1001,MATCH(B585,Detail!$G$1:$G$1001,0),1)</f>
        <v>A+</v>
      </c>
      <c r="V585" s="7" t="str" cm="1">
        <f t="array" ref="V585">INDEX(Dosen!$B$3:$E$8,MATCH(Main!C585,Dosen!$A$3:$A$8,0),IF(AND(Main!A585&gt;=1,Main!A585&lt;=250),1,IF(AND(Main!A585&gt;=251,Main!A585&lt;=500),2,IF(AND(Main!A585&gt;=501,Main!A585&lt;=750),3,4))))</f>
        <v>Pak Andi</v>
      </c>
      <c r="W585" s="7" t="str">
        <f>_xlfn.XLOOKUP(B585,Detail!$G$1:$G$1001,Detail!$B$1:$B$1001)</f>
        <v>A+</v>
      </c>
    </row>
    <row r="586" spans="1:23" ht="15.75" x14ac:dyDescent="0.25">
      <c r="A586" s="7">
        <v>489</v>
      </c>
      <c r="B586" s="33" t="str">
        <f t="shared" si="31"/>
        <v>D0489</v>
      </c>
      <c r="C586" s="7" t="s">
        <v>1013</v>
      </c>
      <c r="D586" s="33" t="str">
        <f>VLOOKUP(B586,Detail!$G$1:$H$1001,2,FALSE)</f>
        <v>Umi Padmasari</v>
      </c>
      <c r="E586" s="7">
        <v>84</v>
      </c>
      <c r="F586" s="7">
        <v>55</v>
      </c>
      <c r="G586" s="57">
        <v>89</v>
      </c>
      <c r="H586" s="7">
        <v>70</v>
      </c>
      <c r="I586" s="7">
        <v>65</v>
      </c>
      <c r="J586" s="7">
        <v>77</v>
      </c>
      <c r="K586" s="7">
        <v>79</v>
      </c>
      <c r="L586" s="56" t="str">
        <f>IFERROR(VLOOKUP(B586,Absen!$A$1:$C$501,2,FALSE),"No")</f>
        <v>No</v>
      </c>
      <c r="M586" s="58">
        <f t="shared" si="32"/>
        <v>7.9</v>
      </c>
      <c r="N586" s="57">
        <f t="shared" si="33"/>
        <v>75.350000000000009</v>
      </c>
      <c r="O586" s="7" t="str">
        <f>VLOOKUP(N586,Helper!$B$30:$C$35,2,TRUE)</f>
        <v>B</v>
      </c>
      <c r="P586" s="56">
        <f>INDEX(Detail!$A$1:$A$1001,MATCH(B586,Detail!$G$1:$G$1001,0))</f>
        <v>37988</v>
      </c>
      <c r="Q586" s="33" t="str">
        <f>INDEX(Detail!$F$1:$F$1001,MATCH(Main!B586,Detail!$G$1:$G$1001,0))</f>
        <v>Probolinggo</v>
      </c>
      <c r="R586" s="7">
        <f>INDEX(Detail!$C$1:$C$1001,MATCH(B586,Detail!$G$1:$G$1001,0),1)</f>
        <v>158</v>
      </c>
      <c r="S586" s="7">
        <f>INDEX(Detail!$D$1:$D$1001,MATCH(B586,Detail!$G$1:$G$1001,0),1)</f>
        <v>95</v>
      </c>
      <c r="T586" s="7" t="str">
        <f>INDEX(Detail!$E$1:$E$1001,MATCH(Main!B586,Detail!$G$1:$G$1001,0))</f>
        <v xml:space="preserve">Gg. Gegerkalong Hilir No. 7
</v>
      </c>
      <c r="U586" s="7" t="str">
        <f>INDEX(Detail!$B$1:$B$1001,MATCH(B586,Detail!$G$1:$G$1001,0),1)</f>
        <v>O-</v>
      </c>
      <c r="V586" s="7" t="str" cm="1">
        <f t="array" ref="V586">INDEX(Dosen!$B$3:$E$8,MATCH(Main!C586,Dosen!$A$3:$A$8,0),IF(AND(Main!A586&gt;=1,Main!A586&lt;=250),1,IF(AND(Main!A586&gt;=251,Main!A586&lt;=500),2,IF(AND(Main!A586&gt;=501,Main!A586&lt;=750),3,4))))</f>
        <v>Pak Andi</v>
      </c>
      <c r="W586" s="7" t="str">
        <f>_xlfn.XLOOKUP(B586,Detail!$G$1:$G$1001,Detail!$B$1:$B$1001)</f>
        <v>O-</v>
      </c>
    </row>
    <row r="587" spans="1:23" ht="15.75" x14ac:dyDescent="0.25">
      <c r="A587" s="7">
        <v>491</v>
      </c>
      <c r="B587" s="33" t="str">
        <f t="shared" si="31"/>
        <v>D0491</v>
      </c>
      <c r="C587" s="7" t="s">
        <v>1013</v>
      </c>
      <c r="D587" s="33" t="str">
        <f>VLOOKUP(B587,Detail!$G$1:$H$1001,2,FALSE)</f>
        <v>Akarsana Permata</v>
      </c>
      <c r="E587" s="7">
        <v>81</v>
      </c>
      <c r="F587" s="7">
        <v>69</v>
      </c>
      <c r="G587" s="57">
        <v>32</v>
      </c>
      <c r="H587" s="7">
        <v>58</v>
      </c>
      <c r="I587" s="7">
        <v>51</v>
      </c>
      <c r="J587" s="7">
        <v>99</v>
      </c>
      <c r="K587" s="7">
        <v>88</v>
      </c>
      <c r="L587" s="56">
        <f>IFERROR(VLOOKUP(B587,Absen!$A$1:$C$501,2,FALSE),"No")</f>
        <v>44823</v>
      </c>
      <c r="M587" s="58">
        <f t="shared" si="32"/>
        <v>7.8000000000000007</v>
      </c>
      <c r="N587" s="57">
        <f t="shared" si="33"/>
        <v>66.375</v>
      </c>
      <c r="O587" s="7" t="str">
        <f>VLOOKUP(N587,Helper!$B$30:$C$35,2,TRUE)</f>
        <v>C</v>
      </c>
      <c r="P587" s="56">
        <f>INDEX(Detail!$A$1:$A$1001,MATCH(B587,Detail!$G$1:$G$1001,0))</f>
        <v>37063</v>
      </c>
      <c r="Q587" s="33" t="str">
        <f>INDEX(Detail!$F$1:$F$1001,MATCH(Main!B587,Detail!$G$1:$G$1001,0))</f>
        <v>Blitar</v>
      </c>
      <c r="R587" s="7">
        <f>INDEX(Detail!$C$1:$C$1001,MATCH(B587,Detail!$G$1:$G$1001,0),1)</f>
        <v>156</v>
      </c>
      <c r="S587" s="7">
        <f>INDEX(Detail!$D$1:$D$1001,MATCH(B587,Detail!$G$1:$G$1001,0),1)</f>
        <v>85</v>
      </c>
      <c r="T587" s="7" t="str">
        <f>INDEX(Detail!$E$1:$E$1001,MATCH(Main!B587,Detail!$G$1:$G$1001,0))</f>
        <v>Gang Kebonjati No. 85</v>
      </c>
      <c r="U587" s="7" t="str">
        <f>INDEX(Detail!$B$1:$B$1001,MATCH(B587,Detail!$G$1:$G$1001,0),1)</f>
        <v>AB-</v>
      </c>
      <c r="V587" s="7" t="str" cm="1">
        <f t="array" ref="V587">INDEX(Dosen!$B$3:$E$8,MATCH(Main!C587,Dosen!$A$3:$A$8,0),IF(AND(Main!A587&gt;=1,Main!A587&lt;=250),1,IF(AND(Main!A587&gt;=251,Main!A587&lt;=500),2,IF(AND(Main!A587&gt;=501,Main!A587&lt;=750),3,4))))</f>
        <v>Pak Andi</v>
      </c>
      <c r="W587" s="7" t="str">
        <f>_xlfn.XLOOKUP(B587,Detail!$G$1:$G$1001,Detail!$B$1:$B$1001)</f>
        <v>AB-</v>
      </c>
    </row>
    <row r="588" spans="1:23" ht="15.75" x14ac:dyDescent="0.25">
      <c r="A588" s="7">
        <v>508</v>
      </c>
      <c r="B588" s="33" t="str">
        <f t="shared" si="31"/>
        <v>D0508</v>
      </c>
      <c r="C588" s="7" t="s">
        <v>1013</v>
      </c>
      <c r="D588" s="33" t="str">
        <f>VLOOKUP(B588,Detail!$G$1:$H$1001,2,FALSE)</f>
        <v>Nilam Hakim</v>
      </c>
      <c r="E588" s="7">
        <v>56</v>
      </c>
      <c r="F588" s="7">
        <v>61</v>
      </c>
      <c r="G588" s="57">
        <v>57</v>
      </c>
      <c r="H588" s="7">
        <v>69</v>
      </c>
      <c r="I588" s="7">
        <v>83</v>
      </c>
      <c r="J588" s="7">
        <v>89</v>
      </c>
      <c r="K588" s="7">
        <v>69</v>
      </c>
      <c r="L588" s="56">
        <f>IFERROR(VLOOKUP(B588,Absen!$A$1:$C$501,2,FALSE),"No")</f>
        <v>44809</v>
      </c>
      <c r="M588" s="58">
        <f t="shared" si="32"/>
        <v>5.9</v>
      </c>
      <c r="N588" s="57">
        <f t="shared" si="33"/>
        <v>68.725000000000009</v>
      </c>
      <c r="O588" s="7" t="str">
        <f>VLOOKUP(N588,Helper!$B$30:$C$35,2,TRUE)</f>
        <v>C</v>
      </c>
      <c r="P588" s="56">
        <f>INDEX(Detail!$A$1:$A$1001,MATCH(B588,Detail!$G$1:$G$1001,0))</f>
        <v>38377</v>
      </c>
      <c r="Q588" s="33" t="str">
        <f>INDEX(Detail!$F$1:$F$1001,MATCH(Main!B588,Detail!$G$1:$G$1001,0))</f>
        <v>Lhokseumawe</v>
      </c>
      <c r="R588" s="7">
        <f>INDEX(Detail!$C$1:$C$1001,MATCH(B588,Detail!$G$1:$G$1001,0),1)</f>
        <v>175</v>
      </c>
      <c r="S588" s="7">
        <f>INDEX(Detail!$D$1:$D$1001,MATCH(B588,Detail!$G$1:$G$1001,0),1)</f>
        <v>58</v>
      </c>
      <c r="T588" s="7" t="str">
        <f>INDEX(Detail!$E$1:$E$1001,MATCH(Main!B588,Detail!$G$1:$G$1001,0))</f>
        <v>Gang Suniaraja No. 24</v>
      </c>
      <c r="U588" s="7" t="str">
        <f>INDEX(Detail!$B$1:$B$1001,MATCH(B588,Detail!$G$1:$G$1001,0),1)</f>
        <v>AB+</v>
      </c>
      <c r="V588" s="7" t="str" cm="1">
        <f t="array" ref="V588">INDEX(Dosen!$B$3:$E$8,MATCH(Main!C588,Dosen!$A$3:$A$8,0),IF(AND(Main!A588&gt;=1,Main!A588&lt;=250),1,IF(AND(Main!A588&gt;=251,Main!A588&lt;=500),2,IF(AND(Main!A588&gt;=501,Main!A588&lt;=750),3,4))))</f>
        <v>Pak Krisna</v>
      </c>
      <c r="W588" s="7" t="str">
        <f>_xlfn.XLOOKUP(B588,Detail!$G$1:$G$1001,Detail!$B$1:$B$1001)</f>
        <v>AB+</v>
      </c>
    </row>
    <row r="589" spans="1:23" ht="15.75" x14ac:dyDescent="0.25">
      <c r="A589" s="7">
        <v>510</v>
      </c>
      <c r="B589" s="33" t="str">
        <f t="shared" ref="B589:B620" si="34">CONCATENATE("D",TEXT(A589,"0000"))</f>
        <v>D0510</v>
      </c>
      <c r="C589" s="7" t="s">
        <v>1013</v>
      </c>
      <c r="D589" s="33" t="str">
        <f>VLOOKUP(B589,Detail!$G$1:$H$1001,2,FALSE)</f>
        <v>Prabu Natsir</v>
      </c>
      <c r="E589" s="7">
        <v>85</v>
      </c>
      <c r="F589" s="7">
        <v>73</v>
      </c>
      <c r="G589" s="57">
        <v>33</v>
      </c>
      <c r="H589" s="7">
        <v>55</v>
      </c>
      <c r="I589" s="7">
        <v>51</v>
      </c>
      <c r="J589" s="7">
        <v>74</v>
      </c>
      <c r="K589" s="7">
        <v>85</v>
      </c>
      <c r="L589" s="56">
        <f>IFERROR(VLOOKUP(B589,Absen!$A$1:$C$501,2,FALSE),"No")</f>
        <v>44802</v>
      </c>
      <c r="M589" s="58">
        <f t="shared" si="32"/>
        <v>7.5</v>
      </c>
      <c r="N589" s="57">
        <f t="shared" si="33"/>
        <v>61.900000000000006</v>
      </c>
      <c r="O589" s="7" t="str">
        <f>VLOOKUP(N589,Helper!$B$30:$C$35,2,TRUE)</f>
        <v>C</v>
      </c>
      <c r="P589" s="56">
        <f>INDEX(Detail!$A$1:$A$1001,MATCH(B589,Detail!$G$1:$G$1001,0))</f>
        <v>37380</v>
      </c>
      <c r="Q589" s="33" t="str">
        <f>INDEX(Detail!$F$1:$F$1001,MATCH(Main!B589,Detail!$G$1:$G$1001,0))</f>
        <v>Salatiga</v>
      </c>
      <c r="R589" s="7">
        <f>INDEX(Detail!$C$1:$C$1001,MATCH(B589,Detail!$G$1:$G$1001,0),1)</f>
        <v>173</v>
      </c>
      <c r="S589" s="7">
        <f>INDEX(Detail!$D$1:$D$1001,MATCH(B589,Detail!$G$1:$G$1001,0),1)</f>
        <v>93</v>
      </c>
      <c r="T589" s="7" t="str">
        <f>INDEX(Detail!$E$1:$E$1001,MATCH(Main!B589,Detail!$G$1:$G$1001,0))</f>
        <v xml:space="preserve">Jl. Gedebage Selatan No. 6
</v>
      </c>
      <c r="U589" s="7" t="str">
        <f>INDEX(Detail!$B$1:$B$1001,MATCH(B589,Detail!$G$1:$G$1001,0),1)</f>
        <v>B+</v>
      </c>
      <c r="V589" s="7" t="str" cm="1">
        <f t="array" ref="V589">INDEX(Dosen!$B$3:$E$8,MATCH(Main!C589,Dosen!$A$3:$A$8,0),IF(AND(Main!A589&gt;=1,Main!A589&lt;=250),1,IF(AND(Main!A589&gt;=251,Main!A589&lt;=500),2,IF(AND(Main!A589&gt;=501,Main!A589&lt;=750),3,4))))</f>
        <v>Pak Krisna</v>
      </c>
      <c r="W589" s="7" t="str">
        <f>_xlfn.XLOOKUP(B589,Detail!$G$1:$G$1001,Detail!$B$1:$B$1001)</f>
        <v>B+</v>
      </c>
    </row>
    <row r="590" spans="1:23" ht="15.75" x14ac:dyDescent="0.25">
      <c r="A590" s="7">
        <v>511</v>
      </c>
      <c r="B590" s="33" t="str">
        <f t="shared" si="34"/>
        <v>D0511</v>
      </c>
      <c r="C590" s="7" t="s">
        <v>1013</v>
      </c>
      <c r="D590" s="33" t="str">
        <f>VLOOKUP(B590,Detail!$G$1:$H$1001,2,FALSE)</f>
        <v>Paiman Waskita</v>
      </c>
      <c r="E590" s="7">
        <v>65</v>
      </c>
      <c r="F590" s="7">
        <v>46</v>
      </c>
      <c r="G590" s="57">
        <v>83</v>
      </c>
      <c r="H590" s="7">
        <v>55</v>
      </c>
      <c r="I590" s="7">
        <v>61</v>
      </c>
      <c r="J590" s="7">
        <v>80</v>
      </c>
      <c r="K590" s="7">
        <v>83</v>
      </c>
      <c r="L590" s="56" t="str">
        <f>IFERROR(VLOOKUP(B590,Absen!$A$1:$C$501,2,FALSE),"No")</f>
        <v>No</v>
      </c>
      <c r="M590" s="58">
        <f t="shared" si="32"/>
        <v>8.3000000000000007</v>
      </c>
      <c r="N590" s="57">
        <f t="shared" si="33"/>
        <v>69.275000000000006</v>
      </c>
      <c r="O590" s="7" t="str">
        <f>VLOOKUP(N590,Helper!$B$30:$C$35,2,TRUE)</f>
        <v>C</v>
      </c>
      <c r="P590" s="56">
        <f>INDEX(Detail!$A$1:$A$1001,MATCH(B590,Detail!$G$1:$G$1001,0))</f>
        <v>37567</v>
      </c>
      <c r="Q590" s="33" t="str">
        <f>INDEX(Detail!$F$1:$F$1001,MATCH(Main!B590,Detail!$G$1:$G$1001,0))</f>
        <v>Mataram</v>
      </c>
      <c r="R590" s="7">
        <f>INDEX(Detail!$C$1:$C$1001,MATCH(B590,Detail!$G$1:$G$1001,0),1)</f>
        <v>150</v>
      </c>
      <c r="S590" s="7">
        <f>INDEX(Detail!$D$1:$D$1001,MATCH(B590,Detail!$G$1:$G$1001,0),1)</f>
        <v>85</v>
      </c>
      <c r="T590" s="7" t="str">
        <f>INDEX(Detail!$E$1:$E$1001,MATCH(Main!B590,Detail!$G$1:$G$1001,0))</f>
        <v>Gg. Peta No. 85</v>
      </c>
      <c r="U590" s="7" t="str">
        <f>INDEX(Detail!$B$1:$B$1001,MATCH(B590,Detail!$G$1:$G$1001,0),1)</f>
        <v>A+</v>
      </c>
      <c r="V590" s="7" t="str" cm="1">
        <f t="array" ref="V590">INDEX(Dosen!$B$3:$E$8,MATCH(Main!C590,Dosen!$A$3:$A$8,0),IF(AND(Main!A590&gt;=1,Main!A590&lt;=250),1,IF(AND(Main!A590&gt;=251,Main!A590&lt;=500),2,IF(AND(Main!A590&gt;=501,Main!A590&lt;=750),3,4))))</f>
        <v>Pak Krisna</v>
      </c>
      <c r="W590" s="7" t="str">
        <f>_xlfn.XLOOKUP(B590,Detail!$G$1:$G$1001,Detail!$B$1:$B$1001)</f>
        <v>A+</v>
      </c>
    </row>
    <row r="591" spans="1:23" ht="15.75" x14ac:dyDescent="0.25">
      <c r="A591" s="7">
        <v>513</v>
      </c>
      <c r="B591" s="33" t="str">
        <f t="shared" si="34"/>
        <v>D0513</v>
      </c>
      <c r="C591" s="7" t="s">
        <v>1013</v>
      </c>
      <c r="D591" s="33" t="str">
        <f>VLOOKUP(B591,Detail!$G$1:$H$1001,2,FALSE)</f>
        <v>Tasdik Rajasa</v>
      </c>
      <c r="E591" s="7">
        <v>84</v>
      </c>
      <c r="F591" s="7">
        <v>40</v>
      </c>
      <c r="G591" s="57">
        <v>73</v>
      </c>
      <c r="H591" s="7">
        <v>58</v>
      </c>
      <c r="I591" s="7">
        <v>61</v>
      </c>
      <c r="J591" s="7">
        <v>99</v>
      </c>
      <c r="K591" s="7">
        <v>83</v>
      </c>
      <c r="L591" s="56" t="str">
        <f>IFERROR(VLOOKUP(B591,Absen!$A$1:$C$501,2,FALSE),"No")</f>
        <v>No</v>
      </c>
      <c r="M591" s="58">
        <f t="shared" si="32"/>
        <v>8.3000000000000007</v>
      </c>
      <c r="N591" s="57">
        <f t="shared" si="33"/>
        <v>73.075000000000003</v>
      </c>
      <c r="O591" s="7" t="str">
        <f>VLOOKUP(N591,Helper!$B$30:$C$35,2,TRUE)</f>
        <v>B</v>
      </c>
      <c r="P591" s="56">
        <f>INDEX(Detail!$A$1:$A$1001,MATCH(B591,Detail!$G$1:$G$1001,0))</f>
        <v>37840</v>
      </c>
      <c r="Q591" s="33" t="str">
        <f>INDEX(Detail!$F$1:$F$1001,MATCH(Main!B591,Detail!$G$1:$G$1001,0))</f>
        <v>Banjarbaru</v>
      </c>
      <c r="R591" s="7">
        <f>INDEX(Detail!$C$1:$C$1001,MATCH(B591,Detail!$G$1:$G$1001,0),1)</f>
        <v>179</v>
      </c>
      <c r="S591" s="7">
        <f>INDEX(Detail!$D$1:$D$1001,MATCH(B591,Detail!$G$1:$G$1001,0),1)</f>
        <v>64</v>
      </c>
      <c r="T591" s="7" t="str">
        <f>INDEX(Detail!$E$1:$E$1001,MATCH(Main!B591,Detail!$G$1:$G$1001,0))</f>
        <v xml:space="preserve">Jalan Gardujati No. 5
</v>
      </c>
      <c r="U591" s="7" t="str">
        <f>INDEX(Detail!$B$1:$B$1001,MATCH(B591,Detail!$G$1:$G$1001,0),1)</f>
        <v>A+</v>
      </c>
      <c r="V591" s="7" t="str" cm="1">
        <f t="array" ref="V591">INDEX(Dosen!$B$3:$E$8,MATCH(Main!C591,Dosen!$A$3:$A$8,0),IF(AND(Main!A591&gt;=1,Main!A591&lt;=250),1,IF(AND(Main!A591&gt;=251,Main!A591&lt;=500),2,IF(AND(Main!A591&gt;=501,Main!A591&lt;=750),3,4))))</f>
        <v>Pak Krisna</v>
      </c>
      <c r="W591" s="7" t="str">
        <f>_xlfn.XLOOKUP(B591,Detail!$G$1:$G$1001,Detail!$B$1:$B$1001)</f>
        <v>A+</v>
      </c>
    </row>
    <row r="592" spans="1:23" ht="15.75" x14ac:dyDescent="0.25">
      <c r="A592" s="7">
        <v>514</v>
      </c>
      <c r="B592" s="33" t="str">
        <f t="shared" si="34"/>
        <v>D0514</v>
      </c>
      <c r="C592" s="7" t="s">
        <v>1013</v>
      </c>
      <c r="D592" s="33" t="str">
        <f>VLOOKUP(B592,Detail!$G$1:$H$1001,2,FALSE)</f>
        <v>Gilda Napitupulu</v>
      </c>
      <c r="E592" s="7">
        <v>77</v>
      </c>
      <c r="F592" s="7">
        <v>61</v>
      </c>
      <c r="G592" s="57">
        <v>37</v>
      </c>
      <c r="H592" s="7">
        <v>51</v>
      </c>
      <c r="I592" s="7">
        <v>92</v>
      </c>
      <c r="J592" s="7">
        <v>78</v>
      </c>
      <c r="K592" s="7">
        <v>68</v>
      </c>
      <c r="L592" s="56">
        <f>IFERROR(VLOOKUP(B592,Absen!$A$1:$C$501,2,FALSE),"No")</f>
        <v>44837</v>
      </c>
      <c r="M592" s="58">
        <f t="shared" si="32"/>
        <v>5.8000000000000007</v>
      </c>
      <c r="N592" s="57">
        <f t="shared" si="33"/>
        <v>63.924999999999997</v>
      </c>
      <c r="O592" s="7" t="str">
        <f>VLOOKUP(N592,Helper!$B$30:$C$35,2,TRUE)</f>
        <v>C</v>
      </c>
      <c r="P592" s="56">
        <f>INDEX(Detail!$A$1:$A$1001,MATCH(B592,Detail!$G$1:$G$1001,0))</f>
        <v>38360</v>
      </c>
      <c r="Q592" s="33" t="str">
        <f>INDEX(Detail!$F$1:$F$1001,MATCH(Main!B592,Detail!$G$1:$G$1001,0))</f>
        <v>Bukittinggi</v>
      </c>
      <c r="R592" s="7">
        <f>INDEX(Detail!$C$1:$C$1001,MATCH(B592,Detail!$G$1:$G$1001,0),1)</f>
        <v>177</v>
      </c>
      <c r="S592" s="7">
        <f>INDEX(Detail!$D$1:$D$1001,MATCH(B592,Detail!$G$1:$G$1001,0),1)</f>
        <v>89</v>
      </c>
      <c r="T592" s="7" t="str">
        <f>INDEX(Detail!$E$1:$E$1001,MATCH(Main!B592,Detail!$G$1:$G$1001,0))</f>
        <v>Gang Lembong No. 72</v>
      </c>
      <c r="U592" s="7" t="str">
        <f>INDEX(Detail!$B$1:$B$1001,MATCH(B592,Detail!$G$1:$G$1001,0),1)</f>
        <v>B-</v>
      </c>
      <c r="V592" s="7" t="str" cm="1">
        <f t="array" ref="V592">INDEX(Dosen!$B$3:$E$8,MATCH(Main!C592,Dosen!$A$3:$A$8,0),IF(AND(Main!A592&gt;=1,Main!A592&lt;=250),1,IF(AND(Main!A592&gt;=251,Main!A592&lt;=500),2,IF(AND(Main!A592&gt;=501,Main!A592&lt;=750),3,4))))</f>
        <v>Pak Krisna</v>
      </c>
      <c r="W592" s="7" t="str">
        <f>_xlfn.XLOOKUP(B592,Detail!$G$1:$G$1001,Detail!$B$1:$B$1001)</f>
        <v>B-</v>
      </c>
    </row>
    <row r="593" spans="1:23" ht="15.75" x14ac:dyDescent="0.25">
      <c r="A593" s="7">
        <v>531</v>
      </c>
      <c r="B593" s="33" t="str">
        <f t="shared" si="34"/>
        <v>D0531</v>
      </c>
      <c r="C593" s="7" t="s">
        <v>1013</v>
      </c>
      <c r="D593" s="33" t="str">
        <f>VLOOKUP(B593,Detail!$G$1:$H$1001,2,FALSE)</f>
        <v>Garang Mulyani</v>
      </c>
      <c r="E593" s="7">
        <v>59</v>
      </c>
      <c r="F593" s="7">
        <v>69</v>
      </c>
      <c r="G593" s="57">
        <v>75</v>
      </c>
      <c r="H593" s="7">
        <v>68</v>
      </c>
      <c r="I593" s="7">
        <v>84</v>
      </c>
      <c r="J593" s="7">
        <v>43</v>
      </c>
      <c r="K593" s="7">
        <v>79</v>
      </c>
      <c r="L593" s="56" t="str">
        <f>IFERROR(VLOOKUP(B593,Absen!$A$1:$C$501,2,FALSE),"No")</f>
        <v>No</v>
      </c>
      <c r="M593" s="58">
        <f t="shared" si="32"/>
        <v>7.9</v>
      </c>
      <c r="N593" s="57">
        <f t="shared" si="33"/>
        <v>66.5</v>
      </c>
      <c r="O593" s="7" t="str">
        <f>VLOOKUP(N593,Helper!$B$30:$C$35,2,TRUE)</f>
        <v>C</v>
      </c>
      <c r="P593" s="56">
        <f>INDEX(Detail!$A$1:$A$1001,MATCH(B593,Detail!$G$1:$G$1001,0))</f>
        <v>38153</v>
      </c>
      <c r="Q593" s="33" t="str">
        <f>INDEX(Detail!$F$1:$F$1001,MATCH(Main!B593,Detail!$G$1:$G$1001,0))</f>
        <v>Banjar</v>
      </c>
      <c r="R593" s="7">
        <f>INDEX(Detail!$C$1:$C$1001,MATCH(B593,Detail!$G$1:$G$1001,0),1)</f>
        <v>172</v>
      </c>
      <c r="S593" s="7">
        <f>INDEX(Detail!$D$1:$D$1001,MATCH(B593,Detail!$G$1:$G$1001,0),1)</f>
        <v>66</v>
      </c>
      <c r="T593" s="7" t="str">
        <f>INDEX(Detail!$E$1:$E$1001,MATCH(Main!B593,Detail!$G$1:$G$1001,0))</f>
        <v>Jl. Moch. Toha No. 79</v>
      </c>
      <c r="U593" s="7" t="str">
        <f>INDEX(Detail!$B$1:$B$1001,MATCH(B593,Detail!$G$1:$G$1001,0),1)</f>
        <v>A+</v>
      </c>
      <c r="V593" s="7" t="str" cm="1">
        <f t="array" ref="V593">INDEX(Dosen!$B$3:$E$8,MATCH(Main!C593,Dosen!$A$3:$A$8,0),IF(AND(Main!A593&gt;=1,Main!A593&lt;=250),1,IF(AND(Main!A593&gt;=251,Main!A593&lt;=500),2,IF(AND(Main!A593&gt;=501,Main!A593&lt;=750),3,4))))</f>
        <v>Pak Krisna</v>
      </c>
      <c r="W593" s="7" t="str">
        <f>_xlfn.XLOOKUP(B593,Detail!$G$1:$G$1001,Detail!$B$1:$B$1001)</f>
        <v>A+</v>
      </c>
    </row>
    <row r="594" spans="1:23" ht="15.75" x14ac:dyDescent="0.25">
      <c r="A594" s="7">
        <v>537</v>
      </c>
      <c r="B594" s="33" t="str">
        <f t="shared" si="34"/>
        <v>D0537</v>
      </c>
      <c r="C594" s="7" t="s">
        <v>1013</v>
      </c>
      <c r="D594" s="33" t="str">
        <f>VLOOKUP(B594,Detail!$G$1:$H$1001,2,FALSE)</f>
        <v>Luthfi Laksmiwati</v>
      </c>
      <c r="E594" s="7">
        <v>88</v>
      </c>
      <c r="F594" s="7">
        <v>63</v>
      </c>
      <c r="G594" s="57">
        <v>79</v>
      </c>
      <c r="H594" s="7">
        <v>68</v>
      </c>
      <c r="I594" s="7">
        <v>72</v>
      </c>
      <c r="J594" s="7">
        <v>75</v>
      </c>
      <c r="K594" s="7">
        <v>93</v>
      </c>
      <c r="L594" s="56" t="str">
        <f>IFERROR(VLOOKUP(B594,Absen!$A$1:$C$501,2,FALSE),"No")</f>
        <v>No</v>
      </c>
      <c r="M594" s="58">
        <f t="shared" si="32"/>
        <v>9.3000000000000007</v>
      </c>
      <c r="N594" s="57">
        <f t="shared" si="33"/>
        <v>76.474999999999994</v>
      </c>
      <c r="O594" s="7" t="str">
        <f>VLOOKUP(N594,Helper!$B$30:$C$35,2,TRUE)</f>
        <v>B</v>
      </c>
      <c r="P594" s="56">
        <f>INDEX(Detail!$A$1:$A$1001,MATCH(B594,Detail!$G$1:$G$1001,0))</f>
        <v>37263</v>
      </c>
      <c r="Q594" s="33" t="str">
        <f>INDEX(Detail!$F$1:$F$1001,MATCH(Main!B594,Detail!$G$1:$G$1001,0))</f>
        <v>Pariaman</v>
      </c>
      <c r="R594" s="7">
        <f>INDEX(Detail!$C$1:$C$1001,MATCH(B594,Detail!$G$1:$G$1001,0),1)</f>
        <v>173</v>
      </c>
      <c r="S594" s="7">
        <f>INDEX(Detail!$D$1:$D$1001,MATCH(B594,Detail!$G$1:$G$1001,0),1)</f>
        <v>53</v>
      </c>
      <c r="T594" s="7" t="str">
        <f>INDEX(Detail!$E$1:$E$1001,MATCH(Main!B594,Detail!$G$1:$G$1001,0))</f>
        <v xml:space="preserve">Gang Siliwangi No. 5
</v>
      </c>
      <c r="U594" s="7" t="str">
        <f>INDEX(Detail!$B$1:$B$1001,MATCH(B594,Detail!$G$1:$G$1001,0),1)</f>
        <v>O+</v>
      </c>
      <c r="V594" s="7" t="str" cm="1">
        <f t="array" ref="V594">INDEX(Dosen!$B$3:$E$8,MATCH(Main!C594,Dosen!$A$3:$A$8,0),IF(AND(Main!A594&gt;=1,Main!A594&lt;=250),1,IF(AND(Main!A594&gt;=251,Main!A594&lt;=500),2,IF(AND(Main!A594&gt;=501,Main!A594&lt;=750),3,4))))</f>
        <v>Pak Krisna</v>
      </c>
      <c r="W594" s="7" t="str">
        <f>_xlfn.XLOOKUP(B594,Detail!$G$1:$G$1001,Detail!$B$1:$B$1001)</f>
        <v>O+</v>
      </c>
    </row>
    <row r="595" spans="1:23" ht="15.75" x14ac:dyDescent="0.25">
      <c r="A595" s="7">
        <v>546</v>
      </c>
      <c r="B595" s="33" t="str">
        <f t="shared" si="34"/>
        <v>D0546</v>
      </c>
      <c r="C595" s="7" t="s">
        <v>1013</v>
      </c>
      <c r="D595" s="33" t="str">
        <f>VLOOKUP(B595,Detail!$G$1:$H$1001,2,FALSE)</f>
        <v>Harimurti Permadi</v>
      </c>
      <c r="E595" s="7">
        <v>63</v>
      </c>
      <c r="F595" s="7">
        <v>58</v>
      </c>
      <c r="G595" s="57">
        <v>38</v>
      </c>
      <c r="H595" s="7">
        <v>69</v>
      </c>
      <c r="I595" s="7">
        <v>62</v>
      </c>
      <c r="J595" s="7">
        <v>48</v>
      </c>
      <c r="K595" s="7">
        <v>73</v>
      </c>
      <c r="L595" s="56" t="str">
        <f>IFERROR(VLOOKUP(B595,Absen!$A$1:$C$501,2,FALSE),"No")</f>
        <v>No</v>
      </c>
      <c r="M595" s="58">
        <f t="shared" si="32"/>
        <v>7.3000000000000007</v>
      </c>
      <c r="N595" s="57">
        <f t="shared" si="33"/>
        <v>56</v>
      </c>
      <c r="O595" s="7" t="str">
        <f>VLOOKUP(N595,Helper!$B$30:$C$35,2,TRUE)</f>
        <v>D</v>
      </c>
      <c r="P595" s="56">
        <f>INDEX(Detail!$A$1:$A$1001,MATCH(B595,Detail!$G$1:$G$1001,0))</f>
        <v>37579</v>
      </c>
      <c r="Q595" s="33" t="str">
        <f>INDEX(Detail!$F$1:$F$1001,MATCH(Main!B595,Detail!$G$1:$G$1001,0))</f>
        <v>Lubuklinggau</v>
      </c>
      <c r="R595" s="7">
        <f>INDEX(Detail!$C$1:$C$1001,MATCH(B595,Detail!$G$1:$G$1001,0),1)</f>
        <v>165</v>
      </c>
      <c r="S595" s="7">
        <f>INDEX(Detail!$D$1:$D$1001,MATCH(B595,Detail!$G$1:$G$1001,0),1)</f>
        <v>73</v>
      </c>
      <c r="T595" s="7" t="str">
        <f>INDEX(Detail!$E$1:$E$1001,MATCH(Main!B595,Detail!$G$1:$G$1001,0))</f>
        <v>Gg. Dipatiukur No. 58</v>
      </c>
      <c r="U595" s="7" t="str">
        <f>INDEX(Detail!$B$1:$B$1001,MATCH(B595,Detail!$G$1:$G$1001,0),1)</f>
        <v>O-</v>
      </c>
      <c r="V595" s="7" t="str" cm="1">
        <f t="array" ref="V595">INDEX(Dosen!$B$3:$E$8,MATCH(Main!C595,Dosen!$A$3:$A$8,0),IF(AND(Main!A595&gt;=1,Main!A595&lt;=250),1,IF(AND(Main!A595&gt;=251,Main!A595&lt;=500),2,IF(AND(Main!A595&gt;=501,Main!A595&lt;=750),3,4))))</f>
        <v>Pak Krisna</v>
      </c>
      <c r="W595" s="7" t="str">
        <f>_xlfn.XLOOKUP(B595,Detail!$G$1:$G$1001,Detail!$B$1:$B$1001)</f>
        <v>O-</v>
      </c>
    </row>
    <row r="596" spans="1:23" ht="15.75" x14ac:dyDescent="0.25">
      <c r="A596" s="7">
        <v>547</v>
      </c>
      <c r="B596" s="33" t="str">
        <f t="shared" si="34"/>
        <v>D0547</v>
      </c>
      <c r="C596" s="7" t="s">
        <v>1013</v>
      </c>
      <c r="D596" s="33" t="str">
        <f>VLOOKUP(B596,Detail!$G$1:$H$1001,2,FALSE)</f>
        <v>Lalita Sihombing</v>
      </c>
      <c r="E596" s="7">
        <v>66</v>
      </c>
      <c r="F596" s="7">
        <v>53</v>
      </c>
      <c r="G596" s="57">
        <v>41</v>
      </c>
      <c r="H596" s="7">
        <v>64</v>
      </c>
      <c r="I596" s="7">
        <v>51</v>
      </c>
      <c r="J596" s="7">
        <v>68</v>
      </c>
      <c r="K596" s="7">
        <v>67</v>
      </c>
      <c r="L596" s="56">
        <f>IFERROR(VLOOKUP(B596,Absen!$A$1:$C$501,2,FALSE),"No")</f>
        <v>44827</v>
      </c>
      <c r="M596" s="58">
        <f t="shared" si="32"/>
        <v>5.7</v>
      </c>
      <c r="N596" s="57">
        <f t="shared" si="33"/>
        <v>56.750000000000007</v>
      </c>
      <c r="O596" s="7" t="str">
        <f>VLOOKUP(N596,Helper!$B$30:$C$35,2,TRUE)</f>
        <v>D</v>
      </c>
      <c r="P596" s="56">
        <f>INDEX(Detail!$A$1:$A$1001,MATCH(B596,Detail!$G$1:$G$1001,0))</f>
        <v>38303</v>
      </c>
      <c r="Q596" s="33" t="str">
        <f>INDEX(Detail!$F$1:$F$1001,MATCH(Main!B596,Detail!$G$1:$G$1001,0))</f>
        <v>Kota Administrasi Jakarta Pusat</v>
      </c>
      <c r="R596" s="7">
        <f>INDEX(Detail!$C$1:$C$1001,MATCH(B596,Detail!$G$1:$G$1001,0),1)</f>
        <v>158</v>
      </c>
      <c r="S596" s="7">
        <f>INDEX(Detail!$D$1:$D$1001,MATCH(B596,Detail!$G$1:$G$1001,0),1)</f>
        <v>66</v>
      </c>
      <c r="T596" s="7" t="str">
        <f>INDEX(Detail!$E$1:$E$1001,MATCH(Main!B596,Detail!$G$1:$G$1001,0))</f>
        <v>Jl. Cempaka No. 14</v>
      </c>
      <c r="U596" s="7" t="str">
        <f>INDEX(Detail!$B$1:$B$1001,MATCH(B596,Detail!$G$1:$G$1001,0),1)</f>
        <v>O+</v>
      </c>
      <c r="V596" s="7" t="str" cm="1">
        <f t="array" ref="V596">INDEX(Dosen!$B$3:$E$8,MATCH(Main!C596,Dosen!$A$3:$A$8,0),IF(AND(Main!A596&gt;=1,Main!A596&lt;=250),1,IF(AND(Main!A596&gt;=251,Main!A596&lt;=500),2,IF(AND(Main!A596&gt;=501,Main!A596&lt;=750),3,4))))</f>
        <v>Pak Krisna</v>
      </c>
      <c r="W596" s="7" t="str">
        <f>_xlfn.XLOOKUP(B596,Detail!$G$1:$G$1001,Detail!$B$1:$B$1001)</f>
        <v>O+</v>
      </c>
    </row>
    <row r="597" spans="1:23" ht="15.75" x14ac:dyDescent="0.25">
      <c r="A597" s="7">
        <v>550</v>
      </c>
      <c r="B597" s="33" t="str">
        <f t="shared" si="34"/>
        <v>D0550</v>
      </c>
      <c r="C597" s="7" t="s">
        <v>1013</v>
      </c>
      <c r="D597" s="33" t="str">
        <f>VLOOKUP(B597,Detail!$G$1:$H$1001,2,FALSE)</f>
        <v>Carub Rahmawati</v>
      </c>
      <c r="E597" s="7">
        <v>95</v>
      </c>
      <c r="F597" s="7">
        <v>66</v>
      </c>
      <c r="G597" s="57">
        <v>93</v>
      </c>
      <c r="H597" s="7">
        <v>62</v>
      </c>
      <c r="I597" s="7">
        <v>53</v>
      </c>
      <c r="J597" s="7">
        <v>99</v>
      </c>
      <c r="K597" s="7">
        <v>84</v>
      </c>
      <c r="L597" s="56">
        <f>IFERROR(VLOOKUP(B597,Absen!$A$1:$C$501,2,FALSE),"No")</f>
        <v>44749</v>
      </c>
      <c r="M597" s="58">
        <f t="shared" si="32"/>
        <v>7.4</v>
      </c>
      <c r="N597" s="57">
        <f t="shared" si="33"/>
        <v>80.300000000000011</v>
      </c>
      <c r="O597" s="7" t="str">
        <f>VLOOKUP(N597,Helper!$B$30:$C$35,2,TRUE)</f>
        <v>A</v>
      </c>
      <c r="P597" s="56">
        <f>INDEX(Detail!$A$1:$A$1001,MATCH(B597,Detail!$G$1:$G$1001,0))</f>
        <v>38014</v>
      </c>
      <c r="Q597" s="33" t="str">
        <f>INDEX(Detail!$F$1:$F$1001,MATCH(Main!B597,Detail!$G$1:$G$1001,0))</f>
        <v>Kota Administrasi Jakarta Selatan</v>
      </c>
      <c r="R597" s="7">
        <f>INDEX(Detail!$C$1:$C$1001,MATCH(B597,Detail!$G$1:$G$1001,0),1)</f>
        <v>163</v>
      </c>
      <c r="S597" s="7">
        <f>INDEX(Detail!$D$1:$D$1001,MATCH(B597,Detail!$G$1:$G$1001,0),1)</f>
        <v>87</v>
      </c>
      <c r="T597" s="7" t="str">
        <f>INDEX(Detail!$E$1:$E$1001,MATCH(Main!B597,Detail!$G$1:$G$1001,0))</f>
        <v>Jl. Jayawijaya No. 33</v>
      </c>
      <c r="U597" s="7" t="str">
        <f>INDEX(Detail!$B$1:$B$1001,MATCH(B597,Detail!$G$1:$G$1001,0),1)</f>
        <v>AB-</v>
      </c>
      <c r="V597" s="7" t="str" cm="1">
        <f t="array" ref="V597">INDEX(Dosen!$B$3:$E$8,MATCH(Main!C597,Dosen!$A$3:$A$8,0),IF(AND(Main!A597&gt;=1,Main!A597&lt;=250),1,IF(AND(Main!A597&gt;=251,Main!A597&lt;=500),2,IF(AND(Main!A597&gt;=501,Main!A597&lt;=750),3,4))))</f>
        <v>Pak Krisna</v>
      </c>
      <c r="W597" s="7" t="str">
        <f>_xlfn.XLOOKUP(B597,Detail!$G$1:$G$1001,Detail!$B$1:$B$1001)</f>
        <v>AB-</v>
      </c>
    </row>
    <row r="598" spans="1:23" ht="15.75" x14ac:dyDescent="0.25">
      <c r="A598" s="7">
        <v>552</v>
      </c>
      <c r="B598" s="33" t="str">
        <f t="shared" si="34"/>
        <v>D0552</v>
      </c>
      <c r="C598" s="7" t="s">
        <v>1013</v>
      </c>
      <c r="D598" s="33" t="str">
        <f>VLOOKUP(B598,Detail!$G$1:$H$1001,2,FALSE)</f>
        <v>Ade Rajasa</v>
      </c>
      <c r="E598" s="7">
        <v>66</v>
      </c>
      <c r="F598" s="7">
        <v>46</v>
      </c>
      <c r="G598" s="57">
        <v>33</v>
      </c>
      <c r="H598" s="7">
        <v>63</v>
      </c>
      <c r="I598" s="7">
        <v>77</v>
      </c>
      <c r="J598" s="7">
        <v>80</v>
      </c>
      <c r="K598" s="7">
        <v>74</v>
      </c>
      <c r="L598" s="56">
        <f>IFERROR(VLOOKUP(B598,Absen!$A$1:$C$501,2,FALSE),"No")</f>
        <v>44840</v>
      </c>
      <c r="M598" s="58">
        <f t="shared" si="32"/>
        <v>6.4</v>
      </c>
      <c r="N598" s="57">
        <f t="shared" si="33"/>
        <v>60.5</v>
      </c>
      <c r="O598" s="7" t="str">
        <f>VLOOKUP(N598,Helper!$B$30:$C$35,2,TRUE)</f>
        <v>C</v>
      </c>
      <c r="P598" s="56">
        <f>INDEX(Detail!$A$1:$A$1001,MATCH(B598,Detail!$G$1:$G$1001,0))</f>
        <v>37974</v>
      </c>
      <c r="Q598" s="33" t="str">
        <f>INDEX(Detail!$F$1:$F$1001,MATCH(Main!B598,Detail!$G$1:$G$1001,0))</f>
        <v>Sorong</v>
      </c>
      <c r="R598" s="7">
        <f>INDEX(Detail!$C$1:$C$1001,MATCH(B598,Detail!$G$1:$G$1001,0),1)</f>
        <v>161</v>
      </c>
      <c r="S598" s="7">
        <f>INDEX(Detail!$D$1:$D$1001,MATCH(B598,Detail!$G$1:$G$1001,0),1)</f>
        <v>84</v>
      </c>
      <c r="T598" s="7" t="str">
        <f>INDEX(Detail!$E$1:$E$1001,MATCH(Main!B598,Detail!$G$1:$G$1001,0))</f>
        <v>Jalan Soekarno Hatta No. 45</v>
      </c>
      <c r="U598" s="7" t="str">
        <f>INDEX(Detail!$B$1:$B$1001,MATCH(B598,Detail!$G$1:$G$1001,0),1)</f>
        <v>O+</v>
      </c>
      <c r="V598" s="7" t="str" cm="1">
        <f t="array" ref="V598">INDEX(Dosen!$B$3:$E$8,MATCH(Main!C598,Dosen!$A$3:$A$8,0),IF(AND(Main!A598&gt;=1,Main!A598&lt;=250),1,IF(AND(Main!A598&gt;=251,Main!A598&lt;=500),2,IF(AND(Main!A598&gt;=501,Main!A598&lt;=750),3,4))))</f>
        <v>Pak Krisna</v>
      </c>
      <c r="W598" s="7" t="str">
        <f>_xlfn.XLOOKUP(B598,Detail!$G$1:$G$1001,Detail!$B$1:$B$1001)</f>
        <v>O+</v>
      </c>
    </row>
    <row r="599" spans="1:23" ht="15.75" x14ac:dyDescent="0.25">
      <c r="A599" s="7">
        <v>555</v>
      </c>
      <c r="B599" s="33" t="str">
        <f t="shared" si="34"/>
        <v>D0555</v>
      </c>
      <c r="C599" s="7" t="s">
        <v>1013</v>
      </c>
      <c r="D599" s="33" t="str">
        <f>VLOOKUP(B599,Detail!$G$1:$H$1001,2,FALSE)</f>
        <v>Elvina Saefullah</v>
      </c>
      <c r="E599" s="7">
        <v>60</v>
      </c>
      <c r="F599" s="7">
        <v>56</v>
      </c>
      <c r="G599" s="57">
        <v>39</v>
      </c>
      <c r="H599" s="7">
        <v>52</v>
      </c>
      <c r="I599" s="7">
        <v>87</v>
      </c>
      <c r="J599" s="7">
        <v>89</v>
      </c>
      <c r="K599" s="7">
        <v>89</v>
      </c>
      <c r="L599" s="56" t="str">
        <f>IFERROR(VLOOKUP(B599,Absen!$A$1:$C$501,2,FALSE),"No")</f>
        <v>No</v>
      </c>
      <c r="M599" s="58">
        <f t="shared" si="32"/>
        <v>8.9</v>
      </c>
      <c r="N599" s="57">
        <f t="shared" si="33"/>
        <v>66.375</v>
      </c>
      <c r="O599" s="7" t="str">
        <f>VLOOKUP(N599,Helper!$B$30:$C$35,2,TRUE)</f>
        <v>C</v>
      </c>
      <c r="P599" s="56">
        <f>INDEX(Detail!$A$1:$A$1001,MATCH(B599,Detail!$G$1:$G$1001,0))</f>
        <v>37820</v>
      </c>
      <c r="Q599" s="33" t="str">
        <f>INDEX(Detail!$F$1:$F$1001,MATCH(Main!B599,Detail!$G$1:$G$1001,0))</f>
        <v>Sukabumi</v>
      </c>
      <c r="R599" s="7">
        <f>INDEX(Detail!$C$1:$C$1001,MATCH(B599,Detail!$G$1:$G$1001,0),1)</f>
        <v>153</v>
      </c>
      <c r="S599" s="7">
        <f>INDEX(Detail!$D$1:$D$1001,MATCH(B599,Detail!$G$1:$G$1001,0),1)</f>
        <v>49</v>
      </c>
      <c r="T599" s="7" t="str">
        <f>INDEX(Detail!$E$1:$E$1001,MATCH(Main!B599,Detail!$G$1:$G$1001,0))</f>
        <v xml:space="preserve">Jalan Gedebage Selatan No. 5
</v>
      </c>
      <c r="U599" s="7" t="str">
        <f>INDEX(Detail!$B$1:$B$1001,MATCH(B599,Detail!$G$1:$G$1001,0),1)</f>
        <v>O-</v>
      </c>
      <c r="V599" s="7" t="str" cm="1">
        <f t="array" ref="V599">INDEX(Dosen!$B$3:$E$8,MATCH(Main!C599,Dosen!$A$3:$A$8,0),IF(AND(Main!A599&gt;=1,Main!A599&lt;=250),1,IF(AND(Main!A599&gt;=251,Main!A599&lt;=500),2,IF(AND(Main!A599&gt;=501,Main!A599&lt;=750),3,4))))</f>
        <v>Pak Krisna</v>
      </c>
      <c r="W599" s="7" t="str">
        <f>_xlfn.XLOOKUP(B599,Detail!$G$1:$G$1001,Detail!$B$1:$B$1001)</f>
        <v>O-</v>
      </c>
    </row>
    <row r="600" spans="1:23" ht="15.75" x14ac:dyDescent="0.25">
      <c r="A600" s="7">
        <v>558</v>
      </c>
      <c r="B600" s="33" t="str">
        <f t="shared" si="34"/>
        <v>D0558</v>
      </c>
      <c r="C600" s="7" t="s">
        <v>1013</v>
      </c>
      <c r="D600" s="33" t="str">
        <f>VLOOKUP(B600,Detail!$G$1:$H$1001,2,FALSE)</f>
        <v>Elvina Kuswandari</v>
      </c>
      <c r="E600" s="7">
        <v>70</v>
      </c>
      <c r="F600" s="7">
        <v>53</v>
      </c>
      <c r="G600" s="57">
        <v>93</v>
      </c>
      <c r="H600" s="7">
        <v>58</v>
      </c>
      <c r="I600" s="7">
        <v>60</v>
      </c>
      <c r="J600" s="7">
        <v>47</v>
      </c>
      <c r="K600" s="7">
        <v>75</v>
      </c>
      <c r="L600" s="56" t="str">
        <f>IFERROR(VLOOKUP(B600,Absen!$A$1:$C$501,2,FALSE),"No")</f>
        <v>No</v>
      </c>
      <c r="M600" s="58">
        <f t="shared" si="32"/>
        <v>7.5</v>
      </c>
      <c r="N600" s="57">
        <f t="shared" si="33"/>
        <v>65.625</v>
      </c>
      <c r="O600" s="7" t="str">
        <f>VLOOKUP(N600,Helper!$B$30:$C$35,2,TRUE)</f>
        <v>C</v>
      </c>
      <c r="P600" s="56">
        <f>INDEX(Detail!$A$1:$A$1001,MATCH(B600,Detail!$G$1:$G$1001,0))</f>
        <v>37011</v>
      </c>
      <c r="Q600" s="33" t="str">
        <f>INDEX(Detail!$F$1:$F$1001,MATCH(Main!B600,Detail!$G$1:$G$1001,0))</f>
        <v>Malang</v>
      </c>
      <c r="R600" s="7">
        <f>INDEX(Detail!$C$1:$C$1001,MATCH(B600,Detail!$G$1:$G$1001,0),1)</f>
        <v>168</v>
      </c>
      <c r="S600" s="7">
        <f>INDEX(Detail!$D$1:$D$1001,MATCH(B600,Detail!$G$1:$G$1001,0),1)</f>
        <v>54</v>
      </c>
      <c r="T600" s="7" t="str">
        <f>INDEX(Detail!$E$1:$E$1001,MATCH(Main!B600,Detail!$G$1:$G$1001,0))</f>
        <v xml:space="preserve">Gg. Tebet Barat Dalam No. 8
</v>
      </c>
      <c r="U600" s="7" t="str">
        <f>INDEX(Detail!$B$1:$B$1001,MATCH(B600,Detail!$G$1:$G$1001,0),1)</f>
        <v>AB-</v>
      </c>
      <c r="V600" s="7" t="str" cm="1">
        <f t="array" ref="V600">INDEX(Dosen!$B$3:$E$8,MATCH(Main!C600,Dosen!$A$3:$A$8,0),IF(AND(Main!A600&gt;=1,Main!A600&lt;=250),1,IF(AND(Main!A600&gt;=251,Main!A600&lt;=500),2,IF(AND(Main!A600&gt;=501,Main!A600&lt;=750),3,4))))</f>
        <v>Pak Krisna</v>
      </c>
      <c r="W600" s="7" t="str">
        <f>_xlfn.XLOOKUP(B600,Detail!$G$1:$G$1001,Detail!$B$1:$B$1001)</f>
        <v>AB-</v>
      </c>
    </row>
    <row r="601" spans="1:23" ht="15.75" x14ac:dyDescent="0.25">
      <c r="A601" s="7">
        <v>559</v>
      </c>
      <c r="B601" s="33" t="str">
        <f t="shared" si="34"/>
        <v>D0559</v>
      </c>
      <c r="C601" s="7" t="s">
        <v>1013</v>
      </c>
      <c r="D601" s="33" t="str">
        <f>VLOOKUP(B601,Detail!$G$1:$H$1001,2,FALSE)</f>
        <v>Daliono Wasita</v>
      </c>
      <c r="E601" s="7">
        <v>77</v>
      </c>
      <c r="F601" s="7">
        <v>70</v>
      </c>
      <c r="G601" s="57">
        <v>34</v>
      </c>
      <c r="H601" s="7">
        <v>67</v>
      </c>
      <c r="I601" s="7">
        <v>51</v>
      </c>
      <c r="J601" s="7">
        <v>77</v>
      </c>
      <c r="K601" s="7">
        <v>90</v>
      </c>
      <c r="L601" s="56" t="str">
        <f>IFERROR(VLOOKUP(B601,Absen!$A$1:$C$501,2,FALSE),"No")</f>
        <v>No</v>
      </c>
      <c r="M601" s="58">
        <f t="shared" si="32"/>
        <v>9</v>
      </c>
      <c r="N601" s="57">
        <f t="shared" si="33"/>
        <v>64.324999999999989</v>
      </c>
      <c r="O601" s="7" t="str">
        <f>VLOOKUP(N601,Helper!$B$30:$C$35,2,TRUE)</f>
        <v>C</v>
      </c>
      <c r="P601" s="56">
        <f>INDEX(Detail!$A$1:$A$1001,MATCH(B601,Detail!$G$1:$G$1001,0))</f>
        <v>37768</v>
      </c>
      <c r="Q601" s="33" t="str">
        <f>INDEX(Detail!$F$1:$F$1001,MATCH(Main!B601,Detail!$G$1:$G$1001,0))</f>
        <v>Mataram</v>
      </c>
      <c r="R601" s="7">
        <f>INDEX(Detail!$C$1:$C$1001,MATCH(B601,Detail!$G$1:$G$1001,0),1)</f>
        <v>173</v>
      </c>
      <c r="S601" s="7">
        <f>INDEX(Detail!$D$1:$D$1001,MATCH(B601,Detail!$G$1:$G$1001,0),1)</f>
        <v>76</v>
      </c>
      <c r="T601" s="7" t="str">
        <f>INDEX(Detail!$E$1:$E$1001,MATCH(Main!B601,Detail!$G$1:$G$1001,0))</f>
        <v xml:space="preserve">Gang Cihampelas No. 1
</v>
      </c>
      <c r="U601" s="7" t="str">
        <f>INDEX(Detail!$B$1:$B$1001,MATCH(B601,Detail!$G$1:$G$1001,0),1)</f>
        <v>O-</v>
      </c>
      <c r="V601" s="7" t="str" cm="1">
        <f t="array" ref="V601">INDEX(Dosen!$B$3:$E$8,MATCH(Main!C601,Dosen!$A$3:$A$8,0),IF(AND(Main!A601&gt;=1,Main!A601&lt;=250),1,IF(AND(Main!A601&gt;=251,Main!A601&lt;=500),2,IF(AND(Main!A601&gt;=501,Main!A601&lt;=750),3,4))))</f>
        <v>Pak Krisna</v>
      </c>
      <c r="W601" s="7" t="str">
        <f>_xlfn.XLOOKUP(B601,Detail!$G$1:$G$1001,Detail!$B$1:$B$1001)</f>
        <v>O-</v>
      </c>
    </row>
    <row r="602" spans="1:23" ht="15.75" x14ac:dyDescent="0.25">
      <c r="A602" s="7">
        <v>564</v>
      </c>
      <c r="B602" s="33" t="str">
        <f t="shared" si="34"/>
        <v>D0564</v>
      </c>
      <c r="C602" s="7" t="s">
        <v>1013</v>
      </c>
      <c r="D602" s="33" t="str">
        <f>VLOOKUP(B602,Detail!$G$1:$H$1001,2,FALSE)</f>
        <v>Nyoman Nuraini</v>
      </c>
      <c r="E602" s="7">
        <v>75</v>
      </c>
      <c r="F602" s="7">
        <v>69</v>
      </c>
      <c r="G602" s="57">
        <v>71</v>
      </c>
      <c r="H602" s="7">
        <v>60</v>
      </c>
      <c r="I602" s="7">
        <v>76</v>
      </c>
      <c r="J602" s="7">
        <v>41</v>
      </c>
      <c r="K602" s="7">
        <v>74</v>
      </c>
      <c r="L602" s="56">
        <f>IFERROR(VLOOKUP(B602,Absen!$A$1:$C$501,2,FALSE),"No")</f>
        <v>44916</v>
      </c>
      <c r="M602" s="58">
        <f t="shared" si="32"/>
        <v>6.4</v>
      </c>
      <c r="N602" s="57">
        <f t="shared" si="33"/>
        <v>63.800000000000004</v>
      </c>
      <c r="O602" s="7" t="str">
        <f>VLOOKUP(N602,Helper!$B$30:$C$35,2,TRUE)</f>
        <v>C</v>
      </c>
      <c r="P602" s="56">
        <f>INDEX(Detail!$A$1:$A$1001,MATCH(B602,Detail!$G$1:$G$1001,0))</f>
        <v>38210</v>
      </c>
      <c r="Q602" s="33" t="str">
        <f>INDEX(Detail!$F$1:$F$1001,MATCH(Main!B602,Detail!$G$1:$G$1001,0))</f>
        <v>Probolinggo</v>
      </c>
      <c r="R602" s="7">
        <f>INDEX(Detail!$C$1:$C$1001,MATCH(B602,Detail!$G$1:$G$1001,0),1)</f>
        <v>177</v>
      </c>
      <c r="S602" s="7">
        <f>INDEX(Detail!$D$1:$D$1001,MATCH(B602,Detail!$G$1:$G$1001,0),1)</f>
        <v>74</v>
      </c>
      <c r="T602" s="7" t="str">
        <f>INDEX(Detail!$E$1:$E$1001,MATCH(Main!B602,Detail!$G$1:$G$1001,0))</f>
        <v>Gang Peta No. 67</v>
      </c>
      <c r="U602" s="7" t="str">
        <f>INDEX(Detail!$B$1:$B$1001,MATCH(B602,Detail!$G$1:$G$1001,0),1)</f>
        <v>AB-</v>
      </c>
      <c r="V602" s="7" t="str" cm="1">
        <f t="array" ref="V602">INDEX(Dosen!$B$3:$E$8,MATCH(Main!C602,Dosen!$A$3:$A$8,0),IF(AND(Main!A602&gt;=1,Main!A602&lt;=250),1,IF(AND(Main!A602&gt;=251,Main!A602&lt;=500),2,IF(AND(Main!A602&gt;=501,Main!A602&lt;=750),3,4))))</f>
        <v>Pak Krisna</v>
      </c>
      <c r="W602" s="7" t="str">
        <f>_xlfn.XLOOKUP(B602,Detail!$G$1:$G$1001,Detail!$B$1:$B$1001)</f>
        <v>AB-</v>
      </c>
    </row>
    <row r="603" spans="1:23" ht="15.75" x14ac:dyDescent="0.25">
      <c r="A603" s="7">
        <v>570</v>
      </c>
      <c r="B603" s="33" t="str">
        <f t="shared" si="34"/>
        <v>D0570</v>
      </c>
      <c r="C603" s="7" t="s">
        <v>1013</v>
      </c>
      <c r="D603" s="33" t="str">
        <f>VLOOKUP(B603,Detail!$G$1:$H$1001,2,FALSE)</f>
        <v>Margana Nasyiah</v>
      </c>
      <c r="E603" s="7">
        <v>68</v>
      </c>
      <c r="F603" s="7">
        <v>75</v>
      </c>
      <c r="G603" s="57">
        <v>59</v>
      </c>
      <c r="H603" s="7">
        <v>51</v>
      </c>
      <c r="I603" s="7">
        <v>61</v>
      </c>
      <c r="J603" s="7">
        <v>45</v>
      </c>
      <c r="K603" s="7">
        <v>79</v>
      </c>
      <c r="L603" s="56" t="str">
        <f>IFERROR(VLOOKUP(B603,Absen!$A$1:$C$501,2,FALSE),"No")</f>
        <v>No</v>
      </c>
      <c r="M603" s="58">
        <f t="shared" si="32"/>
        <v>7.9</v>
      </c>
      <c r="N603" s="57">
        <f t="shared" si="33"/>
        <v>60.574999999999996</v>
      </c>
      <c r="O603" s="7" t="str">
        <f>VLOOKUP(N603,Helper!$B$30:$C$35,2,TRUE)</f>
        <v>C</v>
      </c>
      <c r="P603" s="56">
        <f>INDEX(Detail!$A$1:$A$1001,MATCH(B603,Detail!$G$1:$G$1001,0))</f>
        <v>37415</v>
      </c>
      <c r="Q603" s="33" t="str">
        <f>INDEX(Detail!$F$1:$F$1001,MATCH(Main!B603,Detail!$G$1:$G$1001,0))</f>
        <v>Cilegon</v>
      </c>
      <c r="R603" s="7">
        <f>INDEX(Detail!$C$1:$C$1001,MATCH(B603,Detail!$G$1:$G$1001,0),1)</f>
        <v>171</v>
      </c>
      <c r="S603" s="7">
        <f>INDEX(Detail!$D$1:$D$1001,MATCH(B603,Detail!$G$1:$G$1001,0),1)</f>
        <v>63</v>
      </c>
      <c r="T603" s="7" t="str">
        <f>INDEX(Detail!$E$1:$E$1001,MATCH(Main!B603,Detail!$G$1:$G$1001,0))</f>
        <v>Gg. M.T Haryono No. 15</v>
      </c>
      <c r="U603" s="7" t="str">
        <f>INDEX(Detail!$B$1:$B$1001,MATCH(B603,Detail!$G$1:$G$1001,0),1)</f>
        <v>B+</v>
      </c>
      <c r="V603" s="7" t="str" cm="1">
        <f t="array" ref="V603">INDEX(Dosen!$B$3:$E$8,MATCH(Main!C603,Dosen!$A$3:$A$8,0),IF(AND(Main!A603&gt;=1,Main!A603&lt;=250),1,IF(AND(Main!A603&gt;=251,Main!A603&lt;=500),2,IF(AND(Main!A603&gt;=501,Main!A603&lt;=750),3,4))))</f>
        <v>Pak Krisna</v>
      </c>
      <c r="W603" s="7" t="str">
        <f>_xlfn.XLOOKUP(B603,Detail!$G$1:$G$1001,Detail!$B$1:$B$1001)</f>
        <v>B+</v>
      </c>
    </row>
    <row r="604" spans="1:23" ht="15.75" x14ac:dyDescent="0.25">
      <c r="A604" s="7">
        <v>571</v>
      </c>
      <c r="B604" s="33" t="str">
        <f t="shared" si="34"/>
        <v>D0571</v>
      </c>
      <c r="C604" s="7" t="s">
        <v>1013</v>
      </c>
      <c r="D604" s="33" t="str">
        <f>VLOOKUP(B604,Detail!$G$1:$H$1001,2,FALSE)</f>
        <v>Galak Halimah</v>
      </c>
      <c r="E604" s="7">
        <v>74</v>
      </c>
      <c r="F604" s="7">
        <v>71</v>
      </c>
      <c r="G604" s="57">
        <v>65</v>
      </c>
      <c r="H604" s="7">
        <v>68</v>
      </c>
      <c r="I604" s="7">
        <v>53</v>
      </c>
      <c r="J604" s="7">
        <v>90</v>
      </c>
      <c r="K604" s="7">
        <v>65</v>
      </c>
      <c r="L604" s="56" t="str">
        <f>IFERROR(VLOOKUP(B604,Absen!$A$1:$C$501,2,FALSE),"No")</f>
        <v>No</v>
      </c>
      <c r="M604" s="58">
        <f t="shared" si="32"/>
        <v>6.5</v>
      </c>
      <c r="N604" s="57">
        <f t="shared" si="33"/>
        <v>70.75</v>
      </c>
      <c r="O604" s="7" t="str">
        <f>VLOOKUP(N604,Helper!$B$30:$C$35,2,TRUE)</f>
        <v>B</v>
      </c>
      <c r="P604" s="56">
        <f>INDEX(Detail!$A$1:$A$1001,MATCH(B604,Detail!$G$1:$G$1001,0))</f>
        <v>37438</v>
      </c>
      <c r="Q604" s="33" t="str">
        <f>INDEX(Detail!$F$1:$F$1001,MATCH(Main!B604,Detail!$G$1:$G$1001,0))</f>
        <v>Pematangsiantar</v>
      </c>
      <c r="R604" s="7">
        <f>INDEX(Detail!$C$1:$C$1001,MATCH(B604,Detail!$G$1:$G$1001,0),1)</f>
        <v>159</v>
      </c>
      <c r="S604" s="7">
        <f>INDEX(Detail!$D$1:$D$1001,MATCH(B604,Detail!$G$1:$G$1001,0),1)</f>
        <v>89</v>
      </c>
      <c r="T604" s="7" t="str">
        <f>INDEX(Detail!$E$1:$E$1001,MATCH(Main!B604,Detail!$G$1:$G$1001,0))</f>
        <v>Gg. Rumah Sakit No. 60</v>
      </c>
      <c r="U604" s="7" t="str">
        <f>INDEX(Detail!$B$1:$B$1001,MATCH(B604,Detail!$G$1:$G$1001,0),1)</f>
        <v>AB-</v>
      </c>
      <c r="V604" s="7" t="str" cm="1">
        <f t="array" ref="V604">INDEX(Dosen!$B$3:$E$8,MATCH(Main!C604,Dosen!$A$3:$A$8,0),IF(AND(Main!A604&gt;=1,Main!A604&lt;=250),1,IF(AND(Main!A604&gt;=251,Main!A604&lt;=500),2,IF(AND(Main!A604&gt;=501,Main!A604&lt;=750),3,4))))</f>
        <v>Pak Krisna</v>
      </c>
      <c r="W604" s="7" t="str">
        <f>_xlfn.XLOOKUP(B604,Detail!$G$1:$G$1001,Detail!$B$1:$B$1001)</f>
        <v>AB-</v>
      </c>
    </row>
    <row r="605" spans="1:23" ht="15.75" x14ac:dyDescent="0.25">
      <c r="A605" s="7">
        <v>576</v>
      </c>
      <c r="B605" s="33" t="str">
        <f t="shared" si="34"/>
        <v>D0576</v>
      </c>
      <c r="C605" s="7" t="s">
        <v>1013</v>
      </c>
      <c r="D605" s="33" t="str">
        <f>VLOOKUP(B605,Detail!$G$1:$H$1001,2,FALSE)</f>
        <v>Marsudi Uyainah</v>
      </c>
      <c r="E605" s="7">
        <v>58</v>
      </c>
      <c r="F605" s="7">
        <v>64</v>
      </c>
      <c r="G605" s="57">
        <v>55</v>
      </c>
      <c r="H605" s="7">
        <v>58</v>
      </c>
      <c r="I605" s="7">
        <v>64</v>
      </c>
      <c r="J605" s="7">
        <v>51</v>
      </c>
      <c r="K605" s="7">
        <v>84</v>
      </c>
      <c r="L605" s="56">
        <f>IFERROR(VLOOKUP(B605,Absen!$A$1:$C$501,2,FALSE),"No")</f>
        <v>44748</v>
      </c>
      <c r="M605" s="58">
        <f t="shared" si="32"/>
        <v>7.4</v>
      </c>
      <c r="N605" s="57">
        <f t="shared" si="33"/>
        <v>59.1</v>
      </c>
      <c r="O605" s="7" t="str">
        <f>VLOOKUP(N605,Helper!$B$30:$C$35,2,TRUE)</f>
        <v>D</v>
      </c>
      <c r="P605" s="56">
        <f>INDEX(Detail!$A$1:$A$1001,MATCH(B605,Detail!$G$1:$G$1001,0))</f>
        <v>38418</v>
      </c>
      <c r="Q605" s="33" t="str">
        <f>INDEX(Detail!$F$1:$F$1001,MATCH(Main!B605,Detail!$G$1:$G$1001,0))</f>
        <v>Surakarta</v>
      </c>
      <c r="R605" s="7">
        <f>INDEX(Detail!$C$1:$C$1001,MATCH(B605,Detail!$G$1:$G$1001,0),1)</f>
        <v>166</v>
      </c>
      <c r="S605" s="7">
        <f>INDEX(Detail!$D$1:$D$1001,MATCH(B605,Detail!$G$1:$G$1001,0),1)</f>
        <v>61</v>
      </c>
      <c r="T605" s="7" t="str">
        <f>INDEX(Detail!$E$1:$E$1001,MATCH(Main!B605,Detail!$G$1:$G$1001,0))</f>
        <v>Gang Jend. A. Yani No. 86</v>
      </c>
      <c r="U605" s="7" t="str">
        <f>INDEX(Detail!$B$1:$B$1001,MATCH(B605,Detail!$G$1:$G$1001,0),1)</f>
        <v>AB+</v>
      </c>
      <c r="V605" s="7" t="str" cm="1">
        <f t="array" ref="V605">INDEX(Dosen!$B$3:$E$8,MATCH(Main!C605,Dosen!$A$3:$A$8,0),IF(AND(Main!A605&gt;=1,Main!A605&lt;=250),1,IF(AND(Main!A605&gt;=251,Main!A605&lt;=500),2,IF(AND(Main!A605&gt;=501,Main!A605&lt;=750),3,4))))</f>
        <v>Pak Krisna</v>
      </c>
      <c r="W605" s="7" t="str">
        <f>_xlfn.XLOOKUP(B605,Detail!$G$1:$G$1001,Detail!$B$1:$B$1001)</f>
        <v>AB+</v>
      </c>
    </row>
    <row r="606" spans="1:23" ht="15.75" x14ac:dyDescent="0.25">
      <c r="A606" s="7">
        <v>613</v>
      </c>
      <c r="B606" s="33" t="str">
        <f t="shared" si="34"/>
        <v>D0613</v>
      </c>
      <c r="C606" s="7" t="s">
        <v>1013</v>
      </c>
      <c r="D606" s="33" t="str">
        <f>VLOOKUP(B606,Detail!$G$1:$H$1001,2,FALSE)</f>
        <v>Laksana Ardianto</v>
      </c>
      <c r="E606" s="7">
        <v>66</v>
      </c>
      <c r="F606" s="7">
        <v>49</v>
      </c>
      <c r="G606" s="57">
        <v>71</v>
      </c>
      <c r="H606" s="7">
        <v>65</v>
      </c>
      <c r="I606" s="7">
        <v>95</v>
      </c>
      <c r="J606" s="7">
        <v>65</v>
      </c>
      <c r="K606" s="7">
        <v>87</v>
      </c>
      <c r="L606" s="56">
        <f>IFERROR(VLOOKUP(B606,Absen!$A$1:$C$501,2,FALSE),"No")</f>
        <v>44780</v>
      </c>
      <c r="M606" s="58">
        <f t="shared" si="32"/>
        <v>7.7</v>
      </c>
      <c r="N606" s="57">
        <f t="shared" si="33"/>
        <v>69.275000000000006</v>
      </c>
      <c r="O606" s="7" t="str">
        <f>VLOOKUP(N606,Helper!$B$30:$C$35,2,TRUE)</f>
        <v>C</v>
      </c>
      <c r="P606" s="56">
        <f>INDEX(Detail!$A$1:$A$1001,MATCH(B606,Detail!$G$1:$G$1001,0))</f>
        <v>38232</v>
      </c>
      <c r="Q606" s="33" t="str">
        <f>INDEX(Detail!$F$1:$F$1001,MATCH(Main!B606,Detail!$G$1:$G$1001,0))</f>
        <v>Tarakan</v>
      </c>
      <c r="R606" s="7">
        <f>INDEX(Detail!$C$1:$C$1001,MATCH(B606,Detail!$G$1:$G$1001,0),1)</f>
        <v>159</v>
      </c>
      <c r="S606" s="7">
        <f>INDEX(Detail!$D$1:$D$1001,MATCH(B606,Detail!$G$1:$G$1001,0),1)</f>
        <v>46</v>
      </c>
      <c r="T606" s="7" t="str">
        <f>INDEX(Detail!$E$1:$E$1001,MATCH(Main!B606,Detail!$G$1:$G$1001,0))</f>
        <v>Gg. Rumah Sakit No. 35</v>
      </c>
      <c r="U606" s="7" t="str">
        <f>INDEX(Detail!$B$1:$B$1001,MATCH(B606,Detail!$G$1:$G$1001,0),1)</f>
        <v>O-</v>
      </c>
      <c r="V606" s="7" t="str" cm="1">
        <f t="array" ref="V606">INDEX(Dosen!$B$3:$E$8,MATCH(Main!C606,Dosen!$A$3:$A$8,0),IF(AND(Main!A606&gt;=1,Main!A606&lt;=250),1,IF(AND(Main!A606&gt;=251,Main!A606&lt;=500),2,IF(AND(Main!A606&gt;=501,Main!A606&lt;=750),3,4))))</f>
        <v>Pak Krisna</v>
      </c>
      <c r="W606" s="7" t="str">
        <f>_xlfn.XLOOKUP(B606,Detail!$G$1:$G$1001,Detail!$B$1:$B$1001)</f>
        <v>O-</v>
      </c>
    </row>
    <row r="607" spans="1:23" ht="15.75" x14ac:dyDescent="0.25">
      <c r="A607" s="7">
        <v>617</v>
      </c>
      <c r="B607" s="33" t="str">
        <f t="shared" si="34"/>
        <v>D0617</v>
      </c>
      <c r="C607" s="7" t="s">
        <v>1013</v>
      </c>
      <c r="D607" s="33" t="str">
        <f>VLOOKUP(B607,Detail!$G$1:$H$1001,2,FALSE)</f>
        <v>Teguh Hardiansyah</v>
      </c>
      <c r="E607" s="7">
        <v>55</v>
      </c>
      <c r="F607" s="7">
        <v>60</v>
      </c>
      <c r="G607" s="57">
        <v>89</v>
      </c>
      <c r="H607" s="7">
        <v>59</v>
      </c>
      <c r="I607" s="7">
        <v>53</v>
      </c>
      <c r="J607" s="7">
        <v>92</v>
      </c>
      <c r="K607" s="7">
        <v>90</v>
      </c>
      <c r="L607" s="56" t="str">
        <f>IFERROR(VLOOKUP(B607,Absen!$A$1:$C$501,2,FALSE),"No")</f>
        <v>No</v>
      </c>
      <c r="M607" s="58">
        <f t="shared" si="32"/>
        <v>9</v>
      </c>
      <c r="N607" s="57">
        <f t="shared" si="33"/>
        <v>73.575000000000003</v>
      </c>
      <c r="O607" s="7" t="str">
        <f>VLOOKUP(N607,Helper!$B$30:$C$35,2,TRUE)</f>
        <v>B</v>
      </c>
      <c r="P607" s="56">
        <f>INDEX(Detail!$A$1:$A$1001,MATCH(B607,Detail!$G$1:$G$1001,0))</f>
        <v>37631</v>
      </c>
      <c r="Q607" s="33" t="str">
        <f>INDEX(Detail!$F$1:$F$1001,MATCH(Main!B607,Detail!$G$1:$G$1001,0))</f>
        <v>Padang Sidempuan</v>
      </c>
      <c r="R607" s="7">
        <f>INDEX(Detail!$C$1:$C$1001,MATCH(B607,Detail!$G$1:$G$1001,0),1)</f>
        <v>154</v>
      </c>
      <c r="S607" s="7">
        <f>INDEX(Detail!$D$1:$D$1001,MATCH(B607,Detail!$G$1:$G$1001,0),1)</f>
        <v>94</v>
      </c>
      <c r="T607" s="7" t="str">
        <f>INDEX(Detail!$E$1:$E$1001,MATCH(Main!B607,Detail!$G$1:$G$1001,0))</f>
        <v xml:space="preserve">Jalan Rumah Sakit No. 6
</v>
      </c>
      <c r="U607" s="7" t="str">
        <f>INDEX(Detail!$B$1:$B$1001,MATCH(B607,Detail!$G$1:$G$1001,0),1)</f>
        <v>A+</v>
      </c>
      <c r="V607" s="7" t="str" cm="1">
        <f t="array" ref="V607">INDEX(Dosen!$B$3:$E$8,MATCH(Main!C607,Dosen!$A$3:$A$8,0),IF(AND(Main!A607&gt;=1,Main!A607&lt;=250),1,IF(AND(Main!A607&gt;=251,Main!A607&lt;=500),2,IF(AND(Main!A607&gt;=501,Main!A607&lt;=750),3,4))))</f>
        <v>Pak Krisna</v>
      </c>
      <c r="W607" s="7" t="str">
        <f>_xlfn.XLOOKUP(B607,Detail!$G$1:$G$1001,Detail!$B$1:$B$1001)</f>
        <v>A+</v>
      </c>
    </row>
    <row r="608" spans="1:23" ht="15.75" x14ac:dyDescent="0.25">
      <c r="A608" s="7">
        <v>624</v>
      </c>
      <c r="B608" s="33" t="str">
        <f t="shared" si="34"/>
        <v>D0624</v>
      </c>
      <c r="C608" s="7" t="s">
        <v>1013</v>
      </c>
      <c r="D608" s="33" t="str">
        <f>VLOOKUP(B608,Detail!$G$1:$H$1001,2,FALSE)</f>
        <v>Pardi Yulianti</v>
      </c>
      <c r="E608" s="7">
        <v>76</v>
      </c>
      <c r="F608" s="7">
        <v>58</v>
      </c>
      <c r="G608" s="57">
        <v>43</v>
      </c>
      <c r="H608" s="7">
        <v>51</v>
      </c>
      <c r="I608" s="7">
        <v>76</v>
      </c>
      <c r="J608" s="7">
        <v>64</v>
      </c>
      <c r="K608" s="7">
        <v>100</v>
      </c>
      <c r="L608" s="56" t="str">
        <f>IFERROR(VLOOKUP(B608,Absen!$A$1:$C$501,2,FALSE),"No")</f>
        <v>No</v>
      </c>
      <c r="M608" s="58">
        <f t="shared" si="32"/>
        <v>10</v>
      </c>
      <c r="N608" s="57">
        <f t="shared" si="33"/>
        <v>64.025000000000006</v>
      </c>
      <c r="O608" s="7" t="str">
        <f>VLOOKUP(N608,Helper!$B$30:$C$35,2,TRUE)</f>
        <v>C</v>
      </c>
      <c r="P608" s="56">
        <f>INDEX(Detail!$A$1:$A$1001,MATCH(B608,Detail!$G$1:$G$1001,0))</f>
        <v>38092</v>
      </c>
      <c r="Q608" s="33" t="str">
        <f>INDEX(Detail!$F$1:$F$1001,MATCH(Main!B608,Detail!$G$1:$G$1001,0))</f>
        <v>Madiun</v>
      </c>
      <c r="R608" s="7">
        <f>INDEX(Detail!$C$1:$C$1001,MATCH(B608,Detail!$G$1:$G$1001,0),1)</f>
        <v>157</v>
      </c>
      <c r="S608" s="7">
        <f>INDEX(Detail!$D$1:$D$1001,MATCH(B608,Detail!$G$1:$G$1001,0),1)</f>
        <v>57</v>
      </c>
      <c r="T608" s="7" t="str">
        <f>INDEX(Detail!$E$1:$E$1001,MATCH(Main!B608,Detail!$G$1:$G$1001,0))</f>
        <v>Jalan M.T Haryono No. 69</v>
      </c>
      <c r="U608" s="7" t="str">
        <f>INDEX(Detail!$B$1:$B$1001,MATCH(B608,Detail!$G$1:$G$1001,0),1)</f>
        <v>AB-</v>
      </c>
      <c r="V608" s="7" t="str" cm="1">
        <f t="array" ref="V608">INDEX(Dosen!$B$3:$E$8,MATCH(Main!C608,Dosen!$A$3:$A$8,0),IF(AND(Main!A608&gt;=1,Main!A608&lt;=250),1,IF(AND(Main!A608&gt;=251,Main!A608&lt;=500),2,IF(AND(Main!A608&gt;=501,Main!A608&lt;=750),3,4))))</f>
        <v>Pak Krisna</v>
      </c>
      <c r="W608" s="7" t="str">
        <f>_xlfn.XLOOKUP(B608,Detail!$G$1:$G$1001,Detail!$B$1:$B$1001)</f>
        <v>AB-</v>
      </c>
    </row>
    <row r="609" spans="1:23" ht="15.75" x14ac:dyDescent="0.25">
      <c r="A609" s="7">
        <v>634</v>
      </c>
      <c r="B609" s="33" t="str">
        <f t="shared" si="34"/>
        <v>D0634</v>
      </c>
      <c r="C609" s="7" t="s">
        <v>1013</v>
      </c>
      <c r="D609" s="33" t="str">
        <f>VLOOKUP(B609,Detail!$G$1:$H$1001,2,FALSE)</f>
        <v>Jumari Hakim</v>
      </c>
      <c r="E609" s="7">
        <v>71</v>
      </c>
      <c r="F609" s="7">
        <v>45</v>
      </c>
      <c r="G609" s="57">
        <v>43</v>
      </c>
      <c r="H609" s="7">
        <v>66</v>
      </c>
      <c r="I609" s="7">
        <v>80</v>
      </c>
      <c r="J609" s="7">
        <v>81</v>
      </c>
      <c r="K609" s="7">
        <v>74</v>
      </c>
      <c r="L609" s="56">
        <f>IFERROR(VLOOKUP(B609,Absen!$A$1:$C$501,2,FALSE),"No")</f>
        <v>44818</v>
      </c>
      <c r="M609" s="58">
        <f t="shared" si="32"/>
        <v>6.4</v>
      </c>
      <c r="N609" s="57">
        <f t="shared" si="33"/>
        <v>63.949999999999996</v>
      </c>
      <c r="O609" s="7" t="str">
        <f>VLOOKUP(N609,Helper!$B$30:$C$35,2,TRUE)</f>
        <v>C</v>
      </c>
      <c r="P609" s="56">
        <f>INDEX(Detail!$A$1:$A$1001,MATCH(B609,Detail!$G$1:$G$1001,0))</f>
        <v>37361</v>
      </c>
      <c r="Q609" s="33" t="str">
        <f>INDEX(Detail!$F$1:$F$1001,MATCH(Main!B609,Detail!$G$1:$G$1001,0))</f>
        <v>Gorontalo</v>
      </c>
      <c r="R609" s="7">
        <f>INDEX(Detail!$C$1:$C$1001,MATCH(B609,Detail!$G$1:$G$1001,0),1)</f>
        <v>162</v>
      </c>
      <c r="S609" s="7">
        <f>INDEX(Detail!$D$1:$D$1001,MATCH(B609,Detail!$G$1:$G$1001,0),1)</f>
        <v>87</v>
      </c>
      <c r="T609" s="7" t="str">
        <f>INDEX(Detail!$E$1:$E$1001,MATCH(Main!B609,Detail!$G$1:$G$1001,0))</f>
        <v>Gang Cikutra Barat No. 63</v>
      </c>
      <c r="U609" s="7" t="str">
        <f>INDEX(Detail!$B$1:$B$1001,MATCH(B609,Detail!$G$1:$G$1001,0),1)</f>
        <v>A-</v>
      </c>
      <c r="V609" s="7" t="str" cm="1">
        <f t="array" ref="V609">INDEX(Dosen!$B$3:$E$8,MATCH(Main!C609,Dosen!$A$3:$A$8,0),IF(AND(Main!A609&gt;=1,Main!A609&lt;=250),1,IF(AND(Main!A609&gt;=251,Main!A609&lt;=500),2,IF(AND(Main!A609&gt;=501,Main!A609&lt;=750),3,4))))</f>
        <v>Pak Krisna</v>
      </c>
      <c r="W609" s="7" t="str">
        <f>_xlfn.XLOOKUP(B609,Detail!$G$1:$G$1001,Detail!$B$1:$B$1001)</f>
        <v>A-</v>
      </c>
    </row>
    <row r="610" spans="1:23" ht="15.75" x14ac:dyDescent="0.25">
      <c r="A610" s="7">
        <v>644</v>
      </c>
      <c r="B610" s="33" t="str">
        <f t="shared" si="34"/>
        <v>D0644</v>
      </c>
      <c r="C610" s="7" t="s">
        <v>1013</v>
      </c>
      <c r="D610" s="33" t="str">
        <f>VLOOKUP(B610,Detail!$G$1:$H$1001,2,FALSE)</f>
        <v>Narji Nugroho</v>
      </c>
      <c r="E610" s="7">
        <v>85</v>
      </c>
      <c r="F610" s="7">
        <v>41</v>
      </c>
      <c r="G610" s="57">
        <v>87</v>
      </c>
      <c r="H610" s="7">
        <v>70</v>
      </c>
      <c r="I610" s="7">
        <v>63</v>
      </c>
      <c r="J610" s="7">
        <v>57</v>
      </c>
      <c r="K610" s="7">
        <v>64</v>
      </c>
      <c r="L610" s="56">
        <f>IFERROR(VLOOKUP(B610,Absen!$A$1:$C$501,2,FALSE),"No")</f>
        <v>44767</v>
      </c>
      <c r="M610" s="58">
        <f t="shared" si="32"/>
        <v>5.4</v>
      </c>
      <c r="N610" s="57">
        <f t="shared" si="33"/>
        <v>66.575000000000003</v>
      </c>
      <c r="O610" s="7" t="str">
        <f>VLOOKUP(N610,Helper!$B$30:$C$35,2,TRUE)</f>
        <v>C</v>
      </c>
      <c r="P610" s="56">
        <f>INDEX(Detail!$A$1:$A$1001,MATCH(B610,Detail!$G$1:$G$1001,0))</f>
        <v>37528</v>
      </c>
      <c r="Q610" s="33" t="str">
        <f>INDEX(Detail!$F$1:$F$1001,MATCH(Main!B610,Detail!$G$1:$G$1001,0))</f>
        <v>Balikpapan</v>
      </c>
      <c r="R610" s="7">
        <f>INDEX(Detail!$C$1:$C$1001,MATCH(B610,Detail!$G$1:$G$1001,0),1)</f>
        <v>160</v>
      </c>
      <c r="S610" s="7">
        <f>INDEX(Detail!$D$1:$D$1001,MATCH(B610,Detail!$G$1:$G$1001,0),1)</f>
        <v>63</v>
      </c>
      <c r="T610" s="7" t="str">
        <f>INDEX(Detail!$E$1:$E$1001,MATCH(Main!B610,Detail!$G$1:$G$1001,0))</f>
        <v>Jl. H.J Maemunah No. 28</v>
      </c>
      <c r="U610" s="7" t="str">
        <f>INDEX(Detail!$B$1:$B$1001,MATCH(B610,Detail!$G$1:$G$1001,0),1)</f>
        <v>B+</v>
      </c>
      <c r="V610" s="7" t="str" cm="1">
        <f t="array" ref="V610">INDEX(Dosen!$B$3:$E$8,MATCH(Main!C610,Dosen!$A$3:$A$8,0),IF(AND(Main!A610&gt;=1,Main!A610&lt;=250),1,IF(AND(Main!A610&gt;=251,Main!A610&lt;=500),2,IF(AND(Main!A610&gt;=501,Main!A610&lt;=750),3,4))))</f>
        <v>Pak Krisna</v>
      </c>
      <c r="W610" s="7" t="str">
        <f>_xlfn.XLOOKUP(B610,Detail!$G$1:$G$1001,Detail!$B$1:$B$1001)</f>
        <v>B+</v>
      </c>
    </row>
    <row r="611" spans="1:23" ht="15.75" x14ac:dyDescent="0.25">
      <c r="A611" s="7">
        <v>645</v>
      </c>
      <c r="B611" s="33" t="str">
        <f t="shared" si="34"/>
        <v>D0645</v>
      </c>
      <c r="C611" s="7" t="s">
        <v>1013</v>
      </c>
      <c r="D611" s="33" t="str">
        <f>VLOOKUP(B611,Detail!$G$1:$H$1001,2,FALSE)</f>
        <v>Devi Wibowo</v>
      </c>
      <c r="E611" s="7">
        <v>52</v>
      </c>
      <c r="F611" s="7">
        <v>73</v>
      </c>
      <c r="G611" s="57">
        <v>81</v>
      </c>
      <c r="H611" s="7">
        <v>56</v>
      </c>
      <c r="I611" s="7">
        <v>55</v>
      </c>
      <c r="J611" s="7">
        <v>89</v>
      </c>
      <c r="K611" s="7">
        <v>79</v>
      </c>
      <c r="L611" s="56" t="str">
        <f>IFERROR(VLOOKUP(B611,Absen!$A$1:$C$501,2,FALSE),"No")</f>
        <v>No</v>
      </c>
      <c r="M611" s="58">
        <f t="shared" si="32"/>
        <v>7.9</v>
      </c>
      <c r="N611" s="57">
        <f t="shared" si="33"/>
        <v>71.400000000000006</v>
      </c>
      <c r="O611" s="7" t="str">
        <f>VLOOKUP(N611,Helper!$B$30:$C$35,2,TRUE)</f>
        <v>B</v>
      </c>
      <c r="P611" s="56">
        <f>INDEX(Detail!$A$1:$A$1001,MATCH(B611,Detail!$G$1:$G$1001,0))</f>
        <v>37054</v>
      </c>
      <c r="Q611" s="33" t="str">
        <f>INDEX(Detail!$F$1:$F$1001,MATCH(Main!B611,Detail!$G$1:$G$1001,0))</f>
        <v>Kotamobagu</v>
      </c>
      <c r="R611" s="7">
        <f>INDEX(Detail!$C$1:$C$1001,MATCH(B611,Detail!$G$1:$G$1001,0),1)</f>
        <v>165</v>
      </c>
      <c r="S611" s="7">
        <f>INDEX(Detail!$D$1:$D$1001,MATCH(B611,Detail!$G$1:$G$1001,0),1)</f>
        <v>89</v>
      </c>
      <c r="T611" s="7" t="str">
        <f>INDEX(Detail!$E$1:$E$1001,MATCH(Main!B611,Detail!$G$1:$G$1001,0))</f>
        <v xml:space="preserve">Gang Astana Anyar No. 3
</v>
      </c>
      <c r="U611" s="7" t="str">
        <f>INDEX(Detail!$B$1:$B$1001,MATCH(B611,Detail!$G$1:$G$1001,0),1)</f>
        <v>B+</v>
      </c>
      <c r="V611" s="7" t="str" cm="1">
        <f t="array" ref="V611">INDEX(Dosen!$B$3:$E$8,MATCH(Main!C611,Dosen!$A$3:$A$8,0),IF(AND(Main!A611&gt;=1,Main!A611&lt;=250),1,IF(AND(Main!A611&gt;=251,Main!A611&lt;=500),2,IF(AND(Main!A611&gt;=501,Main!A611&lt;=750),3,4))))</f>
        <v>Pak Krisna</v>
      </c>
      <c r="W611" s="7" t="str">
        <f>_xlfn.XLOOKUP(B611,Detail!$G$1:$G$1001,Detail!$B$1:$B$1001)</f>
        <v>B+</v>
      </c>
    </row>
    <row r="612" spans="1:23" ht="15.75" x14ac:dyDescent="0.25">
      <c r="A612" s="7">
        <v>651</v>
      </c>
      <c r="B612" s="33" t="str">
        <f t="shared" si="34"/>
        <v>D0651</v>
      </c>
      <c r="C612" s="7" t="s">
        <v>1013</v>
      </c>
      <c r="D612" s="33" t="str">
        <f>VLOOKUP(B612,Detail!$G$1:$H$1001,2,FALSE)</f>
        <v>Laksana Purwanti</v>
      </c>
      <c r="E612" s="7">
        <v>74</v>
      </c>
      <c r="F612" s="7">
        <v>44</v>
      </c>
      <c r="G612" s="57">
        <v>36</v>
      </c>
      <c r="H612" s="7">
        <v>52</v>
      </c>
      <c r="I612" s="7">
        <v>88</v>
      </c>
      <c r="J612" s="7">
        <v>62</v>
      </c>
      <c r="K612" s="7">
        <v>94</v>
      </c>
      <c r="L612" s="56">
        <f>IFERROR(VLOOKUP(B612,Absen!$A$1:$C$501,2,FALSE),"No")</f>
        <v>44861</v>
      </c>
      <c r="M612" s="58">
        <f t="shared" si="32"/>
        <v>8.4</v>
      </c>
      <c r="N612" s="57">
        <f t="shared" si="33"/>
        <v>60.25</v>
      </c>
      <c r="O612" s="7" t="str">
        <f>VLOOKUP(N612,Helper!$B$30:$C$35,2,TRUE)</f>
        <v>C</v>
      </c>
      <c r="P612" s="56">
        <f>INDEX(Detail!$A$1:$A$1001,MATCH(B612,Detail!$G$1:$G$1001,0))</f>
        <v>38106</v>
      </c>
      <c r="Q612" s="33" t="str">
        <f>INDEX(Detail!$F$1:$F$1001,MATCH(Main!B612,Detail!$G$1:$G$1001,0))</f>
        <v>Tanjungpinang</v>
      </c>
      <c r="R612" s="7">
        <f>INDEX(Detail!$C$1:$C$1001,MATCH(B612,Detail!$G$1:$G$1001,0),1)</f>
        <v>160</v>
      </c>
      <c r="S612" s="7">
        <f>INDEX(Detail!$D$1:$D$1001,MATCH(B612,Detail!$G$1:$G$1001,0),1)</f>
        <v>68</v>
      </c>
      <c r="T612" s="7" t="str">
        <f>INDEX(Detail!$E$1:$E$1001,MATCH(Main!B612,Detail!$G$1:$G$1001,0))</f>
        <v>Gang Moch. Toha No. 30</v>
      </c>
      <c r="U612" s="7" t="str">
        <f>INDEX(Detail!$B$1:$B$1001,MATCH(B612,Detail!$G$1:$G$1001,0),1)</f>
        <v>A+</v>
      </c>
      <c r="V612" s="7" t="str" cm="1">
        <f t="array" ref="V612">INDEX(Dosen!$B$3:$E$8,MATCH(Main!C612,Dosen!$A$3:$A$8,0),IF(AND(Main!A612&gt;=1,Main!A612&lt;=250),1,IF(AND(Main!A612&gt;=251,Main!A612&lt;=500),2,IF(AND(Main!A612&gt;=501,Main!A612&lt;=750),3,4))))</f>
        <v>Pak Krisna</v>
      </c>
      <c r="W612" s="7" t="str">
        <f>_xlfn.XLOOKUP(B612,Detail!$G$1:$G$1001,Detail!$B$1:$B$1001)</f>
        <v>A+</v>
      </c>
    </row>
    <row r="613" spans="1:23" ht="15.75" x14ac:dyDescent="0.25">
      <c r="A613" s="7">
        <v>666</v>
      </c>
      <c r="B613" s="33" t="str">
        <f t="shared" si="34"/>
        <v>D0666</v>
      </c>
      <c r="C613" s="7" t="s">
        <v>1013</v>
      </c>
      <c r="D613" s="33" t="str">
        <f>VLOOKUP(B613,Detail!$G$1:$H$1001,2,FALSE)</f>
        <v>Jayeng Mandasari</v>
      </c>
      <c r="E613" s="7">
        <v>77</v>
      </c>
      <c r="F613" s="7">
        <v>50</v>
      </c>
      <c r="G613" s="57">
        <v>76</v>
      </c>
      <c r="H613" s="7">
        <v>70</v>
      </c>
      <c r="I613" s="7">
        <v>63</v>
      </c>
      <c r="J613" s="7">
        <v>43</v>
      </c>
      <c r="K613" s="7">
        <v>74</v>
      </c>
      <c r="L613" s="56">
        <f>IFERROR(VLOOKUP(B613,Absen!$A$1:$C$501,2,FALSE),"No")</f>
        <v>44824</v>
      </c>
      <c r="M613" s="58">
        <f t="shared" si="32"/>
        <v>6.4</v>
      </c>
      <c r="N613" s="57">
        <f t="shared" si="33"/>
        <v>62.7</v>
      </c>
      <c r="O613" s="7" t="str">
        <f>VLOOKUP(N613,Helper!$B$30:$C$35,2,TRUE)</f>
        <v>C</v>
      </c>
      <c r="P613" s="56">
        <f>INDEX(Detail!$A$1:$A$1001,MATCH(B613,Detail!$G$1:$G$1001,0))</f>
        <v>37871</v>
      </c>
      <c r="Q613" s="33" t="str">
        <f>INDEX(Detail!$F$1:$F$1001,MATCH(Main!B613,Detail!$G$1:$G$1001,0))</f>
        <v>Madiun</v>
      </c>
      <c r="R613" s="7">
        <f>INDEX(Detail!$C$1:$C$1001,MATCH(B613,Detail!$G$1:$G$1001,0),1)</f>
        <v>168</v>
      </c>
      <c r="S613" s="7">
        <f>INDEX(Detail!$D$1:$D$1001,MATCH(B613,Detail!$G$1:$G$1001,0),1)</f>
        <v>69</v>
      </c>
      <c r="T613" s="7" t="str">
        <f>INDEX(Detail!$E$1:$E$1001,MATCH(Main!B613,Detail!$G$1:$G$1001,0))</f>
        <v xml:space="preserve">Jl. Raya Ujungberung No. 0
</v>
      </c>
      <c r="U613" s="7" t="str">
        <f>INDEX(Detail!$B$1:$B$1001,MATCH(B613,Detail!$G$1:$G$1001,0),1)</f>
        <v>A+</v>
      </c>
      <c r="V613" s="7" t="str" cm="1">
        <f t="array" ref="V613">INDEX(Dosen!$B$3:$E$8,MATCH(Main!C613,Dosen!$A$3:$A$8,0),IF(AND(Main!A613&gt;=1,Main!A613&lt;=250),1,IF(AND(Main!A613&gt;=251,Main!A613&lt;=500),2,IF(AND(Main!A613&gt;=501,Main!A613&lt;=750),3,4))))</f>
        <v>Pak Krisna</v>
      </c>
      <c r="W613" s="7" t="str">
        <f>_xlfn.XLOOKUP(B613,Detail!$G$1:$G$1001,Detail!$B$1:$B$1001)</f>
        <v>A+</v>
      </c>
    </row>
    <row r="614" spans="1:23" ht="15.75" x14ac:dyDescent="0.25">
      <c r="A614" s="7">
        <v>667</v>
      </c>
      <c r="B614" s="33" t="str">
        <f t="shared" si="34"/>
        <v>D0667</v>
      </c>
      <c r="C614" s="7" t="s">
        <v>1013</v>
      </c>
      <c r="D614" s="33" t="str">
        <f>VLOOKUP(B614,Detail!$G$1:$H$1001,2,FALSE)</f>
        <v>Laswi Hastuti</v>
      </c>
      <c r="E614" s="7">
        <v>67</v>
      </c>
      <c r="F614" s="7">
        <v>56</v>
      </c>
      <c r="G614" s="57">
        <v>53</v>
      </c>
      <c r="H614" s="7">
        <v>57</v>
      </c>
      <c r="I614" s="7">
        <v>65</v>
      </c>
      <c r="J614" s="7">
        <v>45</v>
      </c>
      <c r="K614" s="7">
        <v>94</v>
      </c>
      <c r="L614" s="56" t="str">
        <f>IFERROR(VLOOKUP(B614,Absen!$A$1:$C$501,2,FALSE),"No")</f>
        <v>No</v>
      </c>
      <c r="M614" s="58">
        <f t="shared" si="32"/>
        <v>9.4</v>
      </c>
      <c r="N614" s="57">
        <f t="shared" si="33"/>
        <v>59.625</v>
      </c>
      <c r="O614" s="7" t="str">
        <f>VLOOKUP(N614,Helper!$B$30:$C$35,2,TRUE)</f>
        <v>D</v>
      </c>
      <c r="P614" s="56">
        <f>INDEX(Detail!$A$1:$A$1001,MATCH(B614,Detail!$G$1:$G$1001,0))</f>
        <v>37481</v>
      </c>
      <c r="Q614" s="33" t="str">
        <f>INDEX(Detail!$F$1:$F$1001,MATCH(Main!B614,Detail!$G$1:$G$1001,0))</f>
        <v>Pontianak</v>
      </c>
      <c r="R614" s="7">
        <f>INDEX(Detail!$C$1:$C$1001,MATCH(B614,Detail!$G$1:$G$1001,0),1)</f>
        <v>161</v>
      </c>
      <c r="S614" s="7">
        <f>INDEX(Detail!$D$1:$D$1001,MATCH(B614,Detail!$G$1:$G$1001,0),1)</f>
        <v>57</v>
      </c>
      <c r="T614" s="7" t="str">
        <f>INDEX(Detail!$E$1:$E$1001,MATCH(Main!B614,Detail!$G$1:$G$1001,0))</f>
        <v>Jl. Jakarta No. 92</v>
      </c>
      <c r="U614" s="7" t="str">
        <f>INDEX(Detail!$B$1:$B$1001,MATCH(B614,Detail!$G$1:$G$1001,0),1)</f>
        <v>B+</v>
      </c>
      <c r="V614" s="7" t="str" cm="1">
        <f t="array" ref="V614">INDEX(Dosen!$B$3:$E$8,MATCH(Main!C614,Dosen!$A$3:$A$8,0),IF(AND(Main!A614&gt;=1,Main!A614&lt;=250),1,IF(AND(Main!A614&gt;=251,Main!A614&lt;=500),2,IF(AND(Main!A614&gt;=501,Main!A614&lt;=750),3,4))))</f>
        <v>Pak Krisna</v>
      </c>
      <c r="W614" s="7" t="str">
        <f>_xlfn.XLOOKUP(B614,Detail!$G$1:$G$1001,Detail!$B$1:$B$1001)</f>
        <v>B+</v>
      </c>
    </row>
    <row r="615" spans="1:23" ht="15.75" x14ac:dyDescent="0.25">
      <c r="A615" s="7">
        <v>668</v>
      </c>
      <c r="B615" s="33" t="str">
        <f t="shared" si="34"/>
        <v>D0668</v>
      </c>
      <c r="C615" s="7" t="s">
        <v>1013</v>
      </c>
      <c r="D615" s="33" t="str">
        <f>VLOOKUP(B615,Detail!$G$1:$H$1001,2,FALSE)</f>
        <v>Bajragin Najmudin</v>
      </c>
      <c r="E615" s="7">
        <v>63</v>
      </c>
      <c r="F615" s="7">
        <v>48</v>
      </c>
      <c r="G615" s="57">
        <v>61</v>
      </c>
      <c r="H615" s="7">
        <v>58</v>
      </c>
      <c r="I615" s="7">
        <v>71</v>
      </c>
      <c r="J615" s="7">
        <v>58</v>
      </c>
      <c r="K615" s="7">
        <v>73</v>
      </c>
      <c r="L615" s="56" t="str">
        <f>IFERROR(VLOOKUP(B615,Absen!$A$1:$C$501,2,FALSE),"No")</f>
        <v>No</v>
      </c>
      <c r="M615" s="58">
        <f t="shared" si="32"/>
        <v>7.3000000000000007</v>
      </c>
      <c r="N615" s="57">
        <f t="shared" si="33"/>
        <v>61.100000000000009</v>
      </c>
      <c r="O615" s="7" t="str">
        <f>VLOOKUP(N615,Helper!$B$30:$C$35,2,TRUE)</f>
        <v>C</v>
      </c>
      <c r="P615" s="56">
        <f>INDEX(Detail!$A$1:$A$1001,MATCH(B615,Detail!$G$1:$G$1001,0))</f>
        <v>37351</v>
      </c>
      <c r="Q615" s="33" t="str">
        <f>INDEX(Detail!$F$1:$F$1001,MATCH(Main!B615,Detail!$G$1:$G$1001,0))</f>
        <v>Palu</v>
      </c>
      <c r="R615" s="7">
        <f>INDEX(Detail!$C$1:$C$1001,MATCH(B615,Detail!$G$1:$G$1001,0),1)</f>
        <v>174</v>
      </c>
      <c r="S615" s="7">
        <f>INDEX(Detail!$D$1:$D$1001,MATCH(B615,Detail!$G$1:$G$1001,0),1)</f>
        <v>92</v>
      </c>
      <c r="T615" s="7" t="str">
        <f>INDEX(Detail!$E$1:$E$1001,MATCH(Main!B615,Detail!$G$1:$G$1001,0))</f>
        <v>Gang Rungkut Industri No. 01</v>
      </c>
      <c r="U615" s="7" t="str">
        <f>INDEX(Detail!$B$1:$B$1001,MATCH(B615,Detail!$G$1:$G$1001,0),1)</f>
        <v>B+</v>
      </c>
      <c r="V615" s="7" t="str" cm="1">
        <f t="array" ref="V615">INDEX(Dosen!$B$3:$E$8,MATCH(Main!C615,Dosen!$A$3:$A$8,0),IF(AND(Main!A615&gt;=1,Main!A615&lt;=250),1,IF(AND(Main!A615&gt;=251,Main!A615&lt;=500),2,IF(AND(Main!A615&gt;=501,Main!A615&lt;=750),3,4))))</f>
        <v>Pak Krisna</v>
      </c>
      <c r="W615" s="7" t="str">
        <f>_xlfn.XLOOKUP(B615,Detail!$G$1:$G$1001,Detail!$B$1:$B$1001)</f>
        <v>B+</v>
      </c>
    </row>
    <row r="616" spans="1:23" ht="15.75" x14ac:dyDescent="0.25">
      <c r="A616" s="7">
        <v>686</v>
      </c>
      <c r="B616" s="33" t="str">
        <f t="shared" si="34"/>
        <v>D0686</v>
      </c>
      <c r="C616" s="7" t="s">
        <v>1013</v>
      </c>
      <c r="D616" s="33" t="str">
        <f>VLOOKUP(B616,Detail!$G$1:$H$1001,2,FALSE)</f>
        <v>Wira Haryanto</v>
      </c>
      <c r="E616" s="7">
        <v>76</v>
      </c>
      <c r="F616" s="7">
        <v>75</v>
      </c>
      <c r="G616" s="57">
        <v>74</v>
      </c>
      <c r="H616" s="7">
        <v>72</v>
      </c>
      <c r="I616" s="7">
        <v>76</v>
      </c>
      <c r="J616" s="7">
        <v>77</v>
      </c>
      <c r="K616" s="7">
        <v>62</v>
      </c>
      <c r="L616" s="56" t="str">
        <f>IFERROR(VLOOKUP(B616,Absen!$A$1:$C$501,2,FALSE),"No")</f>
        <v>No</v>
      </c>
      <c r="M616" s="58">
        <f t="shared" si="32"/>
        <v>6.2</v>
      </c>
      <c r="N616" s="57">
        <f t="shared" si="33"/>
        <v>73.775000000000006</v>
      </c>
      <c r="O616" s="7" t="str">
        <f>VLOOKUP(N616,Helper!$B$30:$C$35,2,TRUE)</f>
        <v>B</v>
      </c>
      <c r="P616" s="56">
        <f>INDEX(Detail!$A$1:$A$1001,MATCH(B616,Detail!$G$1:$G$1001,0))</f>
        <v>37625</v>
      </c>
      <c r="Q616" s="33" t="str">
        <f>INDEX(Detail!$F$1:$F$1001,MATCH(Main!B616,Detail!$G$1:$G$1001,0))</f>
        <v>Bandar Lampung</v>
      </c>
      <c r="R616" s="7">
        <f>INDEX(Detail!$C$1:$C$1001,MATCH(B616,Detail!$G$1:$G$1001,0),1)</f>
        <v>154</v>
      </c>
      <c r="S616" s="7">
        <f>INDEX(Detail!$D$1:$D$1001,MATCH(B616,Detail!$G$1:$G$1001,0),1)</f>
        <v>91</v>
      </c>
      <c r="T616" s="7" t="str">
        <f>INDEX(Detail!$E$1:$E$1001,MATCH(Main!B616,Detail!$G$1:$G$1001,0))</f>
        <v>Gang Merdeka No. 34</v>
      </c>
      <c r="U616" s="7" t="str">
        <f>INDEX(Detail!$B$1:$B$1001,MATCH(B616,Detail!$G$1:$G$1001,0),1)</f>
        <v>O-</v>
      </c>
      <c r="V616" s="7" t="str" cm="1">
        <f t="array" ref="V616">INDEX(Dosen!$B$3:$E$8,MATCH(Main!C616,Dosen!$A$3:$A$8,0),IF(AND(Main!A616&gt;=1,Main!A616&lt;=250),1,IF(AND(Main!A616&gt;=251,Main!A616&lt;=500),2,IF(AND(Main!A616&gt;=501,Main!A616&lt;=750),3,4))))</f>
        <v>Pak Krisna</v>
      </c>
      <c r="W616" s="7" t="str">
        <f>_xlfn.XLOOKUP(B616,Detail!$G$1:$G$1001,Detail!$B$1:$B$1001)</f>
        <v>O-</v>
      </c>
    </row>
    <row r="617" spans="1:23" ht="15.75" x14ac:dyDescent="0.25">
      <c r="A617" s="7">
        <v>704</v>
      </c>
      <c r="B617" s="33" t="str">
        <f t="shared" si="34"/>
        <v>D0704</v>
      </c>
      <c r="C617" s="7" t="s">
        <v>1013</v>
      </c>
      <c r="D617" s="33" t="str">
        <f>VLOOKUP(B617,Detail!$G$1:$H$1001,2,FALSE)</f>
        <v>Banara Ardianto</v>
      </c>
      <c r="E617" s="7">
        <v>67</v>
      </c>
      <c r="F617" s="7">
        <v>49</v>
      </c>
      <c r="G617" s="57">
        <v>45</v>
      </c>
      <c r="H617" s="7">
        <v>61</v>
      </c>
      <c r="I617" s="7">
        <v>85</v>
      </c>
      <c r="J617" s="7">
        <v>52</v>
      </c>
      <c r="K617" s="7">
        <v>99</v>
      </c>
      <c r="L617" s="56" t="str">
        <f>IFERROR(VLOOKUP(B617,Absen!$A$1:$C$501,2,FALSE),"No")</f>
        <v>No</v>
      </c>
      <c r="M617" s="58">
        <f t="shared" si="32"/>
        <v>9.9</v>
      </c>
      <c r="N617" s="57">
        <f t="shared" si="33"/>
        <v>62.05</v>
      </c>
      <c r="O617" s="7" t="str">
        <f>VLOOKUP(N617,Helper!$B$30:$C$35,2,TRUE)</f>
        <v>C</v>
      </c>
      <c r="P617" s="56">
        <f>INDEX(Detail!$A$1:$A$1001,MATCH(B617,Detail!$G$1:$G$1001,0))</f>
        <v>38443</v>
      </c>
      <c r="Q617" s="33" t="str">
        <f>INDEX(Detail!$F$1:$F$1001,MATCH(Main!B617,Detail!$G$1:$G$1001,0))</f>
        <v>Palu</v>
      </c>
      <c r="R617" s="7">
        <f>INDEX(Detail!$C$1:$C$1001,MATCH(B617,Detail!$G$1:$G$1001,0),1)</f>
        <v>174</v>
      </c>
      <c r="S617" s="7">
        <f>INDEX(Detail!$D$1:$D$1001,MATCH(B617,Detail!$G$1:$G$1001,0),1)</f>
        <v>51</v>
      </c>
      <c r="T617" s="7" t="str">
        <f>INDEX(Detail!$E$1:$E$1001,MATCH(Main!B617,Detail!$G$1:$G$1001,0))</f>
        <v>Jl. Jayawijaya No. 73</v>
      </c>
      <c r="U617" s="7" t="str">
        <f>INDEX(Detail!$B$1:$B$1001,MATCH(B617,Detail!$G$1:$G$1001,0),1)</f>
        <v>A+</v>
      </c>
      <c r="V617" s="7" t="str" cm="1">
        <f t="array" ref="V617">INDEX(Dosen!$B$3:$E$8,MATCH(Main!C617,Dosen!$A$3:$A$8,0),IF(AND(Main!A617&gt;=1,Main!A617&lt;=250),1,IF(AND(Main!A617&gt;=251,Main!A617&lt;=500),2,IF(AND(Main!A617&gt;=501,Main!A617&lt;=750),3,4))))</f>
        <v>Pak Krisna</v>
      </c>
      <c r="W617" s="7" t="str">
        <f>_xlfn.XLOOKUP(B617,Detail!$G$1:$G$1001,Detail!$B$1:$B$1001)</f>
        <v>A+</v>
      </c>
    </row>
    <row r="618" spans="1:23" ht="15.75" x14ac:dyDescent="0.25">
      <c r="A618" s="7">
        <v>707</v>
      </c>
      <c r="B618" s="33" t="str">
        <f t="shared" si="34"/>
        <v>D0707</v>
      </c>
      <c r="C618" s="7" t="s">
        <v>1013</v>
      </c>
      <c r="D618" s="33" t="str">
        <f>VLOOKUP(B618,Detail!$G$1:$H$1001,2,FALSE)</f>
        <v>Ridwan Puspasari</v>
      </c>
      <c r="E618" s="7">
        <v>50</v>
      </c>
      <c r="F618" s="7">
        <v>75</v>
      </c>
      <c r="G618" s="57">
        <v>35</v>
      </c>
      <c r="H618" s="7">
        <v>73</v>
      </c>
      <c r="I618" s="7">
        <v>77</v>
      </c>
      <c r="J618" s="7">
        <v>66</v>
      </c>
      <c r="K618" s="7">
        <v>70</v>
      </c>
      <c r="L618" s="56" t="str">
        <f>IFERROR(VLOOKUP(B618,Absen!$A$1:$C$501,2,FALSE),"No")</f>
        <v>No</v>
      </c>
      <c r="M618" s="58">
        <f t="shared" si="32"/>
        <v>7</v>
      </c>
      <c r="N618" s="57">
        <f t="shared" si="33"/>
        <v>61.575000000000003</v>
      </c>
      <c r="O618" s="7" t="str">
        <f>VLOOKUP(N618,Helper!$B$30:$C$35,2,TRUE)</f>
        <v>C</v>
      </c>
      <c r="P618" s="56">
        <f>INDEX(Detail!$A$1:$A$1001,MATCH(B618,Detail!$G$1:$G$1001,0))</f>
        <v>37291</v>
      </c>
      <c r="Q618" s="33" t="str">
        <f>INDEX(Detail!$F$1:$F$1001,MATCH(Main!B618,Detail!$G$1:$G$1001,0))</f>
        <v>Sabang</v>
      </c>
      <c r="R618" s="7">
        <f>INDEX(Detail!$C$1:$C$1001,MATCH(B618,Detail!$G$1:$G$1001,0),1)</f>
        <v>174</v>
      </c>
      <c r="S618" s="7">
        <f>INDEX(Detail!$D$1:$D$1001,MATCH(B618,Detail!$G$1:$G$1001,0),1)</f>
        <v>83</v>
      </c>
      <c r="T618" s="7" t="str">
        <f>INDEX(Detail!$E$1:$E$1001,MATCH(Main!B618,Detail!$G$1:$G$1001,0))</f>
        <v>Gg. Cihampelas No. 96</v>
      </c>
      <c r="U618" s="7" t="str">
        <f>INDEX(Detail!$B$1:$B$1001,MATCH(B618,Detail!$G$1:$G$1001,0),1)</f>
        <v>O+</v>
      </c>
      <c r="V618" s="7" t="str" cm="1">
        <f t="array" ref="V618">INDEX(Dosen!$B$3:$E$8,MATCH(Main!C618,Dosen!$A$3:$A$8,0),IF(AND(Main!A618&gt;=1,Main!A618&lt;=250),1,IF(AND(Main!A618&gt;=251,Main!A618&lt;=500),2,IF(AND(Main!A618&gt;=501,Main!A618&lt;=750),3,4))))</f>
        <v>Pak Krisna</v>
      </c>
      <c r="W618" s="7" t="str">
        <f>_xlfn.XLOOKUP(B618,Detail!$G$1:$G$1001,Detail!$B$1:$B$1001)</f>
        <v>O+</v>
      </c>
    </row>
    <row r="619" spans="1:23" ht="15.75" x14ac:dyDescent="0.25">
      <c r="A619" s="7">
        <v>709</v>
      </c>
      <c r="B619" s="33" t="str">
        <f t="shared" si="34"/>
        <v>D0709</v>
      </c>
      <c r="C619" s="7" t="s">
        <v>1013</v>
      </c>
      <c r="D619" s="33" t="str">
        <f>VLOOKUP(B619,Detail!$G$1:$H$1001,2,FALSE)</f>
        <v>Najwa Palastri</v>
      </c>
      <c r="E619" s="7">
        <v>70</v>
      </c>
      <c r="F619" s="7">
        <v>55</v>
      </c>
      <c r="G619" s="57">
        <v>63</v>
      </c>
      <c r="H619" s="7">
        <v>73</v>
      </c>
      <c r="I619" s="7">
        <v>71</v>
      </c>
      <c r="J619" s="7">
        <v>48</v>
      </c>
      <c r="K619" s="7">
        <v>92</v>
      </c>
      <c r="L619" s="56">
        <f>IFERROR(VLOOKUP(B619,Absen!$A$1:$C$501,2,FALSE),"No")</f>
        <v>44900</v>
      </c>
      <c r="M619" s="58">
        <f t="shared" si="32"/>
        <v>8.2000000000000011</v>
      </c>
      <c r="N619" s="57">
        <f t="shared" si="33"/>
        <v>64.025000000000006</v>
      </c>
      <c r="O619" s="7" t="str">
        <f>VLOOKUP(N619,Helper!$B$30:$C$35,2,TRUE)</f>
        <v>C</v>
      </c>
      <c r="P619" s="56">
        <f>INDEX(Detail!$A$1:$A$1001,MATCH(B619,Detail!$G$1:$G$1001,0))</f>
        <v>37163</v>
      </c>
      <c r="Q619" s="33" t="str">
        <f>INDEX(Detail!$F$1:$F$1001,MATCH(Main!B619,Detail!$G$1:$G$1001,0))</f>
        <v>Mataram</v>
      </c>
      <c r="R619" s="7">
        <f>INDEX(Detail!$C$1:$C$1001,MATCH(B619,Detail!$G$1:$G$1001,0),1)</f>
        <v>179</v>
      </c>
      <c r="S619" s="7">
        <f>INDEX(Detail!$D$1:$D$1001,MATCH(B619,Detail!$G$1:$G$1001,0),1)</f>
        <v>92</v>
      </c>
      <c r="T619" s="7" t="str">
        <f>INDEX(Detail!$E$1:$E$1001,MATCH(Main!B619,Detail!$G$1:$G$1001,0))</f>
        <v>Gg. Wonoayu No. 90</v>
      </c>
      <c r="U619" s="7" t="str">
        <f>INDEX(Detail!$B$1:$B$1001,MATCH(B619,Detail!$G$1:$G$1001,0),1)</f>
        <v>O-</v>
      </c>
      <c r="V619" s="7" t="str" cm="1">
        <f t="array" ref="V619">INDEX(Dosen!$B$3:$E$8,MATCH(Main!C619,Dosen!$A$3:$A$8,0),IF(AND(Main!A619&gt;=1,Main!A619&lt;=250),1,IF(AND(Main!A619&gt;=251,Main!A619&lt;=500),2,IF(AND(Main!A619&gt;=501,Main!A619&lt;=750),3,4))))</f>
        <v>Pak Krisna</v>
      </c>
      <c r="W619" s="7" t="str">
        <f>_xlfn.XLOOKUP(B619,Detail!$G$1:$G$1001,Detail!$B$1:$B$1001)</f>
        <v>O-</v>
      </c>
    </row>
    <row r="620" spans="1:23" ht="15.75" x14ac:dyDescent="0.25">
      <c r="A620" s="7">
        <v>716</v>
      </c>
      <c r="B620" s="33" t="str">
        <f t="shared" si="34"/>
        <v>D0716</v>
      </c>
      <c r="C620" s="7" t="s">
        <v>1013</v>
      </c>
      <c r="D620" s="33" t="str">
        <f>VLOOKUP(B620,Detail!$G$1:$H$1001,2,FALSE)</f>
        <v>Radit Lestari</v>
      </c>
      <c r="E620" s="7">
        <v>74</v>
      </c>
      <c r="F620" s="7">
        <v>57</v>
      </c>
      <c r="G620" s="57">
        <v>94</v>
      </c>
      <c r="H620" s="7">
        <v>62</v>
      </c>
      <c r="I620" s="7">
        <v>55</v>
      </c>
      <c r="J620" s="7">
        <v>81</v>
      </c>
      <c r="K620" s="7">
        <v>73</v>
      </c>
      <c r="L620" s="56" t="str">
        <f>IFERROR(VLOOKUP(B620,Absen!$A$1:$C$501,2,FALSE),"No")</f>
        <v>No</v>
      </c>
      <c r="M620" s="58">
        <f t="shared" si="32"/>
        <v>7.3000000000000007</v>
      </c>
      <c r="N620" s="57">
        <f t="shared" si="33"/>
        <v>73.3</v>
      </c>
      <c r="O620" s="7" t="str">
        <f>VLOOKUP(N620,Helper!$B$30:$C$35,2,TRUE)</f>
        <v>B</v>
      </c>
      <c r="P620" s="56">
        <f>INDEX(Detail!$A$1:$A$1001,MATCH(B620,Detail!$G$1:$G$1001,0))</f>
        <v>37529</v>
      </c>
      <c r="Q620" s="33" t="str">
        <f>INDEX(Detail!$F$1:$F$1001,MATCH(Main!B620,Detail!$G$1:$G$1001,0))</f>
        <v>Salatiga</v>
      </c>
      <c r="R620" s="7">
        <f>INDEX(Detail!$C$1:$C$1001,MATCH(B620,Detail!$G$1:$G$1001,0),1)</f>
        <v>173</v>
      </c>
      <c r="S620" s="7">
        <f>INDEX(Detail!$D$1:$D$1001,MATCH(B620,Detail!$G$1:$G$1001,0),1)</f>
        <v>67</v>
      </c>
      <c r="T620" s="7" t="str">
        <f>INDEX(Detail!$E$1:$E$1001,MATCH(Main!B620,Detail!$G$1:$G$1001,0))</f>
        <v xml:space="preserve">Jl. Asia Afrika No. 1
</v>
      </c>
      <c r="U620" s="7" t="str">
        <f>INDEX(Detail!$B$1:$B$1001,MATCH(B620,Detail!$G$1:$G$1001,0),1)</f>
        <v>AB-</v>
      </c>
      <c r="V620" s="7" t="str" cm="1">
        <f t="array" ref="V620">INDEX(Dosen!$B$3:$E$8,MATCH(Main!C620,Dosen!$A$3:$A$8,0),IF(AND(Main!A620&gt;=1,Main!A620&lt;=250),1,IF(AND(Main!A620&gt;=251,Main!A620&lt;=500),2,IF(AND(Main!A620&gt;=501,Main!A620&lt;=750),3,4))))</f>
        <v>Pak Krisna</v>
      </c>
      <c r="W620" s="7" t="str">
        <f>_xlfn.XLOOKUP(B620,Detail!$G$1:$G$1001,Detail!$B$1:$B$1001)</f>
        <v>AB-</v>
      </c>
    </row>
    <row r="621" spans="1:23" ht="15.75" x14ac:dyDescent="0.25">
      <c r="A621" s="7">
        <v>726</v>
      </c>
      <c r="B621" s="33" t="str">
        <f t="shared" ref="B621:B652" si="35">CONCATENATE("D",TEXT(A621,"0000"))</f>
        <v>D0726</v>
      </c>
      <c r="C621" s="7" t="s">
        <v>1013</v>
      </c>
      <c r="D621" s="33" t="str">
        <f>VLOOKUP(B621,Detail!$G$1:$H$1001,2,FALSE)</f>
        <v>Natalia Hasanah</v>
      </c>
      <c r="E621" s="7">
        <v>84</v>
      </c>
      <c r="F621" s="7">
        <v>63</v>
      </c>
      <c r="G621" s="57">
        <v>48</v>
      </c>
      <c r="H621" s="7">
        <v>54</v>
      </c>
      <c r="I621" s="7">
        <v>72</v>
      </c>
      <c r="J621" s="7">
        <v>48</v>
      </c>
      <c r="K621" s="7">
        <v>99</v>
      </c>
      <c r="L621" s="56">
        <f>IFERROR(VLOOKUP(B621,Absen!$A$1:$C$501,2,FALSE),"No")</f>
        <v>44828</v>
      </c>
      <c r="M621" s="58">
        <f t="shared" si="32"/>
        <v>8.9</v>
      </c>
      <c r="N621" s="57">
        <f t="shared" si="33"/>
        <v>62.225000000000001</v>
      </c>
      <c r="O621" s="7" t="str">
        <f>VLOOKUP(N621,Helper!$B$30:$C$35,2,TRUE)</f>
        <v>C</v>
      </c>
      <c r="P621" s="56">
        <f>INDEX(Detail!$A$1:$A$1001,MATCH(B621,Detail!$G$1:$G$1001,0))</f>
        <v>38386</v>
      </c>
      <c r="Q621" s="33" t="str">
        <f>INDEX(Detail!$F$1:$F$1001,MATCH(Main!B621,Detail!$G$1:$G$1001,0))</f>
        <v>Denpasar</v>
      </c>
      <c r="R621" s="7">
        <f>INDEX(Detail!$C$1:$C$1001,MATCH(B621,Detail!$G$1:$G$1001,0),1)</f>
        <v>152</v>
      </c>
      <c r="S621" s="7">
        <f>INDEX(Detail!$D$1:$D$1001,MATCH(B621,Detail!$G$1:$G$1001,0),1)</f>
        <v>69</v>
      </c>
      <c r="T621" s="7" t="str">
        <f>INDEX(Detail!$E$1:$E$1001,MATCH(Main!B621,Detail!$G$1:$G$1001,0))</f>
        <v xml:space="preserve">Gang Rumah Sakit No. 9
</v>
      </c>
      <c r="U621" s="7" t="str">
        <f>INDEX(Detail!$B$1:$B$1001,MATCH(B621,Detail!$G$1:$G$1001,0),1)</f>
        <v>A-</v>
      </c>
      <c r="V621" s="7" t="str" cm="1">
        <f t="array" ref="V621">INDEX(Dosen!$B$3:$E$8,MATCH(Main!C621,Dosen!$A$3:$A$8,0),IF(AND(Main!A621&gt;=1,Main!A621&lt;=250),1,IF(AND(Main!A621&gt;=251,Main!A621&lt;=500),2,IF(AND(Main!A621&gt;=501,Main!A621&lt;=750),3,4))))</f>
        <v>Pak Krisna</v>
      </c>
      <c r="W621" s="7" t="str">
        <f>_xlfn.XLOOKUP(B621,Detail!$G$1:$G$1001,Detail!$B$1:$B$1001)</f>
        <v>A-</v>
      </c>
    </row>
    <row r="622" spans="1:23" ht="15.75" x14ac:dyDescent="0.25">
      <c r="A622" s="7">
        <v>730</v>
      </c>
      <c r="B622" s="33" t="str">
        <f t="shared" si="35"/>
        <v>D0730</v>
      </c>
      <c r="C622" s="7" t="s">
        <v>1013</v>
      </c>
      <c r="D622" s="33" t="str">
        <f>VLOOKUP(B622,Detail!$G$1:$H$1001,2,FALSE)</f>
        <v>Wardaya Kusumo</v>
      </c>
      <c r="E622" s="7">
        <v>57</v>
      </c>
      <c r="F622" s="7">
        <v>45</v>
      </c>
      <c r="G622" s="57">
        <v>75</v>
      </c>
      <c r="H622" s="7">
        <v>66</v>
      </c>
      <c r="I622" s="7">
        <v>65</v>
      </c>
      <c r="J622" s="7">
        <v>54</v>
      </c>
      <c r="K622" s="7">
        <v>75</v>
      </c>
      <c r="L622" s="56">
        <f>IFERROR(VLOOKUP(B622,Absen!$A$1:$C$501,2,FALSE),"No")</f>
        <v>44821</v>
      </c>
      <c r="M622" s="58">
        <f t="shared" si="32"/>
        <v>6.5</v>
      </c>
      <c r="N622" s="57">
        <f t="shared" si="33"/>
        <v>61.424999999999997</v>
      </c>
      <c r="O622" s="7" t="str">
        <f>VLOOKUP(N622,Helper!$B$30:$C$35,2,TRUE)</f>
        <v>C</v>
      </c>
      <c r="P622" s="56">
        <f>INDEX(Detail!$A$1:$A$1001,MATCH(B622,Detail!$G$1:$G$1001,0))</f>
        <v>38005</v>
      </c>
      <c r="Q622" s="33" t="str">
        <f>INDEX(Detail!$F$1:$F$1001,MATCH(Main!B622,Detail!$G$1:$G$1001,0))</f>
        <v>Yogyakarta</v>
      </c>
      <c r="R622" s="7">
        <f>INDEX(Detail!$C$1:$C$1001,MATCH(B622,Detail!$G$1:$G$1001,0),1)</f>
        <v>168</v>
      </c>
      <c r="S622" s="7">
        <f>INDEX(Detail!$D$1:$D$1001,MATCH(B622,Detail!$G$1:$G$1001,0),1)</f>
        <v>64</v>
      </c>
      <c r="T622" s="7" t="str">
        <f>INDEX(Detail!$E$1:$E$1001,MATCH(Main!B622,Detail!$G$1:$G$1001,0))</f>
        <v>Gang Rajawali Timur No. 42</v>
      </c>
      <c r="U622" s="7" t="str">
        <f>INDEX(Detail!$B$1:$B$1001,MATCH(B622,Detail!$G$1:$G$1001,0),1)</f>
        <v>B+</v>
      </c>
      <c r="V622" s="7" t="str" cm="1">
        <f t="array" ref="V622">INDEX(Dosen!$B$3:$E$8,MATCH(Main!C622,Dosen!$A$3:$A$8,0),IF(AND(Main!A622&gt;=1,Main!A622&lt;=250),1,IF(AND(Main!A622&gt;=251,Main!A622&lt;=500),2,IF(AND(Main!A622&gt;=501,Main!A622&lt;=750),3,4))))</f>
        <v>Pak Krisna</v>
      </c>
      <c r="W622" s="7" t="str">
        <f>_xlfn.XLOOKUP(B622,Detail!$G$1:$G$1001,Detail!$B$1:$B$1001)</f>
        <v>B+</v>
      </c>
    </row>
    <row r="623" spans="1:23" ht="15.75" x14ac:dyDescent="0.25">
      <c r="A623" s="7">
        <v>731</v>
      </c>
      <c r="B623" s="33" t="str">
        <f t="shared" si="35"/>
        <v>D0731</v>
      </c>
      <c r="C623" s="7" t="s">
        <v>1013</v>
      </c>
      <c r="D623" s="33" t="str">
        <f>VLOOKUP(B623,Detail!$G$1:$H$1001,2,FALSE)</f>
        <v>Muhammad Suryono</v>
      </c>
      <c r="E623" s="7">
        <v>79</v>
      </c>
      <c r="F623" s="7">
        <v>69</v>
      </c>
      <c r="G623" s="57">
        <v>52</v>
      </c>
      <c r="H623" s="7">
        <v>61</v>
      </c>
      <c r="I623" s="7">
        <v>86</v>
      </c>
      <c r="J623" s="7">
        <v>73</v>
      </c>
      <c r="K623" s="7">
        <v>72</v>
      </c>
      <c r="L623" s="56">
        <f>IFERROR(VLOOKUP(B623,Absen!$A$1:$C$501,2,FALSE),"No")</f>
        <v>44850</v>
      </c>
      <c r="M623" s="58">
        <f t="shared" si="32"/>
        <v>6.2</v>
      </c>
      <c r="N623" s="57">
        <f t="shared" si="33"/>
        <v>68.075000000000003</v>
      </c>
      <c r="O623" s="7" t="str">
        <f>VLOOKUP(N623,Helper!$B$30:$C$35,2,TRUE)</f>
        <v>C</v>
      </c>
      <c r="P623" s="56">
        <f>INDEX(Detail!$A$1:$A$1001,MATCH(B623,Detail!$G$1:$G$1001,0))</f>
        <v>38185</v>
      </c>
      <c r="Q623" s="33" t="str">
        <f>INDEX(Detail!$F$1:$F$1001,MATCH(Main!B623,Detail!$G$1:$G$1001,0))</f>
        <v>Bau-Bau</v>
      </c>
      <c r="R623" s="7">
        <f>INDEX(Detail!$C$1:$C$1001,MATCH(B623,Detail!$G$1:$G$1001,0),1)</f>
        <v>179</v>
      </c>
      <c r="S623" s="7">
        <f>INDEX(Detail!$D$1:$D$1001,MATCH(B623,Detail!$G$1:$G$1001,0),1)</f>
        <v>57</v>
      </c>
      <c r="T623" s="7" t="str">
        <f>INDEX(Detail!$E$1:$E$1001,MATCH(Main!B623,Detail!$G$1:$G$1001,0))</f>
        <v>Gg. Astana Anyar No. 74</v>
      </c>
      <c r="U623" s="7" t="str">
        <f>INDEX(Detail!$B$1:$B$1001,MATCH(B623,Detail!$G$1:$G$1001,0),1)</f>
        <v>AB-</v>
      </c>
      <c r="V623" s="7" t="str" cm="1">
        <f t="array" ref="V623">INDEX(Dosen!$B$3:$E$8,MATCH(Main!C623,Dosen!$A$3:$A$8,0),IF(AND(Main!A623&gt;=1,Main!A623&lt;=250),1,IF(AND(Main!A623&gt;=251,Main!A623&lt;=500),2,IF(AND(Main!A623&gt;=501,Main!A623&lt;=750),3,4))))</f>
        <v>Pak Krisna</v>
      </c>
      <c r="W623" s="7" t="str">
        <f>_xlfn.XLOOKUP(B623,Detail!$G$1:$G$1001,Detail!$B$1:$B$1001)</f>
        <v>AB-</v>
      </c>
    </row>
    <row r="624" spans="1:23" ht="15.75" x14ac:dyDescent="0.25">
      <c r="A624" s="7">
        <v>733</v>
      </c>
      <c r="B624" s="33" t="str">
        <f t="shared" si="35"/>
        <v>D0733</v>
      </c>
      <c r="C624" s="7" t="s">
        <v>1013</v>
      </c>
      <c r="D624" s="33" t="str">
        <f>VLOOKUP(B624,Detail!$G$1:$H$1001,2,FALSE)</f>
        <v>Rizki Suartini</v>
      </c>
      <c r="E624" s="7">
        <v>67</v>
      </c>
      <c r="F624" s="7">
        <v>65</v>
      </c>
      <c r="G624" s="57">
        <v>88</v>
      </c>
      <c r="H624" s="7">
        <v>58</v>
      </c>
      <c r="I624" s="7">
        <v>75</v>
      </c>
      <c r="J624" s="7">
        <v>91</v>
      </c>
      <c r="K624" s="7">
        <v>94</v>
      </c>
      <c r="L624" s="56" t="str">
        <f>IFERROR(VLOOKUP(B624,Absen!$A$1:$C$501,2,FALSE),"No")</f>
        <v>No</v>
      </c>
      <c r="M624" s="58">
        <f t="shared" si="32"/>
        <v>9.4</v>
      </c>
      <c r="N624" s="57">
        <f t="shared" si="33"/>
        <v>78.325000000000003</v>
      </c>
      <c r="O624" s="7" t="str">
        <f>VLOOKUP(N624,Helper!$B$30:$C$35,2,TRUE)</f>
        <v>B</v>
      </c>
      <c r="P624" s="56">
        <f>INDEX(Detail!$A$1:$A$1001,MATCH(B624,Detail!$G$1:$G$1001,0))</f>
        <v>37685</v>
      </c>
      <c r="Q624" s="33" t="str">
        <f>INDEX(Detail!$F$1:$F$1001,MATCH(Main!B624,Detail!$G$1:$G$1001,0))</f>
        <v>Binjai</v>
      </c>
      <c r="R624" s="7">
        <f>INDEX(Detail!$C$1:$C$1001,MATCH(B624,Detail!$G$1:$G$1001,0),1)</f>
        <v>157</v>
      </c>
      <c r="S624" s="7">
        <f>INDEX(Detail!$D$1:$D$1001,MATCH(B624,Detail!$G$1:$G$1001,0),1)</f>
        <v>89</v>
      </c>
      <c r="T624" s="7" t="str">
        <f>INDEX(Detail!$E$1:$E$1001,MATCH(Main!B624,Detail!$G$1:$G$1001,0))</f>
        <v xml:space="preserve">Gg. Tubagus Ismail No. 9
</v>
      </c>
      <c r="U624" s="7" t="str">
        <f>INDEX(Detail!$B$1:$B$1001,MATCH(B624,Detail!$G$1:$G$1001,0),1)</f>
        <v>B+</v>
      </c>
      <c r="V624" s="7" t="str" cm="1">
        <f t="array" ref="V624">INDEX(Dosen!$B$3:$E$8,MATCH(Main!C624,Dosen!$A$3:$A$8,0),IF(AND(Main!A624&gt;=1,Main!A624&lt;=250),1,IF(AND(Main!A624&gt;=251,Main!A624&lt;=500),2,IF(AND(Main!A624&gt;=501,Main!A624&lt;=750),3,4))))</f>
        <v>Pak Krisna</v>
      </c>
      <c r="W624" s="7" t="str">
        <f>_xlfn.XLOOKUP(B624,Detail!$G$1:$G$1001,Detail!$B$1:$B$1001)</f>
        <v>B+</v>
      </c>
    </row>
    <row r="625" spans="1:23" ht="15.75" x14ac:dyDescent="0.25">
      <c r="A625" s="7">
        <v>739</v>
      </c>
      <c r="B625" s="33" t="str">
        <f t="shared" si="35"/>
        <v>D0739</v>
      </c>
      <c r="C625" s="7" t="s">
        <v>1013</v>
      </c>
      <c r="D625" s="33" t="str">
        <f>VLOOKUP(B625,Detail!$G$1:$H$1001,2,FALSE)</f>
        <v>Nilam Widodo</v>
      </c>
      <c r="E625" s="7">
        <v>59</v>
      </c>
      <c r="F625" s="7">
        <v>64</v>
      </c>
      <c r="G625" s="57">
        <v>43</v>
      </c>
      <c r="H625" s="7">
        <v>73</v>
      </c>
      <c r="I625" s="7">
        <v>79</v>
      </c>
      <c r="J625" s="7">
        <v>44</v>
      </c>
      <c r="K625" s="7">
        <v>94</v>
      </c>
      <c r="L625" s="56">
        <f>IFERROR(VLOOKUP(B625,Absen!$A$1:$C$501,2,FALSE),"No")</f>
        <v>44831</v>
      </c>
      <c r="M625" s="58">
        <f t="shared" si="32"/>
        <v>8.4</v>
      </c>
      <c r="N625" s="57">
        <f t="shared" si="33"/>
        <v>60.175000000000004</v>
      </c>
      <c r="O625" s="7" t="str">
        <f>VLOOKUP(N625,Helper!$B$30:$C$35,2,TRUE)</f>
        <v>C</v>
      </c>
      <c r="P625" s="56">
        <f>INDEX(Detail!$A$1:$A$1001,MATCH(B625,Detail!$G$1:$G$1001,0))</f>
        <v>37305</v>
      </c>
      <c r="Q625" s="33" t="str">
        <f>INDEX(Detail!$F$1:$F$1001,MATCH(Main!B625,Detail!$G$1:$G$1001,0))</f>
        <v>Parepare</v>
      </c>
      <c r="R625" s="7">
        <f>INDEX(Detail!$C$1:$C$1001,MATCH(B625,Detail!$G$1:$G$1001,0),1)</f>
        <v>166</v>
      </c>
      <c r="S625" s="7">
        <f>INDEX(Detail!$D$1:$D$1001,MATCH(B625,Detail!$G$1:$G$1001,0),1)</f>
        <v>62</v>
      </c>
      <c r="T625" s="7" t="str">
        <f>INDEX(Detail!$E$1:$E$1001,MATCH(Main!B625,Detail!$G$1:$G$1001,0))</f>
        <v>Jalan Dipatiukur No. 11</v>
      </c>
      <c r="U625" s="7" t="str">
        <f>INDEX(Detail!$B$1:$B$1001,MATCH(B625,Detail!$G$1:$G$1001,0),1)</f>
        <v>AB-</v>
      </c>
      <c r="V625" s="7" t="str" cm="1">
        <f t="array" ref="V625">INDEX(Dosen!$B$3:$E$8,MATCH(Main!C625,Dosen!$A$3:$A$8,0),IF(AND(Main!A625&gt;=1,Main!A625&lt;=250),1,IF(AND(Main!A625&gt;=251,Main!A625&lt;=500),2,IF(AND(Main!A625&gt;=501,Main!A625&lt;=750),3,4))))</f>
        <v>Pak Krisna</v>
      </c>
      <c r="W625" s="7" t="str">
        <f>_xlfn.XLOOKUP(B625,Detail!$G$1:$G$1001,Detail!$B$1:$B$1001)</f>
        <v>AB-</v>
      </c>
    </row>
    <row r="626" spans="1:23" ht="15.75" x14ac:dyDescent="0.25">
      <c r="A626" s="7">
        <v>747</v>
      </c>
      <c r="B626" s="33" t="str">
        <f t="shared" si="35"/>
        <v>D0747</v>
      </c>
      <c r="C626" s="7" t="s">
        <v>1013</v>
      </c>
      <c r="D626" s="33" t="str">
        <f>VLOOKUP(B626,Detail!$G$1:$H$1001,2,FALSE)</f>
        <v>Aris Sinaga</v>
      </c>
      <c r="E626" s="7">
        <v>88</v>
      </c>
      <c r="F626" s="7">
        <v>48</v>
      </c>
      <c r="G626" s="57">
        <v>43</v>
      </c>
      <c r="H626" s="7">
        <v>62</v>
      </c>
      <c r="I626" s="7">
        <v>55</v>
      </c>
      <c r="J626" s="7">
        <v>71</v>
      </c>
      <c r="K626" s="7">
        <v>94</v>
      </c>
      <c r="L626" s="56">
        <f>IFERROR(VLOOKUP(B626,Absen!$A$1:$C$501,2,FALSE),"No")</f>
        <v>44890</v>
      </c>
      <c r="M626" s="58">
        <f t="shared" si="32"/>
        <v>8.4</v>
      </c>
      <c r="N626" s="57">
        <f t="shared" si="33"/>
        <v>62.825000000000003</v>
      </c>
      <c r="O626" s="7" t="str">
        <f>VLOOKUP(N626,Helper!$B$30:$C$35,2,TRUE)</f>
        <v>C</v>
      </c>
      <c r="P626" s="56">
        <f>INDEX(Detail!$A$1:$A$1001,MATCH(B626,Detail!$G$1:$G$1001,0))</f>
        <v>38127</v>
      </c>
      <c r="Q626" s="33" t="str">
        <f>INDEX(Detail!$F$1:$F$1001,MATCH(Main!B626,Detail!$G$1:$G$1001,0))</f>
        <v>Mataram</v>
      </c>
      <c r="R626" s="7">
        <f>INDEX(Detail!$C$1:$C$1001,MATCH(B626,Detail!$G$1:$G$1001,0),1)</f>
        <v>155</v>
      </c>
      <c r="S626" s="7">
        <f>INDEX(Detail!$D$1:$D$1001,MATCH(B626,Detail!$G$1:$G$1001,0),1)</f>
        <v>56</v>
      </c>
      <c r="T626" s="7" t="str">
        <f>INDEX(Detail!$E$1:$E$1001,MATCH(Main!B626,Detail!$G$1:$G$1001,0))</f>
        <v xml:space="preserve">Jl. Kutisari Selatan No. 0
</v>
      </c>
      <c r="U626" s="7" t="str">
        <f>INDEX(Detail!$B$1:$B$1001,MATCH(B626,Detail!$G$1:$G$1001,0),1)</f>
        <v>A+</v>
      </c>
      <c r="V626" s="7" t="str" cm="1">
        <f t="array" ref="V626">INDEX(Dosen!$B$3:$E$8,MATCH(Main!C626,Dosen!$A$3:$A$8,0),IF(AND(Main!A626&gt;=1,Main!A626&lt;=250),1,IF(AND(Main!A626&gt;=251,Main!A626&lt;=500),2,IF(AND(Main!A626&gt;=501,Main!A626&lt;=750),3,4))))</f>
        <v>Pak Krisna</v>
      </c>
      <c r="W626" s="7" t="str">
        <f>_xlfn.XLOOKUP(B626,Detail!$G$1:$G$1001,Detail!$B$1:$B$1001)</f>
        <v>A+</v>
      </c>
    </row>
    <row r="627" spans="1:23" ht="15.75" x14ac:dyDescent="0.25">
      <c r="A627" s="7">
        <v>757</v>
      </c>
      <c r="B627" s="33" t="str">
        <f t="shared" si="35"/>
        <v>D0757</v>
      </c>
      <c r="C627" s="7" t="s">
        <v>1013</v>
      </c>
      <c r="D627" s="33" t="str">
        <f>VLOOKUP(B627,Detail!$G$1:$H$1001,2,FALSE)</f>
        <v>Tri Prasetyo</v>
      </c>
      <c r="E627" s="7">
        <v>66</v>
      </c>
      <c r="F627" s="7">
        <v>66</v>
      </c>
      <c r="G627" s="57">
        <v>76</v>
      </c>
      <c r="H627" s="7">
        <v>58</v>
      </c>
      <c r="I627" s="7">
        <v>93</v>
      </c>
      <c r="J627" s="7">
        <v>54</v>
      </c>
      <c r="K627" s="7">
        <v>74</v>
      </c>
      <c r="L627" s="56">
        <f>IFERROR(VLOOKUP(B627,Absen!$A$1:$C$501,2,FALSE),"No")</f>
        <v>44818</v>
      </c>
      <c r="M627" s="58">
        <f t="shared" si="32"/>
        <v>6.4</v>
      </c>
      <c r="N627" s="57">
        <f t="shared" si="33"/>
        <v>67.775000000000006</v>
      </c>
      <c r="O627" s="7" t="str">
        <f>VLOOKUP(N627,Helper!$B$30:$C$35,2,TRUE)</f>
        <v>C</v>
      </c>
      <c r="P627" s="56">
        <f>INDEX(Detail!$A$1:$A$1001,MATCH(B627,Detail!$G$1:$G$1001,0))</f>
        <v>38349</v>
      </c>
      <c r="Q627" s="33" t="str">
        <f>INDEX(Detail!$F$1:$F$1001,MATCH(Main!B627,Detail!$G$1:$G$1001,0))</f>
        <v>Sawahlunto</v>
      </c>
      <c r="R627" s="7">
        <f>INDEX(Detail!$C$1:$C$1001,MATCH(B627,Detail!$G$1:$G$1001,0),1)</f>
        <v>176</v>
      </c>
      <c r="S627" s="7">
        <f>INDEX(Detail!$D$1:$D$1001,MATCH(B627,Detail!$G$1:$G$1001,0),1)</f>
        <v>92</v>
      </c>
      <c r="T627" s="7" t="str">
        <f>INDEX(Detail!$E$1:$E$1001,MATCH(Main!B627,Detail!$G$1:$G$1001,0))</f>
        <v xml:space="preserve">Gg. Indragiri No. 9
</v>
      </c>
      <c r="U627" s="7" t="str">
        <f>INDEX(Detail!$B$1:$B$1001,MATCH(B627,Detail!$G$1:$G$1001,0),1)</f>
        <v>AB-</v>
      </c>
      <c r="V627" s="7" t="str" cm="1">
        <f t="array" ref="V627">INDEX(Dosen!$B$3:$E$8,MATCH(Main!C627,Dosen!$A$3:$A$8,0),IF(AND(Main!A627&gt;=1,Main!A627&lt;=250),1,IF(AND(Main!A627&gt;=251,Main!A627&lt;=500),2,IF(AND(Main!A627&gt;=501,Main!A627&lt;=750),3,4))))</f>
        <v>Bu Made</v>
      </c>
      <c r="W627" s="7" t="str">
        <f>_xlfn.XLOOKUP(B627,Detail!$G$1:$G$1001,Detail!$B$1:$B$1001)</f>
        <v>AB-</v>
      </c>
    </row>
    <row r="628" spans="1:23" ht="15.75" x14ac:dyDescent="0.25">
      <c r="A628" s="7">
        <v>772</v>
      </c>
      <c r="B628" s="33" t="str">
        <f t="shared" si="35"/>
        <v>D0772</v>
      </c>
      <c r="C628" s="7" t="s">
        <v>1013</v>
      </c>
      <c r="D628" s="33" t="str">
        <f>VLOOKUP(B628,Detail!$G$1:$H$1001,2,FALSE)</f>
        <v>Siti Prabowo</v>
      </c>
      <c r="E628" s="7">
        <v>90</v>
      </c>
      <c r="F628" s="7">
        <v>71</v>
      </c>
      <c r="G628" s="57">
        <v>81</v>
      </c>
      <c r="H628" s="7">
        <v>67</v>
      </c>
      <c r="I628" s="7">
        <v>57</v>
      </c>
      <c r="J628" s="7">
        <v>54</v>
      </c>
      <c r="K628" s="7">
        <v>96</v>
      </c>
      <c r="L628" s="56">
        <f>IFERROR(VLOOKUP(B628,Absen!$A$1:$C$501,2,FALSE),"No")</f>
        <v>44844</v>
      </c>
      <c r="M628" s="58">
        <f t="shared" si="32"/>
        <v>8.6</v>
      </c>
      <c r="N628" s="57">
        <f t="shared" si="33"/>
        <v>71.224999999999994</v>
      </c>
      <c r="O628" s="7" t="str">
        <f>VLOOKUP(N628,Helper!$B$30:$C$35,2,TRUE)</f>
        <v>B</v>
      </c>
      <c r="P628" s="56">
        <f>INDEX(Detail!$A$1:$A$1001,MATCH(B628,Detail!$G$1:$G$1001,0))</f>
        <v>37945</v>
      </c>
      <c r="Q628" s="33" t="str">
        <f>INDEX(Detail!$F$1:$F$1001,MATCH(Main!B628,Detail!$G$1:$G$1001,0))</f>
        <v>Gorontalo</v>
      </c>
      <c r="R628" s="7">
        <f>INDEX(Detail!$C$1:$C$1001,MATCH(B628,Detail!$G$1:$G$1001,0),1)</f>
        <v>163</v>
      </c>
      <c r="S628" s="7">
        <f>INDEX(Detail!$D$1:$D$1001,MATCH(B628,Detail!$G$1:$G$1001,0),1)</f>
        <v>94</v>
      </c>
      <c r="T628" s="7" t="str">
        <f>INDEX(Detail!$E$1:$E$1001,MATCH(Main!B628,Detail!$G$1:$G$1001,0))</f>
        <v>Jalan Sadang Serang No. 54</v>
      </c>
      <c r="U628" s="7" t="str">
        <f>INDEX(Detail!$B$1:$B$1001,MATCH(B628,Detail!$G$1:$G$1001,0),1)</f>
        <v>O-</v>
      </c>
      <c r="V628" s="7" t="str" cm="1">
        <f t="array" ref="V628">INDEX(Dosen!$B$3:$E$8,MATCH(Main!C628,Dosen!$A$3:$A$8,0),IF(AND(Main!A628&gt;=1,Main!A628&lt;=250),1,IF(AND(Main!A628&gt;=251,Main!A628&lt;=500),2,IF(AND(Main!A628&gt;=501,Main!A628&lt;=750),3,4))))</f>
        <v>Bu Made</v>
      </c>
      <c r="W628" s="7" t="str">
        <f>_xlfn.XLOOKUP(B628,Detail!$G$1:$G$1001,Detail!$B$1:$B$1001)</f>
        <v>O-</v>
      </c>
    </row>
    <row r="629" spans="1:23" ht="15.75" x14ac:dyDescent="0.25">
      <c r="A629" s="7">
        <v>773</v>
      </c>
      <c r="B629" s="33" t="str">
        <f t="shared" si="35"/>
        <v>D0773</v>
      </c>
      <c r="C629" s="7" t="s">
        <v>1013</v>
      </c>
      <c r="D629" s="33" t="str">
        <f>VLOOKUP(B629,Detail!$G$1:$H$1001,2,FALSE)</f>
        <v>Bakidin Maryadi</v>
      </c>
      <c r="E629" s="7">
        <v>81</v>
      </c>
      <c r="F629" s="7">
        <v>47</v>
      </c>
      <c r="G629" s="57">
        <v>75</v>
      </c>
      <c r="H629" s="7">
        <v>51</v>
      </c>
      <c r="I629" s="7">
        <v>52</v>
      </c>
      <c r="J629" s="7">
        <v>71</v>
      </c>
      <c r="K629" s="7">
        <v>99</v>
      </c>
      <c r="L629" s="56">
        <f>IFERROR(VLOOKUP(B629,Absen!$A$1:$C$501,2,FALSE),"No")</f>
        <v>44901</v>
      </c>
      <c r="M629" s="58">
        <f t="shared" si="32"/>
        <v>8.9</v>
      </c>
      <c r="N629" s="57">
        <f t="shared" si="33"/>
        <v>66.975000000000009</v>
      </c>
      <c r="O629" s="7" t="str">
        <f>VLOOKUP(N629,Helper!$B$30:$C$35,2,TRUE)</f>
        <v>C</v>
      </c>
      <c r="P629" s="56">
        <f>INDEX(Detail!$A$1:$A$1001,MATCH(B629,Detail!$G$1:$G$1001,0))</f>
        <v>38200</v>
      </c>
      <c r="Q629" s="33" t="str">
        <f>INDEX(Detail!$F$1:$F$1001,MATCH(Main!B629,Detail!$G$1:$G$1001,0))</f>
        <v>Manado</v>
      </c>
      <c r="R629" s="7">
        <f>INDEX(Detail!$C$1:$C$1001,MATCH(B629,Detail!$G$1:$G$1001,0),1)</f>
        <v>176</v>
      </c>
      <c r="S629" s="7">
        <f>INDEX(Detail!$D$1:$D$1001,MATCH(B629,Detail!$G$1:$G$1001,0),1)</f>
        <v>50</v>
      </c>
      <c r="T629" s="7" t="str">
        <f>INDEX(Detail!$E$1:$E$1001,MATCH(Main!B629,Detail!$G$1:$G$1001,0))</f>
        <v xml:space="preserve">Jl. Merdeka No. 1
</v>
      </c>
      <c r="U629" s="7" t="str">
        <f>INDEX(Detail!$B$1:$B$1001,MATCH(B629,Detail!$G$1:$G$1001,0),1)</f>
        <v>AB-</v>
      </c>
      <c r="V629" s="7" t="str" cm="1">
        <f t="array" ref="V629">INDEX(Dosen!$B$3:$E$8,MATCH(Main!C629,Dosen!$A$3:$A$8,0),IF(AND(Main!A629&gt;=1,Main!A629&lt;=250),1,IF(AND(Main!A629&gt;=251,Main!A629&lt;=500),2,IF(AND(Main!A629&gt;=501,Main!A629&lt;=750),3,4))))</f>
        <v>Bu Made</v>
      </c>
      <c r="W629" s="7" t="str">
        <f>_xlfn.XLOOKUP(B629,Detail!$G$1:$G$1001,Detail!$B$1:$B$1001)</f>
        <v>AB-</v>
      </c>
    </row>
    <row r="630" spans="1:23" ht="15.75" x14ac:dyDescent="0.25">
      <c r="A630" s="7">
        <v>777</v>
      </c>
      <c r="B630" s="33" t="str">
        <f t="shared" si="35"/>
        <v>D0777</v>
      </c>
      <c r="C630" s="7" t="s">
        <v>1013</v>
      </c>
      <c r="D630" s="33" t="str">
        <f>VLOOKUP(B630,Detail!$G$1:$H$1001,2,FALSE)</f>
        <v>Laila Mustofa</v>
      </c>
      <c r="E630" s="7">
        <v>84</v>
      </c>
      <c r="F630" s="7">
        <v>69</v>
      </c>
      <c r="G630" s="57">
        <v>36</v>
      </c>
      <c r="H630" s="7">
        <v>71</v>
      </c>
      <c r="I630" s="7">
        <v>87</v>
      </c>
      <c r="J630" s="7">
        <v>68</v>
      </c>
      <c r="K630" s="7">
        <v>83</v>
      </c>
      <c r="L630" s="56" t="str">
        <f>IFERROR(VLOOKUP(B630,Absen!$A$1:$C$501,2,FALSE),"No")</f>
        <v>No</v>
      </c>
      <c r="M630" s="58">
        <f t="shared" si="32"/>
        <v>8.3000000000000007</v>
      </c>
      <c r="N630" s="57">
        <f t="shared" si="33"/>
        <v>67.975000000000009</v>
      </c>
      <c r="O630" s="7" t="str">
        <f>VLOOKUP(N630,Helper!$B$30:$C$35,2,TRUE)</f>
        <v>C</v>
      </c>
      <c r="P630" s="56">
        <f>INDEX(Detail!$A$1:$A$1001,MATCH(B630,Detail!$G$1:$G$1001,0))</f>
        <v>37112</v>
      </c>
      <c r="Q630" s="33" t="str">
        <f>INDEX(Detail!$F$1:$F$1001,MATCH(Main!B630,Detail!$G$1:$G$1001,0))</f>
        <v>Pasuruan</v>
      </c>
      <c r="R630" s="7">
        <f>INDEX(Detail!$C$1:$C$1001,MATCH(B630,Detail!$G$1:$G$1001,0),1)</f>
        <v>156</v>
      </c>
      <c r="S630" s="7">
        <f>INDEX(Detail!$D$1:$D$1001,MATCH(B630,Detail!$G$1:$G$1001,0),1)</f>
        <v>54</v>
      </c>
      <c r="T630" s="7" t="str">
        <f>INDEX(Detail!$E$1:$E$1001,MATCH(Main!B630,Detail!$G$1:$G$1001,0))</f>
        <v xml:space="preserve">Jalan H.J Maemunah No. 4
</v>
      </c>
      <c r="U630" s="7" t="str">
        <f>INDEX(Detail!$B$1:$B$1001,MATCH(B630,Detail!$G$1:$G$1001,0),1)</f>
        <v>AB+</v>
      </c>
      <c r="V630" s="7" t="str" cm="1">
        <f t="array" ref="V630">INDEX(Dosen!$B$3:$E$8,MATCH(Main!C630,Dosen!$A$3:$A$8,0),IF(AND(Main!A630&gt;=1,Main!A630&lt;=250),1,IF(AND(Main!A630&gt;=251,Main!A630&lt;=500),2,IF(AND(Main!A630&gt;=501,Main!A630&lt;=750),3,4))))</f>
        <v>Bu Made</v>
      </c>
      <c r="W630" s="7" t="str">
        <f>_xlfn.XLOOKUP(B630,Detail!$G$1:$G$1001,Detail!$B$1:$B$1001)</f>
        <v>AB+</v>
      </c>
    </row>
    <row r="631" spans="1:23" ht="15.75" x14ac:dyDescent="0.25">
      <c r="A631" s="7">
        <v>779</v>
      </c>
      <c r="B631" s="33" t="str">
        <f t="shared" si="35"/>
        <v>D0779</v>
      </c>
      <c r="C631" s="7" t="s">
        <v>1013</v>
      </c>
      <c r="D631" s="33" t="str">
        <f>VLOOKUP(B631,Detail!$G$1:$H$1001,2,FALSE)</f>
        <v>Hardi Usada</v>
      </c>
      <c r="E631" s="7">
        <v>81</v>
      </c>
      <c r="F631" s="7">
        <v>56</v>
      </c>
      <c r="G631" s="57">
        <v>34</v>
      </c>
      <c r="H631" s="7">
        <v>51</v>
      </c>
      <c r="I631" s="7">
        <v>75</v>
      </c>
      <c r="J631" s="7">
        <v>65</v>
      </c>
      <c r="K631" s="7">
        <v>79</v>
      </c>
      <c r="L631" s="56" t="str">
        <f>IFERROR(VLOOKUP(B631,Absen!$A$1:$C$501,2,FALSE),"No")</f>
        <v>No</v>
      </c>
      <c r="M631" s="58">
        <f t="shared" si="32"/>
        <v>7.9</v>
      </c>
      <c r="N631" s="57">
        <f t="shared" si="33"/>
        <v>60.574999999999996</v>
      </c>
      <c r="O631" s="7" t="str">
        <f>VLOOKUP(N631,Helper!$B$30:$C$35,2,TRUE)</f>
        <v>C</v>
      </c>
      <c r="P631" s="56">
        <f>INDEX(Detail!$A$1:$A$1001,MATCH(B631,Detail!$G$1:$G$1001,0))</f>
        <v>37636</v>
      </c>
      <c r="Q631" s="33" t="str">
        <f>INDEX(Detail!$F$1:$F$1001,MATCH(Main!B631,Detail!$G$1:$G$1001,0))</f>
        <v>Magelang</v>
      </c>
      <c r="R631" s="7">
        <f>INDEX(Detail!$C$1:$C$1001,MATCH(B631,Detail!$G$1:$G$1001,0),1)</f>
        <v>163</v>
      </c>
      <c r="S631" s="7">
        <f>INDEX(Detail!$D$1:$D$1001,MATCH(B631,Detail!$G$1:$G$1001,0),1)</f>
        <v>81</v>
      </c>
      <c r="T631" s="7" t="str">
        <f>INDEX(Detail!$E$1:$E$1001,MATCH(Main!B631,Detail!$G$1:$G$1001,0))</f>
        <v>Jalan Sentot Alibasa No. 17</v>
      </c>
      <c r="U631" s="7" t="str">
        <f>INDEX(Detail!$B$1:$B$1001,MATCH(B631,Detail!$G$1:$G$1001,0),1)</f>
        <v>A+</v>
      </c>
      <c r="V631" s="7" t="str" cm="1">
        <f t="array" ref="V631">INDEX(Dosen!$B$3:$E$8,MATCH(Main!C631,Dosen!$A$3:$A$8,0),IF(AND(Main!A631&gt;=1,Main!A631&lt;=250),1,IF(AND(Main!A631&gt;=251,Main!A631&lt;=500),2,IF(AND(Main!A631&gt;=501,Main!A631&lt;=750),3,4))))</f>
        <v>Bu Made</v>
      </c>
      <c r="W631" s="7" t="str">
        <f>_xlfn.XLOOKUP(B631,Detail!$G$1:$G$1001,Detail!$B$1:$B$1001)</f>
        <v>A+</v>
      </c>
    </row>
    <row r="632" spans="1:23" ht="15.75" x14ac:dyDescent="0.25">
      <c r="A632" s="7">
        <v>783</v>
      </c>
      <c r="B632" s="33" t="str">
        <f t="shared" si="35"/>
        <v>D0783</v>
      </c>
      <c r="C632" s="7" t="s">
        <v>1013</v>
      </c>
      <c r="D632" s="33" t="str">
        <f>VLOOKUP(B632,Detail!$G$1:$H$1001,2,FALSE)</f>
        <v>Danu Nasyiah</v>
      </c>
      <c r="E632" s="7">
        <v>53</v>
      </c>
      <c r="F632" s="7">
        <v>46</v>
      </c>
      <c r="G632" s="57">
        <v>92</v>
      </c>
      <c r="H632" s="7">
        <v>67</v>
      </c>
      <c r="I632" s="7">
        <v>76</v>
      </c>
      <c r="J632" s="7">
        <v>54</v>
      </c>
      <c r="K632" s="7">
        <v>66</v>
      </c>
      <c r="L632" s="56" t="str">
        <f>IFERROR(VLOOKUP(B632,Absen!$A$1:$C$501,2,FALSE),"No")</f>
        <v>No</v>
      </c>
      <c r="M632" s="58">
        <f t="shared" si="32"/>
        <v>6.6000000000000005</v>
      </c>
      <c r="N632" s="57">
        <f t="shared" si="33"/>
        <v>66.05</v>
      </c>
      <c r="O632" s="7" t="str">
        <f>VLOOKUP(N632,Helper!$B$30:$C$35,2,TRUE)</f>
        <v>C</v>
      </c>
      <c r="P632" s="56">
        <f>INDEX(Detail!$A$1:$A$1001,MATCH(B632,Detail!$G$1:$G$1001,0))</f>
        <v>37960</v>
      </c>
      <c r="Q632" s="33" t="str">
        <f>INDEX(Detail!$F$1:$F$1001,MATCH(Main!B632,Detail!$G$1:$G$1001,0))</f>
        <v>Semarang</v>
      </c>
      <c r="R632" s="7">
        <f>INDEX(Detail!$C$1:$C$1001,MATCH(B632,Detail!$G$1:$G$1001,0),1)</f>
        <v>174</v>
      </c>
      <c r="S632" s="7">
        <f>INDEX(Detail!$D$1:$D$1001,MATCH(B632,Detail!$G$1:$G$1001,0),1)</f>
        <v>61</v>
      </c>
      <c r="T632" s="7" t="str">
        <f>INDEX(Detail!$E$1:$E$1001,MATCH(Main!B632,Detail!$G$1:$G$1001,0))</f>
        <v>Jl. W.R. Supratman No. 86</v>
      </c>
      <c r="U632" s="7" t="str">
        <f>INDEX(Detail!$B$1:$B$1001,MATCH(B632,Detail!$G$1:$G$1001,0),1)</f>
        <v>O+</v>
      </c>
      <c r="V632" s="7" t="str" cm="1">
        <f t="array" ref="V632">INDEX(Dosen!$B$3:$E$8,MATCH(Main!C632,Dosen!$A$3:$A$8,0),IF(AND(Main!A632&gt;=1,Main!A632&lt;=250),1,IF(AND(Main!A632&gt;=251,Main!A632&lt;=500),2,IF(AND(Main!A632&gt;=501,Main!A632&lt;=750),3,4))))</f>
        <v>Bu Made</v>
      </c>
      <c r="W632" s="7" t="str">
        <f>_xlfn.XLOOKUP(B632,Detail!$G$1:$G$1001,Detail!$B$1:$B$1001)</f>
        <v>O+</v>
      </c>
    </row>
    <row r="633" spans="1:23" ht="15.75" x14ac:dyDescent="0.25">
      <c r="A633" s="7">
        <v>786</v>
      </c>
      <c r="B633" s="33" t="str">
        <f t="shared" si="35"/>
        <v>D0786</v>
      </c>
      <c r="C633" s="7" t="s">
        <v>1013</v>
      </c>
      <c r="D633" s="33" t="str">
        <f>VLOOKUP(B633,Detail!$G$1:$H$1001,2,FALSE)</f>
        <v>Hafshah Hastuti</v>
      </c>
      <c r="E633" s="7">
        <v>91</v>
      </c>
      <c r="F633" s="7">
        <v>52</v>
      </c>
      <c r="G633" s="57">
        <v>50</v>
      </c>
      <c r="H633" s="7">
        <v>68</v>
      </c>
      <c r="I633" s="7">
        <v>56</v>
      </c>
      <c r="J633" s="7">
        <v>47</v>
      </c>
      <c r="K633" s="7">
        <v>83</v>
      </c>
      <c r="L633" s="56">
        <f>IFERROR(VLOOKUP(B633,Absen!$A$1:$C$501,2,FALSE),"No")</f>
        <v>44881</v>
      </c>
      <c r="M633" s="58">
        <f t="shared" si="32"/>
        <v>7.3000000000000007</v>
      </c>
      <c r="N633" s="57">
        <f t="shared" si="33"/>
        <v>60.075000000000003</v>
      </c>
      <c r="O633" s="7" t="str">
        <f>VLOOKUP(N633,Helper!$B$30:$C$35,2,TRUE)</f>
        <v>C</v>
      </c>
      <c r="P633" s="56">
        <f>INDEX(Detail!$A$1:$A$1001,MATCH(B633,Detail!$G$1:$G$1001,0))</f>
        <v>38241</v>
      </c>
      <c r="Q633" s="33" t="str">
        <f>INDEX(Detail!$F$1:$F$1001,MATCH(Main!B633,Detail!$G$1:$G$1001,0))</f>
        <v>Bima</v>
      </c>
      <c r="R633" s="7">
        <f>INDEX(Detail!$C$1:$C$1001,MATCH(B633,Detail!$G$1:$G$1001,0),1)</f>
        <v>173</v>
      </c>
      <c r="S633" s="7">
        <f>INDEX(Detail!$D$1:$D$1001,MATCH(B633,Detail!$G$1:$G$1001,0),1)</f>
        <v>74</v>
      </c>
      <c r="T633" s="7" t="str">
        <f>INDEX(Detail!$E$1:$E$1001,MATCH(Main!B633,Detail!$G$1:$G$1001,0))</f>
        <v>Gang Stasiun Wonokromo No. 16</v>
      </c>
      <c r="U633" s="7" t="str">
        <f>INDEX(Detail!$B$1:$B$1001,MATCH(B633,Detail!$G$1:$G$1001,0),1)</f>
        <v>B-</v>
      </c>
      <c r="V633" s="7" t="str" cm="1">
        <f t="array" ref="V633">INDEX(Dosen!$B$3:$E$8,MATCH(Main!C633,Dosen!$A$3:$A$8,0),IF(AND(Main!A633&gt;=1,Main!A633&lt;=250),1,IF(AND(Main!A633&gt;=251,Main!A633&lt;=500),2,IF(AND(Main!A633&gt;=501,Main!A633&lt;=750),3,4))))</f>
        <v>Bu Made</v>
      </c>
      <c r="W633" s="7" t="str">
        <f>_xlfn.XLOOKUP(B633,Detail!$G$1:$G$1001,Detail!$B$1:$B$1001)</f>
        <v>B-</v>
      </c>
    </row>
    <row r="634" spans="1:23" ht="15.75" x14ac:dyDescent="0.25">
      <c r="A634" s="7">
        <v>787</v>
      </c>
      <c r="B634" s="33" t="str">
        <f t="shared" si="35"/>
        <v>D0787</v>
      </c>
      <c r="C634" s="7" t="s">
        <v>1013</v>
      </c>
      <c r="D634" s="33" t="str">
        <f>VLOOKUP(B634,Detail!$G$1:$H$1001,2,FALSE)</f>
        <v>Prayogo Sihombing</v>
      </c>
      <c r="E634" s="7">
        <v>73</v>
      </c>
      <c r="F634" s="7">
        <v>61</v>
      </c>
      <c r="G634" s="57">
        <v>87</v>
      </c>
      <c r="H634" s="7">
        <v>57</v>
      </c>
      <c r="I634" s="7">
        <v>83</v>
      </c>
      <c r="J634" s="7">
        <v>92</v>
      </c>
      <c r="K634" s="7">
        <v>68</v>
      </c>
      <c r="L634" s="56" t="str">
        <f>IFERROR(VLOOKUP(B634,Absen!$A$1:$C$501,2,FALSE),"No")</f>
        <v>No</v>
      </c>
      <c r="M634" s="58">
        <f t="shared" si="32"/>
        <v>6.8000000000000007</v>
      </c>
      <c r="N634" s="57">
        <f t="shared" si="33"/>
        <v>76.850000000000009</v>
      </c>
      <c r="O634" s="7" t="str">
        <f>VLOOKUP(N634,Helper!$B$30:$C$35,2,TRUE)</f>
        <v>B</v>
      </c>
      <c r="P634" s="56">
        <f>INDEX(Detail!$A$1:$A$1001,MATCH(B634,Detail!$G$1:$G$1001,0))</f>
        <v>37987</v>
      </c>
      <c r="Q634" s="33" t="str">
        <f>INDEX(Detail!$F$1:$F$1001,MATCH(Main!B634,Detail!$G$1:$G$1001,0))</f>
        <v>Kota Administrasi Jakarta Barat</v>
      </c>
      <c r="R634" s="7">
        <f>INDEX(Detail!$C$1:$C$1001,MATCH(B634,Detail!$G$1:$G$1001,0),1)</f>
        <v>167</v>
      </c>
      <c r="S634" s="7">
        <f>INDEX(Detail!$D$1:$D$1001,MATCH(B634,Detail!$G$1:$G$1001,0),1)</f>
        <v>75</v>
      </c>
      <c r="T634" s="7" t="str">
        <f>INDEX(Detail!$E$1:$E$1001,MATCH(Main!B634,Detail!$G$1:$G$1001,0))</f>
        <v>Jalan Dipenogoro No. 55</v>
      </c>
      <c r="U634" s="7" t="str">
        <f>INDEX(Detail!$B$1:$B$1001,MATCH(B634,Detail!$G$1:$G$1001,0),1)</f>
        <v>O-</v>
      </c>
      <c r="V634" s="7" t="str" cm="1">
        <f t="array" ref="V634">INDEX(Dosen!$B$3:$E$8,MATCH(Main!C634,Dosen!$A$3:$A$8,0),IF(AND(Main!A634&gt;=1,Main!A634&lt;=250),1,IF(AND(Main!A634&gt;=251,Main!A634&lt;=500),2,IF(AND(Main!A634&gt;=501,Main!A634&lt;=750),3,4))))</f>
        <v>Bu Made</v>
      </c>
      <c r="W634" s="7" t="str">
        <f>_xlfn.XLOOKUP(B634,Detail!$G$1:$G$1001,Detail!$B$1:$B$1001)</f>
        <v>O-</v>
      </c>
    </row>
    <row r="635" spans="1:23" ht="15.75" x14ac:dyDescent="0.25">
      <c r="A635" s="7">
        <v>792</v>
      </c>
      <c r="B635" s="33" t="str">
        <f t="shared" si="35"/>
        <v>D0792</v>
      </c>
      <c r="C635" s="7" t="s">
        <v>1013</v>
      </c>
      <c r="D635" s="33" t="str">
        <f>VLOOKUP(B635,Detail!$G$1:$H$1001,2,FALSE)</f>
        <v>Wadi Wijaya</v>
      </c>
      <c r="E635" s="7">
        <v>73</v>
      </c>
      <c r="F635" s="7">
        <v>56</v>
      </c>
      <c r="G635" s="57">
        <v>43</v>
      </c>
      <c r="H635" s="7">
        <v>60</v>
      </c>
      <c r="I635" s="7">
        <v>71</v>
      </c>
      <c r="J635" s="7">
        <v>65</v>
      </c>
      <c r="K635" s="7">
        <v>65</v>
      </c>
      <c r="L635" s="56">
        <f>IFERROR(VLOOKUP(B635,Absen!$A$1:$C$501,2,FALSE),"No")</f>
        <v>44848</v>
      </c>
      <c r="M635" s="58">
        <f t="shared" si="32"/>
        <v>5.5</v>
      </c>
      <c r="N635" s="57">
        <f t="shared" si="33"/>
        <v>59.6</v>
      </c>
      <c r="O635" s="7" t="str">
        <f>VLOOKUP(N635,Helper!$B$30:$C$35,2,TRUE)</f>
        <v>D</v>
      </c>
      <c r="P635" s="56">
        <f>INDEX(Detail!$A$1:$A$1001,MATCH(B635,Detail!$G$1:$G$1001,0))</f>
        <v>37817</v>
      </c>
      <c r="Q635" s="33" t="str">
        <f>INDEX(Detail!$F$1:$F$1001,MATCH(Main!B635,Detail!$G$1:$G$1001,0))</f>
        <v>Kediri</v>
      </c>
      <c r="R635" s="7">
        <f>INDEX(Detail!$C$1:$C$1001,MATCH(B635,Detail!$G$1:$G$1001,0),1)</f>
        <v>163</v>
      </c>
      <c r="S635" s="7">
        <f>INDEX(Detail!$D$1:$D$1001,MATCH(B635,Detail!$G$1:$G$1001,0),1)</f>
        <v>55</v>
      </c>
      <c r="T635" s="7" t="str">
        <f>INDEX(Detail!$E$1:$E$1001,MATCH(Main!B635,Detail!$G$1:$G$1001,0))</f>
        <v xml:space="preserve">Gg. Monginsidi No. 6
</v>
      </c>
      <c r="U635" s="7" t="str">
        <f>INDEX(Detail!$B$1:$B$1001,MATCH(B635,Detail!$G$1:$G$1001,0),1)</f>
        <v>O-</v>
      </c>
      <c r="V635" s="7" t="str" cm="1">
        <f t="array" ref="V635">INDEX(Dosen!$B$3:$E$8,MATCH(Main!C635,Dosen!$A$3:$A$8,0),IF(AND(Main!A635&gt;=1,Main!A635&lt;=250),1,IF(AND(Main!A635&gt;=251,Main!A635&lt;=500),2,IF(AND(Main!A635&gt;=501,Main!A635&lt;=750),3,4))))</f>
        <v>Bu Made</v>
      </c>
      <c r="W635" s="7" t="str">
        <f>_xlfn.XLOOKUP(B635,Detail!$G$1:$G$1001,Detail!$B$1:$B$1001)</f>
        <v>O-</v>
      </c>
    </row>
    <row r="636" spans="1:23" ht="15.75" x14ac:dyDescent="0.25">
      <c r="A636" s="7">
        <v>795</v>
      </c>
      <c r="B636" s="33" t="str">
        <f t="shared" si="35"/>
        <v>D0795</v>
      </c>
      <c r="C636" s="7" t="s">
        <v>1013</v>
      </c>
      <c r="D636" s="33" t="str">
        <f>VLOOKUP(B636,Detail!$G$1:$H$1001,2,FALSE)</f>
        <v>Zulaikha Lestari</v>
      </c>
      <c r="E636" s="7">
        <v>86</v>
      </c>
      <c r="F636" s="7">
        <v>75</v>
      </c>
      <c r="G636" s="57">
        <v>30</v>
      </c>
      <c r="H636" s="7">
        <v>68</v>
      </c>
      <c r="I636" s="7">
        <v>70</v>
      </c>
      <c r="J636" s="7">
        <v>46</v>
      </c>
      <c r="K636" s="7">
        <v>90</v>
      </c>
      <c r="L636" s="56" t="str">
        <f>IFERROR(VLOOKUP(B636,Absen!$A$1:$C$501,2,FALSE),"No")</f>
        <v>No</v>
      </c>
      <c r="M636" s="58">
        <f t="shared" si="32"/>
        <v>9</v>
      </c>
      <c r="N636" s="57">
        <f t="shared" si="33"/>
        <v>61.575000000000003</v>
      </c>
      <c r="O636" s="7" t="str">
        <f>VLOOKUP(N636,Helper!$B$30:$C$35,2,TRUE)</f>
        <v>C</v>
      </c>
      <c r="P636" s="56">
        <f>INDEX(Detail!$A$1:$A$1001,MATCH(B636,Detail!$G$1:$G$1001,0))</f>
        <v>37146</v>
      </c>
      <c r="Q636" s="33" t="str">
        <f>INDEX(Detail!$F$1:$F$1001,MATCH(Main!B636,Detail!$G$1:$G$1001,0))</f>
        <v>Pariaman</v>
      </c>
      <c r="R636" s="7">
        <f>INDEX(Detail!$C$1:$C$1001,MATCH(B636,Detail!$G$1:$G$1001,0),1)</f>
        <v>153</v>
      </c>
      <c r="S636" s="7">
        <f>INDEX(Detail!$D$1:$D$1001,MATCH(B636,Detail!$G$1:$G$1001,0),1)</f>
        <v>68</v>
      </c>
      <c r="T636" s="7" t="str">
        <f>INDEX(Detail!$E$1:$E$1001,MATCH(Main!B636,Detail!$G$1:$G$1001,0))</f>
        <v>Gang Medokan Ayu No. 30</v>
      </c>
      <c r="U636" s="7" t="str">
        <f>INDEX(Detail!$B$1:$B$1001,MATCH(B636,Detail!$G$1:$G$1001,0),1)</f>
        <v>AB+</v>
      </c>
      <c r="V636" s="7" t="str" cm="1">
        <f t="array" ref="V636">INDEX(Dosen!$B$3:$E$8,MATCH(Main!C636,Dosen!$A$3:$A$8,0),IF(AND(Main!A636&gt;=1,Main!A636&lt;=250),1,IF(AND(Main!A636&gt;=251,Main!A636&lt;=500),2,IF(AND(Main!A636&gt;=501,Main!A636&lt;=750),3,4))))</f>
        <v>Bu Made</v>
      </c>
      <c r="W636" s="7" t="str">
        <f>_xlfn.XLOOKUP(B636,Detail!$G$1:$G$1001,Detail!$B$1:$B$1001)</f>
        <v>AB+</v>
      </c>
    </row>
    <row r="637" spans="1:23" ht="15.75" x14ac:dyDescent="0.25">
      <c r="A637" s="7">
        <v>801</v>
      </c>
      <c r="B637" s="33" t="str">
        <f t="shared" si="35"/>
        <v>D0801</v>
      </c>
      <c r="C637" s="7" t="s">
        <v>1013</v>
      </c>
      <c r="D637" s="33" t="str">
        <f>VLOOKUP(B637,Detail!$G$1:$H$1001,2,FALSE)</f>
        <v>Suci Oktaviani</v>
      </c>
      <c r="E637" s="7">
        <v>93</v>
      </c>
      <c r="F637" s="7">
        <v>47</v>
      </c>
      <c r="G637" s="57">
        <v>66</v>
      </c>
      <c r="H637" s="7">
        <v>64</v>
      </c>
      <c r="I637" s="7">
        <v>50</v>
      </c>
      <c r="J637" s="7">
        <v>92</v>
      </c>
      <c r="K637" s="7">
        <v>69</v>
      </c>
      <c r="L637" s="56">
        <f>IFERROR(VLOOKUP(B637,Absen!$A$1:$C$501,2,FALSE),"No")</f>
        <v>44830</v>
      </c>
      <c r="M637" s="58">
        <f t="shared" si="32"/>
        <v>5.9</v>
      </c>
      <c r="N637" s="57">
        <f t="shared" si="33"/>
        <v>69.250000000000014</v>
      </c>
      <c r="O637" s="7" t="str">
        <f>VLOOKUP(N637,Helper!$B$30:$C$35,2,TRUE)</f>
        <v>C</v>
      </c>
      <c r="P637" s="56">
        <f>INDEX(Detail!$A$1:$A$1001,MATCH(B637,Detail!$G$1:$G$1001,0))</f>
        <v>37694</v>
      </c>
      <c r="Q637" s="33" t="str">
        <f>INDEX(Detail!$F$1:$F$1001,MATCH(Main!B637,Detail!$G$1:$G$1001,0))</f>
        <v>Sorong</v>
      </c>
      <c r="R637" s="7">
        <f>INDEX(Detail!$C$1:$C$1001,MATCH(B637,Detail!$G$1:$G$1001,0),1)</f>
        <v>157</v>
      </c>
      <c r="S637" s="7">
        <f>INDEX(Detail!$D$1:$D$1001,MATCH(B637,Detail!$G$1:$G$1001,0),1)</f>
        <v>61</v>
      </c>
      <c r="T637" s="7" t="str">
        <f>INDEX(Detail!$E$1:$E$1001,MATCH(Main!B637,Detail!$G$1:$G$1001,0))</f>
        <v xml:space="preserve">Jl. Pasteur No. 5
</v>
      </c>
      <c r="U637" s="7" t="str">
        <f>INDEX(Detail!$B$1:$B$1001,MATCH(B637,Detail!$G$1:$G$1001,0),1)</f>
        <v>O+</v>
      </c>
      <c r="V637" s="7" t="str" cm="1">
        <f t="array" ref="V637">INDEX(Dosen!$B$3:$E$8,MATCH(Main!C637,Dosen!$A$3:$A$8,0),IF(AND(Main!A637&gt;=1,Main!A637&lt;=250),1,IF(AND(Main!A637&gt;=251,Main!A637&lt;=500),2,IF(AND(Main!A637&gt;=501,Main!A637&lt;=750),3,4))))</f>
        <v>Bu Made</v>
      </c>
      <c r="W637" s="7" t="str">
        <f>_xlfn.XLOOKUP(B637,Detail!$G$1:$G$1001,Detail!$B$1:$B$1001)</f>
        <v>O+</v>
      </c>
    </row>
    <row r="638" spans="1:23" ht="15.75" x14ac:dyDescent="0.25">
      <c r="A638" s="7">
        <v>807</v>
      </c>
      <c r="B638" s="33" t="str">
        <f t="shared" si="35"/>
        <v>D0807</v>
      </c>
      <c r="C638" s="7" t="s">
        <v>1013</v>
      </c>
      <c r="D638" s="33" t="str">
        <f>VLOOKUP(B638,Detail!$G$1:$H$1001,2,FALSE)</f>
        <v>Kusuma Tari</v>
      </c>
      <c r="E638" s="7">
        <v>68</v>
      </c>
      <c r="F638" s="7">
        <v>63</v>
      </c>
      <c r="G638" s="57">
        <v>33</v>
      </c>
      <c r="H638" s="7">
        <v>72</v>
      </c>
      <c r="I638" s="7">
        <v>50</v>
      </c>
      <c r="J638" s="7">
        <v>72</v>
      </c>
      <c r="K638" s="7">
        <v>66</v>
      </c>
      <c r="L638" s="56" t="str">
        <f>IFERROR(VLOOKUP(B638,Absen!$A$1:$C$501,2,FALSE),"No")</f>
        <v>No</v>
      </c>
      <c r="M638" s="58">
        <f t="shared" si="32"/>
        <v>6.6000000000000005</v>
      </c>
      <c r="N638" s="57">
        <f t="shared" si="33"/>
        <v>59.225000000000001</v>
      </c>
      <c r="O638" s="7" t="str">
        <f>VLOOKUP(N638,Helper!$B$30:$C$35,2,TRUE)</f>
        <v>D</v>
      </c>
      <c r="P638" s="56">
        <f>INDEX(Detail!$A$1:$A$1001,MATCH(B638,Detail!$G$1:$G$1001,0))</f>
        <v>38009</v>
      </c>
      <c r="Q638" s="33" t="str">
        <f>INDEX(Detail!$F$1:$F$1001,MATCH(Main!B638,Detail!$G$1:$G$1001,0))</f>
        <v>Semarang</v>
      </c>
      <c r="R638" s="7">
        <f>INDEX(Detail!$C$1:$C$1001,MATCH(B638,Detail!$G$1:$G$1001,0),1)</f>
        <v>174</v>
      </c>
      <c r="S638" s="7">
        <f>INDEX(Detail!$D$1:$D$1001,MATCH(B638,Detail!$G$1:$G$1001,0),1)</f>
        <v>66</v>
      </c>
      <c r="T638" s="7" t="str">
        <f>INDEX(Detail!$E$1:$E$1001,MATCH(Main!B638,Detail!$G$1:$G$1001,0))</f>
        <v>Jalan Pasirkoja No. 32</v>
      </c>
      <c r="U638" s="7" t="str">
        <f>INDEX(Detail!$B$1:$B$1001,MATCH(B638,Detail!$G$1:$G$1001,0),1)</f>
        <v>AB+</v>
      </c>
      <c r="V638" s="7" t="str" cm="1">
        <f t="array" ref="V638">INDEX(Dosen!$B$3:$E$8,MATCH(Main!C638,Dosen!$A$3:$A$8,0),IF(AND(Main!A638&gt;=1,Main!A638&lt;=250),1,IF(AND(Main!A638&gt;=251,Main!A638&lt;=500),2,IF(AND(Main!A638&gt;=501,Main!A638&lt;=750),3,4))))</f>
        <v>Bu Made</v>
      </c>
      <c r="W638" s="7" t="str">
        <f>_xlfn.XLOOKUP(B638,Detail!$G$1:$G$1001,Detail!$B$1:$B$1001)</f>
        <v>AB+</v>
      </c>
    </row>
    <row r="639" spans="1:23" ht="15.75" x14ac:dyDescent="0.25">
      <c r="A639" s="7">
        <v>809</v>
      </c>
      <c r="B639" s="33" t="str">
        <f t="shared" si="35"/>
        <v>D0809</v>
      </c>
      <c r="C639" s="7" t="s">
        <v>1013</v>
      </c>
      <c r="D639" s="33" t="str">
        <f>VLOOKUP(B639,Detail!$G$1:$H$1001,2,FALSE)</f>
        <v>Karma Oktaviani</v>
      </c>
      <c r="E639" s="7">
        <v>51</v>
      </c>
      <c r="F639" s="7">
        <v>51</v>
      </c>
      <c r="G639" s="57">
        <v>63</v>
      </c>
      <c r="H639" s="7">
        <v>52</v>
      </c>
      <c r="I639" s="7">
        <v>51</v>
      </c>
      <c r="J639" s="7">
        <v>62</v>
      </c>
      <c r="K639" s="7">
        <v>87</v>
      </c>
      <c r="L639" s="56">
        <f>IFERROR(VLOOKUP(B639,Absen!$A$1:$C$501,2,FALSE),"No")</f>
        <v>44879</v>
      </c>
      <c r="M639" s="58">
        <f t="shared" si="32"/>
        <v>7.7</v>
      </c>
      <c r="N639" s="57">
        <f t="shared" si="33"/>
        <v>58.325000000000003</v>
      </c>
      <c r="O639" s="7" t="str">
        <f>VLOOKUP(N639,Helper!$B$30:$C$35,2,TRUE)</f>
        <v>D</v>
      </c>
      <c r="P639" s="56">
        <f>INDEX(Detail!$A$1:$A$1001,MATCH(B639,Detail!$G$1:$G$1001,0))</f>
        <v>37851</v>
      </c>
      <c r="Q639" s="33" t="str">
        <f>INDEX(Detail!$F$1:$F$1001,MATCH(Main!B639,Detail!$G$1:$G$1001,0))</f>
        <v>Kota Administrasi Jakarta Timur</v>
      </c>
      <c r="R639" s="7">
        <f>INDEX(Detail!$C$1:$C$1001,MATCH(B639,Detail!$G$1:$G$1001,0),1)</f>
        <v>169</v>
      </c>
      <c r="S639" s="7">
        <f>INDEX(Detail!$D$1:$D$1001,MATCH(B639,Detail!$G$1:$G$1001,0),1)</f>
        <v>67</v>
      </c>
      <c r="T639" s="7" t="str">
        <f>INDEX(Detail!$E$1:$E$1001,MATCH(Main!B639,Detail!$G$1:$G$1001,0))</f>
        <v>Jalan HOS. Cokroaminoto No. 30</v>
      </c>
      <c r="U639" s="7" t="str">
        <f>INDEX(Detail!$B$1:$B$1001,MATCH(B639,Detail!$G$1:$G$1001,0),1)</f>
        <v>AB+</v>
      </c>
      <c r="V639" s="7" t="str" cm="1">
        <f t="array" ref="V639">INDEX(Dosen!$B$3:$E$8,MATCH(Main!C639,Dosen!$A$3:$A$8,0),IF(AND(Main!A639&gt;=1,Main!A639&lt;=250),1,IF(AND(Main!A639&gt;=251,Main!A639&lt;=500),2,IF(AND(Main!A639&gt;=501,Main!A639&lt;=750),3,4))))</f>
        <v>Bu Made</v>
      </c>
      <c r="W639" s="7" t="str">
        <f>_xlfn.XLOOKUP(B639,Detail!$G$1:$G$1001,Detail!$B$1:$B$1001)</f>
        <v>AB+</v>
      </c>
    </row>
    <row r="640" spans="1:23" ht="15.75" x14ac:dyDescent="0.25">
      <c r="A640" s="7">
        <v>815</v>
      </c>
      <c r="B640" s="33" t="str">
        <f t="shared" si="35"/>
        <v>D0815</v>
      </c>
      <c r="C640" s="7" t="s">
        <v>1013</v>
      </c>
      <c r="D640" s="33" t="str">
        <f>VLOOKUP(B640,Detail!$G$1:$H$1001,2,FALSE)</f>
        <v>Jarwadi Puspasari</v>
      </c>
      <c r="E640" s="7">
        <v>70</v>
      </c>
      <c r="F640" s="7">
        <v>58</v>
      </c>
      <c r="G640" s="57">
        <v>55</v>
      </c>
      <c r="H640" s="7">
        <v>64</v>
      </c>
      <c r="I640" s="7">
        <v>88</v>
      </c>
      <c r="J640" s="7">
        <v>95</v>
      </c>
      <c r="K640" s="7">
        <v>94</v>
      </c>
      <c r="L640" s="56" t="str">
        <f>IFERROR(VLOOKUP(B640,Absen!$A$1:$C$501,2,FALSE),"No")</f>
        <v>No</v>
      </c>
      <c r="M640" s="58">
        <f t="shared" si="32"/>
        <v>9.4</v>
      </c>
      <c r="N640" s="57">
        <f t="shared" si="33"/>
        <v>74.400000000000006</v>
      </c>
      <c r="O640" s="7" t="str">
        <f>VLOOKUP(N640,Helper!$B$30:$C$35,2,TRUE)</f>
        <v>B</v>
      </c>
      <c r="P640" s="56">
        <f>INDEX(Detail!$A$1:$A$1001,MATCH(B640,Detail!$G$1:$G$1001,0))</f>
        <v>37238</v>
      </c>
      <c r="Q640" s="33" t="str">
        <f>INDEX(Detail!$F$1:$F$1001,MATCH(Main!B640,Detail!$G$1:$G$1001,0))</f>
        <v>Bandung</v>
      </c>
      <c r="R640" s="7">
        <f>INDEX(Detail!$C$1:$C$1001,MATCH(B640,Detail!$G$1:$G$1001,0),1)</f>
        <v>154</v>
      </c>
      <c r="S640" s="7">
        <f>INDEX(Detail!$D$1:$D$1001,MATCH(B640,Detail!$G$1:$G$1001,0),1)</f>
        <v>73</v>
      </c>
      <c r="T640" s="7" t="str">
        <f>INDEX(Detail!$E$1:$E$1001,MATCH(Main!B640,Detail!$G$1:$G$1001,0))</f>
        <v>Jl. Surapati No. 17</v>
      </c>
      <c r="U640" s="7" t="str">
        <f>INDEX(Detail!$B$1:$B$1001,MATCH(B640,Detail!$G$1:$G$1001,0),1)</f>
        <v>O+</v>
      </c>
      <c r="V640" s="7" t="str" cm="1">
        <f t="array" ref="V640">INDEX(Dosen!$B$3:$E$8,MATCH(Main!C640,Dosen!$A$3:$A$8,0),IF(AND(Main!A640&gt;=1,Main!A640&lt;=250),1,IF(AND(Main!A640&gt;=251,Main!A640&lt;=500),2,IF(AND(Main!A640&gt;=501,Main!A640&lt;=750),3,4))))</f>
        <v>Bu Made</v>
      </c>
      <c r="W640" s="7" t="str">
        <f>_xlfn.XLOOKUP(B640,Detail!$G$1:$G$1001,Detail!$B$1:$B$1001)</f>
        <v>O+</v>
      </c>
    </row>
    <row r="641" spans="1:23" ht="15.75" x14ac:dyDescent="0.25">
      <c r="A641" s="7">
        <v>817</v>
      </c>
      <c r="B641" s="33" t="str">
        <f t="shared" si="35"/>
        <v>D0817</v>
      </c>
      <c r="C641" s="7" t="s">
        <v>1013</v>
      </c>
      <c r="D641" s="33" t="str">
        <f>VLOOKUP(B641,Detail!$G$1:$H$1001,2,FALSE)</f>
        <v>Vicky Novitasari</v>
      </c>
      <c r="E641" s="7">
        <v>80</v>
      </c>
      <c r="F641" s="7">
        <v>72</v>
      </c>
      <c r="G641" s="57">
        <v>84</v>
      </c>
      <c r="H641" s="7">
        <v>64</v>
      </c>
      <c r="I641" s="7">
        <v>70</v>
      </c>
      <c r="J641" s="7">
        <v>98</v>
      </c>
      <c r="K641" s="7">
        <v>66</v>
      </c>
      <c r="L641" s="56">
        <f>IFERROR(VLOOKUP(B641,Absen!$A$1:$C$501,2,FALSE),"No")</f>
        <v>44896</v>
      </c>
      <c r="M641" s="58">
        <f t="shared" si="32"/>
        <v>5.6000000000000005</v>
      </c>
      <c r="N641" s="57">
        <f t="shared" si="33"/>
        <v>77.75</v>
      </c>
      <c r="O641" s="7" t="str">
        <f>VLOOKUP(N641,Helper!$B$30:$C$35,2,TRUE)</f>
        <v>B</v>
      </c>
      <c r="P641" s="56">
        <f>INDEX(Detail!$A$1:$A$1001,MATCH(B641,Detail!$G$1:$G$1001,0))</f>
        <v>37927</v>
      </c>
      <c r="Q641" s="33" t="str">
        <f>INDEX(Detail!$F$1:$F$1001,MATCH(Main!B641,Detail!$G$1:$G$1001,0))</f>
        <v>Madiun</v>
      </c>
      <c r="R641" s="7">
        <f>INDEX(Detail!$C$1:$C$1001,MATCH(B641,Detail!$G$1:$G$1001,0),1)</f>
        <v>173</v>
      </c>
      <c r="S641" s="7">
        <f>INDEX(Detail!$D$1:$D$1001,MATCH(B641,Detail!$G$1:$G$1001,0),1)</f>
        <v>76</v>
      </c>
      <c r="T641" s="7" t="str">
        <f>INDEX(Detail!$E$1:$E$1001,MATCH(Main!B641,Detail!$G$1:$G$1001,0))</f>
        <v>Jalan Suryakencana No. 23</v>
      </c>
      <c r="U641" s="7" t="str">
        <f>INDEX(Detail!$B$1:$B$1001,MATCH(B641,Detail!$G$1:$G$1001,0),1)</f>
        <v>O+</v>
      </c>
      <c r="V641" s="7" t="str" cm="1">
        <f t="array" ref="V641">INDEX(Dosen!$B$3:$E$8,MATCH(Main!C641,Dosen!$A$3:$A$8,0),IF(AND(Main!A641&gt;=1,Main!A641&lt;=250),1,IF(AND(Main!A641&gt;=251,Main!A641&lt;=500),2,IF(AND(Main!A641&gt;=501,Main!A641&lt;=750),3,4))))</f>
        <v>Bu Made</v>
      </c>
      <c r="W641" s="7" t="str">
        <f>_xlfn.XLOOKUP(B641,Detail!$G$1:$G$1001,Detail!$B$1:$B$1001)</f>
        <v>O+</v>
      </c>
    </row>
    <row r="642" spans="1:23" ht="15.75" x14ac:dyDescent="0.25">
      <c r="A642" s="7">
        <v>822</v>
      </c>
      <c r="B642" s="33" t="str">
        <f t="shared" si="35"/>
        <v>D0822</v>
      </c>
      <c r="C642" s="7" t="s">
        <v>1013</v>
      </c>
      <c r="D642" s="33" t="str">
        <f>VLOOKUP(B642,Detail!$G$1:$H$1001,2,FALSE)</f>
        <v>Yance Tamba</v>
      </c>
      <c r="E642" s="7">
        <v>59</v>
      </c>
      <c r="F642" s="7">
        <v>51</v>
      </c>
      <c r="G642" s="57">
        <v>63</v>
      </c>
      <c r="H642" s="7">
        <v>66</v>
      </c>
      <c r="I642" s="7">
        <v>93</v>
      </c>
      <c r="J642" s="7">
        <v>72</v>
      </c>
      <c r="K642" s="7">
        <v>100</v>
      </c>
      <c r="L642" s="56" t="str">
        <f>IFERROR(VLOOKUP(B642,Absen!$A$1:$C$501,2,FALSE),"No")</f>
        <v>No</v>
      </c>
      <c r="M642" s="58">
        <f t="shared" ref="M642:M705" si="36">IF(L642="no",K642,K642-10)*10%</f>
        <v>10</v>
      </c>
      <c r="N642" s="57">
        <f t="shared" ref="N642:N705" si="37">SUM(E642*12.5%,F642*12.5%,H642*12.5%,I642*12.5%,G642*20%,J642*20%,M642)</f>
        <v>70.625</v>
      </c>
      <c r="O642" s="7" t="str">
        <f>VLOOKUP(N642,Helper!$B$30:$C$35,2,TRUE)</f>
        <v>B</v>
      </c>
      <c r="P642" s="56">
        <f>INDEX(Detail!$A$1:$A$1001,MATCH(B642,Detail!$G$1:$G$1001,0))</f>
        <v>37419</v>
      </c>
      <c r="Q642" s="33" t="str">
        <f>INDEX(Detail!$F$1:$F$1001,MATCH(Main!B642,Detail!$G$1:$G$1001,0))</f>
        <v>Padangpanjang</v>
      </c>
      <c r="R642" s="7">
        <f>INDEX(Detail!$C$1:$C$1001,MATCH(B642,Detail!$G$1:$G$1001,0),1)</f>
        <v>167</v>
      </c>
      <c r="S642" s="7">
        <f>INDEX(Detail!$D$1:$D$1001,MATCH(B642,Detail!$G$1:$G$1001,0),1)</f>
        <v>70</v>
      </c>
      <c r="T642" s="7" t="str">
        <f>INDEX(Detail!$E$1:$E$1001,MATCH(Main!B642,Detail!$G$1:$G$1001,0))</f>
        <v>Jalan Kendalsari No. 22</v>
      </c>
      <c r="U642" s="7" t="str">
        <f>INDEX(Detail!$B$1:$B$1001,MATCH(B642,Detail!$G$1:$G$1001,0),1)</f>
        <v>A+</v>
      </c>
      <c r="V642" s="7" t="str" cm="1">
        <f t="array" ref="V642">INDEX(Dosen!$B$3:$E$8,MATCH(Main!C642,Dosen!$A$3:$A$8,0),IF(AND(Main!A642&gt;=1,Main!A642&lt;=250),1,IF(AND(Main!A642&gt;=251,Main!A642&lt;=500),2,IF(AND(Main!A642&gt;=501,Main!A642&lt;=750),3,4))))</f>
        <v>Bu Made</v>
      </c>
      <c r="W642" s="7" t="str">
        <f>_xlfn.XLOOKUP(B642,Detail!$G$1:$G$1001,Detail!$B$1:$B$1001)</f>
        <v>A+</v>
      </c>
    </row>
    <row r="643" spans="1:23" ht="15.75" x14ac:dyDescent="0.25">
      <c r="A643" s="7">
        <v>825</v>
      </c>
      <c r="B643" s="33" t="str">
        <f t="shared" si="35"/>
        <v>D0825</v>
      </c>
      <c r="C643" s="7" t="s">
        <v>1013</v>
      </c>
      <c r="D643" s="33" t="str">
        <f>VLOOKUP(B643,Detail!$G$1:$H$1001,2,FALSE)</f>
        <v>Darijan Permata</v>
      </c>
      <c r="E643" s="7">
        <v>85</v>
      </c>
      <c r="F643" s="7">
        <v>43</v>
      </c>
      <c r="G643" s="57">
        <v>45</v>
      </c>
      <c r="H643" s="7">
        <v>54</v>
      </c>
      <c r="I643" s="7">
        <v>68</v>
      </c>
      <c r="J643" s="7">
        <v>45</v>
      </c>
      <c r="K643" s="7">
        <v>62</v>
      </c>
      <c r="L643" s="56" t="str">
        <f>IFERROR(VLOOKUP(B643,Absen!$A$1:$C$501,2,FALSE),"No")</f>
        <v>No</v>
      </c>
      <c r="M643" s="58">
        <f t="shared" si="36"/>
        <v>6.2</v>
      </c>
      <c r="N643" s="57">
        <f t="shared" si="37"/>
        <v>55.45</v>
      </c>
      <c r="O643" s="7" t="str">
        <f>VLOOKUP(N643,Helper!$B$30:$C$35,2,TRUE)</f>
        <v>D</v>
      </c>
      <c r="P643" s="56">
        <f>INDEX(Detail!$A$1:$A$1001,MATCH(B643,Detail!$G$1:$G$1001,0))</f>
        <v>37983</v>
      </c>
      <c r="Q643" s="33" t="str">
        <f>INDEX(Detail!$F$1:$F$1001,MATCH(Main!B643,Detail!$G$1:$G$1001,0))</f>
        <v>Pekalongan</v>
      </c>
      <c r="R643" s="7">
        <f>INDEX(Detail!$C$1:$C$1001,MATCH(B643,Detail!$G$1:$G$1001,0),1)</f>
        <v>178</v>
      </c>
      <c r="S643" s="7">
        <f>INDEX(Detail!$D$1:$D$1001,MATCH(B643,Detail!$G$1:$G$1001,0),1)</f>
        <v>79</v>
      </c>
      <c r="T643" s="7" t="str">
        <f>INDEX(Detail!$E$1:$E$1001,MATCH(Main!B643,Detail!$G$1:$G$1001,0))</f>
        <v>Jalan BKR No. 03</v>
      </c>
      <c r="U643" s="7" t="str">
        <f>INDEX(Detail!$B$1:$B$1001,MATCH(B643,Detail!$G$1:$G$1001,0),1)</f>
        <v>B+</v>
      </c>
      <c r="V643" s="7" t="str" cm="1">
        <f t="array" ref="V643">INDEX(Dosen!$B$3:$E$8,MATCH(Main!C643,Dosen!$A$3:$A$8,0),IF(AND(Main!A643&gt;=1,Main!A643&lt;=250),1,IF(AND(Main!A643&gt;=251,Main!A643&lt;=500),2,IF(AND(Main!A643&gt;=501,Main!A643&lt;=750),3,4))))</f>
        <v>Bu Made</v>
      </c>
      <c r="W643" s="7" t="str">
        <f>_xlfn.XLOOKUP(B643,Detail!$G$1:$G$1001,Detail!$B$1:$B$1001)</f>
        <v>B+</v>
      </c>
    </row>
    <row r="644" spans="1:23" ht="15.75" x14ac:dyDescent="0.25">
      <c r="A644" s="7">
        <v>832</v>
      </c>
      <c r="B644" s="33" t="str">
        <f t="shared" si="35"/>
        <v>D0832</v>
      </c>
      <c r="C644" s="7" t="s">
        <v>1013</v>
      </c>
      <c r="D644" s="33" t="str">
        <f>VLOOKUP(B644,Detail!$G$1:$H$1001,2,FALSE)</f>
        <v>Ifa Kusmawati</v>
      </c>
      <c r="E644" s="7">
        <v>83</v>
      </c>
      <c r="F644" s="7">
        <v>54</v>
      </c>
      <c r="G644" s="57">
        <v>34</v>
      </c>
      <c r="H644" s="7">
        <v>56</v>
      </c>
      <c r="I644" s="7">
        <v>86</v>
      </c>
      <c r="J644" s="7">
        <v>70</v>
      </c>
      <c r="K644" s="7">
        <v>74</v>
      </c>
      <c r="L644" s="56">
        <f>IFERROR(VLOOKUP(B644,Absen!$A$1:$C$501,2,FALSE),"No")</f>
        <v>44782</v>
      </c>
      <c r="M644" s="58">
        <f t="shared" si="36"/>
        <v>6.4</v>
      </c>
      <c r="N644" s="57">
        <f t="shared" si="37"/>
        <v>62.074999999999996</v>
      </c>
      <c r="O644" s="7" t="str">
        <f>VLOOKUP(N644,Helper!$B$30:$C$35,2,TRUE)</f>
        <v>C</v>
      </c>
      <c r="P644" s="56">
        <f>INDEX(Detail!$A$1:$A$1001,MATCH(B644,Detail!$G$1:$G$1001,0))</f>
        <v>37252</v>
      </c>
      <c r="Q644" s="33" t="str">
        <f>INDEX(Detail!$F$1:$F$1001,MATCH(Main!B644,Detail!$G$1:$G$1001,0))</f>
        <v>Bukittinggi</v>
      </c>
      <c r="R644" s="7">
        <f>INDEX(Detail!$C$1:$C$1001,MATCH(B644,Detail!$G$1:$G$1001,0),1)</f>
        <v>157</v>
      </c>
      <c r="S644" s="7">
        <f>INDEX(Detail!$D$1:$D$1001,MATCH(B644,Detail!$G$1:$G$1001,0),1)</f>
        <v>59</v>
      </c>
      <c r="T644" s="7" t="str">
        <f>INDEX(Detail!$E$1:$E$1001,MATCH(Main!B644,Detail!$G$1:$G$1001,0))</f>
        <v>Jalan Rajiman No. 44</v>
      </c>
      <c r="U644" s="7" t="str">
        <f>INDEX(Detail!$B$1:$B$1001,MATCH(B644,Detail!$G$1:$G$1001,0),1)</f>
        <v>A-</v>
      </c>
      <c r="V644" s="7" t="str" cm="1">
        <f t="array" ref="V644">INDEX(Dosen!$B$3:$E$8,MATCH(Main!C644,Dosen!$A$3:$A$8,0),IF(AND(Main!A644&gt;=1,Main!A644&lt;=250),1,IF(AND(Main!A644&gt;=251,Main!A644&lt;=500),2,IF(AND(Main!A644&gt;=501,Main!A644&lt;=750),3,4))))</f>
        <v>Bu Made</v>
      </c>
      <c r="W644" s="7" t="str">
        <f>_xlfn.XLOOKUP(B644,Detail!$G$1:$G$1001,Detail!$B$1:$B$1001)</f>
        <v>A-</v>
      </c>
    </row>
    <row r="645" spans="1:23" ht="15.75" x14ac:dyDescent="0.25">
      <c r="A645" s="7">
        <v>840</v>
      </c>
      <c r="B645" s="33" t="str">
        <f t="shared" si="35"/>
        <v>D0840</v>
      </c>
      <c r="C645" s="7" t="s">
        <v>1013</v>
      </c>
      <c r="D645" s="33" t="str">
        <f>VLOOKUP(B645,Detail!$G$1:$H$1001,2,FALSE)</f>
        <v>Edward Natsir</v>
      </c>
      <c r="E645" s="7">
        <v>59</v>
      </c>
      <c r="F645" s="7">
        <v>56</v>
      </c>
      <c r="G645" s="57">
        <v>43</v>
      </c>
      <c r="H645" s="7">
        <v>68</v>
      </c>
      <c r="I645" s="7">
        <v>63</v>
      </c>
      <c r="J645" s="7">
        <v>57</v>
      </c>
      <c r="K645" s="7">
        <v>93</v>
      </c>
      <c r="L645" s="56" t="str">
        <f>IFERROR(VLOOKUP(B645,Absen!$A$1:$C$501,2,FALSE),"No")</f>
        <v>No</v>
      </c>
      <c r="M645" s="58">
        <f t="shared" si="36"/>
        <v>9.3000000000000007</v>
      </c>
      <c r="N645" s="57">
        <f t="shared" si="37"/>
        <v>60.05</v>
      </c>
      <c r="O645" s="7" t="str">
        <f>VLOOKUP(N645,Helper!$B$30:$C$35,2,TRUE)</f>
        <v>C</v>
      </c>
      <c r="P645" s="56">
        <f>INDEX(Detail!$A$1:$A$1001,MATCH(B645,Detail!$G$1:$G$1001,0))</f>
        <v>38242</v>
      </c>
      <c r="Q645" s="33" t="str">
        <f>INDEX(Detail!$F$1:$F$1001,MATCH(Main!B645,Detail!$G$1:$G$1001,0))</f>
        <v>Bitung</v>
      </c>
      <c r="R645" s="7">
        <f>INDEX(Detail!$C$1:$C$1001,MATCH(B645,Detail!$G$1:$G$1001,0),1)</f>
        <v>159</v>
      </c>
      <c r="S645" s="7">
        <f>INDEX(Detail!$D$1:$D$1001,MATCH(B645,Detail!$G$1:$G$1001,0),1)</f>
        <v>66</v>
      </c>
      <c r="T645" s="7" t="str">
        <f>INDEX(Detail!$E$1:$E$1001,MATCH(Main!B645,Detail!$G$1:$G$1001,0))</f>
        <v>Gg. Ahmad Dahlan No. 89</v>
      </c>
      <c r="U645" s="7" t="str">
        <f>INDEX(Detail!$B$1:$B$1001,MATCH(B645,Detail!$G$1:$G$1001,0),1)</f>
        <v>AB+</v>
      </c>
      <c r="V645" s="7" t="str" cm="1">
        <f t="array" ref="V645">INDEX(Dosen!$B$3:$E$8,MATCH(Main!C645,Dosen!$A$3:$A$8,0),IF(AND(Main!A645&gt;=1,Main!A645&lt;=250),1,IF(AND(Main!A645&gt;=251,Main!A645&lt;=500),2,IF(AND(Main!A645&gt;=501,Main!A645&lt;=750),3,4))))</f>
        <v>Bu Made</v>
      </c>
      <c r="W645" s="7" t="str">
        <f>_xlfn.XLOOKUP(B645,Detail!$G$1:$G$1001,Detail!$B$1:$B$1001)</f>
        <v>AB+</v>
      </c>
    </row>
    <row r="646" spans="1:23" ht="15.75" x14ac:dyDescent="0.25">
      <c r="A646" s="7">
        <v>841</v>
      </c>
      <c r="B646" s="33" t="str">
        <f t="shared" si="35"/>
        <v>D0841</v>
      </c>
      <c r="C646" s="7" t="s">
        <v>1013</v>
      </c>
      <c r="D646" s="33" t="str">
        <f>VLOOKUP(B646,Detail!$G$1:$H$1001,2,FALSE)</f>
        <v>Clara Kusmawati</v>
      </c>
      <c r="E646" s="7">
        <v>62</v>
      </c>
      <c r="F646" s="7">
        <v>68</v>
      </c>
      <c r="G646" s="57">
        <v>31</v>
      </c>
      <c r="H646" s="7">
        <v>74</v>
      </c>
      <c r="I646" s="7">
        <v>63</v>
      </c>
      <c r="J646" s="7">
        <v>74</v>
      </c>
      <c r="K646" s="7">
        <v>69</v>
      </c>
      <c r="L646" s="56">
        <f>IFERROR(VLOOKUP(B646,Absen!$A$1:$C$501,2,FALSE),"No")</f>
        <v>44820</v>
      </c>
      <c r="M646" s="58">
        <f t="shared" si="36"/>
        <v>5.9</v>
      </c>
      <c r="N646" s="57">
        <f t="shared" si="37"/>
        <v>60.274999999999999</v>
      </c>
      <c r="O646" s="7" t="str">
        <f>VLOOKUP(N646,Helper!$B$30:$C$35,2,TRUE)</f>
        <v>C</v>
      </c>
      <c r="P646" s="56">
        <f>INDEX(Detail!$A$1:$A$1001,MATCH(B646,Detail!$G$1:$G$1001,0))</f>
        <v>37119</v>
      </c>
      <c r="Q646" s="33" t="str">
        <f>INDEX(Detail!$F$1:$F$1001,MATCH(Main!B646,Detail!$G$1:$G$1001,0))</f>
        <v>Palopo</v>
      </c>
      <c r="R646" s="7">
        <f>INDEX(Detail!$C$1:$C$1001,MATCH(B646,Detail!$G$1:$G$1001,0),1)</f>
        <v>179</v>
      </c>
      <c r="S646" s="7">
        <f>INDEX(Detail!$D$1:$D$1001,MATCH(B646,Detail!$G$1:$G$1001,0),1)</f>
        <v>74</v>
      </c>
      <c r="T646" s="7" t="str">
        <f>INDEX(Detail!$E$1:$E$1001,MATCH(Main!B646,Detail!$G$1:$G$1001,0))</f>
        <v>Jl. H.J Maemunah No. 72</v>
      </c>
      <c r="U646" s="7" t="str">
        <f>INDEX(Detail!$B$1:$B$1001,MATCH(B646,Detail!$G$1:$G$1001,0),1)</f>
        <v>B+</v>
      </c>
      <c r="V646" s="7" t="str" cm="1">
        <f t="array" ref="V646">INDEX(Dosen!$B$3:$E$8,MATCH(Main!C646,Dosen!$A$3:$A$8,0),IF(AND(Main!A646&gt;=1,Main!A646&lt;=250),1,IF(AND(Main!A646&gt;=251,Main!A646&lt;=500),2,IF(AND(Main!A646&gt;=501,Main!A646&lt;=750),3,4))))</f>
        <v>Bu Made</v>
      </c>
      <c r="W646" s="7" t="str">
        <f>_xlfn.XLOOKUP(B646,Detail!$G$1:$G$1001,Detail!$B$1:$B$1001)</f>
        <v>B+</v>
      </c>
    </row>
    <row r="647" spans="1:23" ht="15.75" x14ac:dyDescent="0.25">
      <c r="A647" s="7">
        <v>844</v>
      </c>
      <c r="B647" s="33" t="str">
        <f t="shared" si="35"/>
        <v>D0844</v>
      </c>
      <c r="C647" s="7" t="s">
        <v>1013</v>
      </c>
      <c r="D647" s="33" t="str">
        <f>VLOOKUP(B647,Detail!$G$1:$H$1001,2,FALSE)</f>
        <v>Banara Utama</v>
      </c>
      <c r="E647" s="7">
        <v>83</v>
      </c>
      <c r="F647" s="7">
        <v>56</v>
      </c>
      <c r="G647" s="57">
        <v>51</v>
      </c>
      <c r="H647" s="7">
        <v>50</v>
      </c>
      <c r="I647" s="7">
        <v>83</v>
      </c>
      <c r="J647" s="7">
        <v>73</v>
      </c>
      <c r="K647" s="7">
        <v>71</v>
      </c>
      <c r="L647" s="56">
        <f>IFERROR(VLOOKUP(B647,Absen!$A$1:$C$501,2,FALSE),"No")</f>
        <v>44784</v>
      </c>
      <c r="M647" s="58">
        <f t="shared" si="36"/>
        <v>6.1000000000000005</v>
      </c>
      <c r="N647" s="57">
        <f t="shared" si="37"/>
        <v>64.900000000000006</v>
      </c>
      <c r="O647" s="7" t="str">
        <f>VLOOKUP(N647,Helper!$B$30:$C$35,2,TRUE)</f>
        <v>C</v>
      </c>
      <c r="P647" s="56">
        <f>INDEX(Detail!$A$1:$A$1001,MATCH(B647,Detail!$G$1:$G$1001,0))</f>
        <v>37100</v>
      </c>
      <c r="Q647" s="33" t="str">
        <f>INDEX(Detail!$F$1:$F$1001,MATCH(Main!B647,Detail!$G$1:$G$1001,0))</f>
        <v>Manado</v>
      </c>
      <c r="R647" s="7">
        <f>INDEX(Detail!$C$1:$C$1001,MATCH(B647,Detail!$G$1:$G$1001,0),1)</f>
        <v>177</v>
      </c>
      <c r="S647" s="7">
        <f>INDEX(Detail!$D$1:$D$1001,MATCH(B647,Detail!$G$1:$G$1001,0),1)</f>
        <v>77</v>
      </c>
      <c r="T647" s="7" t="str">
        <f>INDEX(Detail!$E$1:$E$1001,MATCH(Main!B647,Detail!$G$1:$G$1001,0))</f>
        <v>Jalan Kapten Muslihat No. 61</v>
      </c>
      <c r="U647" s="7" t="str">
        <f>INDEX(Detail!$B$1:$B$1001,MATCH(B647,Detail!$G$1:$G$1001,0),1)</f>
        <v>A+</v>
      </c>
      <c r="V647" s="7" t="str" cm="1">
        <f t="array" ref="V647">INDEX(Dosen!$B$3:$E$8,MATCH(Main!C647,Dosen!$A$3:$A$8,0),IF(AND(Main!A647&gt;=1,Main!A647&lt;=250),1,IF(AND(Main!A647&gt;=251,Main!A647&lt;=500),2,IF(AND(Main!A647&gt;=501,Main!A647&lt;=750),3,4))))</f>
        <v>Bu Made</v>
      </c>
      <c r="W647" s="7" t="str">
        <f>_xlfn.XLOOKUP(B647,Detail!$G$1:$G$1001,Detail!$B$1:$B$1001)</f>
        <v>A+</v>
      </c>
    </row>
    <row r="648" spans="1:23" ht="15.75" x14ac:dyDescent="0.25">
      <c r="A648" s="7">
        <v>846</v>
      </c>
      <c r="B648" s="33" t="str">
        <f t="shared" si="35"/>
        <v>D0846</v>
      </c>
      <c r="C648" s="7" t="s">
        <v>1013</v>
      </c>
      <c r="D648" s="33" t="str">
        <f>VLOOKUP(B648,Detail!$G$1:$H$1001,2,FALSE)</f>
        <v>Cawisadi Laksita</v>
      </c>
      <c r="E648" s="7">
        <v>77</v>
      </c>
      <c r="F648" s="7">
        <v>60</v>
      </c>
      <c r="G648" s="57">
        <v>55</v>
      </c>
      <c r="H648" s="7">
        <v>53</v>
      </c>
      <c r="I648" s="7">
        <v>66</v>
      </c>
      <c r="J648" s="7">
        <v>82</v>
      </c>
      <c r="K648" s="7">
        <v>64</v>
      </c>
      <c r="L648" s="56" t="str">
        <f>IFERROR(VLOOKUP(B648,Absen!$A$1:$C$501,2,FALSE),"No")</f>
        <v>No</v>
      </c>
      <c r="M648" s="58">
        <f t="shared" si="36"/>
        <v>6.4</v>
      </c>
      <c r="N648" s="57">
        <f t="shared" si="37"/>
        <v>65.800000000000011</v>
      </c>
      <c r="O648" s="7" t="str">
        <f>VLOOKUP(N648,Helper!$B$30:$C$35,2,TRUE)</f>
        <v>C</v>
      </c>
      <c r="P648" s="56">
        <f>INDEX(Detail!$A$1:$A$1001,MATCH(B648,Detail!$G$1:$G$1001,0))</f>
        <v>37876</v>
      </c>
      <c r="Q648" s="33" t="str">
        <f>INDEX(Detail!$F$1:$F$1001,MATCH(Main!B648,Detail!$G$1:$G$1001,0))</f>
        <v>Makassar</v>
      </c>
      <c r="R648" s="7">
        <f>INDEX(Detail!$C$1:$C$1001,MATCH(B648,Detail!$G$1:$G$1001,0),1)</f>
        <v>160</v>
      </c>
      <c r="S648" s="7">
        <f>INDEX(Detail!$D$1:$D$1001,MATCH(B648,Detail!$G$1:$G$1001,0),1)</f>
        <v>50</v>
      </c>
      <c r="T648" s="7" t="str">
        <f>INDEX(Detail!$E$1:$E$1001,MATCH(Main!B648,Detail!$G$1:$G$1001,0))</f>
        <v>Jalan Stasiun Wonokromo No. 12</v>
      </c>
      <c r="U648" s="7" t="str">
        <f>INDEX(Detail!$B$1:$B$1001,MATCH(B648,Detail!$G$1:$G$1001,0),1)</f>
        <v>AB-</v>
      </c>
      <c r="V648" s="7" t="str" cm="1">
        <f t="array" ref="V648">INDEX(Dosen!$B$3:$E$8,MATCH(Main!C648,Dosen!$A$3:$A$8,0),IF(AND(Main!A648&gt;=1,Main!A648&lt;=250),1,IF(AND(Main!A648&gt;=251,Main!A648&lt;=500),2,IF(AND(Main!A648&gt;=501,Main!A648&lt;=750),3,4))))</f>
        <v>Bu Made</v>
      </c>
      <c r="W648" s="7" t="str">
        <f>_xlfn.XLOOKUP(B648,Detail!$G$1:$G$1001,Detail!$B$1:$B$1001)</f>
        <v>AB-</v>
      </c>
    </row>
    <row r="649" spans="1:23" ht="15.75" x14ac:dyDescent="0.25">
      <c r="A649" s="7">
        <v>849</v>
      </c>
      <c r="B649" s="33" t="str">
        <f t="shared" si="35"/>
        <v>D0849</v>
      </c>
      <c r="C649" s="7" t="s">
        <v>1013</v>
      </c>
      <c r="D649" s="33" t="str">
        <f>VLOOKUP(B649,Detail!$G$1:$H$1001,2,FALSE)</f>
        <v>Tugiman Hassanah</v>
      </c>
      <c r="E649" s="7">
        <v>74</v>
      </c>
      <c r="F649" s="7">
        <v>71</v>
      </c>
      <c r="G649" s="57">
        <v>79</v>
      </c>
      <c r="H649" s="7">
        <v>70</v>
      </c>
      <c r="I649" s="7">
        <v>82</v>
      </c>
      <c r="J649" s="7">
        <v>87</v>
      </c>
      <c r="K649" s="7">
        <v>73</v>
      </c>
      <c r="L649" s="56">
        <f>IFERROR(VLOOKUP(B649,Absen!$A$1:$C$501,2,FALSE),"No")</f>
        <v>44896</v>
      </c>
      <c r="M649" s="58">
        <f t="shared" si="36"/>
        <v>6.3000000000000007</v>
      </c>
      <c r="N649" s="57">
        <f t="shared" si="37"/>
        <v>76.625</v>
      </c>
      <c r="O649" s="7" t="str">
        <f>VLOOKUP(N649,Helper!$B$30:$C$35,2,TRUE)</f>
        <v>B</v>
      </c>
      <c r="P649" s="56">
        <f>INDEX(Detail!$A$1:$A$1001,MATCH(B649,Detail!$G$1:$G$1001,0))</f>
        <v>37904</v>
      </c>
      <c r="Q649" s="33" t="str">
        <f>INDEX(Detail!$F$1:$F$1001,MATCH(Main!B649,Detail!$G$1:$G$1001,0))</f>
        <v>Bandung</v>
      </c>
      <c r="R649" s="7">
        <f>INDEX(Detail!$C$1:$C$1001,MATCH(B649,Detail!$G$1:$G$1001,0),1)</f>
        <v>153</v>
      </c>
      <c r="S649" s="7">
        <f>INDEX(Detail!$D$1:$D$1001,MATCH(B649,Detail!$G$1:$G$1001,0),1)</f>
        <v>50</v>
      </c>
      <c r="T649" s="7" t="str">
        <f>INDEX(Detail!$E$1:$E$1001,MATCH(Main!B649,Detail!$G$1:$G$1001,0))</f>
        <v>Gang HOS. Cokroaminoto No. 33</v>
      </c>
      <c r="U649" s="7" t="str">
        <f>INDEX(Detail!$B$1:$B$1001,MATCH(B649,Detail!$G$1:$G$1001,0),1)</f>
        <v>A-</v>
      </c>
      <c r="V649" s="7" t="str" cm="1">
        <f t="array" ref="V649">INDEX(Dosen!$B$3:$E$8,MATCH(Main!C649,Dosen!$A$3:$A$8,0),IF(AND(Main!A649&gt;=1,Main!A649&lt;=250),1,IF(AND(Main!A649&gt;=251,Main!A649&lt;=500),2,IF(AND(Main!A649&gt;=501,Main!A649&lt;=750),3,4))))</f>
        <v>Bu Made</v>
      </c>
      <c r="W649" s="7" t="str">
        <f>_xlfn.XLOOKUP(B649,Detail!$G$1:$G$1001,Detail!$B$1:$B$1001)</f>
        <v>A-</v>
      </c>
    </row>
    <row r="650" spans="1:23" ht="15.75" x14ac:dyDescent="0.25">
      <c r="A650" s="7">
        <v>850</v>
      </c>
      <c r="B650" s="33" t="str">
        <f t="shared" si="35"/>
        <v>D0850</v>
      </c>
      <c r="C650" s="7" t="s">
        <v>1013</v>
      </c>
      <c r="D650" s="33" t="str">
        <f>VLOOKUP(B650,Detail!$G$1:$H$1001,2,FALSE)</f>
        <v>Kania Irawan</v>
      </c>
      <c r="E650" s="7">
        <v>67</v>
      </c>
      <c r="F650" s="7">
        <v>41</v>
      </c>
      <c r="G650" s="57">
        <v>49</v>
      </c>
      <c r="H650" s="7">
        <v>68</v>
      </c>
      <c r="I650" s="7">
        <v>87</v>
      </c>
      <c r="J650" s="7">
        <v>53</v>
      </c>
      <c r="K650" s="7">
        <v>92</v>
      </c>
      <c r="L650" s="56" t="str">
        <f>IFERROR(VLOOKUP(B650,Absen!$A$1:$C$501,2,FALSE),"No")</f>
        <v>No</v>
      </c>
      <c r="M650" s="58">
        <f t="shared" si="36"/>
        <v>9.2000000000000011</v>
      </c>
      <c r="N650" s="57">
        <f t="shared" si="37"/>
        <v>62.475000000000001</v>
      </c>
      <c r="O650" s="7" t="str">
        <f>VLOOKUP(N650,Helper!$B$30:$C$35,2,TRUE)</f>
        <v>C</v>
      </c>
      <c r="P650" s="56">
        <f>INDEX(Detail!$A$1:$A$1001,MATCH(B650,Detail!$G$1:$G$1001,0))</f>
        <v>38006</v>
      </c>
      <c r="Q650" s="33" t="str">
        <f>INDEX(Detail!$F$1:$F$1001,MATCH(Main!B650,Detail!$G$1:$G$1001,0))</f>
        <v>Lubuklinggau</v>
      </c>
      <c r="R650" s="7">
        <f>INDEX(Detail!$C$1:$C$1001,MATCH(B650,Detail!$G$1:$G$1001,0),1)</f>
        <v>155</v>
      </c>
      <c r="S650" s="7">
        <f>INDEX(Detail!$D$1:$D$1001,MATCH(B650,Detail!$G$1:$G$1001,0),1)</f>
        <v>62</v>
      </c>
      <c r="T650" s="7" t="str">
        <f>INDEX(Detail!$E$1:$E$1001,MATCH(Main!B650,Detail!$G$1:$G$1001,0))</f>
        <v xml:space="preserve">Jl. S. Parman No. 4
</v>
      </c>
      <c r="U650" s="7" t="str">
        <f>INDEX(Detail!$B$1:$B$1001,MATCH(B650,Detail!$G$1:$G$1001,0),1)</f>
        <v>AB-</v>
      </c>
      <c r="V650" s="7" t="str" cm="1">
        <f t="array" ref="V650">INDEX(Dosen!$B$3:$E$8,MATCH(Main!C650,Dosen!$A$3:$A$8,0),IF(AND(Main!A650&gt;=1,Main!A650&lt;=250),1,IF(AND(Main!A650&gt;=251,Main!A650&lt;=500),2,IF(AND(Main!A650&gt;=501,Main!A650&lt;=750),3,4))))</f>
        <v>Bu Made</v>
      </c>
      <c r="W650" s="7" t="str">
        <f>_xlfn.XLOOKUP(B650,Detail!$G$1:$G$1001,Detail!$B$1:$B$1001)</f>
        <v>AB-</v>
      </c>
    </row>
    <row r="651" spans="1:23" ht="15.75" x14ac:dyDescent="0.25">
      <c r="A651" s="7">
        <v>869</v>
      </c>
      <c r="B651" s="33" t="str">
        <f t="shared" si="35"/>
        <v>D0869</v>
      </c>
      <c r="C651" s="7" t="s">
        <v>1013</v>
      </c>
      <c r="D651" s="33" t="str">
        <f>VLOOKUP(B651,Detail!$G$1:$H$1001,2,FALSE)</f>
        <v>Dacin Sinaga</v>
      </c>
      <c r="E651" s="7">
        <v>69</v>
      </c>
      <c r="F651" s="7">
        <v>47</v>
      </c>
      <c r="G651" s="57">
        <v>39</v>
      </c>
      <c r="H651" s="7">
        <v>55</v>
      </c>
      <c r="I651" s="7">
        <v>92</v>
      </c>
      <c r="J651" s="7">
        <v>49</v>
      </c>
      <c r="K651" s="7">
        <v>71</v>
      </c>
      <c r="L651" s="56" t="str">
        <f>IFERROR(VLOOKUP(B651,Absen!$A$1:$C$501,2,FALSE),"No")</f>
        <v>No</v>
      </c>
      <c r="M651" s="58">
        <f t="shared" si="36"/>
        <v>7.1000000000000005</v>
      </c>
      <c r="N651" s="57">
        <f t="shared" si="37"/>
        <v>57.574999999999996</v>
      </c>
      <c r="O651" s="7" t="str">
        <f>VLOOKUP(N651,Helper!$B$30:$C$35,2,TRUE)</f>
        <v>D</v>
      </c>
      <c r="P651" s="56">
        <f>INDEX(Detail!$A$1:$A$1001,MATCH(B651,Detail!$G$1:$G$1001,0))</f>
        <v>37393</v>
      </c>
      <c r="Q651" s="33" t="str">
        <f>INDEX(Detail!$F$1:$F$1001,MATCH(Main!B651,Detail!$G$1:$G$1001,0))</f>
        <v>Cimahi</v>
      </c>
      <c r="R651" s="7">
        <f>INDEX(Detail!$C$1:$C$1001,MATCH(B651,Detail!$G$1:$G$1001,0),1)</f>
        <v>160</v>
      </c>
      <c r="S651" s="7">
        <f>INDEX(Detail!$D$1:$D$1001,MATCH(B651,Detail!$G$1:$G$1001,0),1)</f>
        <v>47</v>
      </c>
      <c r="T651" s="7" t="str">
        <f>INDEX(Detail!$E$1:$E$1001,MATCH(Main!B651,Detail!$G$1:$G$1001,0))</f>
        <v xml:space="preserve">Gg. Rumah Sakit No. 4
</v>
      </c>
      <c r="U651" s="7" t="str">
        <f>INDEX(Detail!$B$1:$B$1001,MATCH(B651,Detail!$G$1:$G$1001,0),1)</f>
        <v>O+</v>
      </c>
      <c r="V651" s="7" t="str" cm="1">
        <f t="array" ref="V651">INDEX(Dosen!$B$3:$E$8,MATCH(Main!C651,Dosen!$A$3:$A$8,0),IF(AND(Main!A651&gt;=1,Main!A651&lt;=250),1,IF(AND(Main!A651&gt;=251,Main!A651&lt;=500),2,IF(AND(Main!A651&gt;=501,Main!A651&lt;=750),3,4))))</f>
        <v>Bu Made</v>
      </c>
      <c r="W651" s="7" t="str">
        <f>_xlfn.XLOOKUP(B651,Detail!$G$1:$G$1001,Detail!$B$1:$B$1001)</f>
        <v>O+</v>
      </c>
    </row>
    <row r="652" spans="1:23" ht="15.75" x14ac:dyDescent="0.25">
      <c r="A652" s="7">
        <v>870</v>
      </c>
      <c r="B652" s="33" t="str">
        <f t="shared" si="35"/>
        <v>D0870</v>
      </c>
      <c r="C652" s="7" t="s">
        <v>1013</v>
      </c>
      <c r="D652" s="33" t="str">
        <f>VLOOKUP(B652,Detail!$G$1:$H$1001,2,FALSE)</f>
        <v>Okto Lestari</v>
      </c>
      <c r="E652" s="7">
        <v>88</v>
      </c>
      <c r="F652" s="7">
        <v>65</v>
      </c>
      <c r="G652" s="57">
        <v>56</v>
      </c>
      <c r="H652" s="7">
        <v>57</v>
      </c>
      <c r="I652" s="7">
        <v>74</v>
      </c>
      <c r="J652" s="7">
        <v>56</v>
      </c>
      <c r="K652" s="7">
        <v>63</v>
      </c>
      <c r="L652" s="56" t="str">
        <f>IFERROR(VLOOKUP(B652,Absen!$A$1:$C$501,2,FALSE),"No")</f>
        <v>No</v>
      </c>
      <c r="M652" s="58">
        <f t="shared" si="36"/>
        <v>6.3000000000000007</v>
      </c>
      <c r="N652" s="57">
        <f t="shared" si="37"/>
        <v>64.2</v>
      </c>
      <c r="O652" s="7" t="str">
        <f>VLOOKUP(N652,Helper!$B$30:$C$35,2,TRUE)</f>
        <v>C</v>
      </c>
      <c r="P652" s="56">
        <f>INDEX(Detail!$A$1:$A$1001,MATCH(B652,Detail!$G$1:$G$1001,0))</f>
        <v>37567</v>
      </c>
      <c r="Q652" s="33" t="str">
        <f>INDEX(Detail!$F$1:$F$1001,MATCH(Main!B652,Detail!$G$1:$G$1001,0))</f>
        <v>Dumai</v>
      </c>
      <c r="R652" s="7">
        <f>INDEX(Detail!$C$1:$C$1001,MATCH(B652,Detail!$G$1:$G$1001,0),1)</f>
        <v>177</v>
      </c>
      <c r="S652" s="7">
        <f>INDEX(Detail!$D$1:$D$1001,MATCH(B652,Detail!$G$1:$G$1001,0),1)</f>
        <v>68</v>
      </c>
      <c r="T652" s="7" t="str">
        <f>INDEX(Detail!$E$1:$E$1001,MATCH(Main!B652,Detail!$G$1:$G$1001,0))</f>
        <v>Gg. Raya Ujungberung No. 99</v>
      </c>
      <c r="U652" s="7" t="str">
        <f>INDEX(Detail!$B$1:$B$1001,MATCH(B652,Detail!$G$1:$G$1001,0),1)</f>
        <v>B+</v>
      </c>
      <c r="V652" s="7" t="str" cm="1">
        <f t="array" ref="V652">INDEX(Dosen!$B$3:$E$8,MATCH(Main!C652,Dosen!$A$3:$A$8,0),IF(AND(Main!A652&gt;=1,Main!A652&lt;=250),1,IF(AND(Main!A652&gt;=251,Main!A652&lt;=500),2,IF(AND(Main!A652&gt;=501,Main!A652&lt;=750),3,4))))</f>
        <v>Bu Made</v>
      </c>
      <c r="W652" s="7" t="str">
        <f>_xlfn.XLOOKUP(B652,Detail!$G$1:$G$1001,Detail!$B$1:$B$1001)</f>
        <v>B+</v>
      </c>
    </row>
    <row r="653" spans="1:23" ht="15.75" x14ac:dyDescent="0.25">
      <c r="A653" s="7">
        <v>872</v>
      </c>
      <c r="B653" s="33" t="str">
        <f t="shared" ref="B653:B678" si="38">CONCATENATE("D",TEXT(A653,"0000"))</f>
        <v>D0872</v>
      </c>
      <c r="C653" s="7" t="s">
        <v>1013</v>
      </c>
      <c r="D653" s="33" t="str">
        <f>VLOOKUP(B653,Detail!$G$1:$H$1001,2,FALSE)</f>
        <v>Tri Sihombing</v>
      </c>
      <c r="E653" s="7">
        <v>66</v>
      </c>
      <c r="F653" s="7">
        <v>41</v>
      </c>
      <c r="G653" s="57">
        <v>94</v>
      </c>
      <c r="H653" s="7">
        <v>70</v>
      </c>
      <c r="I653" s="7">
        <v>84</v>
      </c>
      <c r="J653" s="7">
        <v>83</v>
      </c>
      <c r="K653" s="7">
        <v>96</v>
      </c>
      <c r="L653" s="56">
        <f>IFERROR(VLOOKUP(B653,Absen!$A$1:$C$501,2,FALSE),"No")</f>
        <v>44914</v>
      </c>
      <c r="M653" s="58">
        <f t="shared" si="36"/>
        <v>8.6</v>
      </c>
      <c r="N653" s="57">
        <f t="shared" si="37"/>
        <v>76.625</v>
      </c>
      <c r="O653" s="7" t="str">
        <f>VLOOKUP(N653,Helper!$B$30:$C$35,2,TRUE)</f>
        <v>B</v>
      </c>
      <c r="P653" s="56">
        <f>INDEX(Detail!$A$1:$A$1001,MATCH(B653,Detail!$G$1:$G$1001,0))</f>
        <v>37572</v>
      </c>
      <c r="Q653" s="33" t="str">
        <f>INDEX(Detail!$F$1:$F$1001,MATCH(Main!B653,Detail!$G$1:$G$1001,0))</f>
        <v>Dumai</v>
      </c>
      <c r="R653" s="7">
        <f>INDEX(Detail!$C$1:$C$1001,MATCH(B653,Detail!$G$1:$G$1001,0),1)</f>
        <v>175</v>
      </c>
      <c r="S653" s="7">
        <f>INDEX(Detail!$D$1:$D$1001,MATCH(B653,Detail!$G$1:$G$1001,0),1)</f>
        <v>77</v>
      </c>
      <c r="T653" s="7" t="str">
        <f>INDEX(Detail!$E$1:$E$1001,MATCH(Main!B653,Detail!$G$1:$G$1001,0))</f>
        <v>Jl. Moch. Toha No. 55</v>
      </c>
      <c r="U653" s="7" t="str">
        <f>INDEX(Detail!$B$1:$B$1001,MATCH(B653,Detail!$G$1:$G$1001,0),1)</f>
        <v>AB+</v>
      </c>
      <c r="V653" s="7" t="str" cm="1">
        <f t="array" ref="V653">INDEX(Dosen!$B$3:$E$8,MATCH(Main!C653,Dosen!$A$3:$A$8,0),IF(AND(Main!A653&gt;=1,Main!A653&lt;=250),1,IF(AND(Main!A653&gt;=251,Main!A653&lt;=500),2,IF(AND(Main!A653&gt;=501,Main!A653&lt;=750),3,4))))</f>
        <v>Bu Made</v>
      </c>
      <c r="W653" s="7" t="str">
        <f>_xlfn.XLOOKUP(B653,Detail!$G$1:$G$1001,Detail!$B$1:$B$1001)</f>
        <v>AB+</v>
      </c>
    </row>
    <row r="654" spans="1:23" ht="15.75" x14ac:dyDescent="0.25">
      <c r="A654" s="7">
        <v>875</v>
      </c>
      <c r="B654" s="33" t="str">
        <f t="shared" si="38"/>
        <v>D0875</v>
      </c>
      <c r="C654" s="7" t="s">
        <v>1013</v>
      </c>
      <c r="D654" s="33" t="str">
        <f>VLOOKUP(B654,Detail!$G$1:$H$1001,2,FALSE)</f>
        <v>Pangeran Samosir</v>
      </c>
      <c r="E654" s="7">
        <v>67</v>
      </c>
      <c r="F654" s="7">
        <v>41</v>
      </c>
      <c r="G654" s="57">
        <v>43</v>
      </c>
      <c r="H654" s="7">
        <v>57</v>
      </c>
      <c r="I654" s="7">
        <v>95</v>
      </c>
      <c r="J654" s="7">
        <v>69</v>
      </c>
      <c r="K654" s="7">
        <v>67</v>
      </c>
      <c r="L654" s="56" t="str">
        <f>IFERROR(VLOOKUP(B654,Absen!$A$1:$C$501,2,FALSE),"No")</f>
        <v>No</v>
      </c>
      <c r="M654" s="58">
        <f t="shared" si="36"/>
        <v>6.7</v>
      </c>
      <c r="N654" s="57">
        <f t="shared" si="37"/>
        <v>61.600000000000009</v>
      </c>
      <c r="O654" s="7" t="str">
        <f>VLOOKUP(N654,Helper!$B$30:$C$35,2,TRUE)</f>
        <v>C</v>
      </c>
      <c r="P654" s="56">
        <f>INDEX(Detail!$A$1:$A$1001,MATCH(B654,Detail!$G$1:$G$1001,0))</f>
        <v>37517</v>
      </c>
      <c r="Q654" s="33" t="str">
        <f>INDEX(Detail!$F$1:$F$1001,MATCH(Main!B654,Detail!$G$1:$G$1001,0))</f>
        <v>Payakumbuh</v>
      </c>
      <c r="R654" s="7">
        <f>INDEX(Detail!$C$1:$C$1001,MATCH(B654,Detail!$G$1:$G$1001,0),1)</f>
        <v>158</v>
      </c>
      <c r="S654" s="7">
        <f>INDEX(Detail!$D$1:$D$1001,MATCH(B654,Detail!$G$1:$G$1001,0),1)</f>
        <v>62</v>
      </c>
      <c r="T654" s="7" t="str">
        <f>INDEX(Detail!$E$1:$E$1001,MATCH(Main!B654,Detail!$G$1:$G$1001,0))</f>
        <v>Jalan Wonoayu No. 31</v>
      </c>
      <c r="U654" s="7" t="str">
        <f>INDEX(Detail!$B$1:$B$1001,MATCH(B654,Detail!$G$1:$G$1001,0),1)</f>
        <v>O+</v>
      </c>
      <c r="V654" s="7" t="str" cm="1">
        <f t="array" ref="V654">INDEX(Dosen!$B$3:$E$8,MATCH(Main!C654,Dosen!$A$3:$A$8,0),IF(AND(Main!A654&gt;=1,Main!A654&lt;=250),1,IF(AND(Main!A654&gt;=251,Main!A654&lt;=500),2,IF(AND(Main!A654&gt;=501,Main!A654&lt;=750),3,4))))</f>
        <v>Bu Made</v>
      </c>
      <c r="W654" s="7" t="str">
        <f>_xlfn.XLOOKUP(B654,Detail!$G$1:$G$1001,Detail!$B$1:$B$1001)</f>
        <v>O+</v>
      </c>
    </row>
    <row r="655" spans="1:23" ht="15.75" x14ac:dyDescent="0.25">
      <c r="A655" s="7">
        <v>884</v>
      </c>
      <c r="B655" s="33" t="str">
        <f t="shared" si="38"/>
        <v>D0884</v>
      </c>
      <c r="C655" s="7" t="s">
        <v>1013</v>
      </c>
      <c r="D655" s="33" t="str">
        <f>VLOOKUP(B655,Detail!$G$1:$H$1001,2,FALSE)</f>
        <v>Jail Budiman</v>
      </c>
      <c r="E655" s="7">
        <v>77</v>
      </c>
      <c r="F655" s="7">
        <v>75</v>
      </c>
      <c r="G655" s="57">
        <v>85</v>
      </c>
      <c r="H655" s="7">
        <v>55</v>
      </c>
      <c r="I655" s="7">
        <v>88</v>
      </c>
      <c r="J655" s="7">
        <v>66</v>
      </c>
      <c r="K655" s="7">
        <v>92</v>
      </c>
      <c r="L655" s="56" t="str">
        <f>IFERROR(VLOOKUP(B655,Absen!$A$1:$C$501,2,FALSE),"No")</f>
        <v>No</v>
      </c>
      <c r="M655" s="58">
        <f t="shared" si="36"/>
        <v>9.2000000000000011</v>
      </c>
      <c r="N655" s="57">
        <f t="shared" si="37"/>
        <v>76.275000000000006</v>
      </c>
      <c r="O655" s="7" t="str">
        <f>VLOOKUP(N655,Helper!$B$30:$C$35,2,TRUE)</f>
        <v>B</v>
      </c>
      <c r="P655" s="56">
        <f>INDEX(Detail!$A$1:$A$1001,MATCH(B655,Detail!$G$1:$G$1001,0))</f>
        <v>38153</v>
      </c>
      <c r="Q655" s="33" t="str">
        <f>INDEX(Detail!$F$1:$F$1001,MATCH(Main!B655,Detail!$G$1:$G$1001,0))</f>
        <v>Tomohon</v>
      </c>
      <c r="R655" s="7">
        <f>INDEX(Detail!$C$1:$C$1001,MATCH(B655,Detail!$G$1:$G$1001,0),1)</f>
        <v>158</v>
      </c>
      <c r="S655" s="7">
        <f>INDEX(Detail!$D$1:$D$1001,MATCH(B655,Detail!$G$1:$G$1001,0),1)</f>
        <v>46</v>
      </c>
      <c r="T655" s="7" t="str">
        <f>INDEX(Detail!$E$1:$E$1001,MATCH(Main!B655,Detail!$G$1:$G$1001,0))</f>
        <v>Gang Rajawali Barat No. 01</v>
      </c>
      <c r="U655" s="7" t="str">
        <f>INDEX(Detail!$B$1:$B$1001,MATCH(B655,Detail!$G$1:$G$1001,0),1)</f>
        <v>B-</v>
      </c>
      <c r="V655" s="7" t="str" cm="1">
        <f t="array" ref="V655">INDEX(Dosen!$B$3:$E$8,MATCH(Main!C655,Dosen!$A$3:$A$8,0),IF(AND(Main!A655&gt;=1,Main!A655&lt;=250),1,IF(AND(Main!A655&gt;=251,Main!A655&lt;=500),2,IF(AND(Main!A655&gt;=501,Main!A655&lt;=750),3,4))))</f>
        <v>Bu Made</v>
      </c>
      <c r="W655" s="7" t="str">
        <f>_xlfn.XLOOKUP(B655,Detail!$G$1:$G$1001,Detail!$B$1:$B$1001)</f>
        <v>B-</v>
      </c>
    </row>
    <row r="656" spans="1:23" ht="15.75" x14ac:dyDescent="0.25">
      <c r="A656" s="7">
        <v>897</v>
      </c>
      <c r="B656" s="33" t="str">
        <f t="shared" si="38"/>
        <v>D0897</v>
      </c>
      <c r="C656" s="7" t="s">
        <v>1013</v>
      </c>
      <c r="D656" s="33" t="str">
        <f>VLOOKUP(B656,Detail!$G$1:$H$1001,2,FALSE)</f>
        <v>Nadia Puspasari</v>
      </c>
      <c r="E656" s="7">
        <v>84</v>
      </c>
      <c r="F656" s="7">
        <v>55</v>
      </c>
      <c r="G656" s="57">
        <v>32</v>
      </c>
      <c r="H656" s="7">
        <v>64</v>
      </c>
      <c r="I656" s="7">
        <v>68</v>
      </c>
      <c r="J656" s="7">
        <v>53</v>
      </c>
      <c r="K656" s="7">
        <v>62</v>
      </c>
      <c r="L656" s="56">
        <f>IFERROR(VLOOKUP(B656,Absen!$A$1:$C$501,2,FALSE),"No")</f>
        <v>44853</v>
      </c>
      <c r="M656" s="58">
        <f t="shared" si="36"/>
        <v>5.2</v>
      </c>
      <c r="N656" s="57">
        <f t="shared" si="37"/>
        <v>56.075000000000003</v>
      </c>
      <c r="O656" s="7" t="str">
        <f>VLOOKUP(N656,Helper!$B$30:$C$35,2,TRUE)</f>
        <v>D</v>
      </c>
      <c r="P656" s="56">
        <f>INDEX(Detail!$A$1:$A$1001,MATCH(B656,Detail!$G$1:$G$1001,0))</f>
        <v>37435</v>
      </c>
      <c r="Q656" s="33" t="str">
        <f>INDEX(Detail!$F$1:$F$1001,MATCH(Main!B656,Detail!$G$1:$G$1001,0))</f>
        <v>Sorong</v>
      </c>
      <c r="R656" s="7">
        <f>INDEX(Detail!$C$1:$C$1001,MATCH(B656,Detail!$G$1:$G$1001,0),1)</f>
        <v>166</v>
      </c>
      <c r="S656" s="7">
        <f>INDEX(Detail!$D$1:$D$1001,MATCH(B656,Detail!$G$1:$G$1001,0),1)</f>
        <v>73</v>
      </c>
      <c r="T656" s="7" t="str">
        <f>INDEX(Detail!$E$1:$E$1001,MATCH(Main!B656,Detail!$G$1:$G$1001,0))</f>
        <v>Gang Gardujati No. 55</v>
      </c>
      <c r="U656" s="7" t="str">
        <f>INDEX(Detail!$B$1:$B$1001,MATCH(B656,Detail!$G$1:$G$1001,0),1)</f>
        <v>O-</v>
      </c>
      <c r="V656" s="7" t="str" cm="1">
        <f t="array" ref="V656">INDEX(Dosen!$B$3:$E$8,MATCH(Main!C656,Dosen!$A$3:$A$8,0),IF(AND(Main!A656&gt;=1,Main!A656&lt;=250),1,IF(AND(Main!A656&gt;=251,Main!A656&lt;=500),2,IF(AND(Main!A656&gt;=501,Main!A656&lt;=750),3,4))))</f>
        <v>Bu Made</v>
      </c>
      <c r="W656" s="7" t="str">
        <f>_xlfn.XLOOKUP(B656,Detail!$G$1:$G$1001,Detail!$B$1:$B$1001)</f>
        <v>O-</v>
      </c>
    </row>
    <row r="657" spans="1:23" ht="15.75" x14ac:dyDescent="0.25">
      <c r="A657" s="7">
        <v>898</v>
      </c>
      <c r="B657" s="33" t="str">
        <f t="shared" si="38"/>
        <v>D0898</v>
      </c>
      <c r="C657" s="7" t="s">
        <v>1013</v>
      </c>
      <c r="D657" s="33" t="str">
        <f>VLOOKUP(B657,Detail!$G$1:$H$1001,2,FALSE)</f>
        <v>Jamil Handayani</v>
      </c>
      <c r="E657" s="7">
        <v>83</v>
      </c>
      <c r="F657" s="7">
        <v>60</v>
      </c>
      <c r="G657" s="57">
        <v>57</v>
      </c>
      <c r="H657" s="7">
        <v>65</v>
      </c>
      <c r="I657" s="7">
        <v>67</v>
      </c>
      <c r="J657" s="7">
        <v>75</v>
      </c>
      <c r="K657" s="7">
        <v>67</v>
      </c>
      <c r="L657" s="56" t="str">
        <f>IFERROR(VLOOKUP(B657,Absen!$A$1:$C$501,2,FALSE),"No")</f>
        <v>No</v>
      </c>
      <c r="M657" s="58">
        <f t="shared" si="36"/>
        <v>6.7</v>
      </c>
      <c r="N657" s="57">
        <f t="shared" si="37"/>
        <v>67.474999999999994</v>
      </c>
      <c r="O657" s="7" t="str">
        <f>VLOOKUP(N657,Helper!$B$30:$C$35,2,TRUE)</f>
        <v>C</v>
      </c>
      <c r="P657" s="56">
        <f>INDEX(Detail!$A$1:$A$1001,MATCH(B657,Detail!$G$1:$G$1001,0))</f>
        <v>37873</v>
      </c>
      <c r="Q657" s="33" t="str">
        <f>INDEX(Detail!$F$1:$F$1001,MATCH(Main!B657,Detail!$G$1:$G$1001,0))</f>
        <v>Blitar</v>
      </c>
      <c r="R657" s="7">
        <f>INDEX(Detail!$C$1:$C$1001,MATCH(B657,Detail!$G$1:$G$1001,0),1)</f>
        <v>151</v>
      </c>
      <c r="S657" s="7">
        <f>INDEX(Detail!$D$1:$D$1001,MATCH(B657,Detail!$G$1:$G$1001,0),1)</f>
        <v>48</v>
      </c>
      <c r="T657" s="7" t="str">
        <f>INDEX(Detail!$E$1:$E$1001,MATCH(Main!B657,Detail!$G$1:$G$1001,0))</f>
        <v>Jl. Gedebage Selatan No. 60</v>
      </c>
      <c r="U657" s="7" t="str">
        <f>INDEX(Detail!$B$1:$B$1001,MATCH(B657,Detail!$G$1:$G$1001,0),1)</f>
        <v>O-</v>
      </c>
      <c r="V657" s="7" t="str" cm="1">
        <f t="array" ref="V657">INDEX(Dosen!$B$3:$E$8,MATCH(Main!C657,Dosen!$A$3:$A$8,0),IF(AND(Main!A657&gt;=1,Main!A657&lt;=250),1,IF(AND(Main!A657&gt;=251,Main!A657&lt;=500),2,IF(AND(Main!A657&gt;=501,Main!A657&lt;=750),3,4))))</f>
        <v>Bu Made</v>
      </c>
      <c r="W657" s="7" t="str">
        <f>_xlfn.XLOOKUP(B657,Detail!$G$1:$G$1001,Detail!$B$1:$B$1001)</f>
        <v>O-</v>
      </c>
    </row>
    <row r="658" spans="1:23" ht="15.75" x14ac:dyDescent="0.25">
      <c r="A658" s="7">
        <v>902</v>
      </c>
      <c r="B658" s="33" t="str">
        <f t="shared" si="38"/>
        <v>D0902</v>
      </c>
      <c r="C658" s="7" t="s">
        <v>1013</v>
      </c>
      <c r="D658" s="33" t="str">
        <f>VLOOKUP(B658,Detail!$G$1:$H$1001,2,FALSE)</f>
        <v>Tirtayasa Nuraini</v>
      </c>
      <c r="E658" s="7">
        <v>58</v>
      </c>
      <c r="F658" s="7">
        <v>68</v>
      </c>
      <c r="G658" s="57">
        <v>86</v>
      </c>
      <c r="H658" s="7">
        <v>67</v>
      </c>
      <c r="I658" s="7">
        <v>54</v>
      </c>
      <c r="J658" s="7">
        <v>47</v>
      </c>
      <c r="K658" s="7">
        <v>97</v>
      </c>
      <c r="L658" s="56" t="str">
        <f>IFERROR(VLOOKUP(B658,Absen!$A$1:$C$501,2,FALSE),"No")</f>
        <v>No</v>
      </c>
      <c r="M658" s="58">
        <f t="shared" si="36"/>
        <v>9.7000000000000011</v>
      </c>
      <c r="N658" s="57">
        <f t="shared" si="37"/>
        <v>67.174999999999997</v>
      </c>
      <c r="O658" s="7" t="str">
        <f>VLOOKUP(N658,Helper!$B$30:$C$35,2,TRUE)</f>
        <v>C</v>
      </c>
      <c r="P658" s="56">
        <f>INDEX(Detail!$A$1:$A$1001,MATCH(B658,Detail!$G$1:$G$1001,0))</f>
        <v>37482</v>
      </c>
      <c r="Q658" s="33" t="str">
        <f>INDEX(Detail!$F$1:$F$1001,MATCH(Main!B658,Detail!$G$1:$G$1001,0))</f>
        <v>Kendari</v>
      </c>
      <c r="R658" s="7">
        <f>INDEX(Detail!$C$1:$C$1001,MATCH(B658,Detail!$G$1:$G$1001,0),1)</f>
        <v>157</v>
      </c>
      <c r="S658" s="7">
        <f>INDEX(Detail!$D$1:$D$1001,MATCH(B658,Detail!$G$1:$G$1001,0),1)</f>
        <v>70</v>
      </c>
      <c r="T658" s="7" t="str">
        <f>INDEX(Detail!$E$1:$E$1001,MATCH(Main!B658,Detail!$G$1:$G$1001,0))</f>
        <v>Gang Otto Iskandardinata No. 68</v>
      </c>
      <c r="U658" s="7" t="str">
        <f>INDEX(Detail!$B$1:$B$1001,MATCH(B658,Detail!$G$1:$G$1001,0),1)</f>
        <v>A-</v>
      </c>
      <c r="V658" s="7" t="str" cm="1">
        <f t="array" ref="V658">INDEX(Dosen!$B$3:$E$8,MATCH(Main!C658,Dosen!$A$3:$A$8,0),IF(AND(Main!A658&gt;=1,Main!A658&lt;=250),1,IF(AND(Main!A658&gt;=251,Main!A658&lt;=500),2,IF(AND(Main!A658&gt;=501,Main!A658&lt;=750),3,4))))</f>
        <v>Bu Made</v>
      </c>
      <c r="W658" s="7" t="str">
        <f>_xlfn.XLOOKUP(B658,Detail!$G$1:$G$1001,Detail!$B$1:$B$1001)</f>
        <v>A-</v>
      </c>
    </row>
    <row r="659" spans="1:23" ht="15.75" x14ac:dyDescent="0.25">
      <c r="A659" s="7">
        <v>903</v>
      </c>
      <c r="B659" s="33" t="str">
        <f t="shared" si="38"/>
        <v>D0903</v>
      </c>
      <c r="C659" s="7" t="s">
        <v>1013</v>
      </c>
      <c r="D659" s="33" t="str">
        <f>VLOOKUP(B659,Detail!$G$1:$H$1001,2,FALSE)</f>
        <v>Hendra Halimah</v>
      </c>
      <c r="E659" s="7">
        <v>76</v>
      </c>
      <c r="F659" s="7">
        <v>71</v>
      </c>
      <c r="G659" s="57">
        <v>52</v>
      </c>
      <c r="H659" s="7">
        <v>64</v>
      </c>
      <c r="I659" s="7">
        <v>84</v>
      </c>
      <c r="J659" s="7">
        <v>65</v>
      </c>
      <c r="K659" s="7">
        <v>81</v>
      </c>
      <c r="L659" s="56" t="str">
        <f>IFERROR(VLOOKUP(B659,Absen!$A$1:$C$501,2,FALSE),"No")</f>
        <v>No</v>
      </c>
      <c r="M659" s="58">
        <f t="shared" si="36"/>
        <v>8.1</v>
      </c>
      <c r="N659" s="57">
        <f t="shared" si="37"/>
        <v>68.375</v>
      </c>
      <c r="O659" s="7" t="str">
        <f>VLOOKUP(N659,Helper!$B$30:$C$35,2,TRUE)</f>
        <v>C</v>
      </c>
      <c r="P659" s="56">
        <f>INDEX(Detail!$A$1:$A$1001,MATCH(B659,Detail!$G$1:$G$1001,0))</f>
        <v>37708</v>
      </c>
      <c r="Q659" s="33" t="str">
        <f>INDEX(Detail!$F$1:$F$1001,MATCH(Main!B659,Detail!$G$1:$G$1001,0))</f>
        <v>Subulussalam</v>
      </c>
      <c r="R659" s="7">
        <f>INDEX(Detail!$C$1:$C$1001,MATCH(B659,Detail!$G$1:$G$1001,0),1)</f>
        <v>162</v>
      </c>
      <c r="S659" s="7">
        <f>INDEX(Detail!$D$1:$D$1001,MATCH(B659,Detail!$G$1:$G$1001,0),1)</f>
        <v>63</v>
      </c>
      <c r="T659" s="7" t="str">
        <f>INDEX(Detail!$E$1:$E$1001,MATCH(Main!B659,Detail!$G$1:$G$1001,0))</f>
        <v>Gg. Pacuan Kuda No. 56</v>
      </c>
      <c r="U659" s="7" t="str">
        <f>INDEX(Detail!$B$1:$B$1001,MATCH(B659,Detail!$G$1:$G$1001,0),1)</f>
        <v>A+</v>
      </c>
      <c r="V659" s="7" t="str" cm="1">
        <f t="array" ref="V659">INDEX(Dosen!$B$3:$E$8,MATCH(Main!C659,Dosen!$A$3:$A$8,0),IF(AND(Main!A659&gt;=1,Main!A659&lt;=250),1,IF(AND(Main!A659&gt;=251,Main!A659&lt;=500),2,IF(AND(Main!A659&gt;=501,Main!A659&lt;=750),3,4))))</f>
        <v>Bu Made</v>
      </c>
      <c r="W659" s="7" t="str">
        <f>_xlfn.XLOOKUP(B659,Detail!$G$1:$G$1001,Detail!$B$1:$B$1001)</f>
        <v>A+</v>
      </c>
    </row>
    <row r="660" spans="1:23" ht="15.75" x14ac:dyDescent="0.25">
      <c r="A660" s="7">
        <v>906</v>
      </c>
      <c r="B660" s="33" t="str">
        <f t="shared" si="38"/>
        <v>D0906</v>
      </c>
      <c r="C660" s="7" t="s">
        <v>1013</v>
      </c>
      <c r="D660" s="33" t="str">
        <f>VLOOKUP(B660,Detail!$G$1:$H$1001,2,FALSE)</f>
        <v>Jessica Zulaika</v>
      </c>
      <c r="E660" s="7">
        <v>63</v>
      </c>
      <c r="F660" s="7">
        <v>46</v>
      </c>
      <c r="G660" s="57">
        <v>69</v>
      </c>
      <c r="H660" s="7">
        <v>56</v>
      </c>
      <c r="I660" s="7">
        <v>51</v>
      </c>
      <c r="J660" s="7">
        <v>98</v>
      </c>
      <c r="K660" s="7">
        <v>89</v>
      </c>
      <c r="L660" s="56" t="str">
        <f>IFERROR(VLOOKUP(B660,Absen!$A$1:$C$501,2,FALSE),"No")</f>
        <v>No</v>
      </c>
      <c r="M660" s="58">
        <f t="shared" si="36"/>
        <v>8.9</v>
      </c>
      <c r="N660" s="57">
        <f t="shared" si="37"/>
        <v>69.3</v>
      </c>
      <c r="O660" s="7" t="str">
        <f>VLOOKUP(N660,Helper!$B$30:$C$35,2,TRUE)</f>
        <v>C</v>
      </c>
      <c r="P660" s="56">
        <f>INDEX(Detail!$A$1:$A$1001,MATCH(B660,Detail!$G$1:$G$1001,0))</f>
        <v>37408</v>
      </c>
      <c r="Q660" s="33" t="str">
        <f>INDEX(Detail!$F$1:$F$1001,MATCH(Main!B660,Detail!$G$1:$G$1001,0))</f>
        <v>Lubuklinggau</v>
      </c>
      <c r="R660" s="7">
        <f>INDEX(Detail!$C$1:$C$1001,MATCH(B660,Detail!$G$1:$G$1001,0),1)</f>
        <v>156</v>
      </c>
      <c r="S660" s="7">
        <f>INDEX(Detail!$D$1:$D$1001,MATCH(B660,Detail!$G$1:$G$1001,0),1)</f>
        <v>77</v>
      </c>
      <c r="T660" s="7" t="str">
        <f>INDEX(Detail!$E$1:$E$1001,MATCH(Main!B660,Detail!$G$1:$G$1001,0))</f>
        <v xml:space="preserve">Gang Cihampelas No. 8
</v>
      </c>
      <c r="U660" s="7" t="str">
        <f>INDEX(Detail!$B$1:$B$1001,MATCH(B660,Detail!$G$1:$G$1001,0),1)</f>
        <v>A-</v>
      </c>
      <c r="V660" s="7" t="str" cm="1">
        <f t="array" ref="V660">INDEX(Dosen!$B$3:$E$8,MATCH(Main!C660,Dosen!$A$3:$A$8,0),IF(AND(Main!A660&gt;=1,Main!A660&lt;=250),1,IF(AND(Main!A660&gt;=251,Main!A660&lt;=500),2,IF(AND(Main!A660&gt;=501,Main!A660&lt;=750),3,4))))</f>
        <v>Bu Made</v>
      </c>
      <c r="W660" s="7" t="str">
        <f>_xlfn.XLOOKUP(B660,Detail!$G$1:$G$1001,Detail!$B$1:$B$1001)</f>
        <v>A-</v>
      </c>
    </row>
    <row r="661" spans="1:23" ht="15.75" x14ac:dyDescent="0.25">
      <c r="A661" s="7">
        <v>911</v>
      </c>
      <c r="B661" s="33" t="str">
        <f t="shared" si="38"/>
        <v>D0911</v>
      </c>
      <c r="C661" s="7" t="s">
        <v>1013</v>
      </c>
      <c r="D661" s="33" t="str">
        <f>VLOOKUP(B661,Detail!$G$1:$H$1001,2,FALSE)</f>
        <v>Dimaz Prasetyo</v>
      </c>
      <c r="E661" s="7">
        <v>95</v>
      </c>
      <c r="F661" s="7">
        <v>45</v>
      </c>
      <c r="G661" s="57">
        <v>50</v>
      </c>
      <c r="H661" s="7">
        <v>74</v>
      </c>
      <c r="I661" s="7">
        <v>86</v>
      </c>
      <c r="J661" s="7">
        <v>86</v>
      </c>
      <c r="K661" s="7">
        <v>76</v>
      </c>
      <c r="L661" s="56">
        <f>IFERROR(VLOOKUP(B661,Absen!$A$1:$C$501,2,FALSE),"No")</f>
        <v>44889</v>
      </c>
      <c r="M661" s="58">
        <f t="shared" si="36"/>
        <v>6.6000000000000005</v>
      </c>
      <c r="N661" s="57">
        <f t="shared" si="37"/>
        <v>71.3</v>
      </c>
      <c r="O661" s="7" t="str">
        <f>VLOOKUP(N661,Helper!$B$30:$C$35,2,TRUE)</f>
        <v>B</v>
      </c>
      <c r="P661" s="56">
        <f>INDEX(Detail!$A$1:$A$1001,MATCH(B661,Detail!$G$1:$G$1001,0))</f>
        <v>37040</v>
      </c>
      <c r="Q661" s="33" t="str">
        <f>INDEX(Detail!$F$1:$F$1001,MATCH(Main!B661,Detail!$G$1:$G$1001,0))</f>
        <v>Banjarmasin</v>
      </c>
      <c r="R661" s="7">
        <f>INDEX(Detail!$C$1:$C$1001,MATCH(B661,Detail!$G$1:$G$1001,0),1)</f>
        <v>164</v>
      </c>
      <c r="S661" s="7">
        <f>INDEX(Detail!$D$1:$D$1001,MATCH(B661,Detail!$G$1:$G$1001,0),1)</f>
        <v>74</v>
      </c>
      <c r="T661" s="7" t="str">
        <f>INDEX(Detail!$E$1:$E$1001,MATCH(Main!B661,Detail!$G$1:$G$1001,0))</f>
        <v xml:space="preserve">Gg. Pacuan Kuda No. 6
</v>
      </c>
      <c r="U661" s="7" t="str">
        <f>INDEX(Detail!$B$1:$B$1001,MATCH(B661,Detail!$G$1:$G$1001,0),1)</f>
        <v>B-</v>
      </c>
      <c r="V661" s="7" t="str" cm="1">
        <f t="array" ref="V661">INDEX(Dosen!$B$3:$E$8,MATCH(Main!C661,Dosen!$A$3:$A$8,0),IF(AND(Main!A661&gt;=1,Main!A661&lt;=250),1,IF(AND(Main!A661&gt;=251,Main!A661&lt;=500),2,IF(AND(Main!A661&gt;=501,Main!A661&lt;=750),3,4))))</f>
        <v>Bu Made</v>
      </c>
      <c r="W661" s="7" t="str">
        <f>_xlfn.XLOOKUP(B661,Detail!$G$1:$G$1001,Detail!$B$1:$B$1001)</f>
        <v>B-</v>
      </c>
    </row>
    <row r="662" spans="1:23" ht="15.75" x14ac:dyDescent="0.25">
      <c r="A662" s="7">
        <v>918</v>
      </c>
      <c r="B662" s="33" t="str">
        <f t="shared" si="38"/>
        <v>D0918</v>
      </c>
      <c r="C662" s="7" t="s">
        <v>1013</v>
      </c>
      <c r="D662" s="33" t="str">
        <f>VLOOKUP(B662,Detail!$G$1:$H$1001,2,FALSE)</f>
        <v>Banawa Saputra</v>
      </c>
      <c r="E662" s="7">
        <v>52</v>
      </c>
      <c r="F662" s="7">
        <v>61</v>
      </c>
      <c r="G662" s="57">
        <v>71</v>
      </c>
      <c r="H662" s="7">
        <v>56</v>
      </c>
      <c r="I662" s="7">
        <v>94</v>
      </c>
      <c r="J662" s="7">
        <v>71</v>
      </c>
      <c r="K662" s="7">
        <v>78</v>
      </c>
      <c r="L662" s="56" t="str">
        <f>IFERROR(VLOOKUP(B662,Absen!$A$1:$C$501,2,FALSE),"No")</f>
        <v>No</v>
      </c>
      <c r="M662" s="58">
        <f t="shared" si="36"/>
        <v>7.8000000000000007</v>
      </c>
      <c r="N662" s="57">
        <f t="shared" si="37"/>
        <v>69.075000000000003</v>
      </c>
      <c r="O662" s="7" t="str">
        <f>VLOOKUP(N662,Helper!$B$30:$C$35,2,TRUE)</f>
        <v>C</v>
      </c>
      <c r="P662" s="56">
        <f>INDEX(Detail!$A$1:$A$1001,MATCH(B662,Detail!$G$1:$G$1001,0))</f>
        <v>38339</v>
      </c>
      <c r="Q662" s="33" t="str">
        <f>INDEX(Detail!$F$1:$F$1001,MATCH(Main!B662,Detail!$G$1:$G$1001,0))</f>
        <v>Lhokseumawe</v>
      </c>
      <c r="R662" s="7">
        <f>INDEX(Detail!$C$1:$C$1001,MATCH(B662,Detail!$G$1:$G$1001,0),1)</f>
        <v>152</v>
      </c>
      <c r="S662" s="7">
        <f>INDEX(Detail!$D$1:$D$1001,MATCH(B662,Detail!$G$1:$G$1001,0),1)</f>
        <v>66</v>
      </c>
      <c r="T662" s="7" t="str">
        <f>INDEX(Detail!$E$1:$E$1001,MATCH(Main!B662,Detail!$G$1:$G$1001,0))</f>
        <v>Jl. Dipatiukur No. 38</v>
      </c>
      <c r="U662" s="7" t="str">
        <f>INDEX(Detail!$B$1:$B$1001,MATCH(B662,Detail!$G$1:$G$1001,0),1)</f>
        <v>B-</v>
      </c>
      <c r="V662" s="7" t="str" cm="1">
        <f t="array" ref="V662">INDEX(Dosen!$B$3:$E$8,MATCH(Main!C662,Dosen!$A$3:$A$8,0),IF(AND(Main!A662&gt;=1,Main!A662&lt;=250),1,IF(AND(Main!A662&gt;=251,Main!A662&lt;=500),2,IF(AND(Main!A662&gt;=501,Main!A662&lt;=750),3,4))))</f>
        <v>Bu Made</v>
      </c>
      <c r="W662" s="7" t="str">
        <f>_xlfn.XLOOKUP(B662,Detail!$G$1:$G$1001,Detail!$B$1:$B$1001)</f>
        <v>B-</v>
      </c>
    </row>
    <row r="663" spans="1:23" ht="15.75" x14ac:dyDescent="0.25">
      <c r="A663" s="7">
        <v>923</v>
      </c>
      <c r="B663" s="33" t="str">
        <f t="shared" si="38"/>
        <v>D0923</v>
      </c>
      <c r="C663" s="7" t="s">
        <v>1013</v>
      </c>
      <c r="D663" s="33" t="str">
        <f>VLOOKUP(B663,Detail!$G$1:$H$1001,2,FALSE)</f>
        <v>Kawaca Hutagalung</v>
      </c>
      <c r="E663" s="7">
        <v>82</v>
      </c>
      <c r="F663" s="7">
        <v>50</v>
      </c>
      <c r="G663" s="57">
        <v>57</v>
      </c>
      <c r="H663" s="7">
        <v>66</v>
      </c>
      <c r="I663" s="7">
        <v>52</v>
      </c>
      <c r="J663" s="7">
        <v>97</v>
      </c>
      <c r="K663" s="7">
        <v>92</v>
      </c>
      <c r="L663" s="56">
        <f>IFERROR(VLOOKUP(B663,Absen!$A$1:$C$501,2,FALSE),"No")</f>
        <v>44749</v>
      </c>
      <c r="M663" s="58">
        <f t="shared" si="36"/>
        <v>8.2000000000000011</v>
      </c>
      <c r="N663" s="57">
        <f t="shared" si="37"/>
        <v>70.25</v>
      </c>
      <c r="O663" s="7" t="str">
        <f>VLOOKUP(N663,Helper!$B$30:$C$35,2,TRUE)</f>
        <v>B</v>
      </c>
      <c r="P663" s="56">
        <f>INDEX(Detail!$A$1:$A$1001,MATCH(B663,Detail!$G$1:$G$1001,0))</f>
        <v>37326</v>
      </c>
      <c r="Q663" s="33" t="str">
        <f>INDEX(Detail!$F$1:$F$1001,MATCH(Main!B663,Detail!$G$1:$G$1001,0))</f>
        <v>Bogor</v>
      </c>
      <c r="R663" s="7">
        <f>INDEX(Detail!$C$1:$C$1001,MATCH(B663,Detail!$G$1:$G$1001,0),1)</f>
        <v>162</v>
      </c>
      <c r="S663" s="7">
        <f>INDEX(Detail!$D$1:$D$1001,MATCH(B663,Detail!$G$1:$G$1001,0),1)</f>
        <v>94</v>
      </c>
      <c r="T663" s="7" t="str">
        <f>INDEX(Detail!$E$1:$E$1001,MATCH(Main!B663,Detail!$G$1:$G$1001,0))</f>
        <v>Jl. Tubagus Ismail No. 10</v>
      </c>
      <c r="U663" s="7" t="str">
        <f>INDEX(Detail!$B$1:$B$1001,MATCH(B663,Detail!$G$1:$G$1001,0),1)</f>
        <v>B+</v>
      </c>
      <c r="V663" s="7" t="str" cm="1">
        <f t="array" ref="V663">INDEX(Dosen!$B$3:$E$8,MATCH(Main!C663,Dosen!$A$3:$A$8,0),IF(AND(Main!A663&gt;=1,Main!A663&lt;=250),1,IF(AND(Main!A663&gt;=251,Main!A663&lt;=500),2,IF(AND(Main!A663&gt;=501,Main!A663&lt;=750),3,4))))</f>
        <v>Bu Made</v>
      </c>
      <c r="W663" s="7" t="str">
        <f>_xlfn.XLOOKUP(B663,Detail!$G$1:$G$1001,Detail!$B$1:$B$1001)</f>
        <v>B+</v>
      </c>
    </row>
    <row r="664" spans="1:23" ht="15.75" x14ac:dyDescent="0.25">
      <c r="A664" s="7">
        <v>928</v>
      </c>
      <c r="B664" s="33" t="str">
        <f t="shared" si="38"/>
        <v>D0928</v>
      </c>
      <c r="C664" s="7" t="s">
        <v>1013</v>
      </c>
      <c r="D664" s="33" t="str">
        <f>VLOOKUP(B664,Detail!$G$1:$H$1001,2,FALSE)</f>
        <v>Tedi Aryani</v>
      </c>
      <c r="E664" s="7">
        <v>52</v>
      </c>
      <c r="F664" s="7">
        <v>61</v>
      </c>
      <c r="G664" s="57">
        <v>89</v>
      </c>
      <c r="H664" s="7">
        <v>58</v>
      </c>
      <c r="I664" s="7">
        <v>77</v>
      </c>
      <c r="J664" s="7">
        <v>53</v>
      </c>
      <c r="K664" s="7">
        <v>98</v>
      </c>
      <c r="L664" s="56" t="str">
        <f>IFERROR(VLOOKUP(B664,Absen!$A$1:$C$501,2,FALSE),"No")</f>
        <v>No</v>
      </c>
      <c r="M664" s="58">
        <f t="shared" si="36"/>
        <v>9.8000000000000007</v>
      </c>
      <c r="N664" s="57">
        <f t="shared" si="37"/>
        <v>69.2</v>
      </c>
      <c r="O664" s="7" t="str">
        <f>VLOOKUP(N664,Helper!$B$30:$C$35,2,TRUE)</f>
        <v>C</v>
      </c>
      <c r="P664" s="56">
        <f>INDEX(Detail!$A$1:$A$1001,MATCH(B664,Detail!$G$1:$G$1001,0))</f>
        <v>38251</v>
      </c>
      <c r="Q664" s="33" t="str">
        <f>INDEX(Detail!$F$1:$F$1001,MATCH(Main!B664,Detail!$G$1:$G$1001,0))</f>
        <v>Pangkalpinang</v>
      </c>
      <c r="R664" s="7">
        <f>INDEX(Detail!$C$1:$C$1001,MATCH(B664,Detail!$G$1:$G$1001,0),1)</f>
        <v>169</v>
      </c>
      <c r="S664" s="7">
        <f>INDEX(Detail!$D$1:$D$1001,MATCH(B664,Detail!$G$1:$G$1001,0),1)</f>
        <v>79</v>
      </c>
      <c r="T664" s="7" t="str">
        <f>INDEX(Detail!$E$1:$E$1001,MATCH(Main!B664,Detail!$G$1:$G$1001,0))</f>
        <v xml:space="preserve">Jl. Pelajar Pejuang No. 0
</v>
      </c>
      <c r="U664" s="7" t="str">
        <f>INDEX(Detail!$B$1:$B$1001,MATCH(B664,Detail!$G$1:$G$1001,0),1)</f>
        <v>AB+</v>
      </c>
      <c r="V664" s="7" t="str" cm="1">
        <f t="array" ref="V664">INDEX(Dosen!$B$3:$E$8,MATCH(Main!C664,Dosen!$A$3:$A$8,0),IF(AND(Main!A664&gt;=1,Main!A664&lt;=250),1,IF(AND(Main!A664&gt;=251,Main!A664&lt;=500),2,IF(AND(Main!A664&gt;=501,Main!A664&lt;=750),3,4))))</f>
        <v>Bu Made</v>
      </c>
      <c r="W664" s="7" t="str">
        <f>_xlfn.XLOOKUP(B664,Detail!$G$1:$G$1001,Detail!$B$1:$B$1001)</f>
        <v>AB+</v>
      </c>
    </row>
    <row r="665" spans="1:23" ht="15.75" x14ac:dyDescent="0.25">
      <c r="A665" s="7">
        <v>934</v>
      </c>
      <c r="B665" s="33" t="str">
        <f t="shared" si="38"/>
        <v>D0934</v>
      </c>
      <c r="C665" s="7" t="s">
        <v>1013</v>
      </c>
      <c r="D665" s="33" t="str">
        <f>VLOOKUP(B665,Detail!$G$1:$H$1001,2,FALSE)</f>
        <v>Darman Permata</v>
      </c>
      <c r="E665" s="7">
        <v>90</v>
      </c>
      <c r="F665" s="7">
        <v>67</v>
      </c>
      <c r="G665" s="57">
        <v>69</v>
      </c>
      <c r="H665" s="7">
        <v>66</v>
      </c>
      <c r="I665" s="7">
        <v>69</v>
      </c>
      <c r="J665" s="7">
        <v>57</v>
      </c>
      <c r="K665" s="7">
        <v>83</v>
      </c>
      <c r="L665" s="56">
        <f>IFERROR(VLOOKUP(B665,Absen!$A$1:$C$501,2,FALSE),"No")</f>
        <v>44772</v>
      </c>
      <c r="M665" s="58">
        <f t="shared" si="36"/>
        <v>7.3000000000000007</v>
      </c>
      <c r="N665" s="57">
        <f t="shared" si="37"/>
        <v>69</v>
      </c>
      <c r="O665" s="7" t="str">
        <f>VLOOKUP(N665,Helper!$B$30:$C$35,2,TRUE)</f>
        <v>C</v>
      </c>
      <c r="P665" s="56">
        <f>INDEX(Detail!$A$1:$A$1001,MATCH(B665,Detail!$G$1:$G$1001,0))</f>
        <v>38449</v>
      </c>
      <c r="Q665" s="33" t="str">
        <f>INDEX(Detail!$F$1:$F$1001,MATCH(Main!B665,Detail!$G$1:$G$1001,0))</f>
        <v>Jambi</v>
      </c>
      <c r="R665" s="7">
        <f>INDEX(Detail!$C$1:$C$1001,MATCH(B665,Detail!$G$1:$G$1001,0),1)</f>
        <v>171</v>
      </c>
      <c r="S665" s="7">
        <f>INDEX(Detail!$D$1:$D$1001,MATCH(B665,Detail!$G$1:$G$1001,0),1)</f>
        <v>94</v>
      </c>
      <c r="T665" s="7" t="str">
        <f>INDEX(Detail!$E$1:$E$1001,MATCH(Main!B665,Detail!$G$1:$G$1001,0))</f>
        <v xml:space="preserve">Gg. Stasiun Wonokromo No. 1
</v>
      </c>
      <c r="U665" s="7" t="str">
        <f>INDEX(Detail!$B$1:$B$1001,MATCH(B665,Detail!$G$1:$G$1001,0),1)</f>
        <v>B-</v>
      </c>
      <c r="V665" s="7" t="str" cm="1">
        <f t="array" ref="V665">INDEX(Dosen!$B$3:$E$8,MATCH(Main!C665,Dosen!$A$3:$A$8,0),IF(AND(Main!A665&gt;=1,Main!A665&lt;=250),1,IF(AND(Main!A665&gt;=251,Main!A665&lt;=500),2,IF(AND(Main!A665&gt;=501,Main!A665&lt;=750),3,4))))</f>
        <v>Bu Made</v>
      </c>
      <c r="W665" s="7" t="str">
        <f>_xlfn.XLOOKUP(B665,Detail!$G$1:$G$1001,Detail!$B$1:$B$1001)</f>
        <v>B-</v>
      </c>
    </row>
    <row r="666" spans="1:23" ht="15.75" x14ac:dyDescent="0.25">
      <c r="A666" s="7">
        <v>942</v>
      </c>
      <c r="B666" s="33" t="str">
        <f t="shared" si="38"/>
        <v>D0942</v>
      </c>
      <c r="C666" s="7" t="s">
        <v>1013</v>
      </c>
      <c r="D666" s="33" t="str">
        <f>VLOOKUP(B666,Detail!$G$1:$H$1001,2,FALSE)</f>
        <v>Prakosa Halim</v>
      </c>
      <c r="E666" s="7">
        <v>94</v>
      </c>
      <c r="F666" s="7">
        <v>56</v>
      </c>
      <c r="G666" s="57">
        <v>43</v>
      </c>
      <c r="H666" s="7">
        <v>59</v>
      </c>
      <c r="I666" s="7">
        <v>86</v>
      </c>
      <c r="J666" s="7">
        <v>84</v>
      </c>
      <c r="K666" s="7">
        <v>84</v>
      </c>
      <c r="L666" s="56">
        <f>IFERROR(VLOOKUP(B666,Absen!$A$1:$C$501,2,FALSE),"No")</f>
        <v>44763</v>
      </c>
      <c r="M666" s="58">
        <f t="shared" si="36"/>
        <v>7.4</v>
      </c>
      <c r="N666" s="57">
        <f t="shared" si="37"/>
        <v>69.675000000000011</v>
      </c>
      <c r="O666" s="7" t="str">
        <f>VLOOKUP(N666,Helper!$B$30:$C$35,2,TRUE)</f>
        <v>C</v>
      </c>
      <c r="P666" s="56">
        <f>INDEX(Detail!$A$1:$A$1001,MATCH(B666,Detail!$G$1:$G$1001,0))</f>
        <v>38050</v>
      </c>
      <c r="Q666" s="33" t="str">
        <f>INDEX(Detail!$F$1:$F$1001,MATCH(Main!B666,Detail!$G$1:$G$1001,0))</f>
        <v>Kota Administrasi Jakarta Timur</v>
      </c>
      <c r="R666" s="7">
        <f>INDEX(Detail!$C$1:$C$1001,MATCH(B666,Detail!$G$1:$G$1001,0),1)</f>
        <v>165</v>
      </c>
      <c r="S666" s="7">
        <f>INDEX(Detail!$D$1:$D$1001,MATCH(B666,Detail!$G$1:$G$1001,0),1)</f>
        <v>56</v>
      </c>
      <c r="T666" s="7" t="str">
        <f>INDEX(Detail!$E$1:$E$1001,MATCH(Main!B666,Detail!$G$1:$G$1001,0))</f>
        <v>Jalan Kendalsari No. 30</v>
      </c>
      <c r="U666" s="7" t="str">
        <f>INDEX(Detail!$B$1:$B$1001,MATCH(B666,Detail!$G$1:$G$1001,0),1)</f>
        <v>B-</v>
      </c>
      <c r="V666" s="7" t="str" cm="1">
        <f t="array" ref="V666">INDEX(Dosen!$B$3:$E$8,MATCH(Main!C666,Dosen!$A$3:$A$8,0),IF(AND(Main!A666&gt;=1,Main!A666&lt;=250),1,IF(AND(Main!A666&gt;=251,Main!A666&lt;=500),2,IF(AND(Main!A666&gt;=501,Main!A666&lt;=750),3,4))))</f>
        <v>Bu Made</v>
      </c>
      <c r="W666" s="7" t="str">
        <f>_xlfn.XLOOKUP(B666,Detail!$G$1:$G$1001,Detail!$B$1:$B$1001)</f>
        <v>B-</v>
      </c>
    </row>
    <row r="667" spans="1:23" ht="15.75" x14ac:dyDescent="0.25">
      <c r="A667" s="7">
        <v>948</v>
      </c>
      <c r="B667" s="33" t="str">
        <f t="shared" si="38"/>
        <v>D0948</v>
      </c>
      <c r="C667" s="7" t="s">
        <v>1013</v>
      </c>
      <c r="D667" s="33" t="str">
        <f>VLOOKUP(B667,Detail!$G$1:$H$1001,2,FALSE)</f>
        <v>Tina Saputra</v>
      </c>
      <c r="E667" s="7">
        <v>83</v>
      </c>
      <c r="F667" s="7">
        <v>63</v>
      </c>
      <c r="G667" s="57">
        <v>53</v>
      </c>
      <c r="H667" s="7">
        <v>63</v>
      </c>
      <c r="I667" s="7">
        <v>88</v>
      </c>
      <c r="J667" s="7">
        <v>43</v>
      </c>
      <c r="K667" s="7">
        <v>77</v>
      </c>
      <c r="L667" s="56" t="str">
        <f>IFERROR(VLOOKUP(B667,Absen!$A$1:$C$501,2,FALSE),"No")</f>
        <v>No</v>
      </c>
      <c r="M667" s="58">
        <f t="shared" si="36"/>
        <v>7.7</v>
      </c>
      <c r="N667" s="57">
        <f t="shared" si="37"/>
        <v>64.025000000000006</v>
      </c>
      <c r="O667" s="7" t="str">
        <f>VLOOKUP(N667,Helper!$B$30:$C$35,2,TRUE)</f>
        <v>C</v>
      </c>
      <c r="P667" s="56">
        <f>INDEX(Detail!$A$1:$A$1001,MATCH(B667,Detail!$G$1:$G$1001,0))</f>
        <v>37478</v>
      </c>
      <c r="Q667" s="33" t="str">
        <f>INDEX(Detail!$F$1:$F$1001,MATCH(Main!B667,Detail!$G$1:$G$1001,0))</f>
        <v>Prabumulih</v>
      </c>
      <c r="R667" s="7">
        <f>INDEX(Detail!$C$1:$C$1001,MATCH(B667,Detail!$G$1:$G$1001,0),1)</f>
        <v>180</v>
      </c>
      <c r="S667" s="7">
        <f>INDEX(Detail!$D$1:$D$1001,MATCH(B667,Detail!$G$1:$G$1001,0),1)</f>
        <v>84</v>
      </c>
      <c r="T667" s="7" t="str">
        <f>INDEX(Detail!$E$1:$E$1001,MATCH(Main!B667,Detail!$G$1:$G$1001,0))</f>
        <v>Gg. Waringin No. 37</v>
      </c>
      <c r="U667" s="7" t="str">
        <f>INDEX(Detail!$B$1:$B$1001,MATCH(B667,Detail!$G$1:$G$1001,0),1)</f>
        <v>O-</v>
      </c>
      <c r="V667" s="7" t="str" cm="1">
        <f t="array" ref="V667">INDEX(Dosen!$B$3:$E$8,MATCH(Main!C667,Dosen!$A$3:$A$8,0),IF(AND(Main!A667&gt;=1,Main!A667&lt;=250),1,IF(AND(Main!A667&gt;=251,Main!A667&lt;=500),2,IF(AND(Main!A667&gt;=501,Main!A667&lt;=750),3,4))))</f>
        <v>Bu Made</v>
      </c>
      <c r="W667" s="7" t="str">
        <f>_xlfn.XLOOKUP(B667,Detail!$G$1:$G$1001,Detail!$B$1:$B$1001)</f>
        <v>O-</v>
      </c>
    </row>
    <row r="668" spans="1:23" ht="15.75" x14ac:dyDescent="0.25">
      <c r="A668" s="7">
        <v>949</v>
      </c>
      <c r="B668" s="33" t="str">
        <f t="shared" si="38"/>
        <v>D0949</v>
      </c>
      <c r="C668" s="7" t="s">
        <v>1013</v>
      </c>
      <c r="D668" s="33" t="str">
        <f>VLOOKUP(B668,Detail!$G$1:$H$1001,2,FALSE)</f>
        <v>Respati Saptono</v>
      </c>
      <c r="E668" s="7">
        <v>57</v>
      </c>
      <c r="F668" s="7">
        <v>74</v>
      </c>
      <c r="G668" s="57">
        <v>87</v>
      </c>
      <c r="H668" s="7">
        <v>74</v>
      </c>
      <c r="I668" s="7">
        <v>57</v>
      </c>
      <c r="J668" s="7">
        <v>61</v>
      </c>
      <c r="K668" s="7">
        <v>94</v>
      </c>
      <c r="L668" s="56" t="str">
        <f>IFERROR(VLOOKUP(B668,Absen!$A$1:$C$501,2,FALSE),"No")</f>
        <v>No</v>
      </c>
      <c r="M668" s="58">
        <f t="shared" si="36"/>
        <v>9.4</v>
      </c>
      <c r="N668" s="57">
        <f t="shared" si="37"/>
        <v>71.750000000000014</v>
      </c>
      <c r="O668" s="7" t="str">
        <f>VLOOKUP(N668,Helper!$B$30:$C$35,2,TRUE)</f>
        <v>B</v>
      </c>
      <c r="P668" s="56">
        <f>INDEX(Detail!$A$1:$A$1001,MATCH(B668,Detail!$G$1:$G$1001,0))</f>
        <v>37771</v>
      </c>
      <c r="Q668" s="33" t="str">
        <f>INDEX(Detail!$F$1:$F$1001,MATCH(Main!B668,Detail!$G$1:$G$1001,0))</f>
        <v>Bandar Lampung</v>
      </c>
      <c r="R668" s="7">
        <f>INDEX(Detail!$C$1:$C$1001,MATCH(B668,Detail!$G$1:$G$1001,0),1)</f>
        <v>166</v>
      </c>
      <c r="S668" s="7">
        <f>INDEX(Detail!$D$1:$D$1001,MATCH(B668,Detail!$G$1:$G$1001,0),1)</f>
        <v>76</v>
      </c>
      <c r="T668" s="7" t="str">
        <f>INDEX(Detail!$E$1:$E$1001,MATCH(Main!B668,Detail!$G$1:$G$1001,0))</f>
        <v>Jl. Laswi No. 49</v>
      </c>
      <c r="U668" s="7" t="str">
        <f>INDEX(Detail!$B$1:$B$1001,MATCH(B668,Detail!$G$1:$G$1001,0),1)</f>
        <v>A-</v>
      </c>
      <c r="V668" s="7" t="str" cm="1">
        <f t="array" ref="V668">INDEX(Dosen!$B$3:$E$8,MATCH(Main!C668,Dosen!$A$3:$A$8,0),IF(AND(Main!A668&gt;=1,Main!A668&lt;=250),1,IF(AND(Main!A668&gt;=251,Main!A668&lt;=500),2,IF(AND(Main!A668&gt;=501,Main!A668&lt;=750),3,4))))</f>
        <v>Bu Made</v>
      </c>
      <c r="W668" s="7" t="str">
        <f>_xlfn.XLOOKUP(B668,Detail!$G$1:$G$1001,Detail!$B$1:$B$1001)</f>
        <v>A-</v>
      </c>
    </row>
    <row r="669" spans="1:23" ht="15.75" x14ac:dyDescent="0.25">
      <c r="A669" s="7">
        <v>950</v>
      </c>
      <c r="B669" s="33" t="str">
        <f t="shared" si="38"/>
        <v>D0950</v>
      </c>
      <c r="C669" s="7" t="s">
        <v>1013</v>
      </c>
      <c r="D669" s="33" t="str">
        <f>VLOOKUP(B669,Detail!$G$1:$H$1001,2,FALSE)</f>
        <v>Rahmat Hutasoit</v>
      </c>
      <c r="E669" s="7">
        <v>75</v>
      </c>
      <c r="F669" s="7">
        <v>61</v>
      </c>
      <c r="G669" s="57">
        <v>74</v>
      </c>
      <c r="H669" s="7">
        <v>67</v>
      </c>
      <c r="I669" s="7">
        <v>95</v>
      </c>
      <c r="J669" s="7">
        <v>41</v>
      </c>
      <c r="K669" s="7">
        <v>64</v>
      </c>
      <c r="L669" s="56" t="str">
        <f>IFERROR(VLOOKUP(B669,Absen!$A$1:$C$501,2,FALSE),"No")</f>
        <v>No</v>
      </c>
      <c r="M669" s="58">
        <f t="shared" si="36"/>
        <v>6.4</v>
      </c>
      <c r="N669" s="57">
        <f t="shared" si="37"/>
        <v>66.650000000000006</v>
      </c>
      <c r="O669" s="7" t="str">
        <f>VLOOKUP(N669,Helper!$B$30:$C$35,2,TRUE)</f>
        <v>C</v>
      </c>
      <c r="P669" s="56">
        <f>INDEX(Detail!$A$1:$A$1001,MATCH(B669,Detail!$G$1:$G$1001,0))</f>
        <v>38330</v>
      </c>
      <c r="Q669" s="33" t="str">
        <f>INDEX(Detail!$F$1:$F$1001,MATCH(Main!B669,Detail!$G$1:$G$1001,0))</f>
        <v>Langsa</v>
      </c>
      <c r="R669" s="7">
        <f>INDEX(Detail!$C$1:$C$1001,MATCH(B669,Detail!$G$1:$G$1001,0),1)</f>
        <v>161</v>
      </c>
      <c r="S669" s="7">
        <f>INDEX(Detail!$D$1:$D$1001,MATCH(B669,Detail!$G$1:$G$1001,0),1)</f>
        <v>77</v>
      </c>
      <c r="T669" s="7" t="str">
        <f>INDEX(Detail!$E$1:$E$1001,MATCH(Main!B669,Detail!$G$1:$G$1001,0))</f>
        <v xml:space="preserve">Gang Sentot Alibasa No. 6
</v>
      </c>
      <c r="U669" s="7" t="str">
        <f>INDEX(Detail!$B$1:$B$1001,MATCH(B669,Detail!$G$1:$G$1001,0),1)</f>
        <v>O-</v>
      </c>
      <c r="V669" s="7" t="str" cm="1">
        <f t="array" ref="V669">INDEX(Dosen!$B$3:$E$8,MATCH(Main!C669,Dosen!$A$3:$A$8,0),IF(AND(Main!A669&gt;=1,Main!A669&lt;=250),1,IF(AND(Main!A669&gt;=251,Main!A669&lt;=500),2,IF(AND(Main!A669&gt;=501,Main!A669&lt;=750),3,4))))</f>
        <v>Bu Made</v>
      </c>
      <c r="W669" s="7" t="str">
        <f>_xlfn.XLOOKUP(B669,Detail!$G$1:$G$1001,Detail!$B$1:$B$1001)</f>
        <v>O-</v>
      </c>
    </row>
    <row r="670" spans="1:23" ht="15.75" x14ac:dyDescent="0.25">
      <c r="A670" s="7">
        <v>959</v>
      </c>
      <c r="B670" s="33" t="str">
        <f t="shared" si="38"/>
        <v>D0959</v>
      </c>
      <c r="C670" s="7" t="s">
        <v>1013</v>
      </c>
      <c r="D670" s="33" t="str">
        <f>VLOOKUP(B670,Detail!$G$1:$H$1001,2,FALSE)</f>
        <v>Banawa Prasetyo</v>
      </c>
      <c r="E670" s="7">
        <v>59</v>
      </c>
      <c r="F670" s="7">
        <v>72</v>
      </c>
      <c r="G670" s="57">
        <v>75</v>
      </c>
      <c r="H670" s="7">
        <v>54</v>
      </c>
      <c r="I670" s="7">
        <v>71</v>
      </c>
      <c r="J670" s="7">
        <v>93</v>
      </c>
      <c r="K670" s="7">
        <v>94</v>
      </c>
      <c r="L670" s="56" t="str">
        <f>IFERROR(VLOOKUP(B670,Absen!$A$1:$C$501,2,FALSE),"No")</f>
        <v>No</v>
      </c>
      <c r="M670" s="58">
        <f t="shared" si="36"/>
        <v>9.4</v>
      </c>
      <c r="N670" s="57">
        <f t="shared" si="37"/>
        <v>75</v>
      </c>
      <c r="O670" s="7" t="str">
        <f>VLOOKUP(N670,Helper!$B$30:$C$35,2,TRUE)</f>
        <v>B</v>
      </c>
      <c r="P670" s="56">
        <f>INDEX(Detail!$A$1:$A$1001,MATCH(B670,Detail!$G$1:$G$1001,0))</f>
        <v>38019</v>
      </c>
      <c r="Q670" s="33" t="str">
        <f>INDEX(Detail!$F$1:$F$1001,MATCH(Main!B670,Detail!$G$1:$G$1001,0))</f>
        <v>Kota Administrasi Jakarta Utara</v>
      </c>
      <c r="R670" s="7">
        <f>INDEX(Detail!$C$1:$C$1001,MATCH(B670,Detail!$G$1:$G$1001,0),1)</f>
        <v>157</v>
      </c>
      <c r="S670" s="7">
        <f>INDEX(Detail!$D$1:$D$1001,MATCH(B670,Detail!$G$1:$G$1001,0),1)</f>
        <v>54</v>
      </c>
      <c r="T670" s="7" t="str">
        <f>INDEX(Detail!$E$1:$E$1001,MATCH(Main!B670,Detail!$G$1:$G$1001,0))</f>
        <v xml:space="preserve">Gang Ahmad Yani No. 1
</v>
      </c>
      <c r="U670" s="7" t="str">
        <f>INDEX(Detail!$B$1:$B$1001,MATCH(B670,Detail!$G$1:$G$1001,0),1)</f>
        <v>AB+</v>
      </c>
      <c r="V670" s="7" t="str" cm="1">
        <f t="array" ref="V670">INDEX(Dosen!$B$3:$E$8,MATCH(Main!C670,Dosen!$A$3:$A$8,0),IF(AND(Main!A670&gt;=1,Main!A670&lt;=250),1,IF(AND(Main!A670&gt;=251,Main!A670&lt;=500),2,IF(AND(Main!A670&gt;=501,Main!A670&lt;=750),3,4))))</f>
        <v>Bu Made</v>
      </c>
      <c r="W670" s="7" t="str">
        <f>_xlfn.XLOOKUP(B670,Detail!$G$1:$G$1001,Detail!$B$1:$B$1001)</f>
        <v>AB+</v>
      </c>
    </row>
    <row r="671" spans="1:23" ht="15.75" x14ac:dyDescent="0.25">
      <c r="A671" s="7">
        <v>965</v>
      </c>
      <c r="B671" s="33" t="str">
        <f t="shared" si="38"/>
        <v>D0965</v>
      </c>
      <c r="C671" s="7" t="s">
        <v>1013</v>
      </c>
      <c r="D671" s="33" t="str">
        <f>VLOOKUP(B671,Detail!$G$1:$H$1001,2,FALSE)</f>
        <v>Darsirah Habibi</v>
      </c>
      <c r="E671" s="7">
        <v>50</v>
      </c>
      <c r="F671" s="7">
        <v>47</v>
      </c>
      <c r="G671" s="57">
        <v>34</v>
      </c>
      <c r="H671" s="7">
        <v>75</v>
      </c>
      <c r="I671" s="7">
        <v>81</v>
      </c>
      <c r="J671" s="7">
        <v>52</v>
      </c>
      <c r="K671" s="7">
        <v>69</v>
      </c>
      <c r="L671" s="56" t="str">
        <f>IFERROR(VLOOKUP(B671,Absen!$A$1:$C$501,2,FALSE),"No")</f>
        <v>No</v>
      </c>
      <c r="M671" s="58">
        <f t="shared" si="36"/>
        <v>6.9</v>
      </c>
      <c r="N671" s="57">
        <f t="shared" si="37"/>
        <v>55.724999999999994</v>
      </c>
      <c r="O671" s="7" t="str">
        <f>VLOOKUP(N671,Helper!$B$30:$C$35,2,TRUE)</f>
        <v>D</v>
      </c>
      <c r="P671" s="56">
        <f>INDEX(Detail!$A$1:$A$1001,MATCH(B671,Detail!$G$1:$G$1001,0))</f>
        <v>37062</v>
      </c>
      <c r="Q671" s="33" t="str">
        <f>INDEX(Detail!$F$1:$F$1001,MATCH(Main!B671,Detail!$G$1:$G$1001,0))</f>
        <v>Metro</v>
      </c>
      <c r="R671" s="7">
        <f>INDEX(Detail!$C$1:$C$1001,MATCH(B671,Detail!$G$1:$G$1001,0),1)</f>
        <v>157</v>
      </c>
      <c r="S671" s="7">
        <f>INDEX(Detail!$D$1:$D$1001,MATCH(B671,Detail!$G$1:$G$1001,0),1)</f>
        <v>77</v>
      </c>
      <c r="T671" s="7" t="str">
        <f>INDEX(Detail!$E$1:$E$1001,MATCH(Main!B671,Detail!$G$1:$G$1001,0))</f>
        <v xml:space="preserve">Gang Yos Sudarso No. 9
</v>
      </c>
      <c r="U671" s="7" t="str">
        <f>INDEX(Detail!$B$1:$B$1001,MATCH(B671,Detail!$G$1:$G$1001,0),1)</f>
        <v>AB-</v>
      </c>
      <c r="V671" s="7" t="str" cm="1">
        <f t="array" ref="V671">INDEX(Dosen!$B$3:$E$8,MATCH(Main!C671,Dosen!$A$3:$A$8,0),IF(AND(Main!A671&gt;=1,Main!A671&lt;=250),1,IF(AND(Main!A671&gt;=251,Main!A671&lt;=500),2,IF(AND(Main!A671&gt;=501,Main!A671&lt;=750),3,4))))</f>
        <v>Bu Made</v>
      </c>
      <c r="W671" s="7" t="str">
        <f>_xlfn.XLOOKUP(B671,Detail!$G$1:$G$1001,Detail!$B$1:$B$1001)</f>
        <v>AB-</v>
      </c>
    </row>
    <row r="672" spans="1:23" ht="15.75" x14ac:dyDescent="0.25">
      <c r="A672" s="7">
        <v>972</v>
      </c>
      <c r="B672" s="33" t="str">
        <f t="shared" si="38"/>
        <v>D0972</v>
      </c>
      <c r="C672" s="7" t="s">
        <v>1013</v>
      </c>
      <c r="D672" s="33" t="str">
        <f>VLOOKUP(B672,Detail!$G$1:$H$1001,2,FALSE)</f>
        <v>Hana Winarsih</v>
      </c>
      <c r="E672" s="7">
        <v>81</v>
      </c>
      <c r="F672" s="7">
        <v>47</v>
      </c>
      <c r="G672" s="57">
        <v>93</v>
      </c>
      <c r="H672" s="7">
        <v>50</v>
      </c>
      <c r="I672" s="7">
        <v>91</v>
      </c>
      <c r="J672" s="7">
        <v>74</v>
      </c>
      <c r="K672" s="7">
        <v>72</v>
      </c>
      <c r="L672" s="56">
        <f>IFERROR(VLOOKUP(B672,Absen!$A$1:$C$501,2,FALSE),"No")</f>
        <v>44822</v>
      </c>
      <c r="M672" s="58">
        <f t="shared" si="36"/>
        <v>6.2</v>
      </c>
      <c r="N672" s="57">
        <f t="shared" si="37"/>
        <v>73.225000000000009</v>
      </c>
      <c r="O672" s="7" t="str">
        <f>VLOOKUP(N672,Helper!$B$30:$C$35,2,TRUE)</f>
        <v>B</v>
      </c>
      <c r="P672" s="56">
        <f>INDEX(Detail!$A$1:$A$1001,MATCH(B672,Detail!$G$1:$G$1001,0))</f>
        <v>37540</v>
      </c>
      <c r="Q672" s="33" t="str">
        <f>INDEX(Detail!$F$1:$F$1001,MATCH(Main!B672,Detail!$G$1:$G$1001,0))</f>
        <v>Samarinda</v>
      </c>
      <c r="R672" s="7">
        <f>INDEX(Detail!$C$1:$C$1001,MATCH(B672,Detail!$G$1:$G$1001,0),1)</f>
        <v>170</v>
      </c>
      <c r="S672" s="7">
        <f>INDEX(Detail!$D$1:$D$1001,MATCH(B672,Detail!$G$1:$G$1001,0),1)</f>
        <v>63</v>
      </c>
      <c r="T672" s="7" t="str">
        <f>INDEX(Detail!$E$1:$E$1001,MATCH(Main!B672,Detail!$G$1:$G$1001,0))</f>
        <v>Jl. KH Amin Jasuta No. 87</v>
      </c>
      <c r="U672" s="7" t="str">
        <f>INDEX(Detail!$B$1:$B$1001,MATCH(B672,Detail!$G$1:$G$1001,0),1)</f>
        <v>O-</v>
      </c>
      <c r="V672" s="7" t="str" cm="1">
        <f t="array" ref="V672">INDEX(Dosen!$B$3:$E$8,MATCH(Main!C672,Dosen!$A$3:$A$8,0),IF(AND(Main!A672&gt;=1,Main!A672&lt;=250),1,IF(AND(Main!A672&gt;=251,Main!A672&lt;=500),2,IF(AND(Main!A672&gt;=501,Main!A672&lt;=750),3,4))))</f>
        <v>Bu Made</v>
      </c>
      <c r="W672" s="7" t="str">
        <f>_xlfn.XLOOKUP(B672,Detail!$G$1:$G$1001,Detail!$B$1:$B$1001)</f>
        <v>O-</v>
      </c>
    </row>
    <row r="673" spans="1:23" ht="15.75" x14ac:dyDescent="0.25">
      <c r="A673" s="7">
        <v>983</v>
      </c>
      <c r="B673" s="33" t="str">
        <f t="shared" si="38"/>
        <v>D0983</v>
      </c>
      <c r="C673" s="7" t="s">
        <v>1013</v>
      </c>
      <c r="D673" s="33" t="str">
        <f>VLOOKUP(B673,Detail!$G$1:$H$1001,2,FALSE)</f>
        <v>Ellis Prayoga</v>
      </c>
      <c r="E673" s="7">
        <v>78</v>
      </c>
      <c r="F673" s="7">
        <v>66</v>
      </c>
      <c r="G673" s="57">
        <v>91</v>
      </c>
      <c r="H673" s="7">
        <v>72</v>
      </c>
      <c r="I673" s="7">
        <v>59</v>
      </c>
      <c r="J673" s="7">
        <v>88</v>
      </c>
      <c r="K673" s="7">
        <v>60</v>
      </c>
      <c r="L673" s="56">
        <f>IFERROR(VLOOKUP(B673,Absen!$A$1:$C$501,2,FALSE),"No")</f>
        <v>44868</v>
      </c>
      <c r="M673" s="58">
        <f t="shared" si="36"/>
        <v>5</v>
      </c>
      <c r="N673" s="57">
        <f t="shared" si="37"/>
        <v>75.175000000000011</v>
      </c>
      <c r="O673" s="7" t="str">
        <f>VLOOKUP(N673,Helper!$B$30:$C$35,2,TRUE)</f>
        <v>B</v>
      </c>
      <c r="P673" s="56">
        <f>INDEX(Detail!$A$1:$A$1001,MATCH(B673,Detail!$G$1:$G$1001,0))</f>
        <v>37872</v>
      </c>
      <c r="Q673" s="33" t="str">
        <f>INDEX(Detail!$F$1:$F$1001,MATCH(Main!B673,Detail!$G$1:$G$1001,0))</f>
        <v>Banjarmasin</v>
      </c>
      <c r="R673" s="7">
        <f>INDEX(Detail!$C$1:$C$1001,MATCH(B673,Detail!$G$1:$G$1001,0),1)</f>
        <v>150</v>
      </c>
      <c r="S673" s="7">
        <f>INDEX(Detail!$D$1:$D$1001,MATCH(B673,Detail!$G$1:$G$1001,0),1)</f>
        <v>46</v>
      </c>
      <c r="T673" s="7" t="str">
        <f>INDEX(Detail!$E$1:$E$1001,MATCH(Main!B673,Detail!$G$1:$G$1001,0))</f>
        <v xml:space="preserve">Gg. Tebet Barat Dalam No. 6
</v>
      </c>
      <c r="U673" s="7" t="str">
        <f>INDEX(Detail!$B$1:$B$1001,MATCH(B673,Detail!$G$1:$G$1001,0),1)</f>
        <v>AB-</v>
      </c>
      <c r="V673" s="7" t="str" cm="1">
        <f t="array" ref="V673">INDEX(Dosen!$B$3:$E$8,MATCH(Main!C673,Dosen!$A$3:$A$8,0),IF(AND(Main!A673&gt;=1,Main!A673&lt;=250),1,IF(AND(Main!A673&gt;=251,Main!A673&lt;=500),2,IF(AND(Main!A673&gt;=501,Main!A673&lt;=750),3,4))))</f>
        <v>Bu Made</v>
      </c>
      <c r="W673" s="7" t="str">
        <f>_xlfn.XLOOKUP(B673,Detail!$G$1:$G$1001,Detail!$B$1:$B$1001)</f>
        <v>AB-</v>
      </c>
    </row>
    <row r="674" spans="1:23" ht="15.75" x14ac:dyDescent="0.25">
      <c r="A674" s="7">
        <v>984</v>
      </c>
      <c r="B674" s="33" t="str">
        <f t="shared" si="38"/>
        <v>D0984</v>
      </c>
      <c r="C674" s="7" t="s">
        <v>1013</v>
      </c>
      <c r="D674" s="33" t="str">
        <f>VLOOKUP(B674,Detail!$G$1:$H$1001,2,FALSE)</f>
        <v>Among Padmasari</v>
      </c>
      <c r="E674" s="7">
        <v>52</v>
      </c>
      <c r="F674" s="7">
        <v>57</v>
      </c>
      <c r="G674" s="57">
        <v>34</v>
      </c>
      <c r="H674" s="7">
        <v>73</v>
      </c>
      <c r="I674" s="7">
        <v>63</v>
      </c>
      <c r="J674" s="7">
        <v>92</v>
      </c>
      <c r="K674" s="7">
        <v>77</v>
      </c>
      <c r="L674" s="56">
        <f>IFERROR(VLOOKUP(B674,Absen!$A$1:$C$501,2,FALSE),"No")</f>
        <v>44838</v>
      </c>
      <c r="M674" s="58">
        <f t="shared" si="36"/>
        <v>6.7</v>
      </c>
      <c r="N674" s="57">
        <f t="shared" si="37"/>
        <v>62.525000000000006</v>
      </c>
      <c r="O674" s="7" t="str">
        <f>VLOOKUP(N674,Helper!$B$30:$C$35,2,TRUE)</f>
        <v>C</v>
      </c>
      <c r="P674" s="56">
        <f>INDEX(Detail!$A$1:$A$1001,MATCH(B674,Detail!$G$1:$G$1001,0))</f>
        <v>37739</v>
      </c>
      <c r="Q674" s="33" t="str">
        <f>INDEX(Detail!$F$1:$F$1001,MATCH(Main!B674,Detail!$G$1:$G$1001,0))</f>
        <v>Pekanbaru</v>
      </c>
      <c r="R674" s="7">
        <f>INDEX(Detail!$C$1:$C$1001,MATCH(B674,Detail!$G$1:$G$1001,0),1)</f>
        <v>159</v>
      </c>
      <c r="S674" s="7">
        <f>INDEX(Detail!$D$1:$D$1001,MATCH(B674,Detail!$G$1:$G$1001,0),1)</f>
        <v>77</v>
      </c>
      <c r="T674" s="7" t="str">
        <f>INDEX(Detail!$E$1:$E$1001,MATCH(Main!B674,Detail!$G$1:$G$1001,0))</f>
        <v>Jl. Rajawali Barat No. 63</v>
      </c>
      <c r="U674" s="7" t="str">
        <f>INDEX(Detail!$B$1:$B$1001,MATCH(B674,Detail!$G$1:$G$1001,0),1)</f>
        <v>O-</v>
      </c>
      <c r="V674" s="7" t="str" cm="1">
        <f t="array" ref="V674">INDEX(Dosen!$B$3:$E$8,MATCH(Main!C674,Dosen!$A$3:$A$8,0),IF(AND(Main!A674&gt;=1,Main!A674&lt;=250),1,IF(AND(Main!A674&gt;=251,Main!A674&lt;=500),2,IF(AND(Main!A674&gt;=501,Main!A674&lt;=750),3,4))))</f>
        <v>Bu Made</v>
      </c>
      <c r="W674" s="7" t="str">
        <f>_xlfn.XLOOKUP(B674,Detail!$G$1:$G$1001,Detail!$B$1:$B$1001)</f>
        <v>O-</v>
      </c>
    </row>
    <row r="675" spans="1:23" ht="15.75" x14ac:dyDescent="0.25">
      <c r="A675" s="7">
        <v>987</v>
      </c>
      <c r="B675" s="33" t="str">
        <f t="shared" si="38"/>
        <v>D0987</v>
      </c>
      <c r="C675" s="7" t="s">
        <v>1013</v>
      </c>
      <c r="D675" s="33" t="str">
        <f>VLOOKUP(B675,Detail!$G$1:$H$1001,2,FALSE)</f>
        <v>Ikin Purnawati</v>
      </c>
      <c r="E675" s="7">
        <v>51</v>
      </c>
      <c r="F675" s="7">
        <v>65</v>
      </c>
      <c r="G675" s="57">
        <v>47</v>
      </c>
      <c r="H675" s="7">
        <v>56</v>
      </c>
      <c r="I675" s="7">
        <v>86</v>
      </c>
      <c r="J675" s="7">
        <v>74</v>
      </c>
      <c r="K675" s="7">
        <v>72</v>
      </c>
      <c r="L675" s="56" t="str">
        <f>IFERROR(VLOOKUP(B675,Absen!$A$1:$C$501,2,FALSE),"No")</f>
        <v>No</v>
      </c>
      <c r="M675" s="58">
        <f t="shared" si="36"/>
        <v>7.2</v>
      </c>
      <c r="N675" s="57">
        <f t="shared" si="37"/>
        <v>63.650000000000006</v>
      </c>
      <c r="O675" s="7" t="str">
        <f>VLOOKUP(N675,Helper!$B$30:$C$35,2,TRUE)</f>
        <v>C</v>
      </c>
      <c r="P675" s="56">
        <f>INDEX(Detail!$A$1:$A$1001,MATCH(B675,Detail!$G$1:$G$1001,0))</f>
        <v>38466</v>
      </c>
      <c r="Q675" s="33" t="str">
        <f>INDEX(Detail!$F$1:$F$1001,MATCH(Main!B675,Detail!$G$1:$G$1001,0))</f>
        <v>Cilegon</v>
      </c>
      <c r="R675" s="7">
        <f>INDEX(Detail!$C$1:$C$1001,MATCH(B675,Detail!$G$1:$G$1001,0),1)</f>
        <v>159</v>
      </c>
      <c r="S675" s="7">
        <f>INDEX(Detail!$D$1:$D$1001,MATCH(B675,Detail!$G$1:$G$1001,0),1)</f>
        <v>71</v>
      </c>
      <c r="T675" s="7" t="str">
        <f>INDEX(Detail!$E$1:$E$1001,MATCH(Main!B675,Detail!$G$1:$G$1001,0))</f>
        <v>Jalan Cikapayang No. 13</v>
      </c>
      <c r="U675" s="7" t="str">
        <f>INDEX(Detail!$B$1:$B$1001,MATCH(B675,Detail!$G$1:$G$1001,0),1)</f>
        <v>O-</v>
      </c>
      <c r="V675" s="7" t="str" cm="1">
        <f t="array" ref="V675">INDEX(Dosen!$B$3:$E$8,MATCH(Main!C675,Dosen!$A$3:$A$8,0),IF(AND(Main!A675&gt;=1,Main!A675&lt;=250),1,IF(AND(Main!A675&gt;=251,Main!A675&lt;=500),2,IF(AND(Main!A675&gt;=501,Main!A675&lt;=750),3,4))))</f>
        <v>Bu Made</v>
      </c>
      <c r="W675" s="7" t="str">
        <f>_xlfn.XLOOKUP(B675,Detail!$G$1:$G$1001,Detail!$B$1:$B$1001)</f>
        <v>O-</v>
      </c>
    </row>
    <row r="676" spans="1:23" ht="15.75" x14ac:dyDescent="0.25">
      <c r="A676" s="7">
        <v>988</v>
      </c>
      <c r="B676" s="33" t="str">
        <f t="shared" si="38"/>
        <v>D0988</v>
      </c>
      <c r="C676" s="7" t="s">
        <v>1013</v>
      </c>
      <c r="D676" s="33" t="str">
        <f>VLOOKUP(B676,Detail!$G$1:$H$1001,2,FALSE)</f>
        <v>Ivan Wibisono</v>
      </c>
      <c r="E676" s="7">
        <v>51</v>
      </c>
      <c r="F676" s="7">
        <v>46</v>
      </c>
      <c r="G676" s="57">
        <v>94</v>
      </c>
      <c r="H676" s="7">
        <v>51</v>
      </c>
      <c r="I676" s="7">
        <v>58</v>
      </c>
      <c r="J676" s="7">
        <v>45</v>
      </c>
      <c r="K676" s="7">
        <v>87</v>
      </c>
      <c r="L676" s="56">
        <f>IFERROR(VLOOKUP(B676,Absen!$A$1:$C$501,2,FALSE),"No")</f>
        <v>44826</v>
      </c>
      <c r="M676" s="58">
        <f t="shared" si="36"/>
        <v>7.7</v>
      </c>
      <c r="N676" s="57">
        <f t="shared" si="37"/>
        <v>61.25</v>
      </c>
      <c r="O676" s="7" t="str">
        <f>VLOOKUP(N676,Helper!$B$30:$C$35,2,TRUE)</f>
        <v>C</v>
      </c>
      <c r="P676" s="56">
        <f>INDEX(Detail!$A$1:$A$1001,MATCH(B676,Detail!$G$1:$G$1001,0))</f>
        <v>37610</v>
      </c>
      <c r="Q676" s="33" t="str">
        <f>INDEX(Detail!$F$1:$F$1001,MATCH(Main!B676,Detail!$G$1:$G$1001,0))</f>
        <v>Mataram</v>
      </c>
      <c r="R676" s="7">
        <f>INDEX(Detail!$C$1:$C$1001,MATCH(B676,Detail!$G$1:$G$1001,0),1)</f>
        <v>173</v>
      </c>
      <c r="S676" s="7">
        <f>INDEX(Detail!$D$1:$D$1001,MATCH(B676,Detail!$G$1:$G$1001,0),1)</f>
        <v>82</v>
      </c>
      <c r="T676" s="7" t="str">
        <f>INDEX(Detail!$E$1:$E$1001,MATCH(Main!B676,Detail!$G$1:$G$1001,0))</f>
        <v>Gg. Dipatiukur No. 86</v>
      </c>
      <c r="U676" s="7" t="str">
        <f>INDEX(Detail!$B$1:$B$1001,MATCH(B676,Detail!$G$1:$G$1001,0),1)</f>
        <v>B-</v>
      </c>
      <c r="V676" s="7" t="str" cm="1">
        <f t="array" ref="V676">INDEX(Dosen!$B$3:$E$8,MATCH(Main!C676,Dosen!$A$3:$A$8,0),IF(AND(Main!A676&gt;=1,Main!A676&lt;=250),1,IF(AND(Main!A676&gt;=251,Main!A676&lt;=500),2,IF(AND(Main!A676&gt;=501,Main!A676&lt;=750),3,4))))</f>
        <v>Bu Made</v>
      </c>
      <c r="W676" s="7" t="str">
        <f>_xlfn.XLOOKUP(B676,Detail!$G$1:$G$1001,Detail!$B$1:$B$1001)</f>
        <v>B-</v>
      </c>
    </row>
    <row r="677" spans="1:23" ht="15.75" x14ac:dyDescent="0.25">
      <c r="A677" s="7">
        <v>991</v>
      </c>
      <c r="B677" s="33" t="str">
        <f t="shared" si="38"/>
        <v>D0991</v>
      </c>
      <c r="C677" s="7" t="s">
        <v>1013</v>
      </c>
      <c r="D677" s="33" t="str">
        <f>VLOOKUP(B677,Detail!$G$1:$H$1001,2,FALSE)</f>
        <v>Gaman Damanik</v>
      </c>
      <c r="E677" s="7">
        <v>92</v>
      </c>
      <c r="F677" s="7">
        <v>58</v>
      </c>
      <c r="G677" s="57">
        <v>80</v>
      </c>
      <c r="H677" s="7">
        <v>57</v>
      </c>
      <c r="I677" s="7">
        <v>86</v>
      </c>
      <c r="J677" s="7">
        <v>100</v>
      </c>
      <c r="K677" s="7">
        <v>86</v>
      </c>
      <c r="L677" s="56" t="str">
        <f>IFERROR(VLOOKUP(B677,Absen!$A$1:$C$501,2,FALSE),"No")</f>
        <v>No</v>
      </c>
      <c r="M677" s="58">
        <f t="shared" si="36"/>
        <v>8.6</v>
      </c>
      <c r="N677" s="57">
        <f t="shared" si="37"/>
        <v>81.224999999999994</v>
      </c>
      <c r="O677" s="7" t="str">
        <f>VLOOKUP(N677,Helper!$B$30:$C$35,2,TRUE)</f>
        <v>A</v>
      </c>
      <c r="P677" s="56">
        <f>INDEX(Detail!$A$1:$A$1001,MATCH(B677,Detail!$G$1:$G$1001,0))</f>
        <v>37667</v>
      </c>
      <c r="Q677" s="33" t="str">
        <f>INDEX(Detail!$F$1:$F$1001,MATCH(Main!B677,Detail!$G$1:$G$1001,0))</f>
        <v>Surabaya</v>
      </c>
      <c r="R677" s="7">
        <f>INDEX(Detail!$C$1:$C$1001,MATCH(B677,Detail!$G$1:$G$1001,0),1)</f>
        <v>151</v>
      </c>
      <c r="S677" s="7">
        <f>INDEX(Detail!$D$1:$D$1001,MATCH(B677,Detail!$G$1:$G$1001,0),1)</f>
        <v>59</v>
      </c>
      <c r="T677" s="7" t="str">
        <f>INDEX(Detail!$E$1:$E$1001,MATCH(Main!B677,Detail!$G$1:$G$1001,0))</f>
        <v xml:space="preserve">Gg. Setiabudhi No. 3
</v>
      </c>
      <c r="U677" s="7" t="str">
        <f>INDEX(Detail!$B$1:$B$1001,MATCH(B677,Detail!$G$1:$G$1001,0),1)</f>
        <v>O-</v>
      </c>
      <c r="V677" s="7" t="str" cm="1">
        <f t="array" ref="V677">INDEX(Dosen!$B$3:$E$8,MATCH(Main!C677,Dosen!$A$3:$A$8,0),IF(AND(Main!A677&gt;=1,Main!A677&lt;=250),1,IF(AND(Main!A677&gt;=251,Main!A677&lt;=500),2,IF(AND(Main!A677&gt;=501,Main!A677&lt;=750),3,4))))</f>
        <v>Bu Made</v>
      </c>
      <c r="W677" s="7" t="str">
        <f>_xlfn.XLOOKUP(B677,Detail!$G$1:$G$1001,Detail!$B$1:$B$1001)</f>
        <v>O-</v>
      </c>
    </row>
    <row r="678" spans="1:23" ht="15.75" x14ac:dyDescent="0.25">
      <c r="A678" s="7">
        <v>995</v>
      </c>
      <c r="B678" s="33" t="str">
        <f t="shared" si="38"/>
        <v>D0995</v>
      </c>
      <c r="C678" s="7" t="s">
        <v>1013</v>
      </c>
      <c r="D678" s="33" t="str">
        <f>VLOOKUP(B678,Detail!$G$1:$H$1001,2,FALSE)</f>
        <v>Malik Tampubolon</v>
      </c>
      <c r="E678" s="7">
        <v>59</v>
      </c>
      <c r="F678" s="7">
        <v>43</v>
      </c>
      <c r="G678" s="57">
        <v>43</v>
      </c>
      <c r="H678" s="7">
        <v>61</v>
      </c>
      <c r="I678" s="7">
        <v>75</v>
      </c>
      <c r="J678" s="7">
        <v>53</v>
      </c>
      <c r="K678" s="7">
        <v>89</v>
      </c>
      <c r="L678" s="56">
        <f>IFERROR(VLOOKUP(B678,Absen!$A$1:$C$501,2,FALSE),"No")</f>
        <v>44798</v>
      </c>
      <c r="M678" s="58">
        <f t="shared" si="36"/>
        <v>7.9</v>
      </c>
      <c r="N678" s="57">
        <f t="shared" si="37"/>
        <v>56.85</v>
      </c>
      <c r="O678" s="7" t="str">
        <f>VLOOKUP(N678,Helper!$B$30:$C$35,2,TRUE)</f>
        <v>D</v>
      </c>
      <c r="P678" s="56">
        <f>INDEX(Detail!$A$1:$A$1001,MATCH(B678,Detail!$G$1:$G$1001,0))</f>
        <v>38376</v>
      </c>
      <c r="Q678" s="33" t="str">
        <f>INDEX(Detail!$F$1:$F$1001,MATCH(Main!B678,Detail!$G$1:$G$1001,0))</f>
        <v>Tual</v>
      </c>
      <c r="R678" s="7">
        <f>INDEX(Detail!$C$1:$C$1001,MATCH(B678,Detail!$G$1:$G$1001,0),1)</f>
        <v>160</v>
      </c>
      <c r="S678" s="7">
        <f>INDEX(Detail!$D$1:$D$1001,MATCH(B678,Detail!$G$1:$G$1001,0),1)</f>
        <v>65</v>
      </c>
      <c r="T678" s="7" t="str">
        <f>INDEX(Detail!$E$1:$E$1001,MATCH(Main!B678,Detail!$G$1:$G$1001,0))</f>
        <v xml:space="preserve">Gg. PHH. Mustofa No. 2
</v>
      </c>
      <c r="U678" s="7" t="str">
        <f>INDEX(Detail!$B$1:$B$1001,MATCH(B678,Detail!$G$1:$G$1001,0),1)</f>
        <v>B-</v>
      </c>
      <c r="V678" s="7" t="str" cm="1">
        <f t="array" ref="V678">INDEX(Dosen!$B$3:$E$8,MATCH(Main!C678,Dosen!$A$3:$A$8,0),IF(AND(Main!A678&gt;=1,Main!A678&lt;=250),1,IF(AND(Main!A678&gt;=251,Main!A678&lt;=500),2,IF(AND(Main!A678&gt;=501,Main!A678&lt;=750),3,4))))</f>
        <v>Bu Made</v>
      </c>
      <c r="W678" s="7" t="str">
        <f>_xlfn.XLOOKUP(B678,Detail!$G$1:$G$1001,Detail!$B$1:$B$1001)</f>
        <v>B-</v>
      </c>
    </row>
    <row r="679" spans="1:23" ht="15.75" x14ac:dyDescent="0.25">
      <c r="A679" s="7">
        <v>10</v>
      </c>
      <c r="B679" s="33" t="str">
        <f t="shared" ref="B679:B710" si="39">CONCATENATE("E",TEXT(A679,"0000"))</f>
        <v>E0010</v>
      </c>
      <c r="C679" s="7" t="s">
        <v>1010</v>
      </c>
      <c r="D679" s="33" t="str">
        <f>VLOOKUP(B679,Detail!$G$1:$H$1001,2,FALSE)</f>
        <v>Wardi Hasanah</v>
      </c>
      <c r="E679" s="7">
        <v>59</v>
      </c>
      <c r="F679" s="7">
        <v>63</v>
      </c>
      <c r="G679" s="57">
        <v>91</v>
      </c>
      <c r="H679" s="7">
        <v>67</v>
      </c>
      <c r="I679" s="7">
        <v>67</v>
      </c>
      <c r="J679" s="7">
        <v>89</v>
      </c>
      <c r="K679" s="7">
        <v>96</v>
      </c>
      <c r="L679" s="56" t="str">
        <f>IFERROR(VLOOKUP(B679,Absen!$A$1:$C$501,2,FALSE),"No")</f>
        <v>No</v>
      </c>
      <c r="M679" s="58">
        <f t="shared" si="36"/>
        <v>9.6000000000000014</v>
      </c>
      <c r="N679" s="57">
        <f t="shared" si="37"/>
        <v>77.599999999999994</v>
      </c>
      <c r="O679" s="7" t="str">
        <f>VLOOKUP(N679,Helper!$B$30:$C$35,2,TRUE)</f>
        <v>B</v>
      </c>
      <c r="P679" s="56">
        <f>INDEX(Detail!$A$1:$A$1001,MATCH(B679,Detail!$G$1:$G$1001,0))</f>
        <v>37028</v>
      </c>
      <c r="Q679" s="33" t="str">
        <f>INDEX(Detail!$F$1:$F$1001,MATCH(Main!B679,Detail!$G$1:$G$1001,0))</f>
        <v>Pangkalpinang</v>
      </c>
      <c r="R679" s="7">
        <f>INDEX(Detail!$C$1:$C$1001,MATCH(B679,Detail!$G$1:$G$1001,0),1)</f>
        <v>178</v>
      </c>
      <c r="S679" s="7">
        <f>INDEX(Detail!$D$1:$D$1001,MATCH(B679,Detail!$G$1:$G$1001,0),1)</f>
        <v>70</v>
      </c>
      <c r="T679" s="7" t="str">
        <f>INDEX(Detail!$E$1:$E$1001,MATCH(Main!B679,Detail!$G$1:$G$1001,0))</f>
        <v>Gg. KH Amin Jasuta No. 20</v>
      </c>
      <c r="U679" s="7" t="str">
        <f>INDEX(Detail!$B$1:$B$1001,MATCH(B679,Detail!$G$1:$G$1001,0),1)</f>
        <v>O-</v>
      </c>
      <c r="V679" s="7" t="str" cm="1">
        <f t="array" ref="V679">INDEX(Dosen!$B$3:$E$8,MATCH(Main!C679,Dosen!$A$3:$A$8,0),IF(AND(Main!A679&gt;=1,Main!A679&lt;=250),1,IF(AND(Main!A679&gt;=251,Main!A679&lt;=500),2,IF(AND(Main!A679&gt;=501,Main!A679&lt;=750),3,4))))</f>
        <v>Bu Made</v>
      </c>
      <c r="W679" s="7" t="str">
        <f>_xlfn.XLOOKUP(B679,Detail!$G$1:$G$1001,Detail!$B$1:$B$1001)</f>
        <v>O-</v>
      </c>
    </row>
    <row r="680" spans="1:23" ht="15.75" x14ac:dyDescent="0.25">
      <c r="A680" s="7">
        <v>13</v>
      </c>
      <c r="B680" s="33" t="str">
        <f t="shared" si="39"/>
        <v>E0013</v>
      </c>
      <c r="C680" s="7" t="s">
        <v>1010</v>
      </c>
      <c r="D680" s="33" t="str">
        <f>VLOOKUP(B680,Detail!$G$1:$H$1001,2,FALSE)</f>
        <v>Zulaikha Hasanah</v>
      </c>
      <c r="E680" s="7">
        <v>87</v>
      </c>
      <c r="F680" s="7">
        <v>62</v>
      </c>
      <c r="G680" s="57">
        <v>79</v>
      </c>
      <c r="H680" s="7">
        <v>53</v>
      </c>
      <c r="I680" s="7">
        <v>76</v>
      </c>
      <c r="J680" s="7">
        <v>99</v>
      </c>
      <c r="K680" s="7">
        <v>67</v>
      </c>
      <c r="L680" s="56" t="str">
        <f>IFERROR(VLOOKUP(B680,Absen!$A$1:$C$501,2,FALSE),"No")</f>
        <v>No</v>
      </c>
      <c r="M680" s="58">
        <f t="shared" si="36"/>
        <v>6.7</v>
      </c>
      <c r="N680" s="57">
        <f t="shared" si="37"/>
        <v>77.05</v>
      </c>
      <c r="O680" s="7" t="str">
        <f>VLOOKUP(N680,Helper!$B$30:$C$35,2,TRUE)</f>
        <v>B</v>
      </c>
      <c r="P680" s="56">
        <f>INDEX(Detail!$A$1:$A$1001,MATCH(B680,Detail!$G$1:$G$1001,0))</f>
        <v>37641</v>
      </c>
      <c r="Q680" s="33" t="str">
        <f>INDEX(Detail!$F$1:$F$1001,MATCH(Main!B680,Detail!$G$1:$G$1001,0))</f>
        <v>Cilegon</v>
      </c>
      <c r="R680" s="7">
        <f>INDEX(Detail!$C$1:$C$1001,MATCH(B680,Detail!$G$1:$G$1001,0),1)</f>
        <v>179</v>
      </c>
      <c r="S680" s="7">
        <f>INDEX(Detail!$D$1:$D$1001,MATCH(B680,Detail!$G$1:$G$1001,0),1)</f>
        <v>76</v>
      </c>
      <c r="T680" s="7" t="str">
        <f>INDEX(Detail!$E$1:$E$1001,MATCH(Main!B680,Detail!$G$1:$G$1001,0))</f>
        <v>Jalan S. Parman No. 85</v>
      </c>
      <c r="U680" s="7" t="str">
        <f>INDEX(Detail!$B$1:$B$1001,MATCH(B680,Detail!$G$1:$G$1001,0),1)</f>
        <v>O+</v>
      </c>
      <c r="V680" s="7" t="str" cm="1">
        <f t="array" ref="V680">INDEX(Dosen!$B$3:$E$8,MATCH(Main!C680,Dosen!$A$3:$A$8,0),IF(AND(Main!A680&gt;=1,Main!A680&lt;=250),1,IF(AND(Main!A680&gt;=251,Main!A680&lt;=500),2,IF(AND(Main!A680&gt;=501,Main!A680&lt;=750),3,4))))</f>
        <v>Bu Made</v>
      </c>
      <c r="W680" s="7" t="str">
        <f>_xlfn.XLOOKUP(B680,Detail!$G$1:$G$1001,Detail!$B$1:$B$1001)</f>
        <v>O+</v>
      </c>
    </row>
    <row r="681" spans="1:23" ht="15.75" x14ac:dyDescent="0.25">
      <c r="A681" s="7">
        <v>14</v>
      </c>
      <c r="B681" s="33" t="str">
        <f t="shared" si="39"/>
        <v>E0014</v>
      </c>
      <c r="C681" s="7" t="s">
        <v>1010</v>
      </c>
      <c r="D681" s="33" t="str">
        <f>VLOOKUP(B681,Detail!$G$1:$H$1001,2,FALSE)</f>
        <v>Mahdi Prasetyo</v>
      </c>
      <c r="E681" s="7">
        <v>86</v>
      </c>
      <c r="F681" s="7">
        <v>69</v>
      </c>
      <c r="G681" s="57">
        <v>85</v>
      </c>
      <c r="H681" s="7">
        <v>62</v>
      </c>
      <c r="I681" s="7">
        <v>73</v>
      </c>
      <c r="J681" s="7">
        <v>92</v>
      </c>
      <c r="K681" s="7">
        <v>66</v>
      </c>
      <c r="L681" s="56">
        <f>IFERROR(VLOOKUP(B681,Absen!$A$1:$C$501,2,FALSE),"No")</f>
        <v>44879</v>
      </c>
      <c r="M681" s="58">
        <f t="shared" si="36"/>
        <v>5.6000000000000005</v>
      </c>
      <c r="N681" s="57">
        <f t="shared" si="37"/>
        <v>77.25</v>
      </c>
      <c r="O681" s="7" t="str">
        <f>VLOOKUP(N681,Helper!$B$30:$C$35,2,TRUE)</f>
        <v>B</v>
      </c>
      <c r="P681" s="56">
        <f>INDEX(Detail!$A$1:$A$1001,MATCH(B681,Detail!$G$1:$G$1001,0))</f>
        <v>37139</v>
      </c>
      <c r="Q681" s="33" t="str">
        <f>INDEX(Detail!$F$1:$F$1001,MATCH(Main!B681,Detail!$G$1:$G$1001,0))</f>
        <v>Kotamobagu</v>
      </c>
      <c r="R681" s="7">
        <f>INDEX(Detail!$C$1:$C$1001,MATCH(B681,Detail!$G$1:$G$1001,0),1)</f>
        <v>166</v>
      </c>
      <c r="S681" s="7">
        <f>INDEX(Detail!$D$1:$D$1001,MATCH(B681,Detail!$G$1:$G$1001,0),1)</f>
        <v>60</v>
      </c>
      <c r="T681" s="7" t="str">
        <f>INDEX(Detail!$E$1:$E$1001,MATCH(Main!B681,Detail!$G$1:$G$1001,0))</f>
        <v>Jl. Jamika No. 98</v>
      </c>
      <c r="U681" s="7" t="str">
        <f>INDEX(Detail!$B$1:$B$1001,MATCH(B681,Detail!$G$1:$G$1001,0),1)</f>
        <v>B+</v>
      </c>
      <c r="V681" s="7" t="str" cm="1">
        <f t="array" ref="V681">INDEX(Dosen!$B$3:$E$8,MATCH(Main!C681,Dosen!$A$3:$A$8,0),IF(AND(Main!A681&gt;=1,Main!A681&lt;=250),1,IF(AND(Main!A681&gt;=251,Main!A681&lt;=500),2,IF(AND(Main!A681&gt;=501,Main!A681&lt;=750),3,4))))</f>
        <v>Bu Made</v>
      </c>
      <c r="W681" s="7" t="str">
        <f>_xlfn.XLOOKUP(B681,Detail!$G$1:$G$1001,Detail!$B$1:$B$1001)</f>
        <v>B+</v>
      </c>
    </row>
    <row r="682" spans="1:23" ht="15.75" x14ac:dyDescent="0.25">
      <c r="A682" s="7">
        <v>18</v>
      </c>
      <c r="B682" s="33" t="str">
        <f t="shared" si="39"/>
        <v>E0018</v>
      </c>
      <c r="C682" s="7" t="s">
        <v>1010</v>
      </c>
      <c r="D682" s="33" t="str">
        <f>VLOOKUP(B682,Detail!$G$1:$H$1001,2,FALSE)</f>
        <v>Artanto Sitorus</v>
      </c>
      <c r="E682" s="7">
        <v>53</v>
      </c>
      <c r="F682" s="7">
        <v>41</v>
      </c>
      <c r="G682" s="57">
        <v>64</v>
      </c>
      <c r="H682" s="7">
        <v>57</v>
      </c>
      <c r="I682" s="7">
        <v>80</v>
      </c>
      <c r="J682" s="7">
        <v>74</v>
      </c>
      <c r="K682" s="7">
        <v>95</v>
      </c>
      <c r="L682" s="56" t="str">
        <f>IFERROR(VLOOKUP(B682,Absen!$A$1:$C$501,2,FALSE),"No")</f>
        <v>No</v>
      </c>
      <c r="M682" s="58">
        <f t="shared" si="36"/>
        <v>9.5</v>
      </c>
      <c r="N682" s="57">
        <f t="shared" si="37"/>
        <v>65.974999999999994</v>
      </c>
      <c r="O682" s="7" t="str">
        <f>VLOOKUP(N682,Helper!$B$30:$C$35,2,TRUE)</f>
        <v>C</v>
      </c>
      <c r="P682" s="56">
        <f>INDEX(Detail!$A$1:$A$1001,MATCH(B682,Detail!$G$1:$G$1001,0))</f>
        <v>38096</v>
      </c>
      <c r="Q682" s="33" t="str">
        <f>INDEX(Detail!$F$1:$F$1001,MATCH(Main!B682,Detail!$G$1:$G$1001,0))</f>
        <v>Kota Administrasi Jakarta Timur</v>
      </c>
      <c r="R682" s="7">
        <f>INDEX(Detail!$C$1:$C$1001,MATCH(B682,Detail!$G$1:$G$1001,0),1)</f>
        <v>150</v>
      </c>
      <c r="S682" s="7">
        <f>INDEX(Detail!$D$1:$D$1001,MATCH(B682,Detail!$G$1:$G$1001,0),1)</f>
        <v>83</v>
      </c>
      <c r="T682" s="7" t="str">
        <f>INDEX(Detail!$E$1:$E$1001,MATCH(Main!B682,Detail!$G$1:$G$1001,0))</f>
        <v>Jl. M.T Haryono No. 56</v>
      </c>
      <c r="U682" s="7" t="str">
        <f>INDEX(Detail!$B$1:$B$1001,MATCH(B682,Detail!$G$1:$G$1001,0),1)</f>
        <v>O+</v>
      </c>
      <c r="V682" s="7" t="str" cm="1">
        <f t="array" ref="V682">INDEX(Dosen!$B$3:$E$8,MATCH(Main!C682,Dosen!$A$3:$A$8,0),IF(AND(Main!A682&gt;=1,Main!A682&lt;=250),1,IF(AND(Main!A682&gt;=251,Main!A682&lt;=500),2,IF(AND(Main!A682&gt;=501,Main!A682&lt;=750),3,4))))</f>
        <v>Bu Made</v>
      </c>
      <c r="W682" s="7" t="str">
        <f>_xlfn.XLOOKUP(B682,Detail!$G$1:$G$1001,Detail!$B$1:$B$1001)</f>
        <v>O+</v>
      </c>
    </row>
    <row r="683" spans="1:23" ht="15.75" x14ac:dyDescent="0.25">
      <c r="A683" s="7">
        <v>21</v>
      </c>
      <c r="B683" s="33" t="str">
        <f t="shared" si="39"/>
        <v>E0021</v>
      </c>
      <c r="C683" s="7" t="s">
        <v>1010</v>
      </c>
      <c r="D683" s="33" t="str">
        <f>VLOOKUP(B683,Detail!$G$1:$H$1001,2,FALSE)</f>
        <v>Asmuni Nainggolan</v>
      </c>
      <c r="E683" s="7">
        <v>75</v>
      </c>
      <c r="F683" s="7">
        <v>42</v>
      </c>
      <c r="G683" s="57">
        <v>35</v>
      </c>
      <c r="H683" s="7">
        <v>65</v>
      </c>
      <c r="I683" s="7">
        <v>86</v>
      </c>
      <c r="J683" s="7">
        <v>94</v>
      </c>
      <c r="K683" s="7">
        <v>96</v>
      </c>
      <c r="L683" s="56">
        <f>IFERROR(VLOOKUP(B683,Absen!$A$1:$C$501,2,FALSE),"No")</f>
        <v>44863</v>
      </c>
      <c r="M683" s="58">
        <f t="shared" si="36"/>
        <v>8.6</v>
      </c>
      <c r="N683" s="57">
        <f t="shared" si="37"/>
        <v>67.899999999999991</v>
      </c>
      <c r="O683" s="7" t="str">
        <f>VLOOKUP(N683,Helper!$B$30:$C$35,2,TRUE)</f>
        <v>C</v>
      </c>
      <c r="P683" s="56">
        <f>INDEX(Detail!$A$1:$A$1001,MATCH(B683,Detail!$G$1:$G$1001,0))</f>
        <v>37098</v>
      </c>
      <c r="Q683" s="33" t="str">
        <f>INDEX(Detail!$F$1:$F$1001,MATCH(Main!B683,Detail!$G$1:$G$1001,0))</f>
        <v>Cirebon</v>
      </c>
      <c r="R683" s="7">
        <f>INDEX(Detail!$C$1:$C$1001,MATCH(B683,Detail!$G$1:$G$1001,0),1)</f>
        <v>172</v>
      </c>
      <c r="S683" s="7">
        <f>INDEX(Detail!$D$1:$D$1001,MATCH(B683,Detail!$G$1:$G$1001,0),1)</f>
        <v>49</v>
      </c>
      <c r="T683" s="7" t="str">
        <f>INDEX(Detail!$E$1:$E$1001,MATCH(Main!B683,Detail!$G$1:$G$1001,0))</f>
        <v xml:space="preserve">Jl. Asia Afrika No. 4
</v>
      </c>
      <c r="U683" s="7" t="str">
        <f>INDEX(Detail!$B$1:$B$1001,MATCH(B683,Detail!$G$1:$G$1001,0),1)</f>
        <v>O-</v>
      </c>
      <c r="V683" s="7" t="str" cm="1">
        <f t="array" ref="V683">INDEX(Dosen!$B$3:$E$8,MATCH(Main!C683,Dosen!$A$3:$A$8,0),IF(AND(Main!A683&gt;=1,Main!A683&lt;=250),1,IF(AND(Main!A683&gt;=251,Main!A683&lt;=500),2,IF(AND(Main!A683&gt;=501,Main!A683&lt;=750),3,4))))</f>
        <v>Bu Made</v>
      </c>
      <c r="W683" s="7" t="str">
        <f>_xlfn.XLOOKUP(B683,Detail!$G$1:$G$1001,Detail!$B$1:$B$1001)</f>
        <v>O-</v>
      </c>
    </row>
    <row r="684" spans="1:23" ht="15.75" x14ac:dyDescent="0.25">
      <c r="A684" s="7">
        <v>28</v>
      </c>
      <c r="B684" s="33" t="str">
        <f t="shared" si="39"/>
        <v>E0028</v>
      </c>
      <c r="C684" s="7" t="s">
        <v>1010</v>
      </c>
      <c r="D684" s="33" t="str">
        <f>VLOOKUP(B684,Detail!$G$1:$H$1001,2,FALSE)</f>
        <v>Putu Manullang</v>
      </c>
      <c r="E684" s="7">
        <v>68</v>
      </c>
      <c r="F684" s="7">
        <v>66</v>
      </c>
      <c r="G684" s="57">
        <v>34</v>
      </c>
      <c r="H684" s="7">
        <v>66</v>
      </c>
      <c r="I684" s="7">
        <v>73</v>
      </c>
      <c r="J684" s="7">
        <v>92</v>
      </c>
      <c r="K684" s="7">
        <v>86</v>
      </c>
      <c r="L684" s="56" t="str">
        <f>IFERROR(VLOOKUP(B684,Absen!$A$1:$C$501,2,FALSE),"No")</f>
        <v>No</v>
      </c>
      <c r="M684" s="58">
        <f t="shared" si="36"/>
        <v>8.6</v>
      </c>
      <c r="N684" s="57">
        <f t="shared" si="37"/>
        <v>67.924999999999997</v>
      </c>
      <c r="O684" s="7" t="str">
        <f>VLOOKUP(N684,Helper!$B$30:$C$35,2,TRUE)</f>
        <v>C</v>
      </c>
      <c r="P684" s="56">
        <f>INDEX(Detail!$A$1:$A$1001,MATCH(B684,Detail!$G$1:$G$1001,0))</f>
        <v>37047</v>
      </c>
      <c r="Q684" s="33" t="str">
        <f>INDEX(Detail!$F$1:$F$1001,MATCH(Main!B684,Detail!$G$1:$G$1001,0))</f>
        <v>Kota Administrasi Jakarta Timur</v>
      </c>
      <c r="R684" s="7">
        <f>INDEX(Detail!$C$1:$C$1001,MATCH(B684,Detail!$G$1:$G$1001,0),1)</f>
        <v>172</v>
      </c>
      <c r="S684" s="7">
        <f>INDEX(Detail!$D$1:$D$1001,MATCH(B684,Detail!$G$1:$G$1001,0),1)</f>
        <v>85</v>
      </c>
      <c r="T684" s="7" t="str">
        <f>INDEX(Detail!$E$1:$E$1001,MATCH(Main!B684,Detail!$G$1:$G$1001,0))</f>
        <v>Jalan Abdul Muis No. 57</v>
      </c>
      <c r="U684" s="7" t="str">
        <f>INDEX(Detail!$B$1:$B$1001,MATCH(B684,Detail!$G$1:$G$1001,0),1)</f>
        <v>O-</v>
      </c>
      <c r="V684" s="7" t="str" cm="1">
        <f t="array" ref="V684">INDEX(Dosen!$B$3:$E$8,MATCH(Main!C684,Dosen!$A$3:$A$8,0),IF(AND(Main!A684&gt;=1,Main!A684&lt;=250),1,IF(AND(Main!A684&gt;=251,Main!A684&lt;=500),2,IF(AND(Main!A684&gt;=501,Main!A684&lt;=750),3,4))))</f>
        <v>Bu Made</v>
      </c>
      <c r="W684" s="7" t="str">
        <f>_xlfn.XLOOKUP(B684,Detail!$G$1:$G$1001,Detail!$B$1:$B$1001)</f>
        <v>O-</v>
      </c>
    </row>
    <row r="685" spans="1:23" ht="15.75" x14ac:dyDescent="0.25">
      <c r="A685" s="7">
        <v>32</v>
      </c>
      <c r="B685" s="33" t="str">
        <f t="shared" si="39"/>
        <v>E0032</v>
      </c>
      <c r="C685" s="7" t="s">
        <v>1010</v>
      </c>
      <c r="D685" s="33" t="str">
        <f>VLOOKUP(B685,Detail!$G$1:$H$1001,2,FALSE)</f>
        <v>Bakianto Tarihoran</v>
      </c>
      <c r="E685" s="7">
        <v>95</v>
      </c>
      <c r="F685" s="7">
        <v>48</v>
      </c>
      <c r="G685" s="57">
        <v>88</v>
      </c>
      <c r="H685" s="7">
        <v>61</v>
      </c>
      <c r="I685" s="7">
        <v>91</v>
      </c>
      <c r="J685" s="7">
        <v>88</v>
      </c>
      <c r="K685" s="7">
        <v>82</v>
      </c>
      <c r="L685" s="56">
        <f>IFERROR(VLOOKUP(B685,Absen!$A$1:$C$501,2,FALSE),"No")</f>
        <v>44895</v>
      </c>
      <c r="M685" s="58">
        <f t="shared" si="36"/>
        <v>7.2</v>
      </c>
      <c r="N685" s="57">
        <f t="shared" si="37"/>
        <v>79.275000000000006</v>
      </c>
      <c r="O685" s="7" t="str">
        <f>VLOOKUP(N685,Helper!$B$30:$C$35,2,TRUE)</f>
        <v>B</v>
      </c>
      <c r="P685" s="56">
        <f>INDEX(Detail!$A$1:$A$1001,MATCH(B685,Detail!$G$1:$G$1001,0))</f>
        <v>37962</v>
      </c>
      <c r="Q685" s="33" t="str">
        <f>INDEX(Detail!$F$1:$F$1001,MATCH(Main!B685,Detail!$G$1:$G$1001,0))</f>
        <v>Palangkaraya</v>
      </c>
      <c r="R685" s="7">
        <f>INDEX(Detail!$C$1:$C$1001,MATCH(B685,Detail!$G$1:$G$1001,0),1)</f>
        <v>151</v>
      </c>
      <c r="S685" s="7">
        <f>INDEX(Detail!$D$1:$D$1001,MATCH(B685,Detail!$G$1:$G$1001,0),1)</f>
        <v>50</v>
      </c>
      <c r="T685" s="7" t="str">
        <f>INDEX(Detail!$E$1:$E$1001,MATCH(Main!B685,Detail!$G$1:$G$1001,0))</f>
        <v>Jl. Sadang Serang No. 60</v>
      </c>
      <c r="U685" s="7" t="str">
        <f>INDEX(Detail!$B$1:$B$1001,MATCH(B685,Detail!$G$1:$G$1001,0),1)</f>
        <v>B+</v>
      </c>
      <c r="V685" s="7" t="str" cm="1">
        <f t="array" ref="V685">INDEX(Dosen!$B$3:$E$8,MATCH(Main!C685,Dosen!$A$3:$A$8,0),IF(AND(Main!A685&gt;=1,Main!A685&lt;=250),1,IF(AND(Main!A685&gt;=251,Main!A685&lt;=500),2,IF(AND(Main!A685&gt;=501,Main!A685&lt;=750),3,4))))</f>
        <v>Bu Made</v>
      </c>
      <c r="W685" s="7" t="str">
        <f>_xlfn.XLOOKUP(B685,Detail!$G$1:$G$1001,Detail!$B$1:$B$1001)</f>
        <v>B+</v>
      </c>
    </row>
    <row r="686" spans="1:23" ht="15.75" x14ac:dyDescent="0.25">
      <c r="A686" s="7">
        <v>43</v>
      </c>
      <c r="B686" s="33" t="str">
        <f t="shared" si="39"/>
        <v>E0043</v>
      </c>
      <c r="C686" s="7" t="s">
        <v>1010</v>
      </c>
      <c r="D686" s="33" t="str">
        <f>VLOOKUP(B686,Detail!$G$1:$H$1001,2,FALSE)</f>
        <v>Capa Usada</v>
      </c>
      <c r="E686" s="7">
        <v>50</v>
      </c>
      <c r="F686" s="7">
        <v>41</v>
      </c>
      <c r="G686" s="57">
        <v>81</v>
      </c>
      <c r="H686" s="7">
        <v>57</v>
      </c>
      <c r="I686" s="7">
        <v>75</v>
      </c>
      <c r="J686" s="7">
        <v>43</v>
      </c>
      <c r="K686" s="7">
        <v>98</v>
      </c>
      <c r="L686" s="56" t="str">
        <f>IFERROR(VLOOKUP(B686,Absen!$A$1:$C$501,2,FALSE),"No")</f>
        <v>No</v>
      </c>
      <c r="M686" s="58">
        <f t="shared" si="36"/>
        <v>9.8000000000000007</v>
      </c>
      <c r="N686" s="57">
        <f t="shared" si="37"/>
        <v>62.475000000000009</v>
      </c>
      <c r="O686" s="7" t="str">
        <f>VLOOKUP(N686,Helper!$B$30:$C$35,2,TRUE)</f>
        <v>C</v>
      </c>
      <c r="P686" s="56">
        <f>INDEX(Detail!$A$1:$A$1001,MATCH(B686,Detail!$G$1:$G$1001,0))</f>
        <v>37919</v>
      </c>
      <c r="Q686" s="33" t="str">
        <f>INDEX(Detail!$F$1:$F$1001,MATCH(Main!B686,Detail!$G$1:$G$1001,0))</f>
        <v>Parepare</v>
      </c>
      <c r="R686" s="7">
        <f>INDEX(Detail!$C$1:$C$1001,MATCH(B686,Detail!$G$1:$G$1001,0),1)</f>
        <v>172</v>
      </c>
      <c r="S686" s="7">
        <f>INDEX(Detail!$D$1:$D$1001,MATCH(B686,Detail!$G$1:$G$1001,0),1)</f>
        <v>56</v>
      </c>
      <c r="T686" s="7" t="str">
        <f>INDEX(Detail!$E$1:$E$1001,MATCH(Main!B686,Detail!$G$1:$G$1001,0))</f>
        <v>Jalan Waringin No. 50</v>
      </c>
      <c r="U686" s="7" t="str">
        <f>INDEX(Detail!$B$1:$B$1001,MATCH(B686,Detail!$G$1:$G$1001,0),1)</f>
        <v>B-</v>
      </c>
      <c r="V686" s="7" t="str" cm="1">
        <f t="array" ref="V686">INDEX(Dosen!$B$3:$E$8,MATCH(Main!C686,Dosen!$A$3:$A$8,0),IF(AND(Main!A686&gt;=1,Main!A686&lt;=250),1,IF(AND(Main!A686&gt;=251,Main!A686&lt;=500),2,IF(AND(Main!A686&gt;=501,Main!A686&lt;=750),3,4))))</f>
        <v>Bu Made</v>
      </c>
      <c r="W686" s="7" t="str">
        <f>_xlfn.XLOOKUP(B686,Detail!$G$1:$G$1001,Detail!$B$1:$B$1001)</f>
        <v>B-</v>
      </c>
    </row>
    <row r="687" spans="1:23" ht="15.75" x14ac:dyDescent="0.25">
      <c r="A687" s="7">
        <v>45</v>
      </c>
      <c r="B687" s="33" t="str">
        <f t="shared" si="39"/>
        <v>E0045</v>
      </c>
      <c r="C687" s="7" t="s">
        <v>1010</v>
      </c>
      <c r="D687" s="33" t="str">
        <f>VLOOKUP(B687,Detail!$G$1:$H$1001,2,FALSE)</f>
        <v>Tina Rahimah</v>
      </c>
      <c r="E687" s="7">
        <v>89</v>
      </c>
      <c r="F687" s="7">
        <v>42</v>
      </c>
      <c r="G687" s="57">
        <v>56</v>
      </c>
      <c r="H687" s="7">
        <v>66</v>
      </c>
      <c r="I687" s="7">
        <v>56</v>
      </c>
      <c r="J687" s="7">
        <v>91</v>
      </c>
      <c r="K687" s="7">
        <v>72</v>
      </c>
      <c r="L687" s="56">
        <f>IFERROR(VLOOKUP(B687,Absen!$A$1:$C$501,2,FALSE),"No")</f>
        <v>44852</v>
      </c>
      <c r="M687" s="58">
        <f t="shared" si="36"/>
        <v>6.2</v>
      </c>
      <c r="N687" s="57">
        <f t="shared" si="37"/>
        <v>67.225000000000009</v>
      </c>
      <c r="O687" s="7" t="str">
        <f>VLOOKUP(N687,Helper!$B$30:$C$35,2,TRUE)</f>
        <v>C</v>
      </c>
      <c r="P687" s="56">
        <f>INDEX(Detail!$A$1:$A$1001,MATCH(B687,Detail!$G$1:$G$1001,0))</f>
        <v>37198</v>
      </c>
      <c r="Q687" s="33" t="str">
        <f>INDEX(Detail!$F$1:$F$1001,MATCH(Main!B687,Detail!$G$1:$G$1001,0))</f>
        <v>Tual</v>
      </c>
      <c r="R687" s="7">
        <f>INDEX(Detail!$C$1:$C$1001,MATCH(B687,Detail!$G$1:$G$1001,0),1)</f>
        <v>174</v>
      </c>
      <c r="S687" s="7">
        <f>INDEX(Detail!$D$1:$D$1001,MATCH(B687,Detail!$G$1:$G$1001,0),1)</f>
        <v>78</v>
      </c>
      <c r="T687" s="7" t="str">
        <f>INDEX(Detail!$E$1:$E$1001,MATCH(Main!B687,Detail!$G$1:$G$1001,0))</f>
        <v>Gg. Suryakencana No. 91</v>
      </c>
      <c r="U687" s="7" t="str">
        <f>INDEX(Detail!$B$1:$B$1001,MATCH(B687,Detail!$G$1:$G$1001,0),1)</f>
        <v>B-</v>
      </c>
      <c r="V687" s="7" t="str" cm="1">
        <f t="array" ref="V687">INDEX(Dosen!$B$3:$E$8,MATCH(Main!C687,Dosen!$A$3:$A$8,0),IF(AND(Main!A687&gt;=1,Main!A687&lt;=250),1,IF(AND(Main!A687&gt;=251,Main!A687&lt;=500),2,IF(AND(Main!A687&gt;=501,Main!A687&lt;=750),3,4))))</f>
        <v>Bu Made</v>
      </c>
      <c r="W687" s="7" t="str">
        <f>_xlfn.XLOOKUP(B687,Detail!$G$1:$G$1001,Detail!$B$1:$B$1001)</f>
        <v>B-</v>
      </c>
    </row>
    <row r="688" spans="1:23" ht="15.75" x14ac:dyDescent="0.25">
      <c r="A688" s="7">
        <v>46</v>
      </c>
      <c r="B688" s="33" t="str">
        <f t="shared" si="39"/>
        <v>E0046</v>
      </c>
      <c r="C688" s="7" t="s">
        <v>1010</v>
      </c>
      <c r="D688" s="33" t="str">
        <f>VLOOKUP(B688,Detail!$G$1:$H$1001,2,FALSE)</f>
        <v>Raihan Lailasari</v>
      </c>
      <c r="E688" s="7">
        <v>66</v>
      </c>
      <c r="F688" s="7">
        <v>59</v>
      </c>
      <c r="G688" s="57">
        <v>30</v>
      </c>
      <c r="H688" s="7">
        <v>67</v>
      </c>
      <c r="I688" s="7">
        <v>57</v>
      </c>
      <c r="J688" s="7">
        <v>69</v>
      </c>
      <c r="K688" s="7">
        <v>62</v>
      </c>
      <c r="L688" s="56" t="str">
        <f>IFERROR(VLOOKUP(B688,Absen!$A$1:$C$501,2,FALSE),"No")</f>
        <v>No</v>
      </c>
      <c r="M688" s="58">
        <f t="shared" si="36"/>
        <v>6.2</v>
      </c>
      <c r="N688" s="57">
        <f t="shared" si="37"/>
        <v>57.125</v>
      </c>
      <c r="O688" s="7" t="str">
        <f>VLOOKUP(N688,Helper!$B$30:$C$35,2,TRUE)</f>
        <v>D</v>
      </c>
      <c r="P688" s="56">
        <f>INDEX(Detail!$A$1:$A$1001,MATCH(B688,Detail!$G$1:$G$1001,0))</f>
        <v>37923</v>
      </c>
      <c r="Q688" s="33" t="str">
        <f>INDEX(Detail!$F$1:$F$1001,MATCH(Main!B688,Detail!$G$1:$G$1001,0))</f>
        <v>Banjarbaru</v>
      </c>
      <c r="R688" s="7">
        <f>INDEX(Detail!$C$1:$C$1001,MATCH(B688,Detail!$G$1:$G$1001,0),1)</f>
        <v>151</v>
      </c>
      <c r="S688" s="7">
        <f>INDEX(Detail!$D$1:$D$1001,MATCH(B688,Detail!$G$1:$G$1001,0),1)</f>
        <v>94</v>
      </c>
      <c r="T688" s="7" t="str">
        <f>INDEX(Detail!$E$1:$E$1001,MATCH(Main!B688,Detail!$G$1:$G$1001,0))</f>
        <v>Gg. PHH. Mustofa No. 57</v>
      </c>
      <c r="U688" s="7" t="str">
        <f>INDEX(Detail!$B$1:$B$1001,MATCH(B688,Detail!$G$1:$G$1001,0),1)</f>
        <v>AB+</v>
      </c>
      <c r="V688" s="7" t="str" cm="1">
        <f t="array" ref="V688">INDEX(Dosen!$B$3:$E$8,MATCH(Main!C688,Dosen!$A$3:$A$8,0),IF(AND(Main!A688&gt;=1,Main!A688&lt;=250),1,IF(AND(Main!A688&gt;=251,Main!A688&lt;=500),2,IF(AND(Main!A688&gt;=501,Main!A688&lt;=750),3,4))))</f>
        <v>Bu Made</v>
      </c>
      <c r="W688" s="7" t="str">
        <f>_xlfn.XLOOKUP(B688,Detail!$G$1:$G$1001,Detail!$B$1:$B$1001)</f>
        <v>AB+</v>
      </c>
    </row>
    <row r="689" spans="1:23" ht="15.75" x14ac:dyDescent="0.25">
      <c r="A689" s="7">
        <v>50</v>
      </c>
      <c r="B689" s="33" t="str">
        <f t="shared" si="39"/>
        <v>E0050</v>
      </c>
      <c r="C689" s="7" t="s">
        <v>1010</v>
      </c>
      <c r="D689" s="33" t="str">
        <f>VLOOKUP(B689,Detail!$G$1:$H$1001,2,FALSE)</f>
        <v>Cinthia Zulkarnain</v>
      </c>
      <c r="E689" s="7">
        <v>82</v>
      </c>
      <c r="F689" s="7">
        <v>61</v>
      </c>
      <c r="G689" s="57">
        <v>43</v>
      </c>
      <c r="H689" s="7">
        <v>70</v>
      </c>
      <c r="I689" s="7">
        <v>94</v>
      </c>
      <c r="J689" s="7">
        <v>100</v>
      </c>
      <c r="K689" s="7">
        <v>94</v>
      </c>
      <c r="L689" s="56">
        <f>IFERROR(VLOOKUP(B689,Absen!$A$1:$C$501,2,FALSE),"No")</f>
        <v>44804</v>
      </c>
      <c r="M689" s="58">
        <f t="shared" si="36"/>
        <v>8.4</v>
      </c>
      <c r="N689" s="57">
        <f t="shared" si="37"/>
        <v>75.375</v>
      </c>
      <c r="O689" s="7" t="str">
        <f>VLOOKUP(N689,Helper!$B$30:$C$35,2,TRUE)</f>
        <v>B</v>
      </c>
      <c r="P689" s="56">
        <f>INDEX(Detail!$A$1:$A$1001,MATCH(B689,Detail!$G$1:$G$1001,0))</f>
        <v>37523</v>
      </c>
      <c r="Q689" s="33" t="str">
        <f>INDEX(Detail!$F$1:$F$1001,MATCH(Main!B689,Detail!$G$1:$G$1001,0))</f>
        <v>Tangerang</v>
      </c>
      <c r="R689" s="7">
        <f>INDEX(Detail!$C$1:$C$1001,MATCH(B689,Detail!$G$1:$G$1001,0),1)</f>
        <v>160</v>
      </c>
      <c r="S689" s="7">
        <f>INDEX(Detail!$D$1:$D$1001,MATCH(B689,Detail!$G$1:$G$1001,0),1)</f>
        <v>67</v>
      </c>
      <c r="T689" s="7" t="str">
        <f>INDEX(Detail!$E$1:$E$1001,MATCH(Main!B689,Detail!$G$1:$G$1001,0))</f>
        <v>Gg. Surapati No. 82</v>
      </c>
      <c r="U689" s="7" t="str">
        <f>INDEX(Detail!$B$1:$B$1001,MATCH(B689,Detail!$G$1:$G$1001,0),1)</f>
        <v>A+</v>
      </c>
      <c r="V689" s="7" t="str" cm="1">
        <f t="array" ref="V689">INDEX(Dosen!$B$3:$E$8,MATCH(Main!C689,Dosen!$A$3:$A$8,0),IF(AND(Main!A689&gt;=1,Main!A689&lt;=250),1,IF(AND(Main!A689&gt;=251,Main!A689&lt;=500),2,IF(AND(Main!A689&gt;=501,Main!A689&lt;=750),3,4))))</f>
        <v>Bu Made</v>
      </c>
      <c r="W689" s="7" t="str">
        <f>_xlfn.XLOOKUP(B689,Detail!$G$1:$G$1001,Detail!$B$1:$B$1001)</f>
        <v>A+</v>
      </c>
    </row>
    <row r="690" spans="1:23" ht="15.75" x14ac:dyDescent="0.25">
      <c r="A690" s="7">
        <v>58</v>
      </c>
      <c r="B690" s="33" t="str">
        <f t="shared" si="39"/>
        <v>E0058</v>
      </c>
      <c r="C690" s="7" t="s">
        <v>1010</v>
      </c>
      <c r="D690" s="33" t="str">
        <f>VLOOKUP(B690,Detail!$G$1:$H$1001,2,FALSE)</f>
        <v>Lantar Melani</v>
      </c>
      <c r="E690" s="7">
        <v>79</v>
      </c>
      <c r="F690" s="7">
        <v>67</v>
      </c>
      <c r="G690" s="57">
        <v>41</v>
      </c>
      <c r="H690" s="7">
        <v>55</v>
      </c>
      <c r="I690" s="7">
        <v>54</v>
      </c>
      <c r="J690" s="7">
        <v>69</v>
      </c>
      <c r="K690" s="7">
        <v>99</v>
      </c>
      <c r="L690" s="56" t="str">
        <f>IFERROR(VLOOKUP(B690,Absen!$A$1:$C$501,2,FALSE),"No")</f>
        <v>No</v>
      </c>
      <c r="M690" s="58">
        <f t="shared" si="36"/>
        <v>9.9</v>
      </c>
      <c r="N690" s="57">
        <f t="shared" si="37"/>
        <v>63.774999999999999</v>
      </c>
      <c r="O690" s="7" t="str">
        <f>VLOOKUP(N690,Helper!$B$30:$C$35,2,TRUE)</f>
        <v>C</v>
      </c>
      <c r="P690" s="56">
        <f>INDEX(Detail!$A$1:$A$1001,MATCH(B690,Detail!$G$1:$G$1001,0))</f>
        <v>38007</v>
      </c>
      <c r="Q690" s="33" t="str">
        <f>INDEX(Detail!$F$1:$F$1001,MATCH(Main!B690,Detail!$G$1:$G$1001,0))</f>
        <v>Tual</v>
      </c>
      <c r="R690" s="7">
        <f>INDEX(Detail!$C$1:$C$1001,MATCH(B690,Detail!$G$1:$G$1001,0),1)</f>
        <v>156</v>
      </c>
      <c r="S690" s="7">
        <f>INDEX(Detail!$D$1:$D$1001,MATCH(B690,Detail!$G$1:$G$1001,0),1)</f>
        <v>94</v>
      </c>
      <c r="T690" s="7" t="str">
        <f>INDEX(Detail!$E$1:$E$1001,MATCH(Main!B690,Detail!$G$1:$G$1001,0))</f>
        <v>Jl. Kebonjati No. 75</v>
      </c>
      <c r="U690" s="7" t="str">
        <f>INDEX(Detail!$B$1:$B$1001,MATCH(B690,Detail!$G$1:$G$1001,0),1)</f>
        <v>AB-</v>
      </c>
      <c r="V690" s="7" t="str" cm="1">
        <f t="array" ref="V690">INDEX(Dosen!$B$3:$E$8,MATCH(Main!C690,Dosen!$A$3:$A$8,0),IF(AND(Main!A690&gt;=1,Main!A690&lt;=250),1,IF(AND(Main!A690&gt;=251,Main!A690&lt;=500),2,IF(AND(Main!A690&gt;=501,Main!A690&lt;=750),3,4))))</f>
        <v>Bu Made</v>
      </c>
      <c r="W690" s="7" t="str">
        <f>_xlfn.XLOOKUP(B690,Detail!$G$1:$G$1001,Detail!$B$1:$B$1001)</f>
        <v>AB-</v>
      </c>
    </row>
    <row r="691" spans="1:23" ht="15.75" x14ac:dyDescent="0.25">
      <c r="A691" s="7">
        <v>59</v>
      </c>
      <c r="B691" s="33" t="str">
        <f t="shared" si="39"/>
        <v>E0059</v>
      </c>
      <c r="C691" s="7" t="s">
        <v>1010</v>
      </c>
      <c r="D691" s="33" t="str">
        <f>VLOOKUP(B691,Detail!$G$1:$H$1001,2,FALSE)</f>
        <v>Umay Habibi</v>
      </c>
      <c r="E691" s="7">
        <v>88</v>
      </c>
      <c r="F691" s="7">
        <v>74</v>
      </c>
      <c r="G691" s="57">
        <v>41</v>
      </c>
      <c r="H691" s="7">
        <v>58</v>
      </c>
      <c r="I691" s="7">
        <v>57</v>
      </c>
      <c r="J691" s="7">
        <v>99</v>
      </c>
      <c r="K691" s="7">
        <v>76</v>
      </c>
      <c r="L691" s="56" t="str">
        <f>IFERROR(VLOOKUP(B691,Absen!$A$1:$C$501,2,FALSE),"No")</f>
        <v>No</v>
      </c>
      <c r="M691" s="58">
        <f t="shared" si="36"/>
        <v>7.6000000000000005</v>
      </c>
      <c r="N691" s="57">
        <f t="shared" si="37"/>
        <v>70.224999999999994</v>
      </c>
      <c r="O691" s="7" t="str">
        <f>VLOOKUP(N691,Helper!$B$30:$C$35,2,TRUE)</f>
        <v>B</v>
      </c>
      <c r="P691" s="56">
        <f>INDEX(Detail!$A$1:$A$1001,MATCH(B691,Detail!$G$1:$G$1001,0))</f>
        <v>37474</v>
      </c>
      <c r="Q691" s="33" t="str">
        <f>INDEX(Detail!$F$1:$F$1001,MATCH(Main!B691,Detail!$G$1:$G$1001,0))</f>
        <v>Padangpanjang</v>
      </c>
      <c r="R691" s="7">
        <f>INDEX(Detail!$C$1:$C$1001,MATCH(B691,Detail!$G$1:$G$1001,0),1)</f>
        <v>169</v>
      </c>
      <c r="S691" s="7">
        <f>INDEX(Detail!$D$1:$D$1001,MATCH(B691,Detail!$G$1:$G$1001,0),1)</f>
        <v>47</v>
      </c>
      <c r="T691" s="7" t="str">
        <f>INDEX(Detail!$E$1:$E$1001,MATCH(Main!B691,Detail!$G$1:$G$1001,0))</f>
        <v xml:space="preserve">Jalan Jakarta No. 1
</v>
      </c>
      <c r="U691" s="7" t="str">
        <f>INDEX(Detail!$B$1:$B$1001,MATCH(B691,Detail!$G$1:$G$1001,0),1)</f>
        <v>AB-</v>
      </c>
      <c r="V691" s="7" t="str" cm="1">
        <f t="array" ref="V691">INDEX(Dosen!$B$3:$E$8,MATCH(Main!C691,Dosen!$A$3:$A$8,0),IF(AND(Main!A691&gt;=1,Main!A691&lt;=250),1,IF(AND(Main!A691&gt;=251,Main!A691&lt;=500),2,IF(AND(Main!A691&gt;=501,Main!A691&lt;=750),3,4))))</f>
        <v>Bu Made</v>
      </c>
      <c r="W691" s="7" t="str">
        <f>_xlfn.XLOOKUP(B691,Detail!$G$1:$G$1001,Detail!$B$1:$B$1001)</f>
        <v>AB-</v>
      </c>
    </row>
    <row r="692" spans="1:23" ht="15.75" x14ac:dyDescent="0.25">
      <c r="A692" s="7">
        <v>60</v>
      </c>
      <c r="B692" s="33" t="str">
        <f t="shared" si="39"/>
        <v>E0060</v>
      </c>
      <c r="C692" s="7" t="s">
        <v>1010</v>
      </c>
      <c r="D692" s="33" t="str">
        <f>VLOOKUP(B692,Detail!$G$1:$H$1001,2,FALSE)</f>
        <v>Jati Yulianti</v>
      </c>
      <c r="E692" s="7">
        <v>71</v>
      </c>
      <c r="F692" s="7">
        <v>75</v>
      </c>
      <c r="G692" s="57">
        <v>72</v>
      </c>
      <c r="H692" s="7">
        <v>55</v>
      </c>
      <c r="I692" s="7">
        <v>51</v>
      </c>
      <c r="J692" s="7">
        <v>55</v>
      </c>
      <c r="K692" s="7">
        <v>72</v>
      </c>
      <c r="L692" s="56" t="str">
        <f>IFERROR(VLOOKUP(B692,Absen!$A$1:$C$501,2,FALSE),"No")</f>
        <v>No</v>
      </c>
      <c r="M692" s="58">
        <f t="shared" si="36"/>
        <v>7.2</v>
      </c>
      <c r="N692" s="57">
        <f t="shared" si="37"/>
        <v>64.099999999999994</v>
      </c>
      <c r="O692" s="7" t="str">
        <f>VLOOKUP(N692,Helper!$B$30:$C$35,2,TRUE)</f>
        <v>C</v>
      </c>
      <c r="P692" s="56">
        <f>INDEX(Detail!$A$1:$A$1001,MATCH(B692,Detail!$G$1:$G$1001,0))</f>
        <v>38078</v>
      </c>
      <c r="Q692" s="33" t="str">
        <f>INDEX(Detail!$F$1:$F$1001,MATCH(Main!B692,Detail!$G$1:$G$1001,0))</f>
        <v>Pematangsiantar</v>
      </c>
      <c r="R692" s="7">
        <f>INDEX(Detail!$C$1:$C$1001,MATCH(B692,Detail!$G$1:$G$1001,0),1)</f>
        <v>154</v>
      </c>
      <c r="S692" s="7">
        <f>INDEX(Detail!$D$1:$D$1001,MATCH(B692,Detail!$G$1:$G$1001,0),1)</f>
        <v>93</v>
      </c>
      <c r="T692" s="7" t="str">
        <f>INDEX(Detail!$E$1:$E$1001,MATCH(Main!B692,Detail!$G$1:$G$1001,0))</f>
        <v>Jl. Gedebage Selatan No. 18</v>
      </c>
      <c r="U692" s="7" t="str">
        <f>INDEX(Detail!$B$1:$B$1001,MATCH(B692,Detail!$G$1:$G$1001,0),1)</f>
        <v>B-</v>
      </c>
      <c r="V692" s="7" t="str" cm="1">
        <f t="array" ref="V692">INDEX(Dosen!$B$3:$E$8,MATCH(Main!C692,Dosen!$A$3:$A$8,0),IF(AND(Main!A692&gt;=1,Main!A692&lt;=250),1,IF(AND(Main!A692&gt;=251,Main!A692&lt;=500),2,IF(AND(Main!A692&gt;=501,Main!A692&lt;=750),3,4))))</f>
        <v>Bu Made</v>
      </c>
      <c r="W692" s="7" t="str">
        <f>_xlfn.XLOOKUP(B692,Detail!$G$1:$G$1001,Detail!$B$1:$B$1001)</f>
        <v>B-</v>
      </c>
    </row>
    <row r="693" spans="1:23" ht="15.75" x14ac:dyDescent="0.25">
      <c r="A693" s="7">
        <v>71</v>
      </c>
      <c r="B693" s="33" t="str">
        <f t="shared" si="39"/>
        <v>E0071</v>
      </c>
      <c r="C693" s="7" t="s">
        <v>1010</v>
      </c>
      <c r="D693" s="33" t="str">
        <f>VLOOKUP(B693,Detail!$G$1:$H$1001,2,FALSE)</f>
        <v>Banara Wijayanti</v>
      </c>
      <c r="E693" s="7">
        <v>85</v>
      </c>
      <c r="F693" s="7">
        <v>75</v>
      </c>
      <c r="G693" s="57">
        <v>67</v>
      </c>
      <c r="H693" s="7">
        <v>65</v>
      </c>
      <c r="I693" s="7">
        <v>78</v>
      </c>
      <c r="J693" s="7">
        <v>43</v>
      </c>
      <c r="K693" s="7">
        <v>81</v>
      </c>
      <c r="L693" s="56" t="str">
        <f>IFERROR(VLOOKUP(B693,Absen!$A$1:$C$501,2,FALSE),"No")</f>
        <v>No</v>
      </c>
      <c r="M693" s="58">
        <f t="shared" si="36"/>
        <v>8.1</v>
      </c>
      <c r="N693" s="57">
        <f t="shared" si="37"/>
        <v>67.974999999999994</v>
      </c>
      <c r="O693" s="7" t="str">
        <f>VLOOKUP(N693,Helper!$B$30:$C$35,2,TRUE)</f>
        <v>C</v>
      </c>
      <c r="P693" s="56">
        <f>INDEX(Detail!$A$1:$A$1001,MATCH(B693,Detail!$G$1:$G$1001,0))</f>
        <v>37052</v>
      </c>
      <c r="Q693" s="33" t="str">
        <f>INDEX(Detail!$F$1:$F$1001,MATCH(Main!B693,Detail!$G$1:$G$1001,0))</f>
        <v>Salatiga</v>
      </c>
      <c r="R693" s="7">
        <f>INDEX(Detail!$C$1:$C$1001,MATCH(B693,Detail!$G$1:$G$1001,0),1)</f>
        <v>153</v>
      </c>
      <c r="S693" s="7">
        <f>INDEX(Detail!$D$1:$D$1001,MATCH(B693,Detail!$G$1:$G$1001,0),1)</f>
        <v>91</v>
      </c>
      <c r="T693" s="7" t="str">
        <f>INDEX(Detail!$E$1:$E$1001,MATCH(Main!B693,Detail!$G$1:$G$1001,0))</f>
        <v xml:space="preserve">Gang Pasteur No. 4
</v>
      </c>
      <c r="U693" s="7" t="str">
        <f>INDEX(Detail!$B$1:$B$1001,MATCH(B693,Detail!$G$1:$G$1001,0),1)</f>
        <v>O-</v>
      </c>
      <c r="V693" s="7" t="str" cm="1">
        <f t="array" ref="V693">INDEX(Dosen!$B$3:$E$8,MATCH(Main!C693,Dosen!$A$3:$A$8,0),IF(AND(Main!A693&gt;=1,Main!A693&lt;=250),1,IF(AND(Main!A693&gt;=251,Main!A693&lt;=500),2,IF(AND(Main!A693&gt;=501,Main!A693&lt;=750),3,4))))</f>
        <v>Bu Made</v>
      </c>
      <c r="W693" s="7" t="str">
        <f>_xlfn.XLOOKUP(B693,Detail!$G$1:$G$1001,Detail!$B$1:$B$1001)</f>
        <v>O-</v>
      </c>
    </row>
    <row r="694" spans="1:23" ht="15.75" x14ac:dyDescent="0.25">
      <c r="A694" s="7">
        <v>73</v>
      </c>
      <c r="B694" s="33" t="str">
        <f t="shared" si="39"/>
        <v>E0073</v>
      </c>
      <c r="C694" s="7" t="s">
        <v>1010</v>
      </c>
      <c r="D694" s="33" t="str">
        <f>VLOOKUP(B694,Detail!$G$1:$H$1001,2,FALSE)</f>
        <v>Asmianto Winarsih</v>
      </c>
      <c r="E694" s="7">
        <v>51</v>
      </c>
      <c r="F694" s="7">
        <v>64</v>
      </c>
      <c r="G694" s="57">
        <v>47</v>
      </c>
      <c r="H694" s="7">
        <v>63</v>
      </c>
      <c r="I694" s="7">
        <v>91</v>
      </c>
      <c r="J694" s="7">
        <v>42</v>
      </c>
      <c r="K694" s="7">
        <v>92</v>
      </c>
      <c r="L694" s="56">
        <f>IFERROR(VLOOKUP(B694,Absen!$A$1:$C$501,2,FALSE),"No")</f>
        <v>44771</v>
      </c>
      <c r="M694" s="58">
        <f t="shared" si="36"/>
        <v>8.2000000000000011</v>
      </c>
      <c r="N694" s="57">
        <f t="shared" si="37"/>
        <v>59.625</v>
      </c>
      <c r="O694" s="7" t="str">
        <f>VLOOKUP(N694,Helper!$B$30:$C$35,2,TRUE)</f>
        <v>D</v>
      </c>
      <c r="P694" s="56">
        <f>INDEX(Detail!$A$1:$A$1001,MATCH(B694,Detail!$G$1:$G$1001,0))</f>
        <v>38092</v>
      </c>
      <c r="Q694" s="33" t="str">
        <f>INDEX(Detail!$F$1:$F$1001,MATCH(Main!B694,Detail!$G$1:$G$1001,0))</f>
        <v>Bengkulu</v>
      </c>
      <c r="R694" s="7">
        <f>INDEX(Detail!$C$1:$C$1001,MATCH(B694,Detail!$G$1:$G$1001,0),1)</f>
        <v>155</v>
      </c>
      <c r="S694" s="7">
        <f>INDEX(Detail!$D$1:$D$1001,MATCH(B694,Detail!$G$1:$G$1001,0),1)</f>
        <v>48</v>
      </c>
      <c r="T694" s="7" t="str">
        <f>INDEX(Detail!$E$1:$E$1001,MATCH(Main!B694,Detail!$G$1:$G$1001,0))</f>
        <v>Gg. Cihampelas No. 70</v>
      </c>
      <c r="U694" s="7" t="str">
        <f>INDEX(Detail!$B$1:$B$1001,MATCH(B694,Detail!$G$1:$G$1001,0),1)</f>
        <v>B-</v>
      </c>
      <c r="V694" s="7" t="str" cm="1">
        <f t="array" ref="V694">INDEX(Dosen!$B$3:$E$8,MATCH(Main!C694,Dosen!$A$3:$A$8,0),IF(AND(Main!A694&gt;=1,Main!A694&lt;=250),1,IF(AND(Main!A694&gt;=251,Main!A694&lt;=500),2,IF(AND(Main!A694&gt;=501,Main!A694&lt;=750),3,4))))</f>
        <v>Bu Made</v>
      </c>
      <c r="W694" s="7" t="str">
        <f>_xlfn.XLOOKUP(B694,Detail!$G$1:$G$1001,Detail!$B$1:$B$1001)</f>
        <v>B-</v>
      </c>
    </row>
    <row r="695" spans="1:23" ht="15.75" x14ac:dyDescent="0.25">
      <c r="A695" s="7">
        <v>75</v>
      </c>
      <c r="B695" s="33" t="str">
        <f t="shared" si="39"/>
        <v>E0075</v>
      </c>
      <c r="C695" s="7" t="s">
        <v>1010</v>
      </c>
      <c r="D695" s="33" t="str">
        <f>VLOOKUP(B695,Detail!$G$1:$H$1001,2,FALSE)</f>
        <v>Jefri Kusumo</v>
      </c>
      <c r="E695" s="7">
        <v>83</v>
      </c>
      <c r="F695" s="7">
        <v>50</v>
      </c>
      <c r="G695" s="57">
        <v>73</v>
      </c>
      <c r="H695" s="7">
        <v>56</v>
      </c>
      <c r="I695" s="7">
        <v>67</v>
      </c>
      <c r="J695" s="7">
        <v>46</v>
      </c>
      <c r="K695" s="7">
        <v>79</v>
      </c>
      <c r="L695" s="56">
        <f>IFERROR(VLOOKUP(B695,Absen!$A$1:$C$501,2,FALSE),"No")</f>
        <v>44801</v>
      </c>
      <c r="M695" s="58">
        <f t="shared" si="36"/>
        <v>6.9</v>
      </c>
      <c r="N695" s="57">
        <f t="shared" si="37"/>
        <v>62.7</v>
      </c>
      <c r="O695" s="7" t="str">
        <f>VLOOKUP(N695,Helper!$B$30:$C$35,2,TRUE)</f>
        <v>C</v>
      </c>
      <c r="P695" s="56">
        <f>INDEX(Detail!$A$1:$A$1001,MATCH(B695,Detail!$G$1:$G$1001,0))</f>
        <v>37691</v>
      </c>
      <c r="Q695" s="33" t="str">
        <f>INDEX(Detail!$F$1:$F$1001,MATCH(Main!B695,Detail!$G$1:$G$1001,0))</f>
        <v>Kupang</v>
      </c>
      <c r="R695" s="7">
        <f>INDEX(Detail!$C$1:$C$1001,MATCH(B695,Detail!$G$1:$G$1001,0),1)</f>
        <v>156</v>
      </c>
      <c r="S695" s="7">
        <f>INDEX(Detail!$D$1:$D$1001,MATCH(B695,Detail!$G$1:$G$1001,0),1)</f>
        <v>65</v>
      </c>
      <c r="T695" s="7" t="str">
        <f>INDEX(Detail!$E$1:$E$1001,MATCH(Main!B695,Detail!$G$1:$G$1001,0))</f>
        <v>Jl. Jayawijaya No. 87</v>
      </c>
      <c r="U695" s="7" t="str">
        <f>INDEX(Detail!$B$1:$B$1001,MATCH(B695,Detail!$G$1:$G$1001,0),1)</f>
        <v>O+</v>
      </c>
      <c r="V695" s="7" t="str" cm="1">
        <f t="array" ref="V695">INDEX(Dosen!$B$3:$E$8,MATCH(Main!C695,Dosen!$A$3:$A$8,0),IF(AND(Main!A695&gt;=1,Main!A695&lt;=250),1,IF(AND(Main!A695&gt;=251,Main!A695&lt;=500),2,IF(AND(Main!A695&gt;=501,Main!A695&lt;=750),3,4))))</f>
        <v>Bu Made</v>
      </c>
      <c r="W695" s="7" t="str">
        <f>_xlfn.XLOOKUP(B695,Detail!$G$1:$G$1001,Detail!$B$1:$B$1001)</f>
        <v>O+</v>
      </c>
    </row>
    <row r="696" spans="1:23" ht="15.75" x14ac:dyDescent="0.25">
      <c r="A696" s="7">
        <v>77</v>
      </c>
      <c r="B696" s="33" t="str">
        <f t="shared" si="39"/>
        <v>E0077</v>
      </c>
      <c r="C696" s="7" t="s">
        <v>1010</v>
      </c>
      <c r="D696" s="33" t="str">
        <f>VLOOKUP(B696,Detail!$G$1:$H$1001,2,FALSE)</f>
        <v>Paulin Nainggolan</v>
      </c>
      <c r="E696" s="7">
        <v>80</v>
      </c>
      <c r="F696" s="7">
        <v>66</v>
      </c>
      <c r="G696" s="57">
        <v>89</v>
      </c>
      <c r="H696" s="7">
        <v>64</v>
      </c>
      <c r="I696" s="7">
        <v>82</v>
      </c>
      <c r="J696" s="7">
        <v>46</v>
      </c>
      <c r="K696" s="7">
        <v>99</v>
      </c>
      <c r="L696" s="56">
        <f>IFERROR(VLOOKUP(B696,Absen!$A$1:$C$501,2,FALSE),"No")</f>
        <v>44832</v>
      </c>
      <c r="M696" s="58">
        <f t="shared" si="36"/>
        <v>8.9</v>
      </c>
      <c r="N696" s="57">
        <f t="shared" si="37"/>
        <v>72.400000000000006</v>
      </c>
      <c r="O696" s="7" t="str">
        <f>VLOOKUP(N696,Helper!$B$30:$C$35,2,TRUE)</f>
        <v>B</v>
      </c>
      <c r="P696" s="56">
        <f>INDEX(Detail!$A$1:$A$1001,MATCH(B696,Detail!$G$1:$G$1001,0))</f>
        <v>37445</v>
      </c>
      <c r="Q696" s="33" t="str">
        <f>INDEX(Detail!$F$1:$F$1001,MATCH(Main!B696,Detail!$G$1:$G$1001,0))</f>
        <v>Bengkulu</v>
      </c>
      <c r="R696" s="7">
        <f>INDEX(Detail!$C$1:$C$1001,MATCH(B696,Detail!$G$1:$G$1001,0),1)</f>
        <v>155</v>
      </c>
      <c r="S696" s="7">
        <f>INDEX(Detail!$D$1:$D$1001,MATCH(B696,Detail!$G$1:$G$1001,0),1)</f>
        <v>92</v>
      </c>
      <c r="T696" s="7" t="str">
        <f>INDEX(Detail!$E$1:$E$1001,MATCH(Main!B696,Detail!$G$1:$G$1001,0))</f>
        <v>Gg. Rawamangun No. 15</v>
      </c>
      <c r="U696" s="7" t="str">
        <f>INDEX(Detail!$B$1:$B$1001,MATCH(B696,Detail!$G$1:$G$1001,0),1)</f>
        <v>A-</v>
      </c>
      <c r="V696" s="7" t="str" cm="1">
        <f t="array" ref="V696">INDEX(Dosen!$B$3:$E$8,MATCH(Main!C696,Dosen!$A$3:$A$8,0),IF(AND(Main!A696&gt;=1,Main!A696&lt;=250),1,IF(AND(Main!A696&gt;=251,Main!A696&lt;=500),2,IF(AND(Main!A696&gt;=501,Main!A696&lt;=750),3,4))))</f>
        <v>Bu Made</v>
      </c>
      <c r="W696" s="7" t="str">
        <f>_xlfn.XLOOKUP(B696,Detail!$G$1:$G$1001,Detail!$B$1:$B$1001)</f>
        <v>A-</v>
      </c>
    </row>
    <row r="697" spans="1:23" ht="15.75" x14ac:dyDescent="0.25">
      <c r="A697" s="7">
        <v>80</v>
      </c>
      <c r="B697" s="33" t="str">
        <f t="shared" si="39"/>
        <v>E0080</v>
      </c>
      <c r="C697" s="7" t="s">
        <v>1010</v>
      </c>
      <c r="D697" s="33" t="str">
        <f>VLOOKUP(B697,Detail!$G$1:$H$1001,2,FALSE)</f>
        <v>Endah Utama</v>
      </c>
      <c r="E697" s="7">
        <v>65</v>
      </c>
      <c r="F697" s="7">
        <v>41</v>
      </c>
      <c r="G697" s="57">
        <v>92</v>
      </c>
      <c r="H697" s="7">
        <v>65</v>
      </c>
      <c r="I697" s="7">
        <v>62</v>
      </c>
      <c r="J697" s="7">
        <v>71</v>
      </c>
      <c r="K697" s="7">
        <v>80</v>
      </c>
      <c r="L697" s="56">
        <f>IFERROR(VLOOKUP(B697,Absen!$A$1:$C$501,2,FALSE),"No")</f>
        <v>44787</v>
      </c>
      <c r="M697" s="58">
        <f t="shared" si="36"/>
        <v>7</v>
      </c>
      <c r="N697" s="57">
        <f t="shared" si="37"/>
        <v>68.725000000000009</v>
      </c>
      <c r="O697" s="7" t="str">
        <f>VLOOKUP(N697,Helper!$B$30:$C$35,2,TRUE)</f>
        <v>C</v>
      </c>
      <c r="P697" s="56">
        <f>INDEX(Detail!$A$1:$A$1001,MATCH(B697,Detail!$G$1:$G$1001,0))</f>
        <v>37344</v>
      </c>
      <c r="Q697" s="33" t="str">
        <f>INDEX(Detail!$F$1:$F$1001,MATCH(Main!B697,Detail!$G$1:$G$1001,0))</f>
        <v>Tomohon</v>
      </c>
      <c r="R697" s="7">
        <f>INDEX(Detail!$C$1:$C$1001,MATCH(B697,Detail!$G$1:$G$1001,0),1)</f>
        <v>170</v>
      </c>
      <c r="S697" s="7">
        <f>INDEX(Detail!$D$1:$D$1001,MATCH(B697,Detail!$G$1:$G$1001,0),1)</f>
        <v>74</v>
      </c>
      <c r="T697" s="7" t="str">
        <f>INDEX(Detail!$E$1:$E$1001,MATCH(Main!B697,Detail!$G$1:$G$1001,0))</f>
        <v>Jl. Soekarno Hatta No. 82</v>
      </c>
      <c r="U697" s="7" t="str">
        <f>INDEX(Detail!$B$1:$B$1001,MATCH(B697,Detail!$G$1:$G$1001,0),1)</f>
        <v>A+</v>
      </c>
      <c r="V697" s="7" t="str" cm="1">
        <f t="array" ref="V697">INDEX(Dosen!$B$3:$E$8,MATCH(Main!C697,Dosen!$A$3:$A$8,0),IF(AND(Main!A697&gt;=1,Main!A697&lt;=250),1,IF(AND(Main!A697&gt;=251,Main!A697&lt;=500),2,IF(AND(Main!A697&gt;=501,Main!A697&lt;=750),3,4))))</f>
        <v>Bu Made</v>
      </c>
      <c r="W697" s="7" t="str">
        <f>_xlfn.XLOOKUP(B697,Detail!$G$1:$G$1001,Detail!$B$1:$B$1001)</f>
        <v>A+</v>
      </c>
    </row>
    <row r="698" spans="1:23" ht="15.75" x14ac:dyDescent="0.25">
      <c r="A698" s="7">
        <v>81</v>
      </c>
      <c r="B698" s="33" t="str">
        <f t="shared" si="39"/>
        <v>E0081</v>
      </c>
      <c r="C698" s="7" t="s">
        <v>1010</v>
      </c>
      <c r="D698" s="33" t="str">
        <f>VLOOKUP(B698,Detail!$G$1:$H$1001,2,FALSE)</f>
        <v>Hana Usamah</v>
      </c>
      <c r="E698" s="7">
        <v>66</v>
      </c>
      <c r="F698" s="7">
        <v>59</v>
      </c>
      <c r="G698" s="57">
        <v>47</v>
      </c>
      <c r="H698" s="7">
        <v>73</v>
      </c>
      <c r="I698" s="7">
        <v>67</v>
      </c>
      <c r="J698" s="7">
        <v>93</v>
      </c>
      <c r="K698" s="7">
        <v>76</v>
      </c>
      <c r="L698" s="56" t="str">
        <f>IFERROR(VLOOKUP(B698,Absen!$A$1:$C$501,2,FALSE),"No")</f>
        <v>No</v>
      </c>
      <c r="M698" s="58">
        <f t="shared" si="36"/>
        <v>7.6000000000000005</v>
      </c>
      <c r="N698" s="57">
        <f t="shared" si="37"/>
        <v>68.724999999999994</v>
      </c>
      <c r="O698" s="7" t="str">
        <f>VLOOKUP(N698,Helper!$B$30:$C$35,2,TRUE)</f>
        <v>C</v>
      </c>
      <c r="P698" s="56">
        <f>INDEX(Detail!$A$1:$A$1001,MATCH(B698,Detail!$G$1:$G$1001,0))</f>
        <v>37963</v>
      </c>
      <c r="Q698" s="33" t="str">
        <f>INDEX(Detail!$F$1:$F$1001,MATCH(Main!B698,Detail!$G$1:$G$1001,0))</f>
        <v>Tangerang Selatan</v>
      </c>
      <c r="R698" s="7">
        <f>INDEX(Detail!$C$1:$C$1001,MATCH(B698,Detail!$G$1:$G$1001,0),1)</f>
        <v>175</v>
      </c>
      <c r="S698" s="7">
        <f>INDEX(Detail!$D$1:$D$1001,MATCH(B698,Detail!$G$1:$G$1001,0),1)</f>
        <v>64</v>
      </c>
      <c r="T698" s="7" t="str">
        <f>INDEX(Detail!$E$1:$E$1001,MATCH(Main!B698,Detail!$G$1:$G$1001,0))</f>
        <v>Gang Soekarno Hatta No. 75</v>
      </c>
      <c r="U698" s="7" t="str">
        <f>INDEX(Detail!$B$1:$B$1001,MATCH(B698,Detail!$G$1:$G$1001,0),1)</f>
        <v>A-</v>
      </c>
      <c r="V698" s="7" t="str" cm="1">
        <f t="array" ref="V698">INDEX(Dosen!$B$3:$E$8,MATCH(Main!C698,Dosen!$A$3:$A$8,0),IF(AND(Main!A698&gt;=1,Main!A698&lt;=250),1,IF(AND(Main!A698&gt;=251,Main!A698&lt;=500),2,IF(AND(Main!A698&gt;=501,Main!A698&lt;=750),3,4))))</f>
        <v>Bu Made</v>
      </c>
      <c r="W698" s="7" t="str">
        <f>_xlfn.XLOOKUP(B698,Detail!$G$1:$G$1001,Detail!$B$1:$B$1001)</f>
        <v>A-</v>
      </c>
    </row>
    <row r="699" spans="1:23" ht="15.75" x14ac:dyDescent="0.25">
      <c r="A699" s="7">
        <v>89</v>
      </c>
      <c r="B699" s="33" t="str">
        <f t="shared" si="39"/>
        <v>E0089</v>
      </c>
      <c r="C699" s="7" t="s">
        <v>1010</v>
      </c>
      <c r="D699" s="33" t="str">
        <f>VLOOKUP(B699,Detail!$G$1:$H$1001,2,FALSE)</f>
        <v>Ganep Puspita</v>
      </c>
      <c r="E699" s="7">
        <v>74</v>
      </c>
      <c r="F699" s="7">
        <v>50</v>
      </c>
      <c r="G699" s="57">
        <v>84</v>
      </c>
      <c r="H699" s="7">
        <v>72</v>
      </c>
      <c r="I699" s="7">
        <v>56</v>
      </c>
      <c r="J699" s="7">
        <v>59</v>
      </c>
      <c r="K699" s="7">
        <v>60</v>
      </c>
      <c r="L699" s="56">
        <f>IFERROR(VLOOKUP(B699,Absen!$A$1:$C$501,2,FALSE),"No")</f>
        <v>44789</v>
      </c>
      <c r="M699" s="58">
        <f t="shared" si="36"/>
        <v>5</v>
      </c>
      <c r="N699" s="57">
        <f t="shared" si="37"/>
        <v>65.099999999999994</v>
      </c>
      <c r="O699" s="7" t="str">
        <f>VLOOKUP(N699,Helper!$B$30:$C$35,2,TRUE)</f>
        <v>C</v>
      </c>
      <c r="P699" s="56">
        <f>INDEX(Detail!$A$1:$A$1001,MATCH(B699,Detail!$G$1:$G$1001,0))</f>
        <v>38045</v>
      </c>
      <c r="Q699" s="33" t="str">
        <f>INDEX(Detail!$F$1:$F$1001,MATCH(Main!B699,Detail!$G$1:$G$1001,0))</f>
        <v>Semarang</v>
      </c>
      <c r="R699" s="7">
        <f>INDEX(Detail!$C$1:$C$1001,MATCH(B699,Detail!$G$1:$G$1001,0),1)</f>
        <v>179</v>
      </c>
      <c r="S699" s="7">
        <f>INDEX(Detail!$D$1:$D$1001,MATCH(B699,Detail!$G$1:$G$1001,0),1)</f>
        <v>50</v>
      </c>
      <c r="T699" s="7" t="str">
        <f>INDEX(Detail!$E$1:$E$1001,MATCH(Main!B699,Detail!$G$1:$G$1001,0))</f>
        <v xml:space="preserve">Jalan Yos Sudarso No. 5
</v>
      </c>
      <c r="U699" s="7" t="str">
        <f>INDEX(Detail!$B$1:$B$1001,MATCH(B699,Detail!$G$1:$G$1001,0),1)</f>
        <v>A+</v>
      </c>
      <c r="V699" s="7" t="str" cm="1">
        <f t="array" ref="V699">INDEX(Dosen!$B$3:$E$8,MATCH(Main!C699,Dosen!$A$3:$A$8,0),IF(AND(Main!A699&gt;=1,Main!A699&lt;=250),1,IF(AND(Main!A699&gt;=251,Main!A699&lt;=500),2,IF(AND(Main!A699&gt;=501,Main!A699&lt;=750),3,4))))</f>
        <v>Bu Made</v>
      </c>
      <c r="W699" s="7" t="str">
        <f>_xlfn.XLOOKUP(B699,Detail!$G$1:$G$1001,Detail!$B$1:$B$1001)</f>
        <v>A+</v>
      </c>
    </row>
    <row r="700" spans="1:23" ht="15.75" x14ac:dyDescent="0.25">
      <c r="A700" s="7">
        <v>93</v>
      </c>
      <c r="B700" s="33" t="str">
        <f t="shared" si="39"/>
        <v>E0093</v>
      </c>
      <c r="C700" s="7" t="s">
        <v>1010</v>
      </c>
      <c r="D700" s="33" t="str">
        <f>VLOOKUP(B700,Detail!$G$1:$H$1001,2,FALSE)</f>
        <v>Yuliana Sihombing</v>
      </c>
      <c r="E700" s="7">
        <v>93</v>
      </c>
      <c r="F700" s="7">
        <v>59</v>
      </c>
      <c r="G700" s="57">
        <v>50</v>
      </c>
      <c r="H700" s="7">
        <v>67</v>
      </c>
      <c r="I700" s="7">
        <v>81</v>
      </c>
      <c r="J700" s="7">
        <v>72</v>
      </c>
      <c r="K700" s="7">
        <v>73</v>
      </c>
      <c r="L700" s="56" t="str">
        <f>IFERROR(VLOOKUP(B700,Absen!$A$1:$C$501,2,FALSE),"No")</f>
        <v>No</v>
      </c>
      <c r="M700" s="58">
        <f t="shared" si="36"/>
        <v>7.3000000000000007</v>
      </c>
      <c r="N700" s="57">
        <f t="shared" si="37"/>
        <v>69.2</v>
      </c>
      <c r="O700" s="7" t="str">
        <f>VLOOKUP(N700,Helper!$B$30:$C$35,2,TRUE)</f>
        <v>C</v>
      </c>
      <c r="P700" s="56">
        <f>INDEX(Detail!$A$1:$A$1001,MATCH(B700,Detail!$G$1:$G$1001,0))</f>
        <v>37968</v>
      </c>
      <c r="Q700" s="33" t="str">
        <f>INDEX(Detail!$F$1:$F$1001,MATCH(Main!B700,Detail!$G$1:$G$1001,0))</f>
        <v>Pariaman</v>
      </c>
      <c r="R700" s="7">
        <f>INDEX(Detail!$C$1:$C$1001,MATCH(B700,Detail!$G$1:$G$1001,0),1)</f>
        <v>180</v>
      </c>
      <c r="S700" s="7">
        <f>INDEX(Detail!$D$1:$D$1001,MATCH(B700,Detail!$G$1:$G$1001,0),1)</f>
        <v>55</v>
      </c>
      <c r="T700" s="7" t="str">
        <f>INDEX(Detail!$E$1:$E$1001,MATCH(Main!B700,Detail!$G$1:$G$1001,0))</f>
        <v>Jalan Sukabumi No. 33</v>
      </c>
      <c r="U700" s="7" t="str">
        <f>INDEX(Detail!$B$1:$B$1001,MATCH(B700,Detail!$G$1:$G$1001,0),1)</f>
        <v>B-</v>
      </c>
      <c r="V700" s="7" t="str" cm="1">
        <f t="array" ref="V700">INDEX(Dosen!$B$3:$E$8,MATCH(Main!C700,Dosen!$A$3:$A$8,0),IF(AND(Main!A700&gt;=1,Main!A700&lt;=250),1,IF(AND(Main!A700&gt;=251,Main!A700&lt;=500),2,IF(AND(Main!A700&gt;=501,Main!A700&lt;=750),3,4))))</f>
        <v>Bu Made</v>
      </c>
      <c r="W700" s="7" t="str">
        <f>_xlfn.XLOOKUP(B700,Detail!$G$1:$G$1001,Detail!$B$1:$B$1001)</f>
        <v>B-</v>
      </c>
    </row>
    <row r="701" spans="1:23" ht="15.75" x14ac:dyDescent="0.25">
      <c r="A701" s="7">
        <v>104</v>
      </c>
      <c r="B701" s="33" t="str">
        <f t="shared" si="39"/>
        <v>E0104</v>
      </c>
      <c r="C701" s="7" t="s">
        <v>1010</v>
      </c>
      <c r="D701" s="33" t="str">
        <f>VLOOKUP(B701,Detail!$G$1:$H$1001,2,FALSE)</f>
        <v>Rusman Hakim</v>
      </c>
      <c r="E701" s="7">
        <v>87</v>
      </c>
      <c r="F701" s="7">
        <v>58</v>
      </c>
      <c r="G701" s="57">
        <v>60</v>
      </c>
      <c r="H701" s="7">
        <v>64</v>
      </c>
      <c r="I701" s="7">
        <v>62</v>
      </c>
      <c r="J701" s="7">
        <v>95</v>
      </c>
      <c r="K701" s="7">
        <v>77</v>
      </c>
      <c r="L701" s="56">
        <f>IFERROR(VLOOKUP(B701,Absen!$A$1:$C$501,2,FALSE),"No")</f>
        <v>44906</v>
      </c>
      <c r="M701" s="58">
        <f t="shared" si="36"/>
        <v>6.7</v>
      </c>
      <c r="N701" s="57">
        <f t="shared" si="37"/>
        <v>71.575000000000003</v>
      </c>
      <c r="O701" s="7" t="str">
        <f>VLOOKUP(N701,Helper!$B$30:$C$35,2,TRUE)</f>
        <v>B</v>
      </c>
      <c r="P701" s="56">
        <f>INDEX(Detail!$A$1:$A$1001,MATCH(B701,Detail!$G$1:$G$1001,0))</f>
        <v>37139</v>
      </c>
      <c r="Q701" s="33" t="str">
        <f>INDEX(Detail!$F$1:$F$1001,MATCH(Main!B701,Detail!$G$1:$G$1001,0))</f>
        <v>Tanjungpinang</v>
      </c>
      <c r="R701" s="7">
        <f>INDEX(Detail!$C$1:$C$1001,MATCH(B701,Detail!$G$1:$G$1001,0),1)</f>
        <v>166</v>
      </c>
      <c r="S701" s="7">
        <f>INDEX(Detail!$D$1:$D$1001,MATCH(B701,Detail!$G$1:$G$1001,0),1)</f>
        <v>90</v>
      </c>
      <c r="T701" s="7" t="str">
        <f>INDEX(Detail!$E$1:$E$1001,MATCH(Main!B701,Detail!$G$1:$G$1001,0))</f>
        <v>Gg. Surapati No. 93</v>
      </c>
      <c r="U701" s="7" t="str">
        <f>INDEX(Detail!$B$1:$B$1001,MATCH(B701,Detail!$G$1:$G$1001,0),1)</f>
        <v>O+</v>
      </c>
      <c r="V701" s="7" t="str" cm="1">
        <f t="array" ref="V701">INDEX(Dosen!$B$3:$E$8,MATCH(Main!C701,Dosen!$A$3:$A$8,0),IF(AND(Main!A701&gt;=1,Main!A701&lt;=250),1,IF(AND(Main!A701&gt;=251,Main!A701&lt;=500),2,IF(AND(Main!A701&gt;=501,Main!A701&lt;=750),3,4))))</f>
        <v>Bu Made</v>
      </c>
      <c r="W701" s="7" t="str">
        <f>_xlfn.XLOOKUP(B701,Detail!$G$1:$G$1001,Detail!$B$1:$B$1001)</f>
        <v>O+</v>
      </c>
    </row>
    <row r="702" spans="1:23" ht="15.75" x14ac:dyDescent="0.25">
      <c r="A702" s="7">
        <v>106</v>
      </c>
      <c r="B702" s="33" t="str">
        <f t="shared" si="39"/>
        <v>E0106</v>
      </c>
      <c r="C702" s="7" t="s">
        <v>1010</v>
      </c>
      <c r="D702" s="33" t="str">
        <f>VLOOKUP(B702,Detail!$G$1:$H$1001,2,FALSE)</f>
        <v>Ibrahim Wijaya</v>
      </c>
      <c r="E702" s="7">
        <v>51</v>
      </c>
      <c r="F702" s="7">
        <v>72</v>
      </c>
      <c r="G702" s="57">
        <v>55</v>
      </c>
      <c r="H702" s="7">
        <v>58</v>
      </c>
      <c r="I702" s="7">
        <v>65</v>
      </c>
      <c r="J702" s="7">
        <v>85</v>
      </c>
      <c r="K702" s="7">
        <v>89</v>
      </c>
      <c r="L702" s="56" t="str">
        <f>IFERROR(VLOOKUP(B702,Absen!$A$1:$C$501,2,FALSE),"No")</f>
        <v>No</v>
      </c>
      <c r="M702" s="58">
        <f t="shared" si="36"/>
        <v>8.9</v>
      </c>
      <c r="N702" s="57">
        <f t="shared" si="37"/>
        <v>67.650000000000006</v>
      </c>
      <c r="O702" s="7" t="str">
        <f>VLOOKUP(N702,Helper!$B$30:$C$35,2,TRUE)</f>
        <v>C</v>
      </c>
      <c r="P702" s="56">
        <f>INDEX(Detail!$A$1:$A$1001,MATCH(B702,Detail!$G$1:$G$1001,0))</f>
        <v>38253</v>
      </c>
      <c r="Q702" s="33" t="str">
        <f>INDEX(Detail!$F$1:$F$1001,MATCH(Main!B702,Detail!$G$1:$G$1001,0))</f>
        <v>Sabang</v>
      </c>
      <c r="R702" s="7">
        <f>INDEX(Detail!$C$1:$C$1001,MATCH(B702,Detail!$G$1:$G$1001,0),1)</f>
        <v>168</v>
      </c>
      <c r="S702" s="7">
        <f>INDEX(Detail!$D$1:$D$1001,MATCH(B702,Detail!$G$1:$G$1001,0),1)</f>
        <v>87</v>
      </c>
      <c r="T702" s="7" t="str">
        <f>INDEX(Detail!$E$1:$E$1001,MATCH(Main!B702,Detail!$G$1:$G$1001,0))</f>
        <v>Gg. Pasteur No. 57</v>
      </c>
      <c r="U702" s="7" t="str">
        <f>INDEX(Detail!$B$1:$B$1001,MATCH(B702,Detail!$G$1:$G$1001,0),1)</f>
        <v>AB-</v>
      </c>
      <c r="V702" s="7" t="str" cm="1">
        <f t="array" ref="V702">INDEX(Dosen!$B$3:$E$8,MATCH(Main!C702,Dosen!$A$3:$A$8,0),IF(AND(Main!A702&gt;=1,Main!A702&lt;=250),1,IF(AND(Main!A702&gt;=251,Main!A702&lt;=500),2,IF(AND(Main!A702&gt;=501,Main!A702&lt;=750),3,4))))</f>
        <v>Bu Made</v>
      </c>
      <c r="W702" s="7" t="str">
        <f>_xlfn.XLOOKUP(B702,Detail!$G$1:$G$1001,Detail!$B$1:$B$1001)</f>
        <v>AB-</v>
      </c>
    </row>
    <row r="703" spans="1:23" ht="15.75" x14ac:dyDescent="0.25">
      <c r="A703" s="7">
        <v>107</v>
      </c>
      <c r="B703" s="33" t="str">
        <f t="shared" si="39"/>
        <v>E0107</v>
      </c>
      <c r="C703" s="7" t="s">
        <v>1010</v>
      </c>
      <c r="D703" s="33" t="str">
        <f>VLOOKUP(B703,Detail!$G$1:$H$1001,2,FALSE)</f>
        <v>Ibun Setiawan</v>
      </c>
      <c r="E703" s="7">
        <v>62</v>
      </c>
      <c r="F703" s="7">
        <v>47</v>
      </c>
      <c r="G703" s="57">
        <v>30</v>
      </c>
      <c r="H703" s="7">
        <v>71</v>
      </c>
      <c r="I703" s="7">
        <v>73</v>
      </c>
      <c r="J703" s="7">
        <v>76</v>
      </c>
      <c r="K703" s="7">
        <v>76</v>
      </c>
      <c r="L703" s="56">
        <f>IFERROR(VLOOKUP(B703,Absen!$A$1:$C$501,2,FALSE),"No")</f>
        <v>44830</v>
      </c>
      <c r="M703" s="58">
        <f t="shared" si="36"/>
        <v>6.6000000000000005</v>
      </c>
      <c r="N703" s="57">
        <f t="shared" si="37"/>
        <v>59.425000000000004</v>
      </c>
      <c r="O703" s="7" t="str">
        <f>VLOOKUP(N703,Helper!$B$30:$C$35,2,TRUE)</f>
        <v>D</v>
      </c>
      <c r="P703" s="56">
        <f>INDEX(Detail!$A$1:$A$1001,MATCH(B703,Detail!$G$1:$G$1001,0))</f>
        <v>38152</v>
      </c>
      <c r="Q703" s="33" t="str">
        <f>INDEX(Detail!$F$1:$F$1001,MATCH(Main!B703,Detail!$G$1:$G$1001,0))</f>
        <v>Yogyakarta</v>
      </c>
      <c r="R703" s="7">
        <f>INDEX(Detail!$C$1:$C$1001,MATCH(B703,Detail!$G$1:$G$1001,0),1)</f>
        <v>159</v>
      </c>
      <c r="S703" s="7">
        <f>INDEX(Detail!$D$1:$D$1001,MATCH(B703,Detail!$G$1:$G$1001,0),1)</f>
        <v>47</v>
      </c>
      <c r="T703" s="7" t="str">
        <f>INDEX(Detail!$E$1:$E$1001,MATCH(Main!B703,Detail!$G$1:$G$1001,0))</f>
        <v>Jl. Kiaracondong No. 29</v>
      </c>
      <c r="U703" s="7" t="str">
        <f>INDEX(Detail!$B$1:$B$1001,MATCH(B703,Detail!$G$1:$G$1001,0),1)</f>
        <v>O-</v>
      </c>
      <c r="V703" s="7" t="str" cm="1">
        <f t="array" ref="V703">INDEX(Dosen!$B$3:$E$8,MATCH(Main!C703,Dosen!$A$3:$A$8,0),IF(AND(Main!A703&gt;=1,Main!A703&lt;=250),1,IF(AND(Main!A703&gt;=251,Main!A703&lt;=500),2,IF(AND(Main!A703&gt;=501,Main!A703&lt;=750),3,4))))</f>
        <v>Bu Made</v>
      </c>
      <c r="W703" s="7" t="str">
        <f>_xlfn.XLOOKUP(B703,Detail!$G$1:$G$1001,Detail!$B$1:$B$1001)</f>
        <v>O-</v>
      </c>
    </row>
    <row r="704" spans="1:23" ht="15.75" x14ac:dyDescent="0.25">
      <c r="A704" s="7">
        <v>108</v>
      </c>
      <c r="B704" s="33" t="str">
        <f t="shared" si="39"/>
        <v>E0108</v>
      </c>
      <c r="C704" s="7" t="s">
        <v>1010</v>
      </c>
      <c r="D704" s="33" t="str">
        <f>VLOOKUP(B704,Detail!$G$1:$H$1001,2,FALSE)</f>
        <v>Kemal Prabowo</v>
      </c>
      <c r="E704" s="7">
        <v>72</v>
      </c>
      <c r="F704" s="7">
        <v>47</v>
      </c>
      <c r="G704" s="57">
        <v>69</v>
      </c>
      <c r="H704" s="7">
        <v>64</v>
      </c>
      <c r="I704" s="7">
        <v>77</v>
      </c>
      <c r="J704" s="7">
        <v>42</v>
      </c>
      <c r="K704" s="7">
        <v>63</v>
      </c>
      <c r="L704" s="56" t="str">
        <f>IFERROR(VLOOKUP(B704,Absen!$A$1:$C$501,2,FALSE),"No")</f>
        <v>No</v>
      </c>
      <c r="M704" s="58">
        <f t="shared" si="36"/>
        <v>6.3000000000000007</v>
      </c>
      <c r="N704" s="57">
        <f t="shared" si="37"/>
        <v>61</v>
      </c>
      <c r="O704" s="7" t="str">
        <f>VLOOKUP(N704,Helper!$B$30:$C$35,2,TRUE)</f>
        <v>C</v>
      </c>
      <c r="P704" s="56">
        <f>INDEX(Detail!$A$1:$A$1001,MATCH(B704,Detail!$G$1:$G$1001,0))</f>
        <v>37681</v>
      </c>
      <c r="Q704" s="33" t="str">
        <f>INDEX(Detail!$F$1:$F$1001,MATCH(Main!B704,Detail!$G$1:$G$1001,0))</f>
        <v>Banda Aceh</v>
      </c>
      <c r="R704" s="7">
        <f>INDEX(Detail!$C$1:$C$1001,MATCH(B704,Detail!$G$1:$G$1001,0),1)</f>
        <v>151</v>
      </c>
      <c r="S704" s="7">
        <f>INDEX(Detail!$D$1:$D$1001,MATCH(B704,Detail!$G$1:$G$1001,0),1)</f>
        <v>59</v>
      </c>
      <c r="T704" s="7" t="str">
        <f>INDEX(Detail!$E$1:$E$1001,MATCH(Main!B704,Detail!$G$1:$G$1001,0))</f>
        <v>Gang Gegerkalong Hilir No. 66</v>
      </c>
      <c r="U704" s="7" t="str">
        <f>INDEX(Detail!$B$1:$B$1001,MATCH(B704,Detail!$G$1:$G$1001,0),1)</f>
        <v>A+</v>
      </c>
      <c r="V704" s="7" t="str" cm="1">
        <f t="array" ref="V704">INDEX(Dosen!$B$3:$E$8,MATCH(Main!C704,Dosen!$A$3:$A$8,0),IF(AND(Main!A704&gt;=1,Main!A704&lt;=250),1,IF(AND(Main!A704&gt;=251,Main!A704&lt;=500),2,IF(AND(Main!A704&gt;=501,Main!A704&lt;=750),3,4))))</f>
        <v>Bu Made</v>
      </c>
      <c r="W704" s="7" t="str">
        <f>_xlfn.XLOOKUP(B704,Detail!$G$1:$G$1001,Detail!$B$1:$B$1001)</f>
        <v>A+</v>
      </c>
    </row>
    <row r="705" spans="1:23" ht="15.75" x14ac:dyDescent="0.25">
      <c r="A705" s="7">
        <v>115</v>
      </c>
      <c r="B705" s="33" t="str">
        <f t="shared" si="39"/>
        <v>E0115</v>
      </c>
      <c r="C705" s="7" t="s">
        <v>1010</v>
      </c>
      <c r="D705" s="33" t="str">
        <f>VLOOKUP(B705,Detail!$G$1:$H$1001,2,FALSE)</f>
        <v>Janet Gunawan</v>
      </c>
      <c r="E705" s="7">
        <v>64</v>
      </c>
      <c r="F705" s="7">
        <v>42</v>
      </c>
      <c r="G705" s="57">
        <v>60</v>
      </c>
      <c r="H705" s="7">
        <v>55</v>
      </c>
      <c r="I705" s="7">
        <v>71</v>
      </c>
      <c r="J705" s="7">
        <v>63</v>
      </c>
      <c r="K705" s="7">
        <v>85</v>
      </c>
      <c r="L705" s="56">
        <f>IFERROR(VLOOKUP(B705,Absen!$A$1:$C$501,2,FALSE),"No")</f>
        <v>44843</v>
      </c>
      <c r="M705" s="58">
        <f t="shared" si="36"/>
        <v>7.5</v>
      </c>
      <c r="N705" s="57">
        <f t="shared" si="37"/>
        <v>61.1</v>
      </c>
      <c r="O705" s="7" t="str">
        <f>VLOOKUP(N705,Helper!$B$30:$C$35,2,TRUE)</f>
        <v>C</v>
      </c>
      <c r="P705" s="56">
        <f>INDEX(Detail!$A$1:$A$1001,MATCH(B705,Detail!$G$1:$G$1001,0))</f>
        <v>38466</v>
      </c>
      <c r="Q705" s="33" t="str">
        <f>INDEX(Detail!$F$1:$F$1001,MATCH(Main!B705,Detail!$G$1:$G$1001,0))</f>
        <v>Tangerang Selatan</v>
      </c>
      <c r="R705" s="7">
        <f>INDEX(Detail!$C$1:$C$1001,MATCH(B705,Detail!$G$1:$G$1001,0),1)</f>
        <v>159</v>
      </c>
      <c r="S705" s="7">
        <f>INDEX(Detail!$D$1:$D$1001,MATCH(B705,Detail!$G$1:$G$1001,0),1)</f>
        <v>51</v>
      </c>
      <c r="T705" s="7" t="str">
        <f>INDEX(Detail!$E$1:$E$1001,MATCH(Main!B705,Detail!$G$1:$G$1001,0))</f>
        <v xml:space="preserve">Gang Joyoboyo No. 6
</v>
      </c>
      <c r="U705" s="7" t="str">
        <f>INDEX(Detail!$B$1:$B$1001,MATCH(B705,Detail!$G$1:$G$1001,0),1)</f>
        <v>A-</v>
      </c>
      <c r="V705" s="7" t="str" cm="1">
        <f t="array" ref="V705">INDEX(Dosen!$B$3:$E$8,MATCH(Main!C705,Dosen!$A$3:$A$8,0),IF(AND(Main!A705&gt;=1,Main!A705&lt;=250),1,IF(AND(Main!A705&gt;=251,Main!A705&lt;=500),2,IF(AND(Main!A705&gt;=501,Main!A705&lt;=750),3,4))))</f>
        <v>Bu Made</v>
      </c>
      <c r="W705" s="7" t="str">
        <f>_xlfn.XLOOKUP(B705,Detail!$G$1:$G$1001,Detail!$B$1:$B$1001)</f>
        <v>A-</v>
      </c>
    </row>
    <row r="706" spans="1:23" ht="15.75" x14ac:dyDescent="0.25">
      <c r="A706" s="7">
        <v>119</v>
      </c>
      <c r="B706" s="33" t="str">
        <f t="shared" si="39"/>
        <v>E0119</v>
      </c>
      <c r="C706" s="7" t="s">
        <v>1010</v>
      </c>
      <c r="D706" s="33" t="str">
        <f>VLOOKUP(B706,Detail!$G$1:$H$1001,2,FALSE)</f>
        <v>Saadat Pratiwi</v>
      </c>
      <c r="E706" s="7">
        <v>78</v>
      </c>
      <c r="F706" s="7">
        <v>50</v>
      </c>
      <c r="G706" s="57">
        <v>51</v>
      </c>
      <c r="H706" s="7">
        <v>50</v>
      </c>
      <c r="I706" s="7">
        <v>70</v>
      </c>
      <c r="J706" s="7">
        <v>67</v>
      </c>
      <c r="K706" s="7">
        <v>68</v>
      </c>
      <c r="L706" s="56" t="str">
        <f>IFERROR(VLOOKUP(B706,Absen!$A$1:$C$501,2,FALSE),"No")</f>
        <v>No</v>
      </c>
      <c r="M706" s="58">
        <f t="shared" ref="M706:M769" si="40">IF(L706="no",K706,K706-10)*10%</f>
        <v>6.8000000000000007</v>
      </c>
      <c r="N706" s="57">
        <f t="shared" ref="N706:N769" si="41">SUM(E706*12.5%,F706*12.5%,H706*12.5%,I706*12.5%,G706*20%,J706*20%,M706)</f>
        <v>61.400000000000006</v>
      </c>
      <c r="O706" s="7" t="str">
        <f>VLOOKUP(N706,Helper!$B$30:$C$35,2,TRUE)</f>
        <v>C</v>
      </c>
      <c r="P706" s="56">
        <f>INDEX(Detail!$A$1:$A$1001,MATCH(B706,Detail!$G$1:$G$1001,0))</f>
        <v>37116</v>
      </c>
      <c r="Q706" s="33" t="str">
        <f>INDEX(Detail!$F$1:$F$1001,MATCH(Main!B706,Detail!$G$1:$G$1001,0))</f>
        <v>Solok</v>
      </c>
      <c r="R706" s="7">
        <f>INDEX(Detail!$C$1:$C$1001,MATCH(B706,Detail!$G$1:$G$1001,0),1)</f>
        <v>153</v>
      </c>
      <c r="S706" s="7">
        <f>INDEX(Detail!$D$1:$D$1001,MATCH(B706,Detail!$G$1:$G$1001,0),1)</f>
        <v>95</v>
      </c>
      <c r="T706" s="7" t="str">
        <f>INDEX(Detail!$E$1:$E$1001,MATCH(Main!B706,Detail!$G$1:$G$1001,0))</f>
        <v>Gang Joyoboyo No. 21</v>
      </c>
      <c r="U706" s="7" t="str">
        <f>INDEX(Detail!$B$1:$B$1001,MATCH(B706,Detail!$G$1:$G$1001,0),1)</f>
        <v>O+</v>
      </c>
      <c r="V706" s="7" t="str" cm="1">
        <f t="array" ref="V706">INDEX(Dosen!$B$3:$E$8,MATCH(Main!C706,Dosen!$A$3:$A$8,0),IF(AND(Main!A706&gt;=1,Main!A706&lt;=250),1,IF(AND(Main!A706&gt;=251,Main!A706&lt;=500),2,IF(AND(Main!A706&gt;=501,Main!A706&lt;=750),3,4))))</f>
        <v>Bu Made</v>
      </c>
      <c r="W706" s="7" t="str">
        <f>_xlfn.XLOOKUP(B706,Detail!$G$1:$G$1001,Detail!$B$1:$B$1001)</f>
        <v>O+</v>
      </c>
    </row>
    <row r="707" spans="1:23" ht="15.75" x14ac:dyDescent="0.25">
      <c r="A707" s="7">
        <v>123</v>
      </c>
      <c r="B707" s="33" t="str">
        <f t="shared" si="39"/>
        <v>E0123</v>
      </c>
      <c r="C707" s="7" t="s">
        <v>1010</v>
      </c>
      <c r="D707" s="33" t="str">
        <f>VLOOKUP(B707,Detail!$G$1:$H$1001,2,FALSE)</f>
        <v>Maryanto Nugroho</v>
      </c>
      <c r="E707" s="7">
        <v>85</v>
      </c>
      <c r="F707" s="7">
        <v>67</v>
      </c>
      <c r="G707" s="57">
        <v>47</v>
      </c>
      <c r="H707" s="7">
        <v>54</v>
      </c>
      <c r="I707" s="7">
        <v>71</v>
      </c>
      <c r="J707" s="7">
        <v>63</v>
      </c>
      <c r="K707" s="7">
        <v>75</v>
      </c>
      <c r="L707" s="56" t="str">
        <f>IFERROR(VLOOKUP(B707,Absen!$A$1:$C$501,2,FALSE),"No")</f>
        <v>No</v>
      </c>
      <c r="M707" s="58">
        <f t="shared" si="40"/>
        <v>7.5</v>
      </c>
      <c r="N707" s="57">
        <f t="shared" si="41"/>
        <v>64.125</v>
      </c>
      <c r="O707" s="7" t="str">
        <f>VLOOKUP(N707,Helper!$B$30:$C$35,2,TRUE)</f>
        <v>C</v>
      </c>
      <c r="P707" s="56">
        <f>INDEX(Detail!$A$1:$A$1001,MATCH(B707,Detail!$G$1:$G$1001,0))</f>
        <v>37173</v>
      </c>
      <c r="Q707" s="33" t="str">
        <f>INDEX(Detail!$F$1:$F$1001,MATCH(Main!B707,Detail!$G$1:$G$1001,0))</f>
        <v>Tegal</v>
      </c>
      <c r="R707" s="7">
        <f>INDEX(Detail!$C$1:$C$1001,MATCH(B707,Detail!$G$1:$G$1001,0),1)</f>
        <v>159</v>
      </c>
      <c r="S707" s="7">
        <f>INDEX(Detail!$D$1:$D$1001,MATCH(B707,Detail!$G$1:$G$1001,0),1)</f>
        <v>75</v>
      </c>
      <c r="T707" s="7" t="str">
        <f>INDEX(Detail!$E$1:$E$1001,MATCH(Main!B707,Detail!$G$1:$G$1001,0))</f>
        <v xml:space="preserve">Gang PHH. Mustofa No. 8
</v>
      </c>
      <c r="U707" s="7" t="str">
        <f>INDEX(Detail!$B$1:$B$1001,MATCH(B707,Detail!$G$1:$G$1001,0),1)</f>
        <v>O+</v>
      </c>
      <c r="V707" s="7" t="str" cm="1">
        <f t="array" ref="V707">INDEX(Dosen!$B$3:$E$8,MATCH(Main!C707,Dosen!$A$3:$A$8,0),IF(AND(Main!A707&gt;=1,Main!A707&lt;=250),1,IF(AND(Main!A707&gt;=251,Main!A707&lt;=500),2,IF(AND(Main!A707&gt;=501,Main!A707&lt;=750),3,4))))</f>
        <v>Bu Made</v>
      </c>
      <c r="W707" s="7" t="str">
        <f>_xlfn.XLOOKUP(B707,Detail!$G$1:$G$1001,Detail!$B$1:$B$1001)</f>
        <v>O+</v>
      </c>
    </row>
    <row r="708" spans="1:23" ht="15.75" x14ac:dyDescent="0.25">
      <c r="A708" s="7">
        <v>143</v>
      </c>
      <c r="B708" s="33" t="str">
        <f t="shared" si="39"/>
        <v>E0143</v>
      </c>
      <c r="C708" s="7" t="s">
        <v>1010</v>
      </c>
      <c r="D708" s="33" t="str">
        <f>VLOOKUP(B708,Detail!$G$1:$H$1001,2,FALSE)</f>
        <v>Tiara Wijayanti</v>
      </c>
      <c r="E708" s="7">
        <v>89</v>
      </c>
      <c r="F708" s="7">
        <v>46</v>
      </c>
      <c r="G708" s="57">
        <v>74</v>
      </c>
      <c r="H708" s="7">
        <v>74</v>
      </c>
      <c r="I708" s="7">
        <v>78</v>
      </c>
      <c r="J708" s="7">
        <v>93</v>
      </c>
      <c r="K708" s="7">
        <v>80</v>
      </c>
      <c r="L708" s="56" t="str">
        <f>IFERROR(VLOOKUP(B708,Absen!$A$1:$C$501,2,FALSE),"No")</f>
        <v>No</v>
      </c>
      <c r="M708" s="58">
        <f t="shared" si="40"/>
        <v>8</v>
      </c>
      <c r="N708" s="57">
        <f t="shared" si="41"/>
        <v>77.275000000000006</v>
      </c>
      <c r="O708" s="7" t="str">
        <f>VLOOKUP(N708,Helper!$B$30:$C$35,2,TRUE)</f>
        <v>B</v>
      </c>
      <c r="P708" s="56">
        <f>INDEX(Detail!$A$1:$A$1001,MATCH(B708,Detail!$G$1:$G$1001,0))</f>
        <v>37084</v>
      </c>
      <c r="Q708" s="33" t="str">
        <f>INDEX(Detail!$F$1:$F$1001,MATCH(Main!B708,Detail!$G$1:$G$1001,0))</f>
        <v>Subulussalam</v>
      </c>
      <c r="R708" s="7">
        <f>INDEX(Detail!$C$1:$C$1001,MATCH(B708,Detail!$G$1:$G$1001,0),1)</f>
        <v>156</v>
      </c>
      <c r="S708" s="7">
        <f>INDEX(Detail!$D$1:$D$1001,MATCH(B708,Detail!$G$1:$G$1001,0),1)</f>
        <v>78</v>
      </c>
      <c r="T708" s="7" t="str">
        <f>INDEX(Detail!$E$1:$E$1001,MATCH(Main!B708,Detail!$G$1:$G$1001,0))</f>
        <v xml:space="preserve">Gg. K.H. Wahid Hasyim No. 4
</v>
      </c>
      <c r="U708" s="7" t="str">
        <f>INDEX(Detail!$B$1:$B$1001,MATCH(B708,Detail!$G$1:$G$1001,0),1)</f>
        <v>O-</v>
      </c>
      <c r="V708" s="7" t="str" cm="1">
        <f t="array" ref="V708">INDEX(Dosen!$B$3:$E$8,MATCH(Main!C708,Dosen!$A$3:$A$8,0),IF(AND(Main!A708&gt;=1,Main!A708&lt;=250),1,IF(AND(Main!A708&gt;=251,Main!A708&lt;=500),2,IF(AND(Main!A708&gt;=501,Main!A708&lt;=750),3,4))))</f>
        <v>Bu Made</v>
      </c>
      <c r="W708" s="7" t="str">
        <f>_xlfn.XLOOKUP(B708,Detail!$G$1:$G$1001,Detail!$B$1:$B$1001)</f>
        <v>O-</v>
      </c>
    </row>
    <row r="709" spans="1:23" ht="15.75" x14ac:dyDescent="0.25">
      <c r="A709" s="7">
        <v>145</v>
      </c>
      <c r="B709" s="33" t="str">
        <f t="shared" si="39"/>
        <v>E0145</v>
      </c>
      <c r="C709" s="7" t="s">
        <v>1010</v>
      </c>
      <c r="D709" s="33" t="str">
        <f>VLOOKUP(B709,Detail!$G$1:$H$1001,2,FALSE)</f>
        <v>Elma Mayasari</v>
      </c>
      <c r="E709" s="7">
        <v>56</v>
      </c>
      <c r="F709" s="7">
        <v>69</v>
      </c>
      <c r="G709" s="57">
        <v>57</v>
      </c>
      <c r="H709" s="7">
        <v>60</v>
      </c>
      <c r="I709" s="7">
        <v>84</v>
      </c>
      <c r="J709" s="7">
        <v>60</v>
      </c>
      <c r="K709" s="7">
        <v>73</v>
      </c>
      <c r="L709" s="56" t="str">
        <f>IFERROR(VLOOKUP(B709,Absen!$A$1:$C$501,2,FALSE),"No")</f>
        <v>No</v>
      </c>
      <c r="M709" s="58">
        <f t="shared" si="40"/>
        <v>7.3000000000000007</v>
      </c>
      <c r="N709" s="57">
        <f t="shared" si="41"/>
        <v>64.325000000000003</v>
      </c>
      <c r="O709" s="7" t="str">
        <f>VLOOKUP(N709,Helper!$B$30:$C$35,2,TRUE)</f>
        <v>C</v>
      </c>
      <c r="P709" s="56">
        <f>INDEX(Detail!$A$1:$A$1001,MATCH(B709,Detail!$G$1:$G$1001,0))</f>
        <v>38148</v>
      </c>
      <c r="Q709" s="33" t="str">
        <f>INDEX(Detail!$F$1:$F$1001,MATCH(Main!B709,Detail!$G$1:$G$1001,0))</f>
        <v>Mataram</v>
      </c>
      <c r="R709" s="7">
        <f>INDEX(Detail!$C$1:$C$1001,MATCH(B709,Detail!$G$1:$G$1001,0),1)</f>
        <v>175</v>
      </c>
      <c r="S709" s="7">
        <f>INDEX(Detail!$D$1:$D$1001,MATCH(B709,Detail!$G$1:$G$1001,0),1)</f>
        <v>91</v>
      </c>
      <c r="T709" s="7" t="str">
        <f>INDEX(Detail!$E$1:$E$1001,MATCH(Main!B709,Detail!$G$1:$G$1001,0))</f>
        <v>Jalan Otto Iskandardinata No. 85</v>
      </c>
      <c r="U709" s="7" t="str">
        <f>INDEX(Detail!$B$1:$B$1001,MATCH(B709,Detail!$G$1:$G$1001,0),1)</f>
        <v>B-</v>
      </c>
      <c r="V709" s="7" t="str" cm="1">
        <f t="array" ref="V709">INDEX(Dosen!$B$3:$E$8,MATCH(Main!C709,Dosen!$A$3:$A$8,0),IF(AND(Main!A709&gt;=1,Main!A709&lt;=250),1,IF(AND(Main!A709&gt;=251,Main!A709&lt;=500),2,IF(AND(Main!A709&gt;=501,Main!A709&lt;=750),3,4))))</f>
        <v>Bu Made</v>
      </c>
      <c r="W709" s="7" t="str">
        <f>_xlfn.XLOOKUP(B709,Detail!$G$1:$G$1001,Detail!$B$1:$B$1001)</f>
        <v>B-</v>
      </c>
    </row>
    <row r="710" spans="1:23" ht="15.75" x14ac:dyDescent="0.25">
      <c r="A710" s="7">
        <v>146</v>
      </c>
      <c r="B710" s="33" t="str">
        <f t="shared" si="39"/>
        <v>E0146</v>
      </c>
      <c r="C710" s="7" t="s">
        <v>1010</v>
      </c>
      <c r="D710" s="33" t="str">
        <f>VLOOKUP(B710,Detail!$G$1:$H$1001,2,FALSE)</f>
        <v>Lili Hastuti</v>
      </c>
      <c r="E710" s="7">
        <v>51</v>
      </c>
      <c r="F710" s="7">
        <v>56</v>
      </c>
      <c r="G710" s="57">
        <v>75</v>
      </c>
      <c r="H710" s="7">
        <v>50</v>
      </c>
      <c r="I710" s="7">
        <v>92</v>
      </c>
      <c r="J710" s="7">
        <v>47</v>
      </c>
      <c r="K710" s="7">
        <v>65</v>
      </c>
      <c r="L710" s="56" t="str">
        <f>IFERROR(VLOOKUP(B710,Absen!$A$1:$C$501,2,FALSE),"No")</f>
        <v>No</v>
      </c>
      <c r="M710" s="58">
        <f t="shared" si="40"/>
        <v>6.5</v>
      </c>
      <c r="N710" s="57">
        <f t="shared" si="41"/>
        <v>62.024999999999999</v>
      </c>
      <c r="O710" s="7" t="str">
        <f>VLOOKUP(N710,Helper!$B$30:$C$35,2,TRUE)</f>
        <v>C</v>
      </c>
      <c r="P710" s="56">
        <f>INDEX(Detail!$A$1:$A$1001,MATCH(B710,Detail!$G$1:$G$1001,0))</f>
        <v>37574</v>
      </c>
      <c r="Q710" s="33" t="str">
        <f>INDEX(Detail!$F$1:$F$1001,MATCH(Main!B710,Detail!$G$1:$G$1001,0))</f>
        <v>Padang Sidempuan</v>
      </c>
      <c r="R710" s="7">
        <f>INDEX(Detail!$C$1:$C$1001,MATCH(B710,Detail!$G$1:$G$1001,0),1)</f>
        <v>158</v>
      </c>
      <c r="S710" s="7">
        <f>INDEX(Detail!$D$1:$D$1001,MATCH(B710,Detail!$G$1:$G$1001,0),1)</f>
        <v>92</v>
      </c>
      <c r="T710" s="7" t="str">
        <f>INDEX(Detail!$E$1:$E$1001,MATCH(Main!B710,Detail!$G$1:$G$1001,0))</f>
        <v>Gg. Cempaka No. 99</v>
      </c>
      <c r="U710" s="7" t="str">
        <f>INDEX(Detail!$B$1:$B$1001,MATCH(B710,Detail!$G$1:$G$1001,0),1)</f>
        <v>O-</v>
      </c>
      <c r="V710" s="7" t="str" cm="1">
        <f t="array" ref="V710">INDEX(Dosen!$B$3:$E$8,MATCH(Main!C710,Dosen!$A$3:$A$8,0),IF(AND(Main!A710&gt;=1,Main!A710&lt;=250),1,IF(AND(Main!A710&gt;=251,Main!A710&lt;=500),2,IF(AND(Main!A710&gt;=501,Main!A710&lt;=750),3,4))))</f>
        <v>Bu Made</v>
      </c>
      <c r="W710" s="7" t="str">
        <f>_xlfn.XLOOKUP(B710,Detail!$G$1:$G$1001,Detail!$B$1:$B$1001)</f>
        <v>O-</v>
      </c>
    </row>
    <row r="711" spans="1:23" ht="15.75" x14ac:dyDescent="0.25">
      <c r="A711" s="7">
        <v>152</v>
      </c>
      <c r="B711" s="33" t="str">
        <f t="shared" ref="B711:B742" si="42">CONCATENATE("E",TEXT(A711,"0000"))</f>
        <v>E0152</v>
      </c>
      <c r="C711" s="7" t="s">
        <v>1010</v>
      </c>
      <c r="D711" s="33" t="str">
        <f>VLOOKUP(B711,Detail!$G$1:$H$1001,2,FALSE)</f>
        <v>Kasusra Rahimah</v>
      </c>
      <c r="E711" s="7">
        <v>66</v>
      </c>
      <c r="F711" s="7">
        <v>55</v>
      </c>
      <c r="G711" s="57">
        <v>91</v>
      </c>
      <c r="H711" s="7">
        <v>71</v>
      </c>
      <c r="I711" s="7">
        <v>74</v>
      </c>
      <c r="J711" s="7">
        <v>84</v>
      </c>
      <c r="K711" s="7">
        <v>87</v>
      </c>
      <c r="L711" s="56" t="str">
        <f>IFERROR(VLOOKUP(B711,Absen!$A$1:$C$501,2,FALSE),"No")</f>
        <v>No</v>
      </c>
      <c r="M711" s="58">
        <f t="shared" si="40"/>
        <v>8.7000000000000011</v>
      </c>
      <c r="N711" s="57">
        <f t="shared" si="41"/>
        <v>76.95</v>
      </c>
      <c r="O711" s="7" t="str">
        <f>VLOOKUP(N711,Helper!$B$30:$C$35,2,TRUE)</f>
        <v>B</v>
      </c>
      <c r="P711" s="56">
        <f>INDEX(Detail!$A$1:$A$1001,MATCH(B711,Detail!$G$1:$G$1001,0))</f>
        <v>37703</v>
      </c>
      <c r="Q711" s="33" t="str">
        <f>INDEX(Detail!$F$1:$F$1001,MATCH(Main!B711,Detail!$G$1:$G$1001,0))</f>
        <v>Serang</v>
      </c>
      <c r="R711" s="7">
        <f>INDEX(Detail!$C$1:$C$1001,MATCH(B711,Detail!$G$1:$G$1001,0),1)</f>
        <v>168</v>
      </c>
      <c r="S711" s="7">
        <f>INDEX(Detail!$D$1:$D$1001,MATCH(B711,Detail!$G$1:$G$1001,0),1)</f>
        <v>64</v>
      </c>
      <c r="T711" s="7" t="str">
        <f>INDEX(Detail!$E$1:$E$1001,MATCH(Main!B711,Detail!$G$1:$G$1001,0))</f>
        <v xml:space="preserve">Gg. Cikutra Timur No. 7
</v>
      </c>
      <c r="U711" s="7" t="str">
        <f>INDEX(Detail!$B$1:$B$1001,MATCH(B711,Detail!$G$1:$G$1001,0),1)</f>
        <v>O-</v>
      </c>
      <c r="V711" s="7" t="str" cm="1">
        <f t="array" ref="V711">INDEX(Dosen!$B$3:$E$8,MATCH(Main!C711,Dosen!$A$3:$A$8,0),IF(AND(Main!A711&gt;=1,Main!A711&lt;=250),1,IF(AND(Main!A711&gt;=251,Main!A711&lt;=500),2,IF(AND(Main!A711&gt;=501,Main!A711&lt;=750),3,4))))</f>
        <v>Bu Made</v>
      </c>
      <c r="W711" s="7" t="str">
        <f>_xlfn.XLOOKUP(B711,Detail!$G$1:$G$1001,Detail!$B$1:$B$1001)</f>
        <v>O-</v>
      </c>
    </row>
    <row r="712" spans="1:23" ht="15.75" x14ac:dyDescent="0.25">
      <c r="A712" s="7">
        <v>159</v>
      </c>
      <c r="B712" s="33" t="str">
        <f t="shared" si="42"/>
        <v>E0159</v>
      </c>
      <c r="C712" s="7" t="s">
        <v>1010</v>
      </c>
      <c r="D712" s="33" t="str">
        <f>VLOOKUP(B712,Detail!$G$1:$H$1001,2,FALSE)</f>
        <v>Hesti Agustina</v>
      </c>
      <c r="E712" s="7">
        <v>88</v>
      </c>
      <c r="F712" s="7">
        <v>59</v>
      </c>
      <c r="G712" s="57">
        <v>89</v>
      </c>
      <c r="H712" s="7">
        <v>53</v>
      </c>
      <c r="I712" s="7">
        <v>72</v>
      </c>
      <c r="J712" s="7">
        <v>74</v>
      </c>
      <c r="K712" s="7">
        <v>78</v>
      </c>
      <c r="L712" s="56">
        <f>IFERROR(VLOOKUP(B712,Absen!$A$1:$C$501,2,FALSE),"No")</f>
        <v>44857</v>
      </c>
      <c r="M712" s="58">
        <f t="shared" si="40"/>
        <v>6.8000000000000007</v>
      </c>
      <c r="N712" s="57">
        <f t="shared" si="41"/>
        <v>73.399999999999991</v>
      </c>
      <c r="O712" s="7" t="str">
        <f>VLOOKUP(N712,Helper!$B$30:$C$35,2,TRUE)</f>
        <v>B</v>
      </c>
      <c r="P712" s="56">
        <f>INDEX(Detail!$A$1:$A$1001,MATCH(B712,Detail!$G$1:$G$1001,0))</f>
        <v>37857</v>
      </c>
      <c r="Q712" s="33" t="str">
        <f>INDEX(Detail!$F$1:$F$1001,MATCH(Main!B712,Detail!$G$1:$G$1001,0))</f>
        <v>Tebingtinggi</v>
      </c>
      <c r="R712" s="7">
        <f>INDEX(Detail!$C$1:$C$1001,MATCH(B712,Detail!$G$1:$G$1001,0),1)</f>
        <v>151</v>
      </c>
      <c r="S712" s="7">
        <f>INDEX(Detail!$D$1:$D$1001,MATCH(B712,Detail!$G$1:$G$1001,0),1)</f>
        <v>85</v>
      </c>
      <c r="T712" s="7" t="str">
        <f>INDEX(Detail!$E$1:$E$1001,MATCH(Main!B712,Detail!$G$1:$G$1001,0))</f>
        <v>Gg. PHH. Mustofa No. 87</v>
      </c>
      <c r="U712" s="7" t="str">
        <f>INDEX(Detail!$B$1:$B$1001,MATCH(B712,Detail!$G$1:$G$1001,0),1)</f>
        <v>O+</v>
      </c>
      <c r="V712" s="7" t="str" cm="1">
        <f t="array" ref="V712">INDEX(Dosen!$B$3:$E$8,MATCH(Main!C712,Dosen!$A$3:$A$8,0),IF(AND(Main!A712&gt;=1,Main!A712&lt;=250),1,IF(AND(Main!A712&gt;=251,Main!A712&lt;=500),2,IF(AND(Main!A712&gt;=501,Main!A712&lt;=750),3,4))))</f>
        <v>Bu Made</v>
      </c>
      <c r="W712" s="7" t="str">
        <f>_xlfn.XLOOKUP(B712,Detail!$G$1:$G$1001,Detail!$B$1:$B$1001)</f>
        <v>O+</v>
      </c>
    </row>
    <row r="713" spans="1:23" ht="15.75" x14ac:dyDescent="0.25">
      <c r="A713" s="7">
        <v>161</v>
      </c>
      <c r="B713" s="33" t="str">
        <f t="shared" si="42"/>
        <v>E0161</v>
      </c>
      <c r="C713" s="7" t="s">
        <v>1010</v>
      </c>
      <c r="D713" s="33" t="str">
        <f>VLOOKUP(B713,Detail!$G$1:$H$1001,2,FALSE)</f>
        <v>Halim Halimah</v>
      </c>
      <c r="E713" s="7">
        <v>80</v>
      </c>
      <c r="F713" s="7">
        <v>68</v>
      </c>
      <c r="G713" s="57">
        <v>39</v>
      </c>
      <c r="H713" s="7">
        <v>62</v>
      </c>
      <c r="I713" s="7">
        <v>88</v>
      </c>
      <c r="J713" s="7">
        <v>75</v>
      </c>
      <c r="K713" s="7">
        <v>82</v>
      </c>
      <c r="L713" s="56">
        <f>IFERROR(VLOOKUP(B713,Absen!$A$1:$C$501,2,FALSE),"No")</f>
        <v>44796</v>
      </c>
      <c r="M713" s="58">
        <f t="shared" si="40"/>
        <v>7.2</v>
      </c>
      <c r="N713" s="57">
        <f t="shared" si="41"/>
        <v>67.25</v>
      </c>
      <c r="O713" s="7" t="str">
        <f>VLOOKUP(N713,Helper!$B$30:$C$35,2,TRUE)</f>
        <v>C</v>
      </c>
      <c r="P713" s="56">
        <f>INDEX(Detail!$A$1:$A$1001,MATCH(B713,Detail!$G$1:$G$1001,0))</f>
        <v>37483</v>
      </c>
      <c r="Q713" s="33" t="str">
        <f>INDEX(Detail!$F$1:$F$1001,MATCH(Main!B713,Detail!$G$1:$G$1001,0))</f>
        <v>Pasuruan</v>
      </c>
      <c r="R713" s="7">
        <f>INDEX(Detail!$C$1:$C$1001,MATCH(B713,Detail!$G$1:$G$1001,0),1)</f>
        <v>159</v>
      </c>
      <c r="S713" s="7">
        <f>INDEX(Detail!$D$1:$D$1001,MATCH(B713,Detail!$G$1:$G$1001,0),1)</f>
        <v>65</v>
      </c>
      <c r="T713" s="7" t="str">
        <f>INDEX(Detail!$E$1:$E$1001,MATCH(Main!B713,Detail!$G$1:$G$1001,0))</f>
        <v>Gang Sadang Serang No. 63</v>
      </c>
      <c r="U713" s="7" t="str">
        <f>INDEX(Detail!$B$1:$B$1001,MATCH(B713,Detail!$G$1:$G$1001,0),1)</f>
        <v>B-</v>
      </c>
      <c r="V713" s="7" t="str" cm="1">
        <f t="array" ref="V713">INDEX(Dosen!$B$3:$E$8,MATCH(Main!C713,Dosen!$A$3:$A$8,0),IF(AND(Main!A713&gt;=1,Main!A713&lt;=250),1,IF(AND(Main!A713&gt;=251,Main!A713&lt;=500),2,IF(AND(Main!A713&gt;=501,Main!A713&lt;=750),3,4))))</f>
        <v>Bu Made</v>
      </c>
      <c r="W713" s="7" t="str">
        <f>_xlfn.XLOOKUP(B713,Detail!$G$1:$G$1001,Detail!$B$1:$B$1001)</f>
        <v>B-</v>
      </c>
    </row>
    <row r="714" spans="1:23" ht="15.75" x14ac:dyDescent="0.25">
      <c r="A714" s="7">
        <v>175</v>
      </c>
      <c r="B714" s="33" t="str">
        <f t="shared" si="42"/>
        <v>E0175</v>
      </c>
      <c r="C714" s="7" t="s">
        <v>1010</v>
      </c>
      <c r="D714" s="33" t="str">
        <f>VLOOKUP(B714,Detail!$G$1:$H$1001,2,FALSE)</f>
        <v>Darmaji Zulaika</v>
      </c>
      <c r="E714" s="7">
        <v>68</v>
      </c>
      <c r="F714" s="7">
        <v>43</v>
      </c>
      <c r="G714" s="57">
        <v>46</v>
      </c>
      <c r="H714" s="7">
        <v>75</v>
      </c>
      <c r="I714" s="7">
        <v>66</v>
      </c>
      <c r="J714" s="7">
        <v>54</v>
      </c>
      <c r="K714" s="7">
        <v>68</v>
      </c>
      <c r="L714" s="56" t="str">
        <f>IFERROR(VLOOKUP(B714,Absen!$A$1:$C$501,2,FALSE),"No")</f>
        <v>No</v>
      </c>
      <c r="M714" s="58">
        <f t="shared" si="40"/>
        <v>6.8000000000000007</v>
      </c>
      <c r="N714" s="57">
        <f t="shared" si="41"/>
        <v>58.3</v>
      </c>
      <c r="O714" s="7" t="str">
        <f>VLOOKUP(N714,Helper!$B$30:$C$35,2,TRUE)</f>
        <v>D</v>
      </c>
      <c r="P714" s="56">
        <f>INDEX(Detail!$A$1:$A$1001,MATCH(B714,Detail!$G$1:$G$1001,0))</f>
        <v>37016</v>
      </c>
      <c r="Q714" s="33" t="str">
        <f>INDEX(Detail!$F$1:$F$1001,MATCH(Main!B714,Detail!$G$1:$G$1001,0))</f>
        <v>Gorontalo</v>
      </c>
      <c r="R714" s="7">
        <f>INDEX(Detail!$C$1:$C$1001,MATCH(B714,Detail!$G$1:$G$1001,0),1)</f>
        <v>168</v>
      </c>
      <c r="S714" s="7">
        <f>INDEX(Detail!$D$1:$D$1001,MATCH(B714,Detail!$G$1:$G$1001,0),1)</f>
        <v>90</v>
      </c>
      <c r="T714" s="7" t="str">
        <f>INDEX(Detail!$E$1:$E$1001,MATCH(Main!B714,Detail!$G$1:$G$1001,0))</f>
        <v>Gang Monginsidi No. 08</v>
      </c>
      <c r="U714" s="7" t="str">
        <f>INDEX(Detail!$B$1:$B$1001,MATCH(B714,Detail!$G$1:$G$1001,0),1)</f>
        <v>AB+</v>
      </c>
      <c r="V714" s="7" t="str" cm="1">
        <f t="array" ref="V714">INDEX(Dosen!$B$3:$E$8,MATCH(Main!C714,Dosen!$A$3:$A$8,0),IF(AND(Main!A714&gt;=1,Main!A714&lt;=250),1,IF(AND(Main!A714&gt;=251,Main!A714&lt;=500),2,IF(AND(Main!A714&gt;=501,Main!A714&lt;=750),3,4))))</f>
        <v>Bu Made</v>
      </c>
      <c r="W714" s="7" t="str">
        <f>_xlfn.XLOOKUP(B714,Detail!$G$1:$G$1001,Detail!$B$1:$B$1001)</f>
        <v>AB+</v>
      </c>
    </row>
    <row r="715" spans="1:23" ht="15.75" x14ac:dyDescent="0.25">
      <c r="A715" s="7">
        <v>176</v>
      </c>
      <c r="B715" s="33" t="str">
        <f t="shared" si="42"/>
        <v>E0176</v>
      </c>
      <c r="C715" s="7" t="s">
        <v>1010</v>
      </c>
      <c r="D715" s="33" t="str">
        <f>VLOOKUP(B715,Detail!$G$1:$H$1001,2,FALSE)</f>
        <v>Endra Yulianti</v>
      </c>
      <c r="E715" s="7">
        <v>65</v>
      </c>
      <c r="F715" s="7">
        <v>59</v>
      </c>
      <c r="G715" s="57">
        <v>53</v>
      </c>
      <c r="H715" s="7">
        <v>54</v>
      </c>
      <c r="I715" s="7">
        <v>64</v>
      </c>
      <c r="J715" s="7">
        <v>65</v>
      </c>
      <c r="K715" s="7">
        <v>88</v>
      </c>
      <c r="L715" s="56" t="str">
        <f>IFERROR(VLOOKUP(B715,Absen!$A$1:$C$501,2,FALSE),"No")</f>
        <v>No</v>
      </c>
      <c r="M715" s="58">
        <f t="shared" si="40"/>
        <v>8.8000000000000007</v>
      </c>
      <c r="N715" s="57">
        <f t="shared" si="41"/>
        <v>62.650000000000006</v>
      </c>
      <c r="O715" s="7" t="str">
        <f>VLOOKUP(N715,Helper!$B$30:$C$35,2,TRUE)</f>
        <v>C</v>
      </c>
      <c r="P715" s="56">
        <f>INDEX(Detail!$A$1:$A$1001,MATCH(B715,Detail!$G$1:$G$1001,0))</f>
        <v>37364</v>
      </c>
      <c r="Q715" s="33" t="str">
        <f>INDEX(Detail!$F$1:$F$1001,MATCH(Main!B715,Detail!$G$1:$G$1001,0))</f>
        <v>Padangpanjang</v>
      </c>
      <c r="R715" s="7">
        <f>INDEX(Detail!$C$1:$C$1001,MATCH(B715,Detail!$G$1:$G$1001,0),1)</f>
        <v>172</v>
      </c>
      <c r="S715" s="7">
        <f>INDEX(Detail!$D$1:$D$1001,MATCH(B715,Detail!$G$1:$G$1001,0),1)</f>
        <v>76</v>
      </c>
      <c r="T715" s="7" t="str">
        <f>INDEX(Detail!$E$1:$E$1001,MATCH(Main!B715,Detail!$G$1:$G$1001,0))</f>
        <v>Gg. Jend. A. Yani No. 66</v>
      </c>
      <c r="U715" s="7" t="str">
        <f>INDEX(Detail!$B$1:$B$1001,MATCH(B715,Detail!$G$1:$G$1001,0),1)</f>
        <v>O-</v>
      </c>
      <c r="V715" s="7" t="str" cm="1">
        <f t="array" ref="V715">INDEX(Dosen!$B$3:$E$8,MATCH(Main!C715,Dosen!$A$3:$A$8,0),IF(AND(Main!A715&gt;=1,Main!A715&lt;=250),1,IF(AND(Main!A715&gt;=251,Main!A715&lt;=500),2,IF(AND(Main!A715&gt;=501,Main!A715&lt;=750),3,4))))</f>
        <v>Bu Made</v>
      </c>
      <c r="W715" s="7" t="str">
        <f>_xlfn.XLOOKUP(B715,Detail!$G$1:$G$1001,Detail!$B$1:$B$1001)</f>
        <v>O-</v>
      </c>
    </row>
    <row r="716" spans="1:23" ht="15.75" x14ac:dyDescent="0.25">
      <c r="A716" s="7">
        <v>178</v>
      </c>
      <c r="B716" s="33" t="str">
        <f t="shared" si="42"/>
        <v>E0178</v>
      </c>
      <c r="C716" s="7" t="s">
        <v>1010</v>
      </c>
      <c r="D716" s="33" t="str">
        <f>VLOOKUP(B716,Detail!$G$1:$H$1001,2,FALSE)</f>
        <v>Mala Padmasari</v>
      </c>
      <c r="E716" s="7">
        <v>60</v>
      </c>
      <c r="F716" s="7">
        <v>55</v>
      </c>
      <c r="G716" s="57">
        <v>61</v>
      </c>
      <c r="H716" s="7">
        <v>69</v>
      </c>
      <c r="I716" s="7">
        <v>79</v>
      </c>
      <c r="J716" s="7">
        <v>42</v>
      </c>
      <c r="K716" s="7">
        <v>60</v>
      </c>
      <c r="L716" s="56" t="str">
        <f>IFERROR(VLOOKUP(B716,Absen!$A$1:$C$501,2,FALSE),"No")</f>
        <v>No</v>
      </c>
      <c r="M716" s="58">
        <f t="shared" si="40"/>
        <v>6</v>
      </c>
      <c r="N716" s="57">
        <f t="shared" si="41"/>
        <v>59.475000000000001</v>
      </c>
      <c r="O716" s="7" t="str">
        <f>VLOOKUP(N716,Helper!$B$30:$C$35,2,TRUE)</f>
        <v>D</v>
      </c>
      <c r="P716" s="56">
        <f>INDEX(Detail!$A$1:$A$1001,MATCH(B716,Detail!$G$1:$G$1001,0))</f>
        <v>37441</v>
      </c>
      <c r="Q716" s="33" t="str">
        <f>INDEX(Detail!$F$1:$F$1001,MATCH(Main!B716,Detail!$G$1:$G$1001,0))</f>
        <v>Tegal</v>
      </c>
      <c r="R716" s="7">
        <f>INDEX(Detail!$C$1:$C$1001,MATCH(B716,Detail!$G$1:$G$1001,0),1)</f>
        <v>155</v>
      </c>
      <c r="S716" s="7">
        <f>INDEX(Detail!$D$1:$D$1001,MATCH(B716,Detail!$G$1:$G$1001,0),1)</f>
        <v>78</v>
      </c>
      <c r="T716" s="7" t="str">
        <f>INDEX(Detail!$E$1:$E$1001,MATCH(Main!B716,Detail!$G$1:$G$1001,0))</f>
        <v>Jl. Suryakencana No. 82</v>
      </c>
      <c r="U716" s="7" t="str">
        <f>INDEX(Detail!$B$1:$B$1001,MATCH(B716,Detail!$G$1:$G$1001,0),1)</f>
        <v>A-</v>
      </c>
      <c r="V716" s="7" t="str" cm="1">
        <f t="array" ref="V716">INDEX(Dosen!$B$3:$E$8,MATCH(Main!C716,Dosen!$A$3:$A$8,0),IF(AND(Main!A716&gt;=1,Main!A716&lt;=250),1,IF(AND(Main!A716&gt;=251,Main!A716&lt;=500),2,IF(AND(Main!A716&gt;=501,Main!A716&lt;=750),3,4))))</f>
        <v>Bu Made</v>
      </c>
      <c r="W716" s="7" t="str">
        <f>_xlfn.XLOOKUP(B716,Detail!$G$1:$G$1001,Detail!$B$1:$B$1001)</f>
        <v>A-</v>
      </c>
    </row>
    <row r="717" spans="1:23" ht="15.75" x14ac:dyDescent="0.25">
      <c r="A717" s="7">
        <v>183</v>
      </c>
      <c r="B717" s="33" t="str">
        <f t="shared" si="42"/>
        <v>E0183</v>
      </c>
      <c r="C717" s="7" t="s">
        <v>1010</v>
      </c>
      <c r="D717" s="33" t="str">
        <f>VLOOKUP(B717,Detail!$G$1:$H$1001,2,FALSE)</f>
        <v>Artawan Sitorus</v>
      </c>
      <c r="E717" s="7">
        <v>86</v>
      </c>
      <c r="F717" s="7">
        <v>41</v>
      </c>
      <c r="G717" s="57">
        <v>81</v>
      </c>
      <c r="H717" s="7">
        <v>58</v>
      </c>
      <c r="I717" s="7">
        <v>95</v>
      </c>
      <c r="J717" s="7">
        <v>47</v>
      </c>
      <c r="K717" s="7">
        <v>96</v>
      </c>
      <c r="L717" s="56" t="str">
        <f>IFERROR(VLOOKUP(B717,Absen!$A$1:$C$501,2,FALSE),"No")</f>
        <v>No</v>
      </c>
      <c r="M717" s="58">
        <f t="shared" si="40"/>
        <v>9.6000000000000014</v>
      </c>
      <c r="N717" s="57">
        <f t="shared" si="41"/>
        <v>70.2</v>
      </c>
      <c r="O717" s="7" t="str">
        <f>VLOOKUP(N717,Helper!$B$30:$C$35,2,TRUE)</f>
        <v>B</v>
      </c>
      <c r="P717" s="56">
        <f>INDEX(Detail!$A$1:$A$1001,MATCH(B717,Detail!$G$1:$G$1001,0))</f>
        <v>37388</v>
      </c>
      <c r="Q717" s="33" t="str">
        <f>INDEX(Detail!$F$1:$F$1001,MATCH(Main!B717,Detail!$G$1:$G$1001,0))</f>
        <v>Kota Administrasi Jakarta Barat</v>
      </c>
      <c r="R717" s="7">
        <f>INDEX(Detail!$C$1:$C$1001,MATCH(B717,Detail!$G$1:$G$1001,0),1)</f>
        <v>154</v>
      </c>
      <c r="S717" s="7">
        <f>INDEX(Detail!$D$1:$D$1001,MATCH(B717,Detail!$G$1:$G$1001,0),1)</f>
        <v>80</v>
      </c>
      <c r="T717" s="7" t="str">
        <f>INDEX(Detail!$E$1:$E$1001,MATCH(Main!B717,Detail!$G$1:$G$1001,0))</f>
        <v>Jl. Bangka Raya No. 31</v>
      </c>
      <c r="U717" s="7" t="str">
        <f>INDEX(Detail!$B$1:$B$1001,MATCH(B717,Detail!$G$1:$G$1001,0),1)</f>
        <v>A-</v>
      </c>
      <c r="V717" s="7" t="str" cm="1">
        <f t="array" ref="V717">INDEX(Dosen!$B$3:$E$8,MATCH(Main!C717,Dosen!$A$3:$A$8,0),IF(AND(Main!A717&gt;=1,Main!A717&lt;=250),1,IF(AND(Main!A717&gt;=251,Main!A717&lt;=500),2,IF(AND(Main!A717&gt;=501,Main!A717&lt;=750),3,4))))</f>
        <v>Bu Made</v>
      </c>
      <c r="W717" s="7" t="str">
        <f>_xlfn.XLOOKUP(B717,Detail!$G$1:$G$1001,Detail!$B$1:$B$1001)</f>
        <v>A-</v>
      </c>
    </row>
    <row r="718" spans="1:23" ht="15.75" x14ac:dyDescent="0.25">
      <c r="A718" s="7">
        <v>190</v>
      </c>
      <c r="B718" s="33" t="str">
        <f t="shared" si="42"/>
        <v>E0190</v>
      </c>
      <c r="C718" s="7" t="s">
        <v>1010</v>
      </c>
      <c r="D718" s="33" t="str">
        <f>VLOOKUP(B718,Detail!$G$1:$H$1001,2,FALSE)</f>
        <v>Tedi Suryatmi</v>
      </c>
      <c r="E718" s="7">
        <v>56</v>
      </c>
      <c r="F718" s="7">
        <v>62</v>
      </c>
      <c r="G718" s="57">
        <v>68</v>
      </c>
      <c r="H718" s="7">
        <v>55</v>
      </c>
      <c r="I718" s="7">
        <v>74</v>
      </c>
      <c r="J718" s="7">
        <v>74</v>
      </c>
      <c r="K718" s="7">
        <v>74</v>
      </c>
      <c r="L718" s="56" t="str">
        <f>IFERROR(VLOOKUP(B718,Absen!$A$1:$C$501,2,FALSE),"No")</f>
        <v>No</v>
      </c>
      <c r="M718" s="58">
        <f t="shared" si="40"/>
        <v>7.4</v>
      </c>
      <c r="N718" s="57">
        <f t="shared" si="41"/>
        <v>66.675000000000011</v>
      </c>
      <c r="O718" s="7" t="str">
        <f>VLOOKUP(N718,Helper!$B$30:$C$35,2,TRUE)</f>
        <v>C</v>
      </c>
      <c r="P718" s="56">
        <f>INDEX(Detail!$A$1:$A$1001,MATCH(B718,Detail!$G$1:$G$1001,0))</f>
        <v>38219</v>
      </c>
      <c r="Q718" s="33" t="str">
        <f>INDEX(Detail!$F$1:$F$1001,MATCH(Main!B718,Detail!$G$1:$G$1001,0))</f>
        <v>Batam</v>
      </c>
      <c r="R718" s="7">
        <f>INDEX(Detail!$C$1:$C$1001,MATCH(B718,Detail!$G$1:$G$1001,0),1)</f>
        <v>173</v>
      </c>
      <c r="S718" s="7">
        <f>INDEX(Detail!$D$1:$D$1001,MATCH(B718,Detail!$G$1:$G$1001,0),1)</f>
        <v>68</v>
      </c>
      <c r="T718" s="7" t="str">
        <f>INDEX(Detail!$E$1:$E$1001,MATCH(Main!B718,Detail!$G$1:$G$1001,0))</f>
        <v>Gg. Erlangga No. 38</v>
      </c>
      <c r="U718" s="7" t="str">
        <f>INDEX(Detail!$B$1:$B$1001,MATCH(B718,Detail!$G$1:$G$1001,0),1)</f>
        <v>AB-</v>
      </c>
      <c r="V718" s="7" t="str" cm="1">
        <f t="array" ref="V718">INDEX(Dosen!$B$3:$E$8,MATCH(Main!C718,Dosen!$A$3:$A$8,0),IF(AND(Main!A718&gt;=1,Main!A718&lt;=250),1,IF(AND(Main!A718&gt;=251,Main!A718&lt;=500),2,IF(AND(Main!A718&gt;=501,Main!A718&lt;=750),3,4))))</f>
        <v>Bu Made</v>
      </c>
      <c r="W718" s="7" t="str">
        <f>_xlfn.XLOOKUP(B718,Detail!$G$1:$G$1001,Detail!$B$1:$B$1001)</f>
        <v>AB-</v>
      </c>
    </row>
    <row r="719" spans="1:23" ht="15.75" x14ac:dyDescent="0.25">
      <c r="A719" s="7">
        <v>191</v>
      </c>
      <c r="B719" s="33" t="str">
        <f t="shared" si="42"/>
        <v>E0191</v>
      </c>
      <c r="C719" s="7" t="s">
        <v>1010</v>
      </c>
      <c r="D719" s="33" t="str">
        <f>VLOOKUP(B719,Detail!$G$1:$H$1001,2,FALSE)</f>
        <v>Putri Nuraini</v>
      </c>
      <c r="E719" s="7">
        <v>69</v>
      </c>
      <c r="F719" s="7">
        <v>53</v>
      </c>
      <c r="G719" s="57">
        <v>41</v>
      </c>
      <c r="H719" s="7">
        <v>68</v>
      </c>
      <c r="I719" s="7">
        <v>90</v>
      </c>
      <c r="J719" s="7">
        <v>49</v>
      </c>
      <c r="K719" s="7">
        <v>96</v>
      </c>
      <c r="L719" s="56" t="str">
        <f>IFERROR(VLOOKUP(B719,Absen!$A$1:$C$501,2,FALSE),"No")</f>
        <v>No</v>
      </c>
      <c r="M719" s="58">
        <f t="shared" si="40"/>
        <v>9.6000000000000014</v>
      </c>
      <c r="N719" s="57">
        <f t="shared" si="41"/>
        <v>62.6</v>
      </c>
      <c r="O719" s="7" t="str">
        <f>VLOOKUP(N719,Helper!$B$30:$C$35,2,TRUE)</f>
        <v>C</v>
      </c>
      <c r="P719" s="56">
        <f>INDEX(Detail!$A$1:$A$1001,MATCH(B719,Detail!$G$1:$G$1001,0))</f>
        <v>37259</v>
      </c>
      <c r="Q719" s="33" t="str">
        <f>INDEX(Detail!$F$1:$F$1001,MATCH(Main!B719,Detail!$G$1:$G$1001,0))</f>
        <v>Kupang</v>
      </c>
      <c r="R719" s="7">
        <f>INDEX(Detail!$C$1:$C$1001,MATCH(B719,Detail!$G$1:$G$1001,0),1)</f>
        <v>167</v>
      </c>
      <c r="S719" s="7">
        <f>INDEX(Detail!$D$1:$D$1001,MATCH(B719,Detail!$G$1:$G$1001,0),1)</f>
        <v>67</v>
      </c>
      <c r="T719" s="7" t="str">
        <f>INDEX(Detail!$E$1:$E$1001,MATCH(Main!B719,Detail!$G$1:$G$1001,0))</f>
        <v xml:space="preserve">Jl. Dipenogoro No. 8
</v>
      </c>
      <c r="U719" s="7" t="str">
        <f>INDEX(Detail!$B$1:$B$1001,MATCH(B719,Detail!$G$1:$G$1001,0),1)</f>
        <v>O+</v>
      </c>
      <c r="V719" s="7" t="str" cm="1">
        <f t="array" ref="V719">INDEX(Dosen!$B$3:$E$8,MATCH(Main!C719,Dosen!$A$3:$A$8,0),IF(AND(Main!A719&gt;=1,Main!A719&lt;=250),1,IF(AND(Main!A719&gt;=251,Main!A719&lt;=500),2,IF(AND(Main!A719&gt;=501,Main!A719&lt;=750),3,4))))</f>
        <v>Bu Made</v>
      </c>
      <c r="W719" s="7" t="str">
        <f>_xlfn.XLOOKUP(B719,Detail!$G$1:$G$1001,Detail!$B$1:$B$1001)</f>
        <v>O+</v>
      </c>
    </row>
    <row r="720" spans="1:23" ht="15.75" x14ac:dyDescent="0.25">
      <c r="A720" s="7">
        <v>200</v>
      </c>
      <c r="B720" s="33" t="str">
        <f t="shared" si="42"/>
        <v>E0200</v>
      </c>
      <c r="C720" s="7" t="s">
        <v>1010</v>
      </c>
      <c r="D720" s="33" t="str">
        <f>VLOOKUP(B720,Detail!$G$1:$H$1001,2,FALSE)</f>
        <v>Ibrani Hidayanto</v>
      </c>
      <c r="E720" s="7">
        <v>88</v>
      </c>
      <c r="F720" s="7">
        <v>46</v>
      </c>
      <c r="G720" s="57">
        <v>50</v>
      </c>
      <c r="H720" s="7">
        <v>74</v>
      </c>
      <c r="I720" s="7">
        <v>53</v>
      </c>
      <c r="J720" s="7">
        <v>48</v>
      </c>
      <c r="K720" s="7">
        <v>64</v>
      </c>
      <c r="L720" s="56" t="str">
        <f>IFERROR(VLOOKUP(B720,Absen!$A$1:$C$501,2,FALSE),"No")</f>
        <v>No</v>
      </c>
      <c r="M720" s="58">
        <f t="shared" si="40"/>
        <v>6.4</v>
      </c>
      <c r="N720" s="57">
        <f t="shared" si="41"/>
        <v>58.625</v>
      </c>
      <c r="O720" s="7" t="str">
        <f>VLOOKUP(N720,Helper!$B$30:$C$35,2,TRUE)</f>
        <v>D</v>
      </c>
      <c r="P720" s="56">
        <f>INDEX(Detail!$A$1:$A$1001,MATCH(B720,Detail!$G$1:$G$1001,0))</f>
        <v>37018</v>
      </c>
      <c r="Q720" s="33" t="str">
        <f>INDEX(Detail!$F$1:$F$1001,MATCH(Main!B720,Detail!$G$1:$G$1001,0))</f>
        <v>Kediri</v>
      </c>
      <c r="R720" s="7">
        <f>INDEX(Detail!$C$1:$C$1001,MATCH(B720,Detail!$G$1:$G$1001,0),1)</f>
        <v>164</v>
      </c>
      <c r="S720" s="7">
        <f>INDEX(Detail!$D$1:$D$1001,MATCH(B720,Detail!$G$1:$G$1001,0),1)</f>
        <v>67</v>
      </c>
      <c r="T720" s="7" t="str">
        <f>INDEX(Detail!$E$1:$E$1001,MATCH(Main!B720,Detail!$G$1:$G$1001,0))</f>
        <v xml:space="preserve">Gg. Ciumbuleuit No. 9
</v>
      </c>
      <c r="U720" s="7" t="str">
        <f>INDEX(Detail!$B$1:$B$1001,MATCH(B720,Detail!$G$1:$G$1001,0),1)</f>
        <v>B-</v>
      </c>
      <c r="V720" s="7" t="str" cm="1">
        <f t="array" ref="V720">INDEX(Dosen!$B$3:$E$8,MATCH(Main!C720,Dosen!$A$3:$A$8,0),IF(AND(Main!A720&gt;=1,Main!A720&lt;=250),1,IF(AND(Main!A720&gt;=251,Main!A720&lt;=500),2,IF(AND(Main!A720&gt;=501,Main!A720&lt;=750),3,4))))</f>
        <v>Bu Made</v>
      </c>
      <c r="W720" s="7" t="str">
        <f>_xlfn.XLOOKUP(B720,Detail!$G$1:$G$1001,Detail!$B$1:$B$1001)</f>
        <v>B-</v>
      </c>
    </row>
    <row r="721" spans="1:23" ht="15.75" x14ac:dyDescent="0.25">
      <c r="A721" s="7">
        <v>202</v>
      </c>
      <c r="B721" s="33" t="str">
        <f t="shared" si="42"/>
        <v>E0202</v>
      </c>
      <c r="C721" s="7" t="s">
        <v>1010</v>
      </c>
      <c r="D721" s="33" t="str">
        <f>VLOOKUP(B721,Detail!$G$1:$H$1001,2,FALSE)</f>
        <v>Martani Lailasari</v>
      </c>
      <c r="E721" s="7">
        <v>88</v>
      </c>
      <c r="F721" s="7">
        <v>41</v>
      </c>
      <c r="G721" s="57">
        <v>69</v>
      </c>
      <c r="H721" s="7">
        <v>69</v>
      </c>
      <c r="I721" s="7">
        <v>81</v>
      </c>
      <c r="J721" s="7">
        <v>64</v>
      </c>
      <c r="K721" s="7">
        <v>78</v>
      </c>
      <c r="L721" s="56">
        <f>IFERROR(VLOOKUP(B721,Absen!$A$1:$C$501,2,FALSE),"No")</f>
        <v>44848</v>
      </c>
      <c r="M721" s="58">
        <f t="shared" si="40"/>
        <v>6.8000000000000007</v>
      </c>
      <c r="N721" s="57">
        <f t="shared" si="41"/>
        <v>68.274999999999991</v>
      </c>
      <c r="O721" s="7" t="str">
        <f>VLOOKUP(N721,Helper!$B$30:$C$35,2,TRUE)</f>
        <v>C</v>
      </c>
      <c r="P721" s="56">
        <f>INDEX(Detail!$A$1:$A$1001,MATCH(B721,Detail!$G$1:$G$1001,0))</f>
        <v>37754</v>
      </c>
      <c r="Q721" s="33" t="str">
        <f>INDEX(Detail!$F$1:$F$1001,MATCH(Main!B721,Detail!$G$1:$G$1001,0))</f>
        <v>Manado</v>
      </c>
      <c r="R721" s="7">
        <f>INDEX(Detail!$C$1:$C$1001,MATCH(B721,Detail!$G$1:$G$1001,0),1)</f>
        <v>169</v>
      </c>
      <c r="S721" s="7">
        <f>INDEX(Detail!$D$1:$D$1001,MATCH(B721,Detail!$G$1:$G$1001,0),1)</f>
        <v>62</v>
      </c>
      <c r="T721" s="7" t="str">
        <f>INDEX(Detail!$E$1:$E$1001,MATCH(Main!B721,Detail!$G$1:$G$1001,0))</f>
        <v>Jl. Ir. H. Djuanda No. 05</v>
      </c>
      <c r="U721" s="7" t="str">
        <f>INDEX(Detail!$B$1:$B$1001,MATCH(B721,Detail!$G$1:$G$1001,0),1)</f>
        <v>A+</v>
      </c>
      <c r="V721" s="7" t="str" cm="1">
        <f t="array" ref="V721">INDEX(Dosen!$B$3:$E$8,MATCH(Main!C721,Dosen!$A$3:$A$8,0),IF(AND(Main!A721&gt;=1,Main!A721&lt;=250),1,IF(AND(Main!A721&gt;=251,Main!A721&lt;=500),2,IF(AND(Main!A721&gt;=501,Main!A721&lt;=750),3,4))))</f>
        <v>Bu Made</v>
      </c>
      <c r="W721" s="7" t="str">
        <f>_xlfn.XLOOKUP(B721,Detail!$G$1:$G$1001,Detail!$B$1:$B$1001)</f>
        <v>A+</v>
      </c>
    </row>
    <row r="722" spans="1:23" ht="15.75" x14ac:dyDescent="0.25">
      <c r="A722" s="7">
        <v>218</v>
      </c>
      <c r="B722" s="33" t="str">
        <f t="shared" si="42"/>
        <v>E0218</v>
      </c>
      <c r="C722" s="7" t="s">
        <v>1010</v>
      </c>
      <c r="D722" s="33" t="str">
        <f>VLOOKUP(B722,Detail!$G$1:$H$1001,2,FALSE)</f>
        <v>Prasetyo Nashiruddin</v>
      </c>
      <c r="E722" s="7">
        <v>71</v>
      </c>
      <c r="F722" s="7">
        <v>67</v>
      </c>
      <c r="G722" s="57">
        <v>59</v>
      </c>
      <c r="H722" s="7">
        <v>55</v>
      </c>
      <c r="I722" s="7">
        <v>52</v>
      </c>
      <c r="J722" s="7">
        <v>79</v>
      </c>
      <c r="K722" s="7">
        <v>95</v>
      </c>
      <c r="L722" s="56" t="str">
        <f>IFERROR(VLOOKUP(B722,Absen!$A$1:$C$501,2,FALSE),"No")</f>
        <v>No</v>
      </c>
      <c r="M722" s="58">
        <f t="shared" si="40"/>
        <v>9.5</v>
      </c>
      <c r="N722" s="57">
        <f t="shared" si="41"/>
        <v>67.724999999999994</v>
      </c>
      <c r="O722" s="7" t="str">
        <f>VLOOKUP(N722,Helper!$B$30:$C$35,2,TRUE)</f>
        <v>C</v>
      </c>
      <c r="P722" s="56">
        <f>INDEX(Detail!$A$1:$A$1001,MATCH(B722,Detail!$G$1:$G$1001,0))</f>
        <v>37083</v>
      </c>
      <c r="Q722" s="33" t="str">
        <f>INDEX(Detail!$F$1:$F$1001,MATCH(Main!B722,Detail!$G$1:$G$1001,0))</f>
        <v>Manado</v>
      </c>
      <c r="R722" s="7">
        <f>INDEX(Detail!$C$1:$C$1001,MATCH(B722,Detail!$G$1:$G$1001,0),1)</f>
        <v>157</v>
      </c>
      <c r="S722" s="7">
        <f>INDEX(Detail!$D$1:$D$1001,MATCH(B722,Detail!$G$1:$G$1001,0),1)</f>
        <v>59</v>
      </c>
      <c r="T722" s="7" t="str">
        <f>INDEX(Detail!$E$1:$E$1001,MATCH(Main!B722,Detail!$G$1:$G$1001,0))</f>
        <v>Gang Rajawali Timur No. 87</v>
      </c>
      <c r="U722" s="7" t="str">
        <f>INDEX(Detail!$B$1:$B$1001,MATCH(B722,Detail!$G$1:$G$1001,0),1)</f>
        <v>AB+</v>
      </c>
      <c r="V722" s="7" t="str" cm="1">
        <f t="array" ref="V722">INDEX(Dosen!$B$3:$E$8,MATCH(Main!C722,Dosen!$A$3:$A$8,0),IF(AND(Main!A722&gt;=1,Main!A722&lt;=250),1,IF(AND(Main!A722&gt;=251,Main!A722&lt;=500),2,IF(AND(Main!A722&gt;=501,Main!A722&lt;=750),3,4))))</f>
        <v>Bu Made</v>
      </c>
      <c r="W722" s="7" t="str">
        <f>_xlfn.XLOOKUP(B722,Detail!$G$1:$G$1001,Detail!$B$1:$B$1001)</f>
        <v>AB+</v>
      </c>
    </row>
    <row r="723" spans="1:23" ht="15.75" x14ac:dyDescent="0.25">
      <c r="A723" s="7">
        <v>223</v>
      </c>
      <c r="B723" s="33" t="str">
        <f t="shared" si="42"/>
        <v>E0223</v>
      </c>
      <c r="C723" s="7" t="s">
        <v>1010</v>
      </c>
      <c r="D723" s="33" t="str">
        <f>VLOOKUP(B723,Detail!$G$1:$H$1001,2,FALSE)</f>
        <v>Kemba Napitupulu</v>
      </c>
      <c r="E723" s="7">
        <v>56</v>
      </c>
      <c r="F723" s="7">
        <v>49</v>
      </c>
      <c r="G723" s="57">
        <v>91</v>
      </c>
      <c r="H723" s="7">
        <v>73</v>
      </c>
      <c r="I723" s="7">
        <v>85</v>
      </c>
      <c r="J723" s="7">
        <v>64</v>
      </c>
      <c r="K723" s="7">
        <v>87</v>
      </c>
      <c r="L723" s="56" t="str">
        <f>IFERROR(VLOOKUP(B723,Absen!$A$1:$C$501,2,FALSE),"No")</f>
        <v>No</v>
      </c>
      <c r="M723" s="58">
        <f t="shared" si="40"/>
        <v>8.7000000000000011</v>
      </c>
      <c r="N723" s="57">
        <f t="shared" si="41"/>
        <v>72.575000000000003</v>
      </c>
      <c r="O723" s="7" t="str">
        <f>VLOOKUP(N723,Helper!$B$30:$C$35,2,TRUE)</f>
        <v>B</v>
      </c>
      <c r="P723" s="56">
        <f>INDEX(Detail!$A$1:$A$1001,MATCH(B723,Detail!$G$1:$G$1001,0))</f>
        <v>37536</v>
      </c>
      <c r="Q723" s="33" t="str">
        <f>INDEX(Detail!$F$1:$F$1001,MATCH(Main!B723,Detail!$G$1:$G$1001,0))</f>
        <v>Palopo</v>
      </c>
      <c r="R723" s="7">
        <f>INDEX(Detail!$C$1:$C$1001,MATCH(B723,Detail!$G$1:$G$1001,0),1)</f>
        <v>173</v>
      </c>
      <c r="S723" s="7">
        <f>INDEX(Detail!$D$1:$D$1001,MATCH(B723,Detail!$G$1:$G$1001,0),1)</f>
        <v>50</v>
      </c>
      <c r="T723" s="7" t="str">
        <f>INDEX(Detail!$E$1:$E$1001,MATCH(Main!B723,Detail!$G$1:$G$1001,0))</f>
        <v xml:space="preserve">Jl. Suryakencana No. 3
</v>
      </c>
      <c r="U723" s="7" t="str">
        <f>INDEX(Detail!$B$1:$B$1001,MATCH(B723,Detail!$G$1:$G$1001,0),1)</f>
        <v>AB+</v>
      </c>
      <c r="V723" s="7" t="str" cm="1">
        <f t="array" ref="V723">INDEX(Dosen!$B$3:$E$8,MATCH(Main!C723,Dosen!$A$3:$A$8,0),IF(AND(Main!A723&gt;=1,Main!A723&lt;=250),1,IF(AND(Main!A723&gt;=251,Main!A723&lt;=500),2,IF(AND(Main!A723&gt;=501,Main!A723&lt;=750),3,4))))</f>
        <v>Bu Made</v>
      </c>
      <c r="W723" s="7" t="str">
        <f>_xlfn.XLOOKUP(B723,Detail!$G$1:$G$1001,Detail!$B$1:$B$1001)</f>
        <v>AB+</v>
      </c>
    </row>
    <row r="724" spans="1:23" ht="15.75" x14ac:dyDescent="0.25">
      <c r="A724" s="7">
        <v>227</v>
      </c>
      <c r="B724" s="33" t="str">
        <f t="shared" si="42"/>
        <v>E0227</v>
      </c>
      <c r="C724" s="7" t="s">
        <v>1010</v>
      </c>
      <c r="D724" s="33" t="str">
        <f>VLOOKUP(B724,Detail!$G$1:$H$1001,2,FALSE)</f>
        <v>Calista Hutasoit</v>
      </c>
      <c r="E724" s="7">
        <v>91</v>
      </c>
      <c r="F724" s="7">
        <v>45</v>
      </c>
      <c r="G724" s="57">
        <v>51</v>
      </c>
      <c r="H724" s="7">
        <v>67</v>
      </c>
      <c r="I724" s="7">
        <v>82</v>
      </c>
      <c r="J724" s="7">
        <v>78</v>
      </c>
      <c r="K724" s="7">
        <v>95</v>
      </c>
      <c r="L724" s="56" t="str">
        <f>IFERROR(VLOOKUP(B724,Absen!$A$1:$C$501,2,FALSE),"No")</f>
        <v>No</v>
      </c>
      <c r="M724" s="58">
        <f t="shared" si="40"/>
        <v>9.5</v>
      </c>
      <c r="N724" s="57">
        <f t="shared" si="41"/>
        <v>70.925000000000011</v>
      </c>
      <c r="O724" s="7" t="str">
        <f>VLOOKUP(N724,Helper!$B$30:$C$35,2,TRUE)</f>
        <v>B</v>
      </c>
      <c r="P724" s="56">
        <f>INDEX(Detail!$A$1:$A$1001,MATCH(B724,Detail!$G$1:$G$1001,0))</f>
        <v>38017</v>
      </c>
      <c r="Q724" s="33" t="str">
        <f>INDEX(Detail!$F$1:$F$1001,MATCH(Main!B724,Detail!$G$1:$G$1001,0))</f>
        <v>Kota Administrasi Jakarta Timur</v>
      </c>
      <c r="R724" s="7">
        <f>INDEX(Detail!$C$1:$C$1001,MATCH(B724,Detail!$G$1:$G$1001,0),1)</f>
        <v>164</v>
      </c>
      <c r="S724" s="7">
        <f>INDEX(Detail!$D$1:$D$1001,MATCH(B724,Detail!$G$1:$G$1001,0),1)</f>
        <v>79</v>
      </c>
      <c r="T724" s="7" t="str">
        <f>INDEX(Detail!$E$1:$E$1001,MATCH(Main!B724,Detail!$G$1:$G$1001,0))</f>
        <v xml:space="preserve">Gang Medokan Ayu No. 6
</v>
      </c>
      <c r="U724" s="7" t="str">
        <f>INDEX(Detail!$B$1:$B$1001,MATCH(B724,Detail!$G$1:$G$1001,0),1)</f>
        <v>AB-</v>
      </c>
      <c r="V724" s="7" t="str" cm="1">
        <f t="array" ref="V724">INDEX(Dosen!$B$3:$E$8,MATCH(Main!C724,Dosen!$A$3:$A$8,0),IF(AND(Main!A724&gt;=1,Main!A724&lt;=250),1,IF(AND(Main!A724&gt;=251,Main!A724&lt;=500),2,IF(AND(Main!A724&gt;=501,Main!A724&lt;=750),3,4))))</f>
        <v>Bu Made</v>
      </c>
      <c r="W724" s="7" t="str">
        <f>_xlfn.XLOOKUP(B724,Detail!$G$1:$G$1001,Detail!$B$1:$B$1001)</f>
        <v>AB-</v>
      </c>
    </row>
    <row r="725" spans="1:23" ht="15.75" x14ac:dyDescent="0.25">
      <c r="A725" s="7">
        <v>242</v>
      </c>
      <c r="B725" s="33" t="str">
        <f t="shared" si="42"/>
        <v>E0242</v>
      </c>
      <c r="C725" s="7" t="s">
        <v>1010</v>
      </c>
      <c r="D725" s="33" t="str">
        <f>VLOOKUP(B725,Detail!$G$1:$H$1001,2,FALSE)</f>
        <v>Amelia Lailasari</v>
      </c>
      <c r="E725" s="7">
        <v>85</v>
      </c>
      <c r="F725" s="7">
        <v>57</v>
      </c>
      <c r="G725" s="57">
        <v>58</v>
      </c>
      <c r="H725" s="7">
        <v>52</v>
      </c>
      <c r="I725" s="7">
        <v>55</v>
      </c>
      <c r="J725" s="7">
        <v>89</v>
      </c>
      <c r="K725" s="7">
        <v>64</v>
      </c>
      <c r="L725" s="56" t="str">
        <f>IFERROR(VLOOKUP(B725,Absen!$A$1:$C$501,2,FALSE),"No")</f>
        <v>No</v>
      </c>
      <c r="M725" s="58">
        <f t="shared" si="40"/>
        <v>6.4</v>
      </c>
      <c r="N725" s="57">
        <f t="shared" si="41"/>
        <v>66.925000000000011</v>
      </c>
      <c r="O725" s="7" t="str">
        <f>VLOOKUP(N725,Helper!$B$30:$C$35,2,TRUE)</f>
        <v>C</v>
      </c>
      <c r="P725" s="56">
        <f>INDEX(Detail!$A$1:$A$1001,MATCH(B725,Detail!$G$1:$G$1001,0))</f>
        <v>37156</v>
      </c>
      <c r="Q725" s="33" t="str">
        <f>INDEX(Detail!$F$1:$F$1001,MATCH(Main!B725,Detail!$G$1:$G$1001,0))</f>
        <v>Mataram</v>
      </c>
      <c r="R725" s="7">
        <f>INDEX(Detail!$C$1:$C$1001,MATCH(B725,Detail!$G$1:$G$1001,0),1)</f>
        <v>180</v>
      </c>
      <c r="S725" s="7">
        <f>INDEX(Detail!$D$1:$D$1001,MATCH(B725,Detail!$G$1:$G$1001,0),1)</f>
        <v>79</v>
      </c>
      <c r="T725" s="7" t="str">
        <f>INDEX(Detail!$E$1:$E$1001,MATCH(Main!B725,Detail!$G$1:$G$1001,0))</f>
        <v xml:space="preserve">Jl. Ahmad Yani No. 4
</v>
      </c>
      <c r="U725" s="7" t="str">
        <f>INDEX(Detail!$B$1:$B$1001,MATCH(B725,Detail!$G$1:$G$1001,0),1)</f>
        <v>A+</v>
      </c>
      <c r="V725" s="7" t="str" cm="1">
        <f t="array" ref="V725">INDEX(Dosen!$B$3:$E$8,MATCH(Main!C725,Dosen!$A$3:$A$8,0),IF(AND(Main!A725&gt;=1,Main!A725&lt;=250),1,IF(AND(Main!A725&gt;=251,Main!A725&lt;=500),2,IF(AND(Main!A725&gt;=501,Main!A725&lt;=750),3,4))))</f>
        <v>Bu Made</v>
      </c>
      <c r="W725" s="7" t="str">
        <f>_xlfn.XLOOKUP(B725,Detail!$G$1:$G$1001,Detail!$B$1:$B$1001)</f>
        <v>A+</v>
      </c>
    </row>
    <row r="726" spans="1:23" ht="15.75" x14ac:dyDescent="0.25">
      <c r="A726" s="7">
        <v>248</v>
      </c>
      <c r="B726" s="33" t="str">
        <f t="shared" si="42"/>
        <v>E0248</v>
      </c>
      <c r="C726" s="7" t="s">
        <v>1010</v>
      </c>
      <c r="D726" s="33" t="str">
        <f>VLOOKUP(B726,Detail!$G$1:$H$1001,2,FALSE)</f>
        <v>Hesti Tamba</v>
      </c>
      <c r="E726" s="7">
        <v>70</v>
      </c>
      <c r="F726" s="7">
        <v>47</v>
      </c>
      <c r="G726" s="57">
        <v>48</v>
      </c>
      <c r="H726" s="7">
        <v>58</v>
      </c>
      <c r="I726" s="7">
        <v>59</v>
      </c>
      <c r="J726" s="7">
        <v>88</v>
      </c>
      <c r="K726" s="7">
        <v>73</v>
      </c>
      <c r="L726" s="56" t="str">
        <f>IFERROR(VLOOKUP(B726,Absen!$A$1:$C$501,2,FALSE),"No")</f>
        <v>No</v>
      </c>
      <c r="M726" s="58">
        <f t="shared" si="40"/>
        <v>7.3000000000000007</v>
      </c>
      <c r="N726" s="57">
        <f t="shared" si="41"/>
        <v>63.75</v>
      </c>
      <c r="O726" s="7" t="str">
        <f>VLOOKUP(N726,Helper!$B$30:$C$35,2,TRUE)</f>
        <v>C</v>
      </c>
      <c r="P726" s="56">
        <f>INDEX(Detail!$A$1:$A$1001,MATCH(B726,Detail!$G$1:$G$1001,0))</f>
        <v>37271</v>
      </c>
      <c r="Q726" s="33" t="str">
        <f>INDEX(Detail!$F$1:$F$1001,MATCH(Main!B726,Detail!$G$1:$G$1001,0))</f>
        <v>Solok</v>
      </c>
      <c r="R726" s="7">
        <f>INDEX(Detail!$C$1:$C$1001,MATCH(B726,Detail!$G$1:$G$1001,0),1)</f>
        <v>169</v>
      </c>
      <c r="S726" s="7">
        <f>INDEX(Detail!$D$1:$D$1001,MATCH(B726,Detail!$G$1:$G$1001,0),1)</f>
        <v>90</v>
      </c>
      <c r="T726" s="7" t="str">
        <f>INDEX(Detail!$E$1:$E$1001,MATCH(Main!B726,Detail!$G$1:$G$1001,0))</f>
        <v xml:space="preserve">Jalan Peta No. 8
</v>
      </c>
      <c r="U726" s="7" t="str">
        <f>INDEX(Detail!$B$1:$B$1001,MATCH(B726,Detail!$G$1:$G$1001,0),1)</f>
        <v>B+</v>
      </c>
      <c r="V726" s="7" t="str" cm="1">
        <f t="array" ref="V726">INDEX(Dosen!$B$3:$E$8,MATCH(Main!C726,Dosen!$A$3:$A$8,0),IF(AND(Main!A726&gt;=1,Main!A726&lt;=250),1,IF(AND(Main!A726&gt;=251,Main!A726&lt;=500),2,IF(AND(Main!A726&gt;=501,Main!A726&lt;=750),3,4))))</f>
        <v>Bu Made</v>
      </c>
      <c r="W726" s="7" t="str">
        <f>_xlfn.XLOOKUP(B726,Detail!$G$1:$G$1001,Detail!$B$1:$B$1001)</f>
        <v>B+</v>
      </c>
    </row>
    <row r="727" spans="1:23" ht="15.75" x14ac:dyDescent="0.25">
      <c r="A727" s="7">
        <v>254</v>
      </c>
      <c r="B727" s="33" t="str">
        <f t="shared" si="42"/>
        <v>E0254</v>
      </c>
      <c r="C727" s="7" t="s">
        <v>1010</v>
      </c>
      <c r="D727" s="33" t="str">
        <f>VLOOKUP(B727,Detail!$G$1:$H$1001,2,FALSE)</f>
        <v>Elma Maheswara</v>
      </c>
      <c r="E727" s="7">
        <v>77</v>
      </c>
      <c r="F727" s="7">
        <v>43</v>
      </c>
      <c r="G727" s="57">
        <v>90</v>
      </c>
      <c r="H727" s="7">
        <v>62</v>
      </c>
      <c r="I727" s="7">
        <v>60</v>
      </c>
      <c r="J727" s="7">
        <v>58</v>
      </c>
      <c r="K727" s="7">
        <v>62</v>
      </c>
      <c r="L727" s="56" t="str">
        <f>IFERROR(VLOOKUP(B727,Absen!$A$1:$C$501,2,FALSE),"No")</f>
        <v>No</v>
      </c>
      <c r="M727" s="58">
        <f t="shared" si="40"/>
        <v>6.2</v>
      </c>
      <c r="N727" s="57">
        <f t="shared" si="41"/>
        <v>66.05</v>
      </c>
      <c r="O727" s="7" t="str">
        <f>VLOOKUP(N727,Helper!$B$30:$C$35,2,TRUE)</f>
        <v>C</v>
      </c>
      <c r="P727" s="56">
        <f>INDEX(Detail!$A$1:$A$1001,MATCH(B727,Detail!$G$1:$G$1001,0))</f>
        <v>38141</v>
      </c>
      <c r="Q727" s="33" t="str">
        <f>INDEX(Detail!$F$1:$F$1001,MATCH(Main!B727,Detail!$G$1:$G$1001,0))</f>
        <v>Bogor</v>
      </c>
      <c r="R727" s="7">
        <f>INDEX(Detail!$C$1:$C$1001,MATCH(B727,Detail!$G$1:$G$1001,0),1)</f>
        <v>172</v>
      </c>
      <c r="S727" s="7">
        <f>INDEX(Detail!$D$1:$D$1001,MATCH(B727,Detail!$G$1:$G$1001,0),1)</f>
        <v>74</v>
      </c>
      <c r="T727" s="7" t="str">
        <f>INDEX(Detail!$E$1:$E$1001,MATCH(Main!B727,Detail!$G$1:$G$1001,0))</f>
        <v>Gang Soekarno Hatta No. 47</v>
      </c>
      <c r="U727" s="7" t="str">
        <f>INDEX(Detail!$B$1:$B$1001,MATCH(B727,Detail!$G$1:$G$1001,0),1)</f>
        <v>O-</v>
      </c>
      <c r="V727" s="7" t="str" cm="1">
        <f t="array" ref="V727">INDEX(Dosen!$B$3:$E$8,MATCH(Main!C727,Dosen!$A$3:$A$8,0),IF(AND(Main!A727&gt;=1,Main!A727&lt;=250),1,IF(AND(Main!A727&gt;=251,Main!A727&lt;=500),2,IF(AND(Main!A727&gt;=501,Main!A727&lt;=750),3,4))))</f>
        <v>Bu Dwi</v>
      </c>
      <c r="W727" s="7" t="str">
        <f>_xlfn.XLOOKUP(B727,Detail!$G$1:$G$1001,Detail!$B$1:$B$1001)</f>
        <v>O-</v>
      </c>
    </row>
    <row r="728" spans="1:23" ht="15.75" x14ac:dyDescent="0.25">
      <c r="A728" s="7">
        <v>257</v>
      </c>
      <c r="B728" s="33" t="str">
        <f t="shared" si="42"/>
        <v>E0257</v>
      </c>
      <c r="C728" s="7" t="s">
        <v>1010</v>
      </c>
      <c r="D728" s="33" t="str">
        <f>VLOOKUP(B728,Detail!$G$1:$H$1001,2,FALSE)</f>
        <v>Keisha Firgantoro</v>
      </c>
      <c r="E728" s="7">
        <v>72</v>
      </c>
      <c r="F728" s="7">
        <v>43</v>
      </c>
      <c r="G728" s="57">
        <v>82</v>
      </c>
      <c r="H728" s="7">
        <v>63</v>
      </c>
      <c r="I728" s="7">
        <v>56</v>
      </c>
      <c r="J728" s="7">
        <v>44</v>
      </c>
      <c r="K728" s="7">
        <v>76</v>
      </c>
      <c r="L728" s="56">
        <f>IFERROR(VLOOKUP(B728,Absen!$A$1:$C$501,2,FALSE),"No")</f>
        <v>44827</v>
      </c>
      <c r="M728" s="58">
        <f t="shared" si="40"/>
        <v>6.6000000000000005</v>
      </c>
      <c r="N728" s="57">
        <f t="shared" si="41"/>
        <v>61.050000000000004</v>
      </c>
      <c r="O728" s="7" t="str">
        <f>VLOOKUP(N728,Helper!$B$30:$C$35,2,TRUE)</f>
        <v>C</v>
      </c>
      <c r="P728" s="56">
        <f>INDEX(Detail!$A$1:$A$1001,MATCH(B728,Detail!$G$1:$G$1001,0))</f>
        <v>37316</v>
      </c>
      <c r="Q728" s="33" t="str">
        <f>INDEX(Detail!$F$1:$F$1001,MATCH(Main!B728,Detail!$G$1:$G$1001,0))</f>
        <v>Pekanbaru</v>
      </c>
      <c r="R728" s="7">
        <f>INDEX(Detail!$C$1:$C$1001,MATCH(B728,Detail!$G$1:$G$1001,0),1)</f>
        <v>170</v>
      </c>
      <c r="S728" s="7">
        <f>INDEX(Detail!$D$1:$D$1001,MATCH(B728,Detail!$G$1:$G$1001,0),1)</f>
        <v>54</v>
      </c>
      <c r="T728" s="7" t="str">
        <f>INDEX(Detail!$E$1:$E$1001,MATCH(Main!B728,Detail!$G$1:$G$1001,0))</f>
        <v xml:space="preserve">Jl. Dr. Djunjunan No. 3
</v>
      </c>
      <c r="U728" s="7" t="str">
        <f>INDEX(Detail!$B$1:$B$1001,MATCH(B728,Detail!$G$1:$G$1001,0),1)</f>
        <v>A-</v>
      </c>
      <c r="V728" s="7" t="str" cm="1">
        <f t="array" ref="V728">INDEX(Dosen!$B$3:$E$8,MATCH(Main!C728,Dosen!$A$3:$A$8,0),IF(AND(Main!A728&gt;=1,Main!A728&lt;=250),1,IF(AND(Main!A728&gt;=251,Main!A728&lt;=500),2,IF(AND(Main!A728&gt;=501,Main!A728&lt;=750),3,4))))</f>
        <v>Bu Dwi</v>
      </c>
      <c r="W728" s="7" t="str">
        <f>_xlfn.XLOOKUP(B728,Detail!$G$1:$G$1001,Detail!$B$1:$B$1001)</f>
        <v>A-</v>
      </c>
    </row>
    <row r="729" spans="1:23" ht="15.75" x14ac:dyDescent="0.25">
      <c r="A729" s="7">
        <v>264</v>
      </c>
      <c r="B729" s="33" t="str">
        <f t="shared" si="42"/>
        <v>E0264</v>
      </c>
      <c r="C729" s="7" t="s">
        <v>1010</v>
      </c>
      <c r="D729" s="33" t="str">
        <f>VLOOKUP(B729,Detail!$G$1:$H$1001,2,FALSE)</f>
        <v>Malik Mustofa</v>
      </c>
      <c r="E729" s="7">
        <v>88</v>
      </c>
      <c r="F729" s="7">
        <v>66</v>
      </c>
      <c r="G729" s="57">
        <v>78</v>
      </c>
      <c r="H729" s="7">
        <v>57</v>
      </c>
      <c r="I729" s="7">
        <v>86</v>
      </c>
      <c r="J729" s="7">
        <v>69</v>
      </c>
      <c r="K729" s="7">
        <v>65</v>
      </c>
      <c r="L729" s="56" t="str">
        <f>IFERROR(VLOOKUP(B729,Absen!$A$1:$C$501,2,FALSE),"No")</f>
        <v>No</v>
      </c>
      <c r="M729" s="58">
        <f t="shared" si="40"/>
        <v>6.5</v>
      </c>
      <c r="N729" s="57">
        <f t="shared" si="41"/>
        <v>73.025000000000006</v>
      </c>
      <c r="O729" s="7" t="str">
        <f>VLOOKUP(N729,Helper!$B$30:$C$35,2,TRUE)</f>
        <v>B</v>
      </c>
      <c r="P729" s="56">
        <f>INDEX(Detail!$A$1:$A$1001,MATCH(B729,Detail!$G$1:$G$1001,0))</f>
        <v>37605</v>
      </c>
      <c r="Q729" s="33" t="str">
        <f>INDEX(Detail!$F$1:$F$1001,MATCH(Main!B729,Detail!$G$1:$G$1001,0))</f>
        <v>Kupang</v>
      </c>
      <c r="R729" s="7">
        <f>INDEX(Detail!$C$1:$C$1001,MATCH(B729,Detail!$G$1:$G$1001,0),1)</f>
        <v>172</v>
      </c>
      <c r="S729" s="7">
        <f>INDEX(Detail!$D$1:$D$1001,MATCH(B729,Detail!$G$1:$G$1001,0),1)</f>
        <v>65</v>
      </c>
      <c r="T729" s="7" t="str">
        <f>INDEX(Detail!$E$1:$E$1001,MATCH(Main!B729,Detail!$G$1:$G$1001,0))</f>
        <v xml:space="preserve">Gang Dipenogoro No. 9
</v>
      </c>
      <c r="U729" s="7" t="str">
        <f>INDEX(Detail!$B$1:$B$1001,MATCH(B729,Detail!$G$1:$G$1001,0),1)</f>
        <v>O+</v>
      </c>
      <c r="V729" s="7" t="str" cm="1">
        <f t="array" ref="V729">INDEX(Dosen!$B$3:$E$8,MATCH(Main!C729,Dosen!$A$3:$A$8,0),IF(AND(Main!A729&gt;=1,Main!A729&lt;=250),1,IF(AND(Main!A729&gt;=251,Main!A729&lt;=500),2,IF(AND(Main!A729&gt;=501,Main!A729&lt;=750),3,4))))</f>
        <v>Bu Dwi</v>
      </c>
      <c r="W729" s="7" t="str">
        <f>_xlfn.XLOOKUP(B729,Detail!$G$1:$G$1001,Detail!$B$1:$B$1001)</f>
        <v>O+</v>
      </c>
    </row>
    <row r="730" spans="1:23" ht="15.75" x14ac:dyDescent="0.25">
      <c r="A730" s="7">
        <v>267</v>
      </c>
      <c r="B730" s="33" t="str">
        <f t="shared" si="42"/>
        <v>E0267</v>
      </c>
      <c r="C730" s="7" t="s">
        <v>1010</v>
      </c>
      <c r="D730" s="33" t="str">
        <f>VLOOKUP(B730,Detail!$G$1:$H$1001,2,FALSE)</f>
        <v>Harjo Yulianti</v>
      </c>
      <c r="E730" s="7">
        <v>72</v>
      </c>
      <c r="F730" s="7">
        <v>52</v>
      </c>
      <c r="G730" s="57">
        <v>43</v>
      </c>
      <c r="H730" s="7">
        <v>71</v>
      </c>
      <c r="I730" s="7">
        <v>67</v>
      </c>
      <c r="J730" s="7">
        <v>49</v>
      </c>
      <c r="K730" s="7">
        <v>68</v>
      </c>
      <c r="L730" s="56">
        <f>IFERROR(VLOOKUP(B730,Absen!$A$1:$C$501,2,FALSE),"No")</f>
        <v>44821</v>
      </c>
      <c r="M730" s="58">
        <f t="shared" si="40"/>
        <v>5.8000000000000007</v>
      </c>
      <c r="N730" s="57">
        <f t="shared" si="41"/>
        <v>56.95</v>
      </c>
      <c r="O730" s="7" t="str">
        <f>VLOOKUP(N730,Helper!$B$30:$C$35,2,TRUE)</f>
        <v>D</v>
      </c>
      <c r="P730" s="56">
        <f>INDEX(Detail!$A$1:$A$1001,MATCH(B730,Detail!$G$1:$G$1001,0))</f>
        <v>38044</v>
      </c>
      <c r="Q730" s="33" t="str">
        <f>INDEX(Detail!$F$1:$F$1001,MATCH(Main!B730,Detail!$G$1:$G$1001,0))</f>
        <v>Yogyakarta</v>
      </c>
      <c r="R730" s="7">
        <f>INDEX(Detail!$C$1:$C$1001,MATCH(B730,Detail!$G$1:$G$1001,0),1)</f>
        <v>179</v>
      </c>
      <c r="S730" s="7">
        <f>INDEX(Detail!$D$1:$D$1001,MATCH(B730,Detail!$G$1:$G$1001,0),1)</f>
        <v>83</v>
      </c>
      <c r="T730" s="7" t="str">
        <f>INDEX(Detail!$E$1:$E$1001,MATCH(Main!B730,Detail!$G$1:$G$1001,0))</f>
        <v>Gang Ciwastra No. 42</v>
      </c>
      <c r="U730" s="7" t="str">
        <f>INDEX(Detail!$B$1:$B$1001,MATCH(B730,Detail!$G$1:$G$1001,0),1)</f>
        <v>A-</v>
      </c>
      <c r="V730" s="7" t="str" cm="1">
        <f t="array" ref="V730">INDEX(Dosen!$B$3:$E$8,MATCH(Main!C730,Dosen!$A$3:$A$8,0),IF(AND(Main!A730&gt;=1,Main!A730&lt;=250),1,IF(AND(Main!A730&gt;=251,Main!A730&lt;=500),2,IF(AND(Main!A730&gt;=501,Main!A730&lt;=750),3,4))))</f>
        <v>Bu Dwi</v>
      </c>
      <c r="W730" s="7" t="str">
        <f>_xlfn.XLOOKUP(B730,Detail!$G$1:$G$1001,Detail!$B$1:$B$1001)</f>
        <v>A-</v>
      </c>
    </row>
    <row r="731" spans="1:23" ht="15.75" x14ac:dyDescent="0.25">
      <c r="A731" s="7">
        <v>285</v>
      </c>
      <c r="B731" s="33" t="str">
        <f t="shared" si="42"/>
        <v>E0285</v>
      </c>
      <c r="C731" s="7" t="s">
        <v>1010</v>
      </c>
      <c r="D731" s="33" t="str">
        <f>VLOOKUP(B731,Detail!$G$1:$H$1001,2,FALSE)</f>
        <v>Gaduh Gunawan</v>
      </c>
      <c r="E731" s="7">
        <v>95</v>
      </c>
      <c r="F731" s="7">
        <v>62</v>
      </c>
      <c r="G731" s="57">
        <v>38</v>
      </c>
      <c r="H731" s="7">
        <v>66</v>
      </c>
      <c r="I731" s="7">
        <v>67</v>
      </c>
      <c r="J731" s="7">
        <v>44</v>
      </c>
      <c r="K731" s="7">
        <v>64</v>
      </c>
      <c r="L731" s="56">
        <f>IFERROR(VLOOKUP(B731,Absen!$A$1:$C$501,2,FALSE),"No")</f>
        <v>44853</v>
      </c>
      <c r="M731" s="58">
        <f t="shared" si="40"/>
        <v>5.4</v>
      </c>
      <c r="N731" s="57">
        <f t="shared" si="41"/>
        <v>58.050000000000004</v>
      </c>
      <c r="O731" s="7" t="str">
        <f>VLOOKUP(N731,Helper!$B$30:$C$35,2,TRUE)</f>
        <v>D</v>
      </c>
      <c r="P731" s="56">
        <f>INDEX(Detail!$A$1:$A$1001,MATCH(B731,Detail!$G$1:$G$1001,0))</f>
        <v>38203</v>
      </c>
      <c r="Q731" s="33" t="str">
        <f>INDEX(Detail!$F$1:$F$1001,MATCH(Main!B731,Detail!$G$1:$G$1001,0))</f>
        <v>Tanjungbalai</v>
      </c>
      <c r="R731" s="7">
        <f>INDEX(Detail!$C$1:$C$1001,MATCH(B731,Detail!$G$1:$G$1001,0),1)</f>
        <v>172</v>
      </c>
      <c r="S731" s="7">
        <f>INDEX(Detail!$D$1:$D$1001,MATCH(B731,Detail!$G$1:$G$1001,0),1)</f>
        <v>64</v>
      </c>
      <c r="T731" s="7" t="str">
        <f>INDEX(Detail!$E$1:$E$1001,MATCH(Main!B731,Detail!$G$1:$G$1001,0))</f>
        <v>Jl. Yos Sudarso No. 26</v>
      </c>
      <c r="U731" s="7" t="str">
        <f>INDEX(Detail!$B$1:$B$1001,MATCH(B731,Detail!$G$1:$G$1001,0),1)</f>
        <v>AB+</v>
      </c>
      <c r="V731" s="7" t="str" cm="1">
        <f t="array" ref="V731">INDEX(Dosen!$B$3:$E$8,MATCH(Main!C731,Dosen!$A$3:$A$8,0),IF(AND(Main!A731&gt;=1,Main!A731&lt;=250),1,IF(AND(Main!A731&gt;=251,Main!A731&lt;=500),2,IF(AND(Main!A731&gt;=501,Main!A731&lt;=750),3,4))))</f>
        <v>Bu Dwi</v>
      </c>
      <c r="W731" s="7" t="str">
        <f>_xlfn.XLOOKUP(B731,Detail!$G$1:$G$1001,Detail!$B$1:$B$1001)</f>
        <v>AB+</v>
      </c>
    </row>
    <row r="732" spans="1:23" ht="15.75" x14ac:dyDescent="0.25">
      <c r="A732" s="7">
        <v>291</v>
      </c>
      <c r="B732" s="33" t="str">
        <f t="shared" si="42"/>
        <v>E0291</v>
      </c>
      <c r="C732" s="7" t="s">
        <v>1010</v>
      </c>
      <c r="D732" s="33" t="str">
        <f>VLOOKUP(B732,Detail!$G$1:$H$1001,2,FALSE)</f>
        <v>Tina Hidayanto</v>
      </c>
      <c r="E732" s="7">
        <v>72</v>
      </c>
      <c r="F732" s="7">
        <v>66</v>
      </c>
      <c r="G732" s="57">
        <v>89</v>
      </c>
      <c r="H732" s="7">
        <v>52</v>
      </c>
      <c r="I732" s="7">
        <v>95</v>
      </c>
      <c r="J732" s="7">
        <v>95</v>
      </c>
      <c r="K732" s="7">
        <v>64</v>
      </c>
      <c r="L732" s="56" t="str">
        <f>IFERROR(VLOOKUP(B732,Absen!$A$1:$C$501,2,FALSE),"No")</f>
        <v>No</v>
      </c>
      <c r="M732" s="58">
        <f t="shared" si="40"/>
        <v>6.4</v>
      </c>
      <c r="N732" s="57">
        <f t="shared" si="41"/>
        <v>78.825000000000003</v>
      </c>
      <c r="O732" s="7" t="str">
        <f>VLOOKUP(N732,Helper!$B$30:$C$35,2,TRUE)</f>
        <v>B</v>
      </c>
      <c r="P732" s="56">
        <f>INDEX(Detail!$A$1:$A$1001,MATCH(B732,Detail!$G$1:$G$1001,0))</f>
        <v>37447</v>
      </c>
      <c r="Q732" s="33" t="str">
        <f>INDEX(Detail!$F$1:$F$1001,MATCH(Main!B732,Detail!$G$1:$G$1001,0))</f>
        <v>Tarakan</v>
      </c>
      <c r="R732" s="7">
        <f>INDEX(Detail!$C$1:$C$1001,MATCH(B732,Detail!$G$1:$G$1001,0),1)</f>
        <v>180</v>
      </c>
      <c r="S732" s="7">
        <f>INDEX(Detail!$D$1:$D$1001,MATCH(B732,Detail!$G$1:$G$1001,0),1)</f>
        <v>76</v>
      </c>
      <c r="T732" s="7" t="str">
        <f>INDEX(Detail!$E$1:$E$1001,MATCH(Main!B732,Detail!$G$1:$G$1001,0))</f>
        <v xml:space="preserve">Jalan K.H. Wahid Hasyim No. 6
</v>
      </c>
      <c r="U732" s="7" t="str">
        <f>INDEX(Detail!$B$1:$B$1001,MATCH(B732,Detail!$G$1:$G$1001,0),1)</f>
        <v>AB-</v>
      </c>
      <c r="V732" s="7" t="str" cm="1">
        <f t="array" ref="V732">INDEX(Dosen!$B$3:$E$8,MATCH(Main!C732,Dosen!$A$3:$A$8,0),IF(AND(Main!A732&gt;=1,Main!A732&lt;=250),1,IF(AND(Main!A732&gt;=251,Main!A732&lt;=500),2,IF(AND(Main!A732&gt;=501,Main!A732&lt;=750),3,4))))</f>
        <v>Bu Dwi</v>
      </c>
      <c r="W732" s="7" t="str">
        <f>_xlfn.XLOOKUP(B732,Detail!$G$1:$G$1001,Detail!$B$1:$B$1001)</f>
        <v>AB-</v>
      </c>
    </row>
    <row r="733" spans="1:23" ht="15.75" x14ac:dyDescent="0.25">
      <c r="A733" s="7">
        <v>294</v>
      </c>
      <c r="B733" s="33" t="str">
        <f t="shared" si="42"/>
        <v>E0294</v>
      </c>
      <c r="C733" s="7" t="s">
        <v>1010</v>
      </c>
      <c r="D733" s="33" t="str">
        <f>VLOOKUP(B733,Detail!$G$1:$H$1001,2,FALSE)</f>
        <v>Laras Nainggolan</v>
      </c>
      <c r="E733" s="7">
        <v>82</v>
      </c>
      <c r="F733" s="7">
        <v>70</v>
      </c>
      <c r="G733" s="57">
        <v>34</v>
      </c>
      <c r="H733" s="7">
        <v>71</v>
      </c>
      <c r="I733" s="7">
        <v>81</v>
      </c>
      <c r="J733" s="7">
        <v>67</v>
      </c>
      <c r="K733" s="7">
        <v>74</v>
      </c>
      <c r="L733" s="56" t="str">
        <f>IFERROR(VLOOKUP(B733,Absen!$A$1:$C$501,2,FALSE),"No")</f>
        <v>No</v>
      </c>
      <c r="M733" s="58">
        <f t="shared" si="40"/>
        <v>7.4</v>
      </c>
      <c r="N733" s="57">
        <f t="shared" si="41"/>
        <v>65.599999999999994</v>
      </c>
      <c r="O733" s="7" t="str">
        <f>VLOOKUP(N733,Helper!$B$30:$C$35,2,TRUE)</f>
        <v>C</v>
      </c>
      <c r="P733" s="56">
        <f>INDEX(Detail!$A$1:$A$1001,MATCH(B733,Detail!$G$1:$G$1001,0))</f>
        <v>37273</v>
      </c>
      <c r="Q733" s="33" t="str">
        <f>INDEX(Detail!$F$1:$F$1001,MATCH(Main!B733,Detail!$G$1:$G$1001,0))</f>
        <v>Sawahlunto</v>
      </c>
      <c r="R733" s="7">
        <f>INDEX(Detail!$C$1:$C$1001,MATCH(B733,Detail!$G$1:$G$1001,0),1)</f>
        <v>156</v>
      </c>
      <c r="S733" s="7">
        <f>INDEX(Detail!$D$1:$D$1001,MATCH(B733,Detail!$G$1:$G$1001,0),1)</f>
        <v>62</v>
      </c>
      <c r="T733" s="7" t="str">
        <f>INDEX(Detail!$E$1:$E$1001,MATCH(Main!B733,Detail!$G$1:$G$1001,0))</f>
        <v xml:space="preserve">Jalan Raya Ujungberung No. 3
</v>
      </c>
      <c r="U733" s="7" t="str">
        <f>INDEX(Detail!$B$1:$B$1001,MATCH(B733,Detail!$G$1:$G$1001,0),1)</f>
        <v>O-</v>
      </c>
      <c r="V733" s="7" t="str" cm="1">
        <f t="array" ref="V733">INDEX(Dosen!$B$3:$E$8,MATCH(Main!C733,Dosen!$A$3:$A$8,0),IF(AND(Main!A733&gt;=1,Main!A733&lt;=250),1,IF(AND(Main!A733&gt;=251,Main!A733&lt;=500),2,IF(AND(Main!A733&gt;=501,Main!A733&lt;=750),3,4))))</f>
        <v>Bu Dwi</v>
      </c>
      <c r="W733" s="7" t="str">
        <f>_xlfn.XLOOKUP(B733,Detail!$G$1:$G$1001,Detail!$B$1:$B$1001)</f>
        <v>O-</v>
      </c>
    </row>
    <row r="734" spans="1:23" ht="15.75" x14ac:dyDescent="0.25">
      <c r="A734" s="7">
        <v>305</v>
      </c>
      <c r="B734" s="33" t="str">
        <f t="shared" si="42"/>
        <v>E0305</v>
      </c>
      <c r="C734" s="7" t="s">
        <v>1010</v>
      </c>
      <c r="D734" s="33" t="str">
        <f>VLOOKUP(B734,Detail!$G$1:$H$1001,2,FALSE)</f>
        <v>Jaiman Megantara</v>
      </c>
      <c r="E734" s="7">
        <v>80</v>
      </c>
      <c r="F734" s="7">
        <v>48</v>
      </c>
      <c r="G734" s="57">
        <v>77</v>
      </c>
      <c r="H734" s="7">
        <v>56</v>
      </c>
      <c r="I734" s="7">
        <v>78</v>
      </c>
      <c r="J734" s="7">
        <v>40</v>
      </c>
      <c r="K734" s="7">
        <v>92</v>
      </c>
      <c r="L734" s="56" t="str">
        <f>IFERROR(VLOOKUP(B734,Absen!$A$1:$C$501,2,FALSE),"No")</f>
        <v>No</v>
      </c>
      <c r="M734" s="58">
        <f t="shared" si="40"/>
        <v>9.2000000000000011</v>
      </c>
      <c r="N734" s="57">
        <f t="shared" si="41"/>
        <v>65.349999999999994</v>
      </c>
      <c r="O734" s="7" t="str">
        <f>VLOOKUP(N734,Helper!$B$30:$C$35,2,TRUE)</f>
        <v>C</v>
      </c>
      <c r="P734" s="56">
        <f>INDEX(Detail!$A$1:$A$1001,MATCH(B734,Detail!$G$1:$G$1001,0))</f>
        <v>38314</v>
      </c>
      <c r="Q734" s="33" t="str">
        <f>INDEX(Detail!$F$1:$F$1001,MATCH(Main!B734,Detail!$G$1:$G$1001,0))</f>
        <v>Padang</v>
      </c>
      <c r="R734" s="7">
        <f>INDEX(Detail!$C$1:$C$1001,MATCH(B734,Detail!$G$1:$G$1001,0),1)</f>
        <v>167</v>
      </c>
      <c r="S734" s="7">
        <f>INDEX(Detail!$D$1:$D$1001,MATCH(B734,Detail!$G$1:$G$1001,0),1)</f>
        <v>76</v>
      </c>
      <c r="T734" s="7" t="str">
        <f>INDEX(Detail!$E$1:$E$1001,MATCH(Main!B734,Detail!$G$1:$G$1001,0))</f>
        <v>Gang Jayawijaya No. 49</v>
      </c>
      <c r="U734" s="7" t="str">
        <f>INDEX(Detail!$B$1:$B$1001,MATCH(B734,Detail!$G$1:$G$1001,0),1)</f>
        <v>A-</v>
      </c>
      <c r="V734" s="7" t="str" cm="1">
        <f t="array" ref="V734">INDEX(Dosen!$B$3:$E$8,MATCH(Main!C734,Dosen!$A$3:$A$8,0),IF(AND(Main!A734&gt;=1,Main!A734&lt;=250),1,IF(AND(Main!A734&gt;=251,Main!A734&lt;=500),2,IF(AND(Main!A734&gt;=501,Main!A734&lt;=750),3,4))))</f>
        <v>Bu Dwi</v>
      </c>
      <c r="W734" s="7" t="str">
        <f>_xlfn.XLOOKUP(B734,Detail!$G$1:$G$1001,Detail!$B$1:$B$1001)</f>
        <v>A-</v>
      </c>
    </row>
    <row r="735" spans="1:23" ht="15.75" x14ac:dyDescent="0.25">
      <c r="A735" s="7">
        <v>308</v>
      </c>
      <c r="B735" s="33" t="str">
        <f t="shared" si="42"/>
        <v>E0308</v>
      </c>
      <c r="C735" s="7" t="s">
        <v>1010</v>
      </c>
      <c r="D735" s="33" t="str">
        <f>VLOOKUP(B735,Detail!$G$1:$H$1001,2,FALSE)</f>
        <v>Dalimin Situmorang</v>
      </c>
      <c r="E735" s="7">
        <v>86</v>
      </c>
      <c r="F735" s="7">
        <v>67</v>
      </c>
      <c r="G735" s="57">
        <v>51</v>
      </c>
      <c r="H735" s="7">
        <v>63</v>
      </c>
      <c r="I735" s="7">
        <v>94</v>
      </c>
      <c r="J735" s="7">
        <v>40</v>
      </c>
      <c r="K735" s="7">
        <v>60</v>
      </c>
      <c r="L735" s="56">
        <f>IFERROR(VLOOKUP(B735,Absen!$A$1:$C$501,2,FALSE),"No")</f>
        <v>44881</v>
      </c>
      <c r="M735" s="58">
        <f t="shared" si="40"/>
        <v>5</v>
      </c>
      <c r="N735" s="57">
        <f t="shared" si="41"/>
        <v>61.95</v>
      </c>
      <c r="O735" s="7" t="str">
        <f>VLOOKUP(N735,Helper!$B$30:$C$35,2,TRUE)</f>
        <v>C</v>
      </c>
      <c r="P735" s="56">
        <f>INDEX(Detail!$A$1:$A$1001,MATCH(B735,Detail!$G$1:$G$1001,0))</f>
        <v>37860</v>
      </c>
      <c r="Q735" s="33" t="str">
        <f>INDEX(Detail!$F$1:$F$1001,MATCH(Main!B735,Detail!$G$1:$G$1001,0))</f>
        <v>Yogyakarta</v>
      </c>
      <c r="R735" s="7">
        <f>INDEX(Detail!$C$1:$C$1001,MATCH(B735,Detail!$G$1:$G$1001,0),1)</f>
        <v>168</v>
      </c>
      <c r="S735" s="7">
        <f>INDEX(Detail!$D$1:$D$1001,MATCH(B735,Detail!$G$1:$G$1001,0),1)</f>
        <v>67</v>
      </c>
      <c r="T735" s="7" t="str">
        <f>INDEX(Detail!$E$1:$E$1001,MATCH(Main!B735,Detail!$G$1:$G$1001,0))</f>
        <v xml:space="preserve">Gang Tubagus Ismail No. 4
</v>
      </c>
      <c r="U735" s="7" t="str">
        <f>INDEX(Detail!$B$1:$B$1001,MATCH(B735,Detail!$G$1:$G$1001,0),1)</f>
        <v>A-</v>
      </c>
      <c r="V735" s="7" t="str" cm="1">
        <f t="array" ref="V735">INDEX(Dosen!$B$3:$E$8,MATCH(Main!C735,Dosen!$A$3:$A$8,0),IF(AND(Main!A735&gt;=1,Main!A735&lt;=250),1,IF(AND(Main!A735&gt;=251,Main!A735&lt;=500),2,IF(AND(Main!A735&gt;=501,Main!A735&lt;=750),3,4))))</f>
        <v>Bu Dwi</v>
      </c>
      <c r="W735" s="7" t="str">
        <f>_xlfn.XLOOKUP(B735,Detail!$G$1:$G$1001,Detail!$B$1:$B$1001)</f>
        <v>A-</v>
      </c>
    </row>
    <row r="736" spans="1:23" ht="15.75" x14ac:dyDescent="0.25">
      <c r="A736" s="7">
        <v>310</v>
      </c>
      <c r="B736" s="33" t="str">
        <f t="shared" si="42"/>
        <v>E0310</v>
      </c>
      <c r="C736" s="7" t="s">
        <v>1010</v>
      </c>
      <c r="D736" s="33" t="str">
        <f>VLOOKUP(B736,Detail!$G$1:$H$1001,2,FALSE)</f>
        <v>Shania Maheswara</v>
      </c>
      <c r="E736" s="7">
        <v>83</v>
      </c>
      <c r="F736" s="7">
        <v>58</v>
      </c>
      <c r="G736" s="57">
        <v>67</v>
      </c>
      <c r="H736" s="7">
        <v>58</v>
      </c>
      <c r="I736" s="7">
        <v>81</v>
      </c>
      <c r="J736" s="7">
        <v>81</v>
      </c>
      <c r="K736" s="7">
        <v>97</v>
      </c>
      <c r="L736" s="56">
        <f>IFERROR(VLOOKUP(B736,Absen!$A$1:$C$501,2,FALSE),"No")</f>
        <v>44814</v>
      </c>
      <c r="M736" s="58">
        <f t="shared" si="40"/>
        <v>8.7000000000000011</v>
      </c>
      <c r="N736" s="57">
        <f t="shared" si="41"/>
        <v>73.3</v>
      </c>
      <c r="O736" s="7" t="str">
        <f>VLOOKUP(N736,Helper!$B$30:$C$35,2,TRUE)</f>
        <v>B</v>
      </c>
      <c r="P736" s="56">
        <f>INDEX(Detail!$A$1:$A$1001,MATCH(B736,Detail!$G$1:$G$1001,0))</f>
        <v>37464</v>
      </c>
      <c r="Q736" s="33" t="str">
        <f>INDEX(Detail!$F$1:$F$1001,MATCH(Main!B736,Detail!$G$1:$G$1001,0))</f>
        <v>Bima</v>
      </c>
      <c r="R736" s="7">
        <f>INDEX(Detail!$C$1:$C$1001,MATCH(B736,Detail!$G$1:$G$1001,0),1)</f>
        <v>155</v>
      </c>
      <c r="S736" s="7">
        <f>INDEX(Detail!$D$1:$D$1001,MATCH(B736,Detail!$G$1:$G$1001,0),1)</f>
        <v>89</v>
      </c>
      <c r="T736" s="7" t="str">
        <f>INDEX(Detail!$E$1:$E$1001,MATCH(Main!B736,Detail!$G$1:$G$1001,0))</f>
        <v xml:space="preserve">Jl. HOS. Cokroaminoto No. 4
</v>
      </c>
      <c r="U736" s="7" t="str">
        <f>INDEX(Detail!$B$1:$B$1001,MATCH(B736,Detail!$G$1:$G$1001,0),1)</f>
        <v>O+</v>
      </c>
      <c r="V736" s="7" t="str" cm="1">
        <f t="array" ref="V736">INDEX(Dosen!$B$3:$E$8,MATCH(Main!C736,Dosen!$A$3:$A$8,0),IF(AND(Main!A736&gt;=1,Main!A736&lt;=250),1,IF(AND(Main!A736&gt;=251,Main!A736&lt;=500),2,IF(AND(Main!A736&gt;=501,Main!A736&lt;=750),3,4))))</f>
        <v>Bu Dwi</v>
      </c>
      <c r="W736" s="7" t="str">
        <f>_xlfn.XLOOKUP(B736,Detail!$G$1:$G$1001,Detail!$B$1:$B$1001)</f>
        <v>O+</v>
      </c>
    </row>
    <row r="737" spans="1:23" ht="15.75" x14ac:dyDescent="0.25">
      <c r="A737" s="7">
        <v>314</v>
      </c>
      <c r="B737" s="33" t="str">
        <f t="shared" si="42"/>
        <v>E0314</v>
      </c>
      <c r="C737" s="7" t="s">
        <v>1010</v>
      </c>
      <c r="D737" s="33" t="str">
        <f>VLOOKUP(B737,Detail!$G$1:$H$1001,2,FALSE)</f>
        <v>Danu Maulana</v>
      </c>
      <c r="E737" s="7">
        <v>52</v>
      </c>
      <c r="F737" s="7">
        <v>41</v>
      </c>
      <c r="G737" s="57">
        <v>51</v>
      </c>
      <c r="H737" s="7">
        <v>53</v>
      </c>
      <c r="I737" s="7">
        <v>63</v>
      </c>
      <c r="J737" s="7">
        <v>61</v>
      </c>
      <c r="K737" s="7">
        <v>91</v>
      </c>
      <c r="L737" s="56">
        <f>IFERROR(VLOOKUP(B737,Absen!$A$1:$C$501,2,FALSE),"No")</f>
        <v>44791</v>
      </c>
      <c r="M737" s="58">
        <f t="shared" si="40"/>
        <v>8.1</v>
      </c>
      <c r="N737" s="57">
        <f t="shared" si="41"/>
        <v>56.625000000000007</v>
      </c>
      <c r="O737" s="7" t="str">
        <f>VLOOKUP(N737,Helper!$B$30:$C$35,2,TRUE)</f>
        <v>D</v>
      </c>
      <c r="P737" s="56">
        <f>INDEX(Detail!$A$1:$A$1001,MATCH(B737,Detail!$G$1:$G$1001,0))</f>
        <v>38158</v>
      </c>
      <c r="Q737" s="33" t="str">
        <f>INDEX(Detail!$F$1:$F$1001,MATCH(Main!B737,Detail!$G$1:$G$1001,0))</f>
        <v>Makassar</v>
      </c>
      <c r="R737" s="7">
        <f>INDEX(Detail!$C$1:$C$1001,MATCH(B737,Detail!$G$1:$G$1001,0),1)</f>
        <v>155</v>
      </c>
      <c r="S737" s="7">
        <f>INDEX(Detail!$D$1:$D$1001,MATCH(B737,Detail!$G$1:$G$1001,0),1)</f>
        <v>61</v>
      </c>
      <c r="T737" s="7" t="str">
        <f>INDEX(Detail!$E$1:$E$1001,MATCH(Main!B737,Detail!$G$1:$G$1001,0))</f>
        <v xml:space="preserve">Jl. Indragiri No. 8
</v>
      </c>
      <c r="U737" s="7" t="str">
        <f>INDEX(Detail!$B$1:$B$1001,MATCH(B737,Detail!$G$1:$G$1001,0),1)</f>
        <v>O+</v>
      </c>
      <c r="V737" s="7" t="str" cm="1">
        <f t="array" ref="V737">INDEX(Dosen!$B$3:$E$8,MATCH(Main!C737,Dosen!$A$3:$A$8,0),IF(AND(Main!A737&gt;=1,Main!A737&lt;=250),1,IF(AND(Main!A737&gt;=251,Main!A737&lt;=500),2,IF(AND(Main!A737&gt;=501,Main!A737&lt;=750),3,4))))</f>
        <v>Bu Dwi</v>
      </c>
      <c r="W737" s="7" t="str">
        <f>_xlfn.XLOOKUP(B737,Detail!$G$1:$G$1001,Detail!$B$1:$B$1001)</f>
        <v>O+</v>
      </c>
    </row>
    <row r="738" spans="1:23" ht="15.75" x14ac:dyDescent="0.25">
      <c r="A738" s="7">
        <v>316</v>
      </c>
      <c r="B738" s="33" t="str">
        <f t="shared" si="42"/>
        <v>E0316</v>
      </c>
      <c r="C738" s="7" t="s">
        <v>1010</v>
      </c>
      <c r="D738" s="33" t="str">
        <f>VLOOKUP(B738,Detail!$G$1:$H$1001,2,FALSE)</f>
        <v>Ridwan Wijayanti</v>
      </c>
      <c r="E738" s="7">
        <v>78</v>
      </c>
      <c r="F738" s="7">
        <v>49</v>
      </c>
      <c r="G738" s="57">
        <v>83</v>
      </c>
      <c r="H738" s="7">
        <v>67</v>
      </c>
      <c r="I738" s="7">
        <v>71</v>
      </c>
      <c r="J738" s="7">
        <v>49</v>
      </c>
      <c r="K738" s="7">
        <v>72</v>
      </c>
      <c r="L738" s="56">
        <f>IFERROR(VLOOKUP(B738,Absen!$A$1:$C$501,2,FALSE),"No")</f>
        <v>44831</v>
      </c>
      <c r="M738" s="58">
        <f t="shared" si="40"/>
        <v>6.2</v>
      </c>
      <c r="N738" s="57">
        <f t="shared" si="41"/>
        <v>65.725000000000009</v>
      </c>
      <c r="O738" s="7" t="str">
        <f>VLOOKUP(N738,Helper!$B$30:$C$35,2,TRUE)</f>
        <v>C</v>
      </c>
      <c r="P738" s="56">
        <f>INDEX(Detail!$A$1:$A$1001,MATCH(B738,Detail!$G$1:$G$1001,0))</f>
        <v>37685</v>
      </c>
      <c r="Q738" s="33" t="str">
        <f>INDEX(Detail!$F$1:$F$1001,MATCH(Main!B738,Detail!$G$1:$G$1001,0))</f>
        <v>Tebingtinggi</v>
      </c>
      <c r="R738" s="7">
        <f>INDEX(Detail!$C$1:$C$1001,MATCH(B738,Detail!$G$1:$G$1001,0),1)</f>
        <v>164</v>
      </c>
      <c r="S738" s="7">
        <f>INDEX(Detail!$D$1:$D$1001,MATCH(B738,Detail!$G$1:$G$1001,0),1)</f>
        <v>54</v>
      </c>
      <c r="T738" s="7" t="str">
        <f>INDEX(Detail!$E$1:$E$1001,MATCH(Main!B738,Detail!$G$1:$G$1001,0))</f>
        <v xml:space="preserve">Gang R.E Martadinata No. 8
</v>
      </c>
      <c r="U738" s="7" t="str">
        <f>INDEX(Detail!$B$1:$B$1001,MATCH(B738,Detail!$G$1:$G$1001,0),1)</f>
        <v>O+</v>
      </c>
      <c r="V738" s="7" t="str" cm="1">
        <f t="array" ref="V738">INDEX(Dosen!$B$3:$E$8,MATCH(Main!C738,Dosen!$A$3:$A$8,0),IF(AND(Main!A738&gt;=1,Main!A738&lt;=250),1,IF(AND(Main!A738&gt;=251,Main!A738&lt;=500),2,IF(AND(Main!A738&gt;=501,Main!A738&lt;=750),3,4))))</f>
        <v>Bu Dwi</v>
      </c>
      <c r="W738" s="7" t="str">
        <f>_xlfn.XLOOKUP(B738,Detail!$G$1:$G$1001,Detail!$B$1:$B$1001)</f>
        <v>O+</v>
      </c>
    </row>
    <row r="739" spans="1:23" ht="15.75" x14ac:dyDescent="0.25">
      <c r="A739" s="7">
        <v>322</v>
      </c>
      <c r="B739" s="33" t="str">
        <f t="shared" si="42"/>
        <v>E0322</v>
      </c>
      <c r="C739" s="7" t="s">
        <v>1010</v>
      </c>
      <c r="D739" s="33" t="str">
        <f>VLOOKUP(B739,Detail!$G$1:$H$1001,2,FALSE)</f>
        <v>Candrakanta Wijayanti</v>
      </c>
      <c r="E739" s="7">
        <v>84</v>
      </c>
      <c r="F739" s="7">
        <v>73</v>
      </c>
      <c r="G739" s="57">
        <v>73</v>
      </c>
      <c r="H739" s="7">
        <v>75</v>
      </c>
      <c r="I739" s="7">
        <v>62</v>
      </c>
      <c r="J739" s="7">
        <v>64</v>
      </c>
      <c r="K739" s="7">
        <v>74</v>
      </c>
      <c r="L739" s="56" t="str">
        <f>IFERROR(VLOOKUP(B739,Absen!$A$1:$C$501,2,FALSE),"No")</f>
        <v>No</v>
      </c>
      <c r="M739" s="58">
        <f t="shared" si="40"/>
        <v>7.4</v>
      </c>
      <c r="N739" s="57">
        <f t="shared" si="41"/>
        <v>71.550000000000011</v>
      </c>
      <c r="O739" s="7" t="str">
        <f>VLOOKUP(N739,Helper!$B$30:$C$35,2,TRUE)</f>
        <v>B</v>
      </c>
      <c r="P739" s="56">
        <f>INDEX(Detail!$A$1:$A$1001,MATCH(B739,Detail!$G$1:$G$1001,0))</f>
        <v>38073</v>
      </c>
      <c r="Q739" s="33" t="str">
        <f>INDEX(Detail!$F$1:$F$1001,MATCH(Main!B739,Detail!$G$1:$G$1001,0))</f>
        <v>Denpasar</v>
      </c>
      <c r="R739" s="7">
        <f>INDEX(Detail!$C$1:$C$1001,MATCH(B739,Detail!$G$1:$G$1001,0),1)</f>
        <v>152</v>
      </c>
      <c r="S739" s="7">
        <f>INDEX(Detail!$D$1:$D$1001,MATCH(B739,Detail!$G$1:$G$1001,0),1)</f>
        <v>95</v>
      </c>
      <c r="T739" s="7" t="str">
        <f>INDEX(Detail!$E$1:$E$1001,MATCH(Main!B739,Detail!$G$1:$G$1001,0))</f>
        <v xml:space="preserve">Jl. Pasirkoja No. 3
</v>
      </c>
      <c r="U739" s="7" t="str">
        <f>INDEX(Detail!$B$1:$B$1001,MATCH(B739,Detail!$G$1:$G$1001,0),1)</f>
        <v>A-</v>
      </c>
      <c r="V739" s="7" t="str" cm="1">
        <f t="array" ref="V739">INDEX(Dosen!$B$3:$E$8,MATCH(Main!C739,Dosen!$A$3:$A$8,0),IF(AND(Main!A739&gt;=1,Main!A739&lt;=250),1,IF(AND(Main!A739&gt;=251,Main!A739&lt;=500),2,IF(AND(Main!A739&gt;=501,Main!A739&lt;=750),3,4))))</f>
        <v>Bu Dwi</v>
      </c>
      <c r="W739" s="7" t="str">
        <f>_xlfn.XLOOKUP(B739,Detail!$G$1:$G$1001,Detail!$B$1:$B$1001)</f>
        <v>A-</v>
      </c>
    </row>
    <row r="740" spans="1:23" ht="15.75" x14ac:dyDescent="0.25">
      <c r="A740" s="7">
        <v>327</v>
      </c>
      <c r="B740" s="33" t="str">
        <f t="shared" si="42"/>
        <v>E0327</v>
      </c>
      <c r="C740" s="7" t="s">
        <v>1010</v>
      </c>
      <c r="D740" s="33" t="str">
        <f>VLOOKUP(B740,Detail!$G$1:$H$1001,2,FALSE)</f>
        <v>Aditya Nugroho</v>
      </c>
      <c r="E740" s="7">
        <v>67</v>
      </c>
      <c r="F740" s="7">
        <v>41</v>
      </c>
      <c r="G740" s="57">
        <v>48</v>
      </c>
      <c r="H740" s="7">
        <v>75</v>
      </c>
      <c r="I740" s="7">
        <v>76</v>
      </c>
      <c r="J740" s="7">
        <v>60</v>
      </c>
      <c r="K740" s="7">
        <v>89</v>
      </c>
      <c r="L740" s="56">
        <f>IFERROR(VLOOKUP(B740,Absen!$A$1:$C$501,2,FALSE),"No")</f>
        <v>44872</v>
      </c>
      <c r="M740" s="58">
        <f t="shared" si="40"/>
        <v>7.9</v>
      </c>
      <c r="N740" s="57">
        <f t="shared" si="41"/>
        <v>61.875</v>
      </c>
      <c r="O740" s="7" t="str">
        <f>VLOOKUP(N740,Helper!$B$30:$C$35,2,TRUE)</f>
        <v>C</v>
      </c>
      <c r="P740" s="56">
        <f>INDEX(Detail!$A$1:$A$1001,MATCH(B740,Detail!$G$1:$G$1001,0))</f>
        <v>37183</v>
      </c>
      <c r="Q740" s="33" t="str">
        <f>INDEX(Detail!$F$1:$F$1001,MATCH(Main!B740,Detail!$G$1:$G$1001,0))</f>
        <v>Mojokerto</v>
      </c>
      <c r="R740" s="7">
        <f>INDEX(Detail!$C$1:$C$1001,MATCH(B740,Detail!$G$1:$G$1001,0),1)</f>
        <v>175</v>
      </c>
      <c r="S740" s="7">
        <f>INDEX(Detail!$D$1:$D$1001,MATCH(B740,Detail!$G$1:$G$1001,0),1)</f>
        <v>80</v>
      </c>
      <c r="T740" s="7" t="str">
        <f>INDEX(Detail!$E$1:$E$1001,MATCH(Main!B740,Detail!$G$1:$G$1001,0))</f>
        <v>Gg. Ir. H. Djuanda No. 33</v>
      </c>
      <c r="U740" s="7" t="str">
        <f>INDEX(Detail!$B$1:$B$1001,MATCH(B740,Detail!$G$1:$G$1001,0),1)</f>
        <v>AB-</v>
      </c>
      <c r="V740" s="7" t="str" cm="1">
        <f t="array" ref="V740">INDEX(Dosen!$B$3:$E$8,MATCH(Main!C740,Dosen!$A$3:$A$8,0),IF(AND(Main!A740&gt;=1,Main!A740&lt;=250),1,IF(AND(Main!A740&gt;=251,Main!A740&lt;=500),2,IF(AND(Main!A740&gt;=501,Main!A740&lt;=750),3,4))))</f>
        <v>Bu Dwi</v>
      </c>
      <c r="W740" s="7" t="str">
        <f>_xlfn.XLOOKUP(B740,Detail!$G$1:$G$1001,Detail!$B$1:$B$1001)</f>
        <v>AB-</v>
      </c>
    </row>
    <row r="741" spans="1:23" ht="15.75" x14ac:dyDescent="0.25">
      <c r="A741" s="7">
        <v>335</v>
      </c>
      <c r="B741" s="33" t="str">
        <f t="shared" si="42"/>
        <v>E0335</v>
      </c>
      <c r="C741" s="7" t="s">
        <v>1010</v>
      </c>
      <c r="D741" s="33" t="str">
        <f>VLOOKUP(B741,Detail!$G$1:$H$1001,2,FALSE)</f>
        <v>Gasti Mahendra</v>
      </c>
      <c r="E741" s="7">
        <v>83</v>
      </c>
      <c r="F741" s="7">
        <v>44</v>
      </c>
      <c r="G741" s="57">
        <v>42</v>
      </c>
      <c r="H741" s="7">
        <v>50</v>
      </c>
      <c r="I741" s="7">
        <v>77</v>
      </c>
      <c r="J741" s="7">
        <v>58</v>
      </c>
      <c r="K741" s="7">
        <v>61</v>
      </c>
      <c r="L741" s="56">
        <f>IFERROR(VLOOKUP(B741,Absen!$A$1:$C$501,2,FALSE),"No")</f>
        <v>44858</v>
      </c>
      <c r="M741" s="58">
        <f t="shared" si="40"/>
        <v>5.1000000000000005</v>
      </c>
      <c r="N741" s="57">
        <f t="shared" si="41"/>
        <v>56.85</v>
      </c>
      <c r="O741" s="7" t="str">
        <f>VLOOKUP(N741,Helper!$B$30:$C$35,2,TRUE)</f>
        <v>D</v>
      </c>
      <c r="P741" s="56">
        <f>INDEX(Detail!$A$1:$A$1001,MATCH(B741,Detail!$G$1:$G$1001,0))</f>
        <v>37330</v>
      </c>
      <c r="Q741" s="33" t="str">
        <f>INDEX(Detail!$F$1:$F$1001,MATCH(Main!B741,Detail!$G$1:$G$1001,0))</f>
        <v>Padang Sidempuan</v>
      </c>
      <c r="R741" s="7">
        <f>INDEX(Detail!$C$1:$C$1001,MATCH(B741,Detail!$G$1:$G$1001,0),1)</f>
        <v>167</v>
      </c>
      <c r="S741" s="7">
        <f>INDEX(Detail!$D$1:$D$1001,MATCH(B741,Detail!$G$1:$G$1001,0),1)</f>
        <v>45</v>
      </c>
      <c r="T741" s="7" t="str">
        <f>INDEX(Detail!$E$1:$E$1001,MATCH(Main!B741,Detail!$G$1:$G$1001,0))</f>
        <v xml:space="preserve">Gang Antapani Lama No. 7
</v>
      </c>
      <c r="U741" s="7" t="str">
        <f>INDEX(Detail!$B$1:$B$1001,MATCH(B741,Detail!$G$1:$G$1001,0),1)</f>
        <v>O+</v>
      </c>
      <c r="V741" s="7" t="str" cm="1">
        <f t="array" ref="V741">INDEX(Dosen!$B$3:$E$8,MATCH(Main!C741,Dosen!$A$3:$A$8,0),IF(AND(Main!A741&gt;=1,Main!A741&lt;=250),1,IF(AND(Main!A741&gt;=251,Main!A741&lt;=500),2,IF(AND(Main!A741&gt;=501,Main!A741&lt;=750),3,4))))</f>
        <v>Bu Dwi</v>
      </c>
      <c r="W741" s="7" t="str">
        <f>_xlfn.XLOOKUP(B741,Detail!$G$1:$G$1001,Detail!$B$1:$B$1001)</f>
        <v>O+</v>
      </c>
    </row>
    <row r="742" spans="1:23" ht="15.75" x14ac:dyDescent="0.25">
      <c r="A742" s="7">
        <v>338</v>
      </c>
      <c r="B742" s="33" t="str">
        <f t="shared" si="42"/>
        <v>E0338</v>
      </c>
      <c r="C742" s="7" t="s">
        <v>1010</v>
      </c>
      <c r="D742" s="33" t="str">
        <f>VLOOKUP(B742,Detail!$G$1:$H$1001,2,FALSE)</f>
        <v>Kartika Hutapea</v>
      </c>
      <c r="E742" s="7">
        <v>74</v>
      </c>
      <c r="F742" s="7">
        <v>75</v>
      </c>
      <c r="G742" s="57">
        <v>83</v>
      </c>
      <c r="H742" s="7">
        <v>65</v>
      </c>
      <c r="I742" s="7">
        <v>60</v>
      </c>
      <c r="J742" s="7">
        <v>97</v>
      </c>
      <c r="K742" s="7">
        <v>69</v>
      </c>
      <c r="L742" s="56" t="str">
        <f>IFERROR(VLOOKUP(B742,Absen!$A$1:$C$501,2,FALSE),"No")</f>
        <v>No</v>
      </c>
      <c r="M742" s="58">
        <f t="shared" si="40"/>
        <v>6.9</v>
      </c>
      <c r="N742" s="57">
        <f t="shared" si="41"/>
        <v>77.150000000000006</v>
      </c>
      <c r="O742" s="7" t="str">
        <f>VLOOKUP(N742,Helper!$B$30:$C$35,2,TRUE)</f>
        <v>B</v>
      </c>
      <c r="P742" s="56">
        <f>INDEX(Detail!$A$1:$A$1001,MATCH(B742,Detail!$G$1:$G$1001,0))</f>
        <v>37903</v>
      </c>
      <c r="Q742" s="33" t="str">
        <f>INDEX(Detail!$F$1:$F$1001,MATCH(Main!B742,Detail!$G$1:$G$1001,0))</f>
        <v>Palu</v>
      </c>
      <c r="R742" s="7">
        <f>INDEX(Detail!$C$1:$C$1001,MATCH(B742,Detail!$G$1:$G$1001,0),1)</f>
        <v>158</v>
      </c>
      <c r="S742" s="7">
        <f>INDEX(Detail!$D$1:$D$1001,MATCH(B742,Detail!$G$1:$G$1001,0),1)</f>
        <v>50</v>
      </c>
      <c r="T742" s="7" t="str">
        <f>INDEX(Detail!$E$1:$E$1001,MATCH(Main!B742,Detail!$G$1:$G$1001,0))</f>
        <v>Jl. Veteran No. 85</v>
      </c>
      <c r="U742" s="7" t="str">
        <f>INDEX(Detail!$B$1:$B$1001,MATCH(B742,Detail!$G$1:$G$1001,0),1)</f>
        <v>O+</v>
      </c>
      <c r="V742" s="7" t="str" cm="1">
        <f t="array" ref="V742">INDEX(Dosen!$B$3:$E$8,MATCH(Main!C742,Dosen!$A$3:$A$8,0),IF(AND(Main!A742&gt;=1,Main!A742&lt;=250),1,IF(AND(Main!A742&gt;=251,Main!A742&lt;=500),2,IF(AND(Main!A742&gt;=501,Main!A742&lt;=750),3,4))))</f>
        <v>Bu Dwi</v>
      </c>
      <c r="W742" s="7" t="str">
        <f>_xlfn.XLOOKUP(B742,Detail!$G$1:$G$1001,Detail!$B$1:$B$1001)</f>
        <v>O+</v>
      </c>
    </row>
    <row r="743" spans="1:23" ht="15.75" x14ac:dyDescent="0.25">
      <c r="A743" s="7">
        <v>345</v>
      </c>
      <c r="B743" s="33" t="str">
        <f t="shared" ref="B743:B774" si="43">CONCATENATE("E",TEXT(A743,"0000"))</f>
        <v>E0345</v>
      </c>
      <c r="C743" s="7" t="s">
        <v>1010</v>
      </c>
      <c r="D743" s="33" t="str">
        <f>VLOOKUP(B743,Detail!$G$1:$H$1001,2,FALSE)</f>
        <v>Teddy Aryani</v>
      </c>
      <c r="E743" s="7">
        <v>56</v>
      </c>
      <c r="F743" s="7">
        <v>61</v>
      </c>
      <c r="G743" s="57">
        <v>92</v>
      </c>
      <c r="H743" s="7">
        <v>56</v>
      </c>
      <c r="I743" s="7">
        <v>83</v>
      </c>
      <c r="J743" s="7">
        <v>78</v>
      </c>
      <c r="K743" s="7">
        <v>61</v>
      </c>
      <c r="L743" s="56">
        <f>IFERROR(VLOOKUP(B743,Absen!$A$1:$C$501,2,FALSE),"No")</f>
        <v>44799</v>
      </c>
      <c r="M743" s="58">
        <f t="shared" si="40"/>
        <v>5.1000000000000005</v>
      </c>
      <c r="N743" s="57">
        <f t="shared" si="41"/>
        <v>71.099999999999994</v>
      </c>
      <c r="O743" s="7" t="str">
        <f>VLOOKUP(N743,Helper!$B$30:$C$35,2,TRUE)</f>
        <v>B</v>
      </c>
      <c r="P743" s="56">
        <f>INDEX(Detail!$A$1:$A$1001,MATCH(B743,Detail!$G$1:$G$1001,0))</f>
        <v>38223</v>
      </c>
      <c r="Q743" s="33" t="str">
        <f>INDEX(Detail!$F$1:$F$1001,MATCH(Main!B743,Detail!$G$1:$G$1001,0))</f>
        <v>Meulaboh</v>
      </c>
      <c r="R743" s="7">
        <f>INDEX(Detail!$C$1:$C$1001,MATCH(B743,Detail!$G$1:$G$1001,0),1)</f>
        <v>173</v>
      </c>
      <c r="S743" s="7">
        <f>INDEX(Detail!$D$1:$D$1001,MATCH(B743,Detail!$G$1:$G$1001,0),1)</f>
        <v>89</v>
      </c>
      <c r="T743" s="7" t="str">
        <f>INDEX(Detail!$E$1:$E$1001,MATCH(Main!B743,Detail!$G$1:$G$1001,0))</f>
        <v xml:space="preserve">Jalan Indragiri No. 9
</v>
      </c>
      <c r="U743" s="7" t="str">
        <f>INDEX(Detail!$B$1:$B$1001,MATCH(B743,Detail!$G$1:$G$1001,0),1)</f>
        <v>O-</v>
      </c>
      <c r="V743" s="7" t="str" cm="1">
        <f t="array" ref="V743">INDEX(Dosen!$B$3:$E$8,MATCH(Main!C743,Dosen!$A$3:$A$8,0),IF(AND(Main!A743&gt;=1,Main!A743&lt;=250),1,IF(AND(Main!A743&gt;=251,Main!A743&lt;=500),2,IF(AND(Main!A743&gt;=501,Main!A743&lt;=750),3,4))))</f>
        <v>Bu Dwi</v>
      </c>
      <c r="W743" s="7" t="str">
        <f>_xlfn.XLOOKUP(B743,Detail!$G$1:$G$1001,Detail!$B$1:$B$1001)</f>
        <v>O-</v>
      </c>
    </row>
    <row r="744" spans="1:23" ht="15.75" x14ac:dyDescent="0.25">
      <c r="A744" s="7">
        <v>350</v>
      </c>
      <c r="B744" s="33" t="str">
        <f t="shared" si="43"/>
        <v>E0350</v>
      </c>
      <c r="C744" s="7" t="s">
        <v>1010</v>
      </c>
      <c r="D744" s="33" t="str">
        <f>VLOOKUP(B744,Detail!$G$1:$H$1001,2,FALSE)</f>
        <v>Kayla Nuraini</v>
      </c>
      <c r="E744" s="7">
        <v>70</v>
      </c>
      <c r="F744" s="7">
        <v>64</v>
      </c>
      <c r="G744" s="57">
        <v>74</v>
      </c>
      <c r="H744" s="7">
        <v>52</v>
      </c>
      <c r="I744" s="7">
        <v>54</v>
      </c>
      <c r="J744" s="7">
        <v>70</v>
      </c>
      <c r="K744" s="7">
        <v>77</v>
      </c>
      <c r="L744" s="56" t="str">
        <f>IFERROR(VLOOKUP(B744,Absen!$A$1:$C$501,2,FALSE),"No")</f>
        <v>No</v>
      </c>
      <c r="M744" s="58">
        <f t="shared" si="40"/>
        <v>7.7</v>
      </c>
      <c r="N744" s="57">
        <f t="shared" si="41"/>
        <v>66.5</v>
      </c>
      <c r="O744" s="7" t="str">
        <f>VLOOKUP(N744,Helper!$B$30:$C$35,2,TRUE)</f>
        <v>C</v>
      </c>
      <c r="P744" s="56">
        <f>INDEX(Detail!$A$1:$A$1001,MATCH(B744,Detail!$G$1:$G$1001,0))</f>
        <v>37352</v>
      </c>
      <c r="Q744" s="33" t="str">
        <f>INDEX(Detail!$F$1:$F$1001,MATCH(Main!B744,Detail!$G$1:$G$1001,0))</f>
        <v>Tangerang Selatan</v>
      </c>
      <c r="R744" s="7">
        <f>INDEX(Detail!$C$1:$C$1001,MATCH(B744,Detail!$G$1:$G$1001,0),1)</f>
        <v>166</v>
      </c>
      <c r="S744" s="7">
        <f>INDEX(Detail!$D$1:$D$1001,MATCH(B744,Detail!$G$1:$G$1001,0),1)</f>
        <v>61</v>
      </c>
      <c r="T744" s="7" t="str">
        <f>INDEX(Detail!$E$1:$E$1001,MATCH(Main!B744,Detail!$G$1:$G$1001,0))</f>
        <v>Jalan Cihampelas No. 91</v>
      </c>
      <c r="U744" s="7" t="str">
        <f>INDEX(Detail!$B$1:$B$1001,MATCH(B744,Detail!$G$1:$G$1001,0),1)</f>
        <v>AB+</v>
      </c>
      <c r="V744" s="7" t="str" cm="1">
        <f t="array" ref="V744">INDEX(Dosen!$B$3:$E$8,MATCH(Main!C744,Dosen!$A$3:$A$8,0),IF(AND(Main!A744&gt;=1,Main!A744&lt;=250),1,IF(AND(Main!A744&gt;=251,Main!A744&lt;=500),2,IF(AND(Main!A744&gt;=501,Main!A744&lt;=750),3,4))))</f>
        <v>Bu Dwi</v>
      </c>
      <c r="W744" s="7" t="str">
        <f>_xlfn.XLOOKUP(B744,Detail!$G$1:$G$1001,Detail!$B$1:$B$1001)</f>
        <v>AB+</v>
      </c>
    </row>
    <row r="745" spans="1:23" ht="15.75" x14ac:dyDescent="0.25">
      <c r="A745" s="7">
        <v>353</v>
      </c>
      <c r="B745" s="33" t="str">
        <f t="shared" si="43"/>
        <v>E0353</v>
      </c>
      <c r="C745" s="7" t="s">
        <v>1010</v>
      </c>
      <c r="D745" s="33" t="str">
        <f>VLOOKUP(B745,Detail!$G$1:$H$1001,2,FALSE)</f>
        <v>Edison Maheswara</v>
      </c>
      <c r="E745" s="7">
        <v>91</v>
      </c>
      <c r="F745" s="7">
        <v>48</v>
      </c>
      <c r="G745" s="57">
        <v>35</v>
      </c>
      <c r="H745" s="7">
        <v>53</v>
      </c>
      <c r="I745" s="7">
        <v>52</v>
      </c>
      <c r="J745" s="7">
        <v>84</v>
      </c>
      <c r="K745" s="7">
        <v>96</v>
      </c>
      <c r="L745" s="56">
        <f>IFERROR(VLOOKUP(B745,Absen!$A$1:$C$501,2,FALSE),"No")</f>
        <v>44801</v>
      </c>
      <c r="M745" s="58">
        <f t="shared" si="40"/>
        <v>8.6</v>
      </c>
      <c r="N745" s="57">
        <f t="shared" si="41"/>
        <v>62.9</v>
      </c>
      <c r="O745" s="7" t="str">
        <f>VLOOKUP(N745,Helper!$B$30:$C$35,2,TRUE)</f>
        <v>C</v>
      </c>
      <c r="P745" s="56">
        <f>INDEX(Detail!$A$1:$A$1001,MATCH(B745,Detail!$G$1:$G$1001,0))</f>
        <v>38042</v>
      </c>
      <c r="Q745" s="33" t="str">
        <f>INDEX(Detail!$F$1:$F$1001,MATCH(Main!B745,Detail!$G$1:$G$1001,0))</f>
        <v>Pagaralam</v>
      </c>
      <c r="R745" s="7">
        <f>INDEX(Detail!$C$1:$C$1001,MATCH(B745,Detail!$G$1:$G$1001,0),1)</f>
        <v>174</v>
      </c>
      <c r="S745" s="7">
        <f>INDEX(Detail!$D$1:$D$1001,MATCH(B745,Detail!$G$1:$G$1001,0),1)</f>
        <v>52</v>
      </c>
      <c r="T745" s="7" t="str">
        <f>INDEX(Detail!$E$1:$E$1001,MATCH(Main!B745,Detail!$G$1:$G$1001,0))</f>
        <v xml:space="preserve">Jl. Asia Afrika No. 1
</v>
      </c>
      <c r="U745" s="7" t="str">
        <f>INDEX(Detail!$B$1:$B$1001,MATCH(B745,Detail!$G$1:$G$1001,0),1)</f>
        <v>A-</v>
      </c>
      <c r="V745" s="7" t="str" cm="1">
        <f t="array" ref="V745">INDEX(Dosen!$B$3:$E$8,MATCH(Main!C745,Dosen!$A$3:$A$8,0),IF(AND(Main!A745&gt;=1,Main!A745&lt;=250),1,IF(AND(Main!A745&gt;=251,Main!A745&lt;=500),2,IF(AND(Main!A745&gt;=501,Main!A745&lt;=750),3,4))))</f>
        <v>Bu Dwi</v>
      </c>
      <c r="W745" s="7" t="str">
        <f>_xlfn.XLOOKUP(B745,Detail!$G$1:$G$1001,Detail!$B$1:$B$1001)</f>
        <v>A-</v>
      </c>
    </row>
    <row r="746" spans="1:23" ht="15.75" x14ac:dyDescent="0.25">
      <c r="A746" s="7">
        <v>365</v>
      </c>
      <c r="B746" s="33" t="str">
        <f t="shared" si="43"/>
        <v>E0365</v>
      </c>
      <c r="C746" s="7" t="s">
        <v>1010</v>
      </c>
      <c r="D746" s="33" t="str">
        <f>VLOOKUP(B746,Detail!$G$1:$H$1001,2,FALSE)</f>
        <v>Okta Sitohang</v>
      </c>
      <c r="E746" s="7">
        <v>66</v>
      </c>
      <c r="F746" s="7">
        <v>51</v>
      </c>
      <c r="G746" s="57">
        <v>32</v>
      </c>
      <c r="H746" s="7">
        <v>51</v>
      </c>
      <c r="I746" s="7">
        <v>57</v>
      </c>
      <c r="J746" s="7">
        <v>73</v>
      </c>
      <c r="K746" s="7">
        <v>88</v>
      </c>
      <c r="L746" s="56">
        <f>IFERROR(VLOOKUP(B746,Absen!$A$1:$C$501,2,FALSE),"No")</f>
        <v>44907</v>
      </c>
      <c r="M746" s="58">
        <f t="shared" si="40"/>
        <v>7.8000000000000007</v>
      </c>
      <c r="N746" s="57">
        <f t="shared" si="41"/>
        <v>56.924999999999997</v>
      </c>
      <c r="O746" s="7" t="str">
        <f>VLOOKUP(N746,Helper!$B$30:$C$35,2,TRUE)</f>
        <v>D</v>
      </c>
      <c r="P746" s="56">
        <f>INDEX(Detail!$A$1:$A$1001,MATCH(B746,Detail!$G$1:$G$1001,0))</f>
        <v>38449</v>
      </c>
      <c r="Q746" s="33" t="str">
        <f>INDEX(Detail!$F$1:$F$1001,MATCH(Main!B746,Detail!$G$1:$G$1001,0))</f>
        <v>Pagaralam</v>
      </c>
      <c r="R746" s="7">
        <f>INDEX(Detail!$C$1:$C$1001,MATCH(B746,Detail!$G$1:$G$1001,0),1)</f>
        <v>150</v>
      </c>
      <c r="S746" s="7">
        <f>INDEX(Detail!$D$1:$D$1001,MATCH(B746,Detail!$G$1:$G$1001,0),1)</f>
        <v>81</v>
      </c>
      <c r="T746" s="7" t="str">
        <f>INDEX(Detail!$E$1:$E$1001,MATCH(Main!B746,Detail!$G$1:$G$1001,0))</f>
        <v xml:space="preserve">Jl. Sukabumi No. 4
</v>
      </c>
      <c r="U746" s="7" t="str">
        <f>INDEX(Detail!$B$1:$B$1001,MATCH(B746,Detail!$G$1:$G$1001,0),1)</f>
        <v>B-</v>
      </c>
      <c r="V746" s="7" t="str" cm="1">
        <f t="array" ref="V746">INDEX(Dosen!$B$3:$E$8,MATCH(Main!C746,Dosen!$A$3:$A$8,0),IF(AND(Main!A746&gt;=1,Main!A746&lt;=250),1,IF(AND(Main!A746&gt;=251,Main!A746&lt;=500),2,IF(AND(Main!A746&gt;=501,Main!A746&lt;=750),3,4))))</f>
        <v>Bu Dwi</v>
      </c>
      <c r="W746" s="7" t="str">
        <f>_xlfn.XLOOKUP(B746,Detail!$G$1:$G$1001,Detail!$B$1:$B$1001)</f>
        <v>B-</v>
      </c>
    </row>
    <row r="747" spans="1:23" ht="15.75" x14ac:dyDescent="0.25">
      <c r="A747" s="7">
        <v>366</v>
      </c>
      <c r="B747" s="33" t="str">
        <f t="shared" si="43"/>
        <v>E0366</v>
      </c>
      <c r="C747" s="7" t="s">
        <v>1010</v>
      </c>
      <c r="D747" s="33" t="str">
        <f>VLOOKUP(B747,Detail!$G$1:$H$1001,2,FALSE)</f>
        <v>Argono Wastuti</v>
      </c>
      <c r="E747" s="7">
        <v>76</v>
      </c>
      <c r="F747" s="7">
        <v>58</v>
      </c>
      <c r="G747" s="57">
        <v>85</v>
      </c>
      <c r="H747" s="7">
        <v>63</v>
      </c>
      <c r="I747" s="7">
        <v>82</v>
      </c>
      <c r="J747" s="7">
        <v>55</v>
      </c>
      <c r="K747" s="7">
        <v>60</v>
      </c>
      <c r="L747" s="56">
        <f>IFERROR(VLOOKUP(B747,Absen!$A$1:$C$501,2,FALSE),"No")</f>
        <v>44915</v>
      </c>
      <c r="M747" s="58">
        <f t="shared" si="40"/>
        <v>5</v>
      </c>
      <c r="N747" s="57">
        <f t="shared" si="41"/>
        <v>67.875</v>
      </c>
      <c r="O747" s="7" t="str">
        <f>VLOOKUP(N747,Helper!$B$30:$C$35,2,TRUE)</f>
        <v>C</v>
      </c>
      <c r="P747" s="56">
        <f>INDEX(Detail!$A$1:$A$1001,MATCH(B747,Detail!$G$1:$G$1001,0))</f>
        <v>37016</v>
      </c>
      <c r="Q747" s="33" t="str">
        <f>INDEX(Detail!$F$1:$F$1001,MATCH(Main!B747,Detail!$G$1:$G$1001,0))</f>
        <v>Pagaralam</v>
      </c>
      <c r="R747" s="7">
        <f>INDEX(Detail!$C$1:$C$1001,MATCH(B747,Detail!$G$1:$G$1001,0),1)</f>
        <v>176</v>
      </c>
      <c r="S747" s="7">
        <f>INDEX(Detail!$D$1:$D$1001,MATCH(B747,Detail!$G$1:$G$1001,0),1)</f>
        <v>61</v>
      </c>
      <c r="T747" s="7" t="str">
        <f>INDEX(Detail!$E$1:$E$1001,MATCH(Main!B747,Detail!$G$1:$G$1001,0))</f>
        <v xml:space="preserve">Jl. Astana Anyar No. 2
</v>
      </c>
      <c r="U747" s="7" t="str">
        <f>INDEX(Detail!$B$1:$B$1001,MATCH(B747,Detail!$G$1:$G$1001,0),1)</f>
        <v>A-</v>
      </c>
      <c r="V747" s="7" t="str" cm="1">
        <f t="array" ref="V747">INDEX(Dosen!$B$3:$E$8,MATCH(Main!C747,Dosen!$A$3:$A$8,0),IF(AND(Main!A747&gt;=1,Main!A747&lt;=250),1,IF(AND(Main!A747&gt;=251,Main!A747&lt;=500),2,IF(AND(Main!A747&gt;=501,Main!A747&lt;=750),3,4))))</f>
        <v>Bu Dwi</v>
      </c>
      <c r="W747" s="7" t="str">
        <f>_xlfn.XLOOKUP(B747,Detail!$G$1:$G$1001,Detail!$B$1:$B$1001)</f>
        <v>A-</v>
      </c>
    </row>
    <row r="748" spans="1:23" ht="15.75" x14ac:dyDescent="0.25">
      <c r="A748" s="7">
        <v>367</v>
      </c>
      <c r="B748" s="33" t="str">
        <f t="shared" si="43"/>
        <v>E0367</v>
      </c>
      <c r="C748" s="7" t="s">
        <v>1010</v>
      </c>
      <c r="D748" s="33" t="str">
        <f>VLOOKUP(B748,Detail!$G$1:$H$1001,2,FALSE)</f>
        <v>Setya Kuswoyo</v>
      </c>
      <c r="E748" s="7">
        <v>95</v>
      </c>
      <c r="F748" s="7">
        <v>58</v>
      </c>
      <c r="G748" s="57">
        <v>60</v>
      </c>
      <c r="H748" s="7">
        <v>74</v>
      </c>
      <c r="I748" s="7">
        <v>59</v>
      </c>
      <c r="J748" s="7">
        <v>40</v>
      </c>
      <c r="K748" s="7">
        <v>61</v>
      </c>
      <c r="L748" s="56" t="str">
        <f>IFERROR(VLOOKUP(B748,Absen!$A$1:$C$501,2,FALSE),"No")</f>
        <v>No</v>
      </c>
      <c r="M748" s="58">
        <f t="shared" si="40"/>
        <v>6.1000000000000005</v>
      </c>
      <c r="N748" s="57">
        <f t="shared" si="41"/>
        <v>61.85</v>
      </c>
      <c r="O748" s="7" t="str">
        <f>VLOOKUP(N748,Helper!$B$30:$C$35,2,TRUE)</f>
        <v>C</v>
      </c>
      <c r="P748" s="56">
        <f>INDEX(Detail!$A$1:$A$1001,MATCH(B748,Detail!$G$1:$G$1001,0))</f>
        <v>37375</v>
      </c>
      <c r="Q748" s="33" t="str">
        <f>INDEX(Detail!$F$1:$F$1001,MATCH(Main!B748,Detail!$G$1:$G$1001,0))</f>
        <v>Batu</v>
      </c>
      <c r="R748" s="7">
        <f>INDEX(Detail!$C$1:$C$1001,MATCH(B748,Detail!$G$1:$G$1001,0),1)</f>
        <v>180</v>
      </c>
      <c r="S748" s="7">
        <f>INDEX(Detail!$D$1:$D$1001,MATCH(B748,Detail!$G$1:$G$1001,0),1)</f>
        <v>68</v>
      </c>
      <c r="T748" s="7" t="str">
        <f>INDEX(Detail!$E$1:$E$1001,MATCH(Main!B748,Detail!$G$1:$G$1001,0))</f>
        <v xml:space="preserve">Jalan Wonoayu No. 0
</v>
      </c>
      <c r="U748" s="7" t="str">
        <f>INDEX(Detail!$B$1:$B$1001,MATCH(B748,Detail!$G$1:$G$1001,0),1)</f>
        <v>B+</v>
      </c>
      <c r="V748" s="7" t="str" cm="1">
        <f t="array" ref="V748">INDEX(Dosen!$B$3:$E$8,MATCH(Main!C748,Dosen!$A$3:$A$8,0),IF(AND(Main!A748&gt;=1,Main!A748&lt;=250),1,IF(AND(Main!A748&gt;=251,Main!A748&lt;=500),2,IF(AND(Main!A748&gt;=501,Main!A748&lt;=750),3,4))))</f>
        <v>Bu Dwi</v>
      </c>
      <c r="W748" s="7" t="str">
        <f>_xlfn.XLOOKUP(B748,Detail!$G$1:$G$1001,Detail!$B$1:$B$1001)</f>
        <v>B+</v>
      </c>
    </row>
    <row r="749" spans="1:23" ht="15.75" x14ac:dyDescent="0.25">
      <c r="A749" s="7">
        <v>381</v>
      </c>
      <c r="B749" s="33" t="str">
        <f t="shared" si="43"/>
        <v>E0381</v>
      </c>
      <c r="C749" s="7" t="s">
        <v>1010</v>
      </c>
      <c r="D749" s="33" t="str">
        <f>VLOOKUP(B749,Detail!$G$1:$H$1001,2,FALSE)</f>
        <v>Saadat Salahudin</v>
      </c>
      <c r="E749" s="7">
        <v>72</v>
      </c>
      <c r="F749" s="7">
        <v>70</v>
      </c>
      <c r="G749" s="57">
        <v>34</v>
      </c>
      <c r="H749" s="7">
        <v>54</v>
      </c>
      <c r="I749" s="7">
        <v>95</v>
      </c>
      <c r="J749" s="7">
        <v>85</v>
      </c>
      <c r="K749" s="7">
        <v>82</v>
      </c>
      <c r="L749" s="56">
        <f>IFERROR(VLOOKUP(B749,Absen!$A$1:$C$501,2,FALSE),"No")</f>
        <v>44833</v>
      </c>
      <c r="M749" s="58">
        <f t="shared" si="40"/>
        <v>7.2</v>
      </c>
      <c r="N749" s="57">
        <f t="shared" si="41"/>
        <v>67.375</v>
      </c>
      <c r="O749" s="7" t="str">
        <f>VLOOKUP(N749,Helper!$B$30:$C$35,2,TRUE)</f>
        <v>C</v>
      </c>
      <c r="P749" s="56">
        <f>INDEX(Detail!$A$1:$A$1001,MATCH(B749,Detail!$G$1:$G$1001,0))</f>
        <v>37595</v>
      </c>
      <c r="Q749" s="33" t="str">
        <f>INDEX(Detail!$F$1:$F$1001,MATCH(Main!B749,Detail!$G$1:$G$1001,0))</f>
        <v>Bukittinggi</v>
      </c>
      <c r="R749" s="7">
        <f>INDEX(Detail!$C$1:$C$1001,MATCH(B749,Detail!$G$1:$G$1001,0),1)</f>
        <v>154</v>
      </c>
      <c r="S749" s="7">
        <f>INDEX(Detail!$D$1:$D$1001,MATCH(B749,Detail!$G$1:$G$1001,0),1)</f>
        <v>60</v>
      </c>
      <c r="T749" s="7" t="str">
        <f>INDEX(Detail!$E$1:$E$1001,MATCH(Main!B749,Detail!$G$1:$G$1001,0))</f>
        <v xml:space="preserve">Gang HOS. Cokroaminoto No. 5
</v>
      </c>
      <c r="U749" s="7" t="str">
        <f>INDEX(Detail!$B$1:$B$1001,MATCH(B749,Detail!$G$1:$G$1001,0),1)</f>
        <v>A+</v>
      </c>
      <c r="V749" s="7" t="str" cm="1">
        <f t="array" ref="V749">INDEX(Dosen!$B$3:$E$8,MATCH(Main!C749,Dosen!$A$3:$A$8,0),IF(AND(Main!A749&gt;=1,Main!A749&lt;=250),1,IF(AND(Main!A749&gt;=251,Main!A749&lt;=500),2,IF(AND(Main!A749&gt;=501,Main!A749&lt;=750),3,4))))</f>
        <v>Bu Dwi</v>
      </c>
      <c r="W749" s="7" t="str">
        <f>_xlfn.XLOOKUP(B749,Detail!$G$1:$G$1001,Detail!$B$1:$B$1001)</f>
        <v>A+</v>
      </c>
    </row>
    <row r="750" spans="1:23" ht="15.75" x14ac:dyDescent="0.25">
      <c r="A750" s="7">
        <v>385</v>
      </c>
      <c r="B750" s="33" t="str">
        <f t="shared" si="43"/>
        <v>E0385</v>
      </c>
      <c r="C750" s="7" t="s">
        <v>1010</v>
      </c>
      <c r="D750" s="33" t="str">
        <f>VLOOKUP(B750,Detail!$G$1:$H$1001,2,FALSE)</f>
        <v>Cayadi Aryani</v>
      </c>
      <c r="E750" s="7">
        <v>77</v>
      </c>
      <c r="F750" s="7">
        <v>53</v>
      </c>
      <c r="G750" s="57">
        <v>35</v>
      </c>
      <c r="H750" s="7">
        <v>71</v>
      </c>
      <c r="I750" s="7">
        <v>91</v>
      </c>
      <c r="J750" s="7">
        <v>63</v>
      </c>
      <c r="K750" s="7">
        <v>62</v>
      </c>
      <c r="L750" s="56">
        <f>IFERROR(VLOOKUP(B750,Absen!$A$1:$C$501,2,FALSE),"No")</f>
        <v>44868</v>
      </c>
      <c r="M750" s="58">
        <f t="shared" si="40"/>
        <v>5.2</v>
      </c>
      <c r="N750" s="57">
        <f t="shared" si="41"/>
        <v>61.300000000000004</v>
      </c>
      <c r="O750" s="7" t="str">
        <f>VLOOKUP(N750,Helper!$B$30:$C$35,2,TRUE)</f>
        <v>C</v>
      </c>
      <c r="P750" s="56">
        <f>INDEX(Detail!$A$1:$A$1001,MATCH(B750,Detail!$G$1:$G$1001,0))</f>
        <v>38184</v>
      </c>
      <c r="Q750" s="33" t="str">
        <f>INDEX(Detail!$F$1:$F$1001,MATCH(Main!B750,Detail!$G$1:$G$1001,0))</f>
        <v>Kotamobagu</v>
      </c>
      <c r="R750" s="7">
        <f>INDEX(Detail!$C$1:$C$1001,MATCH(B750,Detail!$G$1:$G$1001,0),1)</f>
        <v>176</v>
      </c>
      <c r="S750" s="7">
        <f>INDEX(Detail!$D$1:$D$1001,MATCH(B750,Detail!$G$1:$G$1001,0),1)</f>
        <v>55</v>
      </c>
      <c r="T750" s="7" t="str">
        <f>INDEX(Detail!$E$1:$E$1001,MATCH(Main!B750,Detail!$G$1:$G$1001,0))</f>
        <v>Gg. Tubagus Ismail No. 22</v>
      </c>
      <c r="U750" s="7" t="str">
        <f>INDEX(Detail!$B$1:$B$1001,MATCH(B750,Detail!$G$1:$G$1001,0),1)</f>
        <v>B-</v>
      </c>
      <c r="V750" s="7" t="str" cm="1">
        <f t="array" ref="V750">INDEX(Dosen!$B$3:$E$8,MATCH(Main!C750,Dosen!$A$3:$A$8,0),IF(AND(Main!A750&gt;=1,Main!A750&lt;=250),1,IF(AND(Main!A750&gt;=251,Main!A750&lt;=500),2,IF(AND(Main!A750&gt;=501,Main!A750&lt;=750),3,4))))</f>
        <v>Bu Dwi</v>
      </c>
      <c r="W750" s="7" t="str">
        <f>_xlfn.XLOOKUP(B750,Detail!$G$1:$G$1001,Detail!$B$1:$B$1001)</f>
        <v>B-</v>
      </c>
    </row>
    <row r="751" spans="1:23" ht="15.75" x14ac:dyDescent="0.25">
      <c r="A751" s="7">
        <v>386</v>
      </c>
      <c r="B751" s="33" t="str">
        <f t="shared" si="43"/>
        <v>E0386</v>
      </c>
      <c r="C751" s="7" t="s">
        <v>1010</v>
      </c>
      <c r="D751" s="33" t="str">
        <f>VLOOKUP(B751,Detail!$G$1:$H$1001,2,FALSE)</f>
        <v>Jaswadi Waskita</v>
      </c>
      <c r="E751" s="7">
        <v>54</v>
      </c>
      <c r="F751" s="7">
        <v>56</v>
      </c>
      <c r="G751" s="57">
        <v>95</v>
      </c>
      <c r="H751" s="7">
        <v>67</v>
      </c>
      <c r="I751" s="7">
        <v>67</v>
      </c>
      <c r="J751" s="7">
        <v>68</v>
      </c>
      <c r="K751" s="7">
        <v>91</v>
      </c>
      <c r="L751" s="56">
        <f>IFERROR(VLOOKUP(B751,Absen!$A$1:$C$501,2,FALSE),"No")</f>
        <v>44854</v>
      </c>
      <c r="M751" s="58">
        <f t="shared" si="40"/>
        <v>8.1</v>
      </c>
      <c r="N751" s="57">
        <f t="shared" si="41"/>
        <v>71.2</v>
      </c>
      <c r="O751" s="7" t="str">
        <f>VLOOKUP(N751,Helper!$B$30:$C$35,2,TRUE)</f>
        <v>B</v>
      </c>
      <c r="P751" s="56">
        <f>INDEX(Detail!$A$1:$A$1001,MATCH(B751,Detail!$G$1:$G$1001,0))</f>
        <v>38433</v>
      </c>
      <c r="Q751" s="33" t="str">
        <f>INDEX(Detail!$F$1:$F$1001,MATCH(Main!B751,Detail!$G$1:$G$1001,0))</f>
        <v>Subulussalam</v>
      </c>
      <c r="R751" s="7">
        <f>INDEX(Detail!$C$1:$C$1001,MATCH(B751,Detail!$G$1:$G$1001,0),1)</f>
        <v>178</v>
      </c>
      <c r="S751" s="7">
        <f>INDEX(Detail!$D$1:$D$1001,MATCH(B751,Detail!$G$1:$G$1001,0),1)</f>
        <v>69</v>
      </c>
      <c r="T751" s="7" t="str">
        <f>INDEX(Detail!$E$1:$E$1001,MATCH(Main!B751,Detail!$G$1:$G$1001,0))</f>
        <v>Jl. Laswi No. 24</v>
      </c>
      <c r="U751" s="7" t="str">
        <f>INDEX(Detail!$B$1:$B$1001,MATCH(B751,Detail!$G$1:$G$1001,0),1)</f>
        <v>AB+</v>
      </c>
      <c r="V751" s="7" t="str" cm="1">
        <f t="array" ref="V751">INDEX(Dosen!$B$3:$E$8,MATCH(Main!C751,Dosen!$A$3:$A$8,0),IF(AND(Main!A751&gt;=1,Main!A751&lt;=250),1,IF(AND(Main!A751&gt;=251,Main!A751&lt;=500),2,IF(AND(Main!A751&gt;=501,Main!A751&lt;=750),3,4))))</f>
        <v>Bu Dwi</v>
      </c>
      <c r="W751" s="7" t="str">
        <f>_xlfn.XLOOKUP(B751,Detail!$G$1:$G$1001,Detail!$B$1:$B$1001)</f>
        <v>AB+</v>
      </c>
    </row>
    <row r="752" spans="1:23" ht="15.75" x14ac:dyDescent="0.25">
      <c r="A752" s="7">
        <v>387</v>
      </c>
      <c r="B752" s="33" t="str">
        <f t="shared" si="43"/>
        <v>E0387</v>
      </c>
      <c r="C752" s="7" t="s">
        <v>1010</v>
      </c>
      <c r="D752" s="33" t="str">
        <f>VLOOKUP(B752,Detail!$G$1:$H$1001,2,FALSE)</f>
        <v>Uchita Hutasoit</v>
      </c>
      <c r="E752" s="7">
        <v>62</v>
      </c>
      <c r="F752" s="7">
        <v>67</v>
      </c>
      <c r="G752" s="57">
        <v>77</v>
      </c>
      <c r="H752" s="7">
        <v>61</v>
      </c>
      <c r="I752" s="7">
        <v>74</v>
      </c>
      <c r="J752" s="7">
        <v>92</v>
      </c>
      <c r="K752" s="7">
        <v>72</v>
      </c>
      <c r="L752" s="56" t="str">
        <f>IFERROR(VLOOKUP(B752,Absen!$A$1:$C$501,2,FALSE),"No")</f>
        <v>No</v>
      </c>
      <c r="M752" s="58">
        <f t="shared" si="40"/>
        <v>7.2</v>
      </c>
      <c r="N752" s="57">
        <f t="shared" si="41"/>
        <v>74</v>
      </c>
      <c r="O752" s="7" t="str">
        <f>VLOOKUP(N752,Helper!$B$30:$C$35,2,TRUE)</f>
        <v>B</v>
      </c>
      <c r="P752" s="56">
        <f>INDEX(Detail!$A$1:$A$1001,MATCH(B752,Detail!$G$1:$G$1001,0))</f>
        <v>37531</v>
      </c>
      <c r="Q752" s="33" t="str">
        <f>INDEX(Detail!$F$1:$F$1001,MATCH(Main!B752,Detail!$G$1:$G$1001,0))</f>
        <v>Prabumulih</v>
      </c>
      <c r="R752" s="7">
        <f>INDEX(Detail!$C$1:$C$1001,MATCH(B752,Detail!$G$1:$G$1001,0),1)</f>
        <v>166</v>
      </c>
      <c r="S752" s="7">
        <f>INDEX(Detail!$D$1:$D$1001,MATCH(B752,Detail!$G$1:$G$1001,0),1)</f>
        <v>80</v>
      </c>
      <c r="T752" s="7" t="str">
        <f>INDEX(Detail!$E$1:$E$1001,MATCH(Main!B752,Detail!$G$1:$G$1001,0))</f>
        <v>Jl. Dipatiukur No. 28</v>
      </c>
      <c r="U752" s="7" t="str">
        <f>INDEX(Detail!$B$1:$B$1001,MATCH(B752,Detail!$G$1:$G$1001,0),1)</f>
        <v>B-</v>
      </c>
      <c r="V752" s="7" t="str" cm="1">
        <f t="array" ref="V752">INDEX(Dosen!$B$3:$E$8,MATCH(Main!C752,Dosen!$A$3:$A$8,0),IF(AND(Main!A752&gt;=1,Main!A752&lt;=250),1,IF(AND(Main!A752&gt;=251,Main!A752&lt;=500),2,IF(AND(Main!A752&gt;=501,Main!A752&lt;=750),3,4))))</f>
        <v>Bu Dwi</v>
      </c>
      <c r="W752" s="7" t="str">
        <f>_xlfn.XLOOKUP(B752,Detail!$G$1:$G$1001,Detail!$B$1:$B$1001)</f>
        <v>B-</v>
      </c>
    </row>
    <row r="753" spans="1:23" ht="15.75" x14ac:dyDescent="0.25">
      <c r="A753" s="7">
        <v>390</v>
      </c>
      <c r="B753" s="33" t="str">
        <f t="shared" si="43"/>
        <v>E0390</v>
      </c>
      <c r="C753" s="7" t="s">
        <v>1010</v>
      </c>
      <c r="D753" s="33" t="str">
        <f>VLOOKUP(B753,Detail!$G$1:$H$1001,2,FALSE)</f>
        <v>Setya Prayoga</v>
      </c>
      <c r="E753" s="7">
        <v>87</v>
      </c>
      <c r="F753" s="7">
        <v>52</v>
      </c>
      <c r="G753" s="57">
        <v>81</v>
      </c>
      <c r="H753" s="7">
        <v>69</v>
      </c>
      <c r="I753" s="7">
        <v>64</v>
      </c>
      <c r="J753" s="7">
        <v>96</v>
      </c>
      <c r="K753" s="7">
        <v>89</v>
      </c>
      <c r="L753" s="56" t="str">
        <f>IFERROR(VLOOKUP(B753,Absen!$A$1:$C$501,2,FALSE),"No")</f>
        <v>No</v>
      </c>
      <c r="M753" s="58">
        <f t="shared" si="40"/>
        <v>8.9</v>
      </c>
      <c r="N753" s="57">
        <f t="shared" si="41"/>
        <v>78.300000000000011</v>
      </c>
      <c r="O753" s="7" t="str">
        <f>VLOOKUP(N753,Helper!$B$30:$C$35,2,TRUE)</f>
        <v>B</v>
      </c>
      <c r="P753" s="56">
        <f>INDEX(Detail!$A$1:$A$1001,MATCH(B753,Detail!$G$1:$G$1001,0))</f>
        <v>37690</v>
      </c>
      <c r="Q753" s="33" t="str">
        <f>INDEX(Detail!$F$1:$F$1001,MATCH(Main!B753,Detail!$G$1:$G$1001,0))</f>
        <v>Meulaboh</v>
      </c>
      <c r="R753" s="7">
        <f>INDEX(Detail!$C$1:$C$1001,MATCH(B753,Detail!$G$1:$G$1001,0),1)</f>
        <v>158</v>
      </c>
      <c r="S753" s="7">
        <f>INDEX(Detail!$D$1:$D$1001,MATCH(B753,Detail!$G$1:$G$1001,0),1)</f>
        <v>64</v>
      </c>
      <c r="T753" s="7" t="str">
        <f>INDEX(Detail!$E$1:$E$1001,MATCH(Main!B753,Detail!$G$1:$G$1001,0))</f>
        <v>Gg. W.R. Supratman No. 58</v>
      </c>
      <c r="U753" s="7" t="str">
        <f>INDEX(Detail!$B$1:$B$1001,MATCH(B753,Detail!$G$1:$G$1001,0),1)</f>
        <v>B-</v>
      </c>
      <c r="V753" s="7" t="str" cm="1">
        <f t="array" ref="V753">INDEX(Dosen!$B$3:$E$8,MATCH(Main!C753,Dosen!$A$3:$A$8,0),IF(AND(Main!A753&gt;=1,Main!A753&lt;=250),1,IF(AND(Main!A753&gt;=251,Main!A753&lt;=500),2,IF(AND(Main!A753&gt;=501,Main!A753&lt;=750),3,4))))</f>
        <v>Bu Dwi</v>
      </c>
      <c r="W753" s="7" t="str">
        <f>_xlfn.XLOOKUP(B753,Detail!$G$1:$G$1001,Detail!$B$1:$B$1001)</f>
        <v>B-</v>
      </c>
    </row>
    <row r="754" spans="1:23" ht="15.75" x14ac:dyDescent="0.25">
      <c r="A754" s="7">
        <v>395</v>
      </c>
      <c r="B754" s="33" t="str">
        <f t="shared" si="43"/>
        <v>E0395</v>
      </c>
      <c r="C754" s="7" t="s">
        <v>1010</v>
      </c>
      <c r="D754" s="33" t="str">
        <f>VLOOKUP(B754,Detail!$G$1:$H$1001,2,FALSE)</f>
        <v>Bambang Nasyiah</v>
      </c>
      <c r="E754" s="7">
        <v>78</v>
      </c>
      <c r="F754" s="7">
        <v>63</v>
      </c>
      <c r="G754" s="57">
        <v>79</v>
      </c>
      <c r="H754" s="7">
        <v>74</v>
      </c>
      <c r="I754" s="7">
        <v>85</v>
      </c>
      <c r="J754" s="7">
        <v>60</v>
      </c>
      <c r="K754" s="7">
        <v>90</v>
      </c>
      <c r="L754" s="56">
        <f>IFERROR(VLOOKUP(B754,Absen!$A$1:$C$501,2,FALSE),"No")</f>
        <v>44803</v>
      </c>
      <c r="M754" s="58">
        <f t="shared" si="40"/>
        <v>8</v>
      </c>
      <c r="N754" s="57">
        <f t="shared" si="41"/>
        <v>73.3</v>
      </c>
      <c r="O754" s="7" t="str">
        <f>VLOOKUP(N754,Helper!$B$30:$C$35,2,TRUE)</f>
        <v>B</v>
      </c>
      <c r="P754" s="56">
        <f>INDEX(Detail!$A$1:$A$1001,MATCH(B754,Detail!$G$1:$G$1001,0))</f>
        <v>37593</v>
      </c>
      <c r="Q754" s="33" t="str">
        <f>INDEX(Detail!$F$1:$F$1001,MATCH(Main!B754,Detail!$G$1:$G$1001,0))</f>
        <v>Pematangsiantar</v>
      </c>
      <c r="R754" s="7">
        <f>INDEX(Detail!$C$1:$C$1001,MATCH(B754,Detail!$G$1:$G$1001,0),1)</f>
        <v>167</v>
      </c>
      <c r="S754" s="7">
        <f>INDEX(Detail!$D$1:$D$1001,MATCH(B754,Detail!$G$1:$G$1001,0),1)</f>
        <v>60</v>
      </c>
      <c r="T754" s="7" t="str">
        <f>INDEX(Detail!$E$1:$E$1001,MATCH(Main!B754,Detail!$G$1:$G$1001,0))</f>
        <v>Gang Jend. Sudirman No. 95</v>
      </c>
      <c r="U754" s="7" t="str">
        <f>INDEX(Detail!$B$1:$B$1001,MATCH(B754,Detail!$G$1:$G$1001,0),1)</f>
        <v>AB-</v>
      </c>
      <c r="V754" s="7" t="str" cm="1">
        <f t="array" ref="V754">INDEX(Dosen!$B$3:$E$8,MATCH(Main!C754,Dosen!$A$3:$A$8,0),IF(AND(Main!A754&gt;=1,Main!A754&lt;=250),1,IF(AND(Main!A754&gt;=251,Main!A754&lt;=500),2,IF(AND(Main!A754&gt;=501,Main!A754&lt;=750),3,4))))</f>
        <v>Bu Dwi</v>
      </c>
      <c r="W754" s="7" t="str">
        <f>_xlfn.XLOOKUP(B754,Detail!$G$1:$G$1001,Detail!$B$1:$B$1001)</f>
        <v>AB-</v>
      </c>
    </row>
    <row r="755" spans="1:23" ht="15.75" x14ac:dyDescent="0.25">
      <c r="A755" s="7">
        <v>402</v>
      </c>
      <c r="B755" s="33" t="str">
        <f t="shared" si="43"/>
        <v>E0402</v>
      </c>
      <c r="C755" s="7" t="s">
        <v>1010</v>
      </c>
      <c r="D755" s="33" t="str">
        <f>VLOOKUP(B755,Detail!$G$1:$H$1001,2,FALSE)</f>
        <v>Saiful Safitri</v>
      </c>
      <c r="E755" s="7">
        <v>93</v>
      </c>
      <c r="F755" s="7">
        <v>40</v>
      </c>
      <c r="G755" s="57">
        <v>60</v>
      </c>
      <c r="H755" s="7">
        <v>64</v>
      </c>
      <c r="I755" s="7">
        <v>71</v>
      </c>
      <c r="J755" s="7">
        <v>56</v>
      </c>
      <c r="K755" s="7">
        <v>76</v>
      </c>
      <c r="L755" s="56">
        <f>IFERROR(VLOOKUP(B755,Absen!$A$1:$C$501,2,FALSE),"No")</f>
        <v>44781</v>
      </c>
      <c r="M755" s="58">
        <f t="shared" si="40"/>
        <v>6.6000000000000005</v>
      </c>
      <c r="N755" s="57">
        <f t="shared" si="41"/>
        <v>63.300000000000004</v>
      </c>
      <c r="O755" s="7" t="str">
        <f>VLOOKUP(N755,Helper!$B$30:$C$35,2,TRUE)</f>
        <v>C</v>
      </c>
      <c r="P755" s="56">
        <f>INDEX(Detail!$A$1:$A$1001,MATCH(B755,Detail!$G$1:$G$1001,0))</f>
        <v>37219</v>
      </c>
      <c r="Q755" s="33" t="str">
        <f>INDEX(Detail!$F$1:$F$1001,MATCH(Main!B755,Detail!$G$1:$G$1001,0))</f>
        <v>Binjai</v>
      </c>
      <c r="R755" s="7">
        <f>INDEX(Detail!$C$1:$C$1001,MATCH(B755,Detail!$G$1:$G$1001,0),1)</f>
        <v>164</v>
      </c>
      <c r="S755" s="7">
        <f>INDEX(Detail!$D$1:$D$1001,MATCH(B755,Detail!$G$1:$G$1001,0),1)</f>
        <v>49</v>
      </c>
      <c r="T755" s="7" t="str">
        <f>INDEX(Detail!$E$1:$E$1001,MATCH(Main!B755,Detail!$G$1:$G$1001,0))</f>
        <v xml:space="preserve">Gang Rawamangun No. 2
</v>
      </c>
      <c r="U755" s="7" t="str">
        <f>INDEX(Detail!$B$1:$B$1001,MATCH(B755,Detail!$G$1:$G$1001,0),1)</f>
        <v>B-</v>
      </c>
      <c r="V755" s="7" t="str" cm="1">
        <f t="array" ref="V755">INDEX(Dosen!$B$3:$E$8,MATCH(Main!C755,Dosen!$A$3:$A$8,0),IF(AND(Main!A755&gt;=1,Main!A755&lt;=250),1,IF(AND(Main!A755&gt;=251,Main!A755&lt;=500),2,IF(AND(Main!A755&gt;=501,Main!A755&lt;=750),3,4))))</f>
        <v>Bu Dwi</v>
      </c>
      <c r="W755" s="7" t="str">
        <f>_xlfn.XLOOKUP(B755,Detail!$G$1:$G$1001,Detail!$B$1:$B$1001)</f>
        <v>B-</v>
      </c>
    </row>
    <row r="756" spans="1:23" ht="15.75" x14ac:dyDescent="0.25">
      <c r="A756" s="7">
        <v>409</v>
      </c>
      <c r="B756" s="33" t="str">
        <f t="shared" si="43"/>
        <v>E0409</v>
      </c>
      <c r="C756" s="7" t="s">
        <v>1010</v>
      </c>
      <c r="D756" s="33" t="str">
        <f>VLOOKUP(B756,Detail!$G$1:$H$1001,2,FALSE)</f>
        <v>Tina Pradipta</v>
      </c>
      <c r="E756" s="7">
        <v>82</v>
      </c>
      <c r="F756" s="7">
        <v>62</v>
      </c>
      <c r="G756" s="57">
        <v>75</v>
      </c>
      <c r="H756" s="7">
        <v>63</v>
      </c>
      <c r="I756" s="7">
        <v>71</v>
      </c>
      <c r="J756" s="7">
        <v>40</v>
      </c>
      <c r="K756" s="7">
        <v>80</v>
      </c>
      <c r="L756" s="56" t="str">
        <f>IFERROR(VLOOKUP(B756,Absen!$A$1:$C$501,2,FALSE),"No")</f>
        <v>No</v>
      </c>
      <c r="M756" s="58">
        <f t="shared" si="40"/>
        <v>8</v>
      </c>
      <c r="N756" s="57">
        <f t="shared" si="41"/>
        <v>65.75</v>
      </c>
      <c r="O756" s="7" t="str">
        <f>VLOOKUP(N756,Helper!$B$30:$C$35,2,TRUE)</f>
        <v>C</v>
      </c>
      <c r="P756" s="56">
        <f>INDEX(Detail!$A$1:$A$1001,MATCH(B756,Detail!$G$1:$G$1001,0))</f>
        <v>37672</v>
      </c>
      <c r="Q756" s="33" t="str">
        <f>INDEX(Detail!$F$1:$F$1001,MATCH(Main!B756,Detail!$G$1:$G$1001,0))</f>
        <v>Samarinda</v>
      </c>
      <c r="R756" s="7">
        <f>INDEX(Detail!$C$1:$C$1001,MATCH(B756,Detail!$G$1:$G$1001,0),1)</f>
        <v>171</v>
      </c>
      <c r="S756" s="7">
        <f>INDEX(Detail!$D$1:$D$1001,MATCH(B756,Detail!$G$1:$G$1001,0),1)</f>
        <v>59</v>
      </c>
      <c r="T756" s="7" t="str">
        <f>INDEX(Detail!$E$1:$E$1001,MATCH(Main!B756,Detail!$G$1:$G$1001,0))</f>
        <v xml:space="preserve">Jl. Suniaraja No. 3
</v>
      </c>
      <c r="U756" s="7" t="str">
        <f>INDEX(Detail!$B$1:$B$1001,MATCH(B756,Detail!$G$1:$G$1001,0),1)</f>
        <v>AB+</v>
      </c>
      <c r="V756" s="7" t="str" cm="1">
        <f t="array" ref="V756">INDEX(Dosen!$B$3:$E$8,MATCH(Main!C756,Dosen!$A$3:$A$8,0),IF(AND(Main!A756&gt;=1,Main!A756&lt;=250),1,IF(AND(Main!A756&gt;=251,Main!A756&lt;=500),2,IF(AND(Main!A756&gt;=501,Main!A756&lt;=750),3,4))))</f>
        <v>Bu Dwi</v>
      </c>
      <c r="W756" s="7" t="str">
        <f>_xlfn.XLOOKUP(B756,Detail!$G$1:$G$1001,Detail!$B$1:$B$1001)</f>
        <v>AB+</v>
      </c>
    </row>
    <row r="757" spans="1:23" ht="15.75" x14ac:dyDescent="0.25">
      <c r="A757" s="7">
        <v>419</v>
      </c>
      <c r="B757" s="33" t="str">
        <f t="shared" si="43"/>
        <v>E0419</v>
      </c>
      <c r="C757" s="7" t="s">
        <v>1010</v>
      </c>
      <c r="D757" s="33" t="str">
        <f>VLOOKUP(B757,Detail!$G$1:$H$1001,2,FALSE)</f>
        <v>Salwa Utama</v>
      </c>
      <c r="E757" s="7">
        <v>58</v>
      </c>
      <c r="F757" s="7">
        <v>69</v>
      </c>
      <c r="G757" s="57">
        <v>65</v>
      </c>
      <c r="H757" s="7">
        <v>72</v>
      </c>
      <c r="I757" s="7">
        <v>60</v>
      </c>
      <c r="J757" s="7">
        <v>54</v>
      </c>
      <c r="K757" s="7">
        <v>83</v>
      </c>
      <c r="L757" s="56">
        <f>IFERROR(VLOOKUP(B757,Absen!$A$1:$C$501,2,FALSE),"No")</f>
        <v>44917</v>
      </c>
      <c r="M757" s="58">
        <f t="shared" si="40"/>
        <v>7.3000000000000007</v>
      </c>
      <c r="N757" s="57">
        <f t="shared" si="41"/>
        <v>63.474999999999994</v>
      </c>
      <c r="O757" s="7" t="str">
        <f>VLOOKUP(N757,Helper!$B$30:$C$35,2,TRUE)</f>
        <v>C</v>
      </c>
      <c r="P757" s="56">
        <f>INDEX(Detail!$A$1:$A$1001,MATCH(B757,Detail!$G$1:$G$1001,0))</f>
        <v>37998</v>
      </c>
      <c r="Q757" s="33" t="str">
        <f>INDEX(Detail!$F$1:$F$1001,MATCH(Main!B757,Detail!$G$1:$G$1001,0))</f>
        <v>Subulussalam</v>
      </c>
      <c r="R757" s="7">
        <f>INDEX(Detail!$C$1:$C$1001,MATCH(B757,Detail!$G$1:$G$1001,0),1)</f>
        <v>153</v>
      </c>
      <c r="S757" s="7">
        <f>INDEX(Detail!$D$1:$D$1001,MATCH(B757,Detail!$G$1:$G$1001,0),1)</f>
        <v>48</v>
      </c>
      <c r="T757" s="7" t="str">
        <f>INDEX(Detail!$E$1:$E$1001,MATCH(Main!B757,Detail!$G$1:$G$1001,0))</f>
        <v>Jalan BKR No. 90</v>
      </c>
      <c r="U757" s="7" t="str">
        <f>INDEX(Detail!$B$1:$B$1001,MATCH(B757,Detail!$G$1:$G$1001,0),1)</f>
        <v>B+</v>
      </c>
      <c r="V757" s="7" t="str" cm="1">
        <f t="array" ref="V757">INDEX(Dosen!$B$3:$E$8,MATCH(Main!C757,Dosen!$A$3:$A$8,0),IF(AND(Main!A757&gt;=1,Main!A757&lt;=250),1,IF(AND(Main!A757&gt;=251,Main!A757&lt;=500),2,IF(AND(Main!A757&gt;=501,Main!A757&lt;=750),3,4))))</f>
        <v>Bu Dwi</v>
      </c>
      <c r="W757" s="7" t="str">
        <f>_xlfn.XLOOKUP(B757,Detail!$G$1:$G$1001,Detail!$B$1:$B$1001)</f>
        <v>B+</v>
      </c>
    </row>
    <row r="758" spans="1:23" ht="15.75" x14ac:dyDescent="0.25">
      <c r="A758" s="7">
        <v>429</v>
      </c>
      <c r="B758" s="33" t="str">
        <f t="shared" si="43"/>
        <v>E0429</v>
      </c>
      <c r="C758" s="7" t="s">
        <v>1010</v>
      </c>
      <c r="D758" s="33" t="str">
        <f>VLOOKUP(B758,Detail!$G$1:$H$1001,2,FALSE)</f>
        <v>Jumari Namaga</v>
      </c>
      <c r="E758" s="7">
        <v>70</v>
      </c>
      <c r="F758" s="7">
        <v>44</v>
      </c>
      <c r="G758" s="57">
        <v>42</v>
      </c>
      <c r="H758" s="7">
        <v>60</v>
      </c>
      <c r="I758" s="7">
        <v>70</v>
      </c>
      <c r="J758" s="7">
        <v>44</v>
      </c>
      <c r="K758" s="7">
        <v>94</v>
      </c>
      <c r="L758" s="56">
        <f>IFERROR(VLOOKUP(B758,Absen!$A$1:$C$501,2,FALSE),"No")</f>
        <v>44753</v>
      </c>
      <c r="M758" s="58">
        <f t="shared" si="40"/>
        <v>8.4</v>
      </c>
      <c r="N758" s="57">
        <f t="shared" si="41"/>
        <v>56.1</v>
      </c>
      <c r="O758" s="7" t="str">
        <f>VLOOKUP(N758,Helper!$B$30:$C$35,2,TRUE)</f>
        <v>D</v>
      </c>
      <c r="P758" s="56">
        <f>INDEX(Detail!$A$1:$A$1001,MATCH(B758,Detail!$G$1:$G$1001,0))</f>
        <v>38336</v>
      </c>
      <c r="Q758" s="33" t="str">
        <f>INDEX(Detail!$F$1:$F$1001,MATCH(Main!B758,Detail!$G$1:$G$1001,0))</f>
        <v>Banda Aceh</v>
      </c>
      <c r="R758" s="7">
        <f>INDEX(Detail!$C$1:$C$1001,MATCH(B758,Detail!$G$1:$G$1001,0),1)</f>
        <v>173</v>
      </c>
      <c r="S758" s="7">
        <f>INDEX(Detail!$D$1:$D$1001,MATCH(B758,Detail!$G$1:$G$1001,0),1)</f>
        <v>80</v>
      </c>
      <c r="T758" s="7" t="str">
        <f>INDEX(Detail!$E$1:$E$1001,MATCH(Main!B758,Detail!$G$1:$G$1001,0))</f>
        <v xml:space="preserve">Gang Kutai No. 8
</v>
      </c>
      <c r="U758" s="7" t="str">
        <f>INDEX(Detail!$B$1:$B$1001,MATCH(B758,Detail!$G$1:$G$1001,0),1)</f>
        <v>B+</v>
      </c>
      <c r="V758" s="7" t="str" cm="1">
        <f t="array" ref="V758">INDEX(Dosen!$B$3:$E$8,MATCH(Main!C758,Dosen!$A$3:$A$8,0),IF(AND(Main!A758&gt;=1,Main!A758&lt;=250),1,IF(AND(Main!A758&gt;=251,Main!A758&lt;=500),2,IF(AND(Main!A758&gt;=501,Main!A758&lt;=750),3,4))))</f>
        <v>Bu Dwi</v>
      </c>
      <c r="W758" s="7" t="str">
        <f>_xlfn.XLOOKUP(B758,Detail!$G$1:$G$1001,Detail!$B$1:$B$1001)</f>
        <v>B+</v>
      </c>
    </row>
    <row r="759" spans="1:23" ht="15.75" x14ac:dyDescent="0.25">
      <c r="A759" s="7">
        <v>433</v>
      </c>
      <c r="B759" s="33" t="str">
        <f t="shared" si="43"/>
        <v>E0433</v>
      </c>
      <c r="C759" s="7" t="s">
        <v>1010</v>
      </c>
      <c r="D759" s="33" t="str">
        <f>VLOOKUP(B759,Detail!$G$1:$H$1001,2,FALSE)</f>
        <v>Dwi Sihotang</v>
      </c>
      <c r="E759" s="7">
        <v>69</v>
      </c>
      <c r="F759" s="7">
        <v>54</v>
      </c>
      <c r="G759" s="57">
        <v>37</v>
      </c>
      <c r="H759" s="7">
        <v>74</v>
      </c>
      <c r="I759" s="7">
        <v>59</v>
      </c>
      <c r="J759" s="7">
        <v>60</v>
      </c>
      <c r="K759" s="7">
        <v>65</v>
      </c>
      <c r="L759" s="56" t="str">
        <f>IFERROR(VLOOKUP(B759,Absen!$A$1:$C$501,2,FALSE),"No")</f>
        <v>No</v>
      </c>
      <c r="M759" s="58">
        <f t="shared" si="40"/>
        <v>6.5</v>
      </c>
      <c r="N759" s="57">
        <f t="shared" si="41"/>
        <v>57.9</v>
      </c>
      <c r="O759" s="7" t="str">
        <f>VLOOKUP(N759,Helper!$B$30:$C$35,2,TRUE)</f>
        <v>D</v>
      </c>
      <c r="P759" s="56">
        <f>INDEX(Detail!$A$1:$A$1001,MATCH(B759,Detail!$G$1:$G$1001,0))</f>
        <v>37088</v>
      </c>
      <c r="Q759" s="33" t="str">
        <f>INDEX(Detail!$F$1:$F$1001,MATCH(Main!B759,Detail!$G$1:$G$1001,0))</f>
        <v>Bogor</v>
      </c>
      <c r="R759" s="7">
        <f>INDEX(Detail!$C$1:$C$1001,MATCH(B759,Detail!$G$1:$G$1001,0),1)</f>
        <v>160</v>
      </c>
      <c r="S759" s="7">
        <f>INDEX(Detail!$D$1:$D$1001,MATCH(B759,Detail!$G$1:$G$1001,0),1)</f>
        <v>95</v>
      </c>
      <c r="T759" s="7" t="str">
        <f>INDEX(Detail!$E$1:$E$1001,MATCH(Main!B759,Detail!$G$1:$G$1001,0))</f>
        <v>Gang Ir. H. Djuanda No. 36</v>
      </c>
      <c r="U759" s="7" t="str">
        <f>INDEX(Detail!$B$1:$B$1001,MATCH(B759,Detail!$G$1:$G$1001,0),1)</f>
        <v>B-</v>
      </c>
      <c r="V759" s="7" t="str" cm="1">
        <f t="array" ref="V759">INDEX(Dosen!$B$3:$E$8,MATCH(Main!C759,Dosen!$A$3:$A$8,0),IF(AND(Main!A759&gt;=1,Main!A759&lt;=250),1,IF(AND(Main!A759&gt;=251,Main!A759&lt;=500),2,IF(AND(Main!A759&gt;=501,Main!A759&lt;=750),3,4))))</f>
        <v>Bu Dwi</v>
      </c>
      <c r="W759" s="7" t="str">
        <f>_xlfn.XLOOKUP(B759,Detail!$G$1:$G$1001,Detail!$B$1:$B$1001)</f>
        <v>B-</v>
      </c>
    </row>
    <row r="760" spans="1:23" ht="15.75" x14ac:dyDescent="0.25">
      <c r="A760" s="7">
        <v>450</v>
      </c>
      <c r="B760" s="33" t="str">
        <f t="shared" si="43"/>
        <v>E0450</v>
      </c>
      <c r="C760" s="7" t="s">
        <v>1010</v>
      </c>
      <c r="D760" s="33" t="str">
        <f>VLOOKUP(B760,Detail!$G$1:$H$1001,2,FALSE)</f>
        <v>Baktiono Firgantoro</v>
      </c>
      <c r="E760" s="7">
        <v>73</v>
      </c>
      <c r="F760" s="7">
        <v>75</v>
      </c>
      <c r="G760" s="57">
        <v>81</v>
      </c>
      <c r="H760" s="7">
        <v>60</v>
      </c>
      <c r="I760" s="7">
        <v>78</v>
      </c>
      <c r="J760" s="7">
        <v>96</v>
      </c>
      <c r="K760" s="7">
        <v>82</v>
      </c>
      <c r="L760" s="56" t="str">
        <f>IFERROR(VLOOKUP(B760,Absen!$A$1:$C$501,2,FALSE),"No")</f>
        <v>No</v>
      </c>
      <c r="M760" s="58">
        <f t="shared" si="40"/>
        <v>8.2000000000000011</v>
      </c>
      <c r="N760" s="57">
        <f t="shared" si="41"/>
        <v>79.350000000000009</v>
      </c>
      <c r="O760" s="7" t="str">
        <f>VLOOKUP(N760,Helper!$B$30:$C$35,2,TRUE)</f>
        <v>B</v>
      </c>
      <c r="P760" s="56">
        <f>INDEX(Detail!$A$1:$A$1001,MATCH(B760,Detail!$G$1:$G$1001,0))</f>
        <v>38434</v>
      </c>
      <c r="Q760" s="33" t="str">
        <f>INDEX(Detail!$F$1:$F$1001,MATCH(Main!B760,Detail!$G$1:$G$1001,0))</f>
        <v>Denpasar</v>
      </c>
      <c r="R760" s="7">
        <f>INDEX(Detail!$C$1:$C$1001,MATCH(B760,Detail!$G$1:$G$1001,0),1)</f>
        <v>171</v>
      </c>
      <c r="S760" s="7">
        <f>INDEX(Detail!$D$1:$D$1001,MATCH(B760,Detail!$G$1:$G$1001,0),1)</f>
        <v>48</v>
      </c>
      <c r="T760" s="7" t="str">
        <f>INDEX(Detail!$E$1:$E$1001,MATCH(Main!B760,Detail!$G$1:$G$1001,0))</f>
        <v>Jl. Moch. Ramdan No. 35</v>
      </c>
      <c r="U760" s="7" t="str">
        <f>INDEX(Detail!$B$1:$B$1001,MATCH(B760,Detail!$G$1:$G$1001,0),1)</f>
        <v>A+</v>
      </c>
      <c r="V760" s="7" t="str" cm="1">
        <f t="array" ref="V760">INDEX(Dosen!$B$3:$E$8,MATCH(Main!C760,Dosen!$A$3:$A$8,0),IF(AND(Main!A760&gt;=1,Main!A760&lt;=250),1,IF(AND(Main!A760&gt;=251,Main!A760&lt;=500),2,IF(AND(Main!A760&gt;=501,Main!A760&lt;=750),3,4))))</f>
        <v>Bu Dwi</v>
      </c>
      <c r="W760" s="7" t="str">
        <f>_xlfn.XLOOKUP(B760,Detail!$G$1:$G$1001,Detail!$B$1:$B$1001)</f>
        <v>A+</v>
      </c>
    </row>
    <row r="761" spans="1:23" ht="15.75" x14ac:dyDescent="0.25">
      <c r="A761" s="7">
        <v>452</v>
      </c>
      <c r="B761" s="33" t="str">
        <f t="shared" si="43"/>
        <v>E0452</v>
      </c>
      <c r="C761" s="7" t="s">
        <v>1010</v>
      </c>
      <c r="D761" s="33" t="str">
        <f>VLOOKUP(B761,Detail!$G$1:$H$1001,2,FALSE)</f>
        <v>Darmanto Damanik</v>
      </c>
      <c r="E761" s="7">
        <v>81</v>
      </c>
      <c r="F761" s="7">
        <v>61</v>
      </c>
      <c r="G761" s="57">
        <v>64</v>
      </c>
      <c r="H761" s="7">
        <v>56</v>
      </c>
      <c r="I761" s="7">
        <v>71</v>
      </c>
      <c r="J761" s="7">
        <v>83</v>
      </c>
      <c r="K761" s="7">
        <v>77</v>
      </c>
      <c r="L761" s="56">
        <f>IFERROR(VLOOKUP(B761,Absen!$A$1:$C$501,2,FALSE),"No")</f>
        <v>44881</v>
      </c>
      <c r="M761" s="58">
        <f t="shared" si="40"/>
        <v>6.7</v>
      </c>
      <c r="N761" s="57">
        <f t="shared" si="41"/>
        <v>69.724999999999994</v>
      </c>
      <c r="O761" s="7" t="str">
        <f>VLOOKUP(N761,Helper!$B$30:$C$35,2,TRUE)</f>
        <v>C</v>
      </c>
      <c r="P761" s="56">
        <f>INDEX(Detail!$A$1:$A$1001,MATCH(B761,Detail!$G$1:$G$1001,0))</f>
        <v>37907</v>
      </c>
      <c r="Q761" s="33" t="str">
        <f>INDEX(Detail!$F$1:$F$1001,MATCH(Main!B761,Detail!$G$1:$G$1001,0))</f>
        <v>Yogyakarta</v>
      </c>
      <c r="R761" s="7">
        <f>INDEX(Detail!$C$1:$C$1001,MATCH(B761,Detail!$G$1:$G$1001,0),1)</f>
        <v>169</v>
      </c>
      <c r="S761" s="7">
        <f>INDEX(Detail!$D$1:$D$1001,MATCH(B761,Detail!$G$1:$G$1001,0),1)</f>
        <v>70</v>
      </c>
      <c r="T761" s="7" t="str">
        <f>INDEX(Detail!$E$1:$E$1001,MATCH(Main!B761,Detail!$G$1:$G$1001,0))</f>
        <v>Jalan Otto Iskandardinata No. 30</v>
      </c>
      <c r="U761" s="7" t="str">
        <f>INDEX(Detail!$B$1:$B$1001,MATCH(B761,Detail!$G$1:$G$1001,0),1)</f>
        <v>O-</v>
      </c>
      <c r="V761" s="7" t="str" cm="1">
        <f t="array" ref="V761">INDEX(Dosen!$B$3:$E$8,MATCH(Main!C761,Dosen!$A$3:$A$8,0),IF(AND(Main!A761&gt;=1,Main!A761&lt;=250),1,IF(AND(Main!A761&gt;=251,Main!A761&lt;=500),2,IF(AND(Main!A761&gt;=501,Main!A761&lt;=750),3,4))))</f>
        <v>Bu Dwi</v>
      </c>
      <c r="W761" s="7" t="str">
        <f>_xlfn.XLOOKUP(B761,Detail!$G$1:$G$1001,Detail!$B$1:$B$1001)</f>
        <v>O-</v>
      </c>
    </row>
    <row r="762" spans="1:23" ht="15.75" x14ac:dyDescent="0.25">
      <c r="A762" s="7">
        <v>459</v>
      </c>
      <c r="B762" s="33" t="str">
        <f t="shared" si="43"/>
        <v>E0459</v>
      </c>
      <c r="C762" s="7" t="s">
        <v>1010</v>
      </c>
      <c r="D762" s="33" t="str">
        <f>VLOOKUP(B762,Detail!$G$1:$H$1001,2,FALSE)</f>
        <v>Muhammad Thamrin</v>
      </c>
      <c r="E762" s="7">
        <v>79</v>
      </c>
      <c r="F762" s="7">
        <v>51</v>
      </c>
      <c r="G762" s="57">
        <v>53</v>
      </c>
      <c r="H762" s="7">
        <v>59</v>
      </c>
      <c r="I762" s="7">
        <v>68</v>
      </c>
      <c r="J762" s="7">
        <v>45</v>
      </c>
      <c r="K762" s="7">
        <v>99</v>
      </c>
      <c r="L762" s="56">
        <f>IFERROR(VLOOKUP(B762,Absen!$A$1:$C$501,2,FALSE),"No")</f>
        <v>44781</v>
      </c>
      <c r="M762" s="58">
        <f t="shared" si="40"/>
        <v>8.9</v>
      </c>
      <c r="N762" s="57">
        <f t="shared" si="41"/>
        <v>60.625</v>
      </c>
      <c r="O762" s="7" t="str">
        <f>VLOOKUP(N762,Helper!$B$30:$C$35,2,TRUE)</f>
        <v>C</v>
      </c>
      <c r="P762" s="56">
        <f>INDEX(Detail!$A$1:$A$1001,MATCH(B762,Detail!$G$1:$G$1001,0))</f>
        <v>37500</v>
      </c>
      <c r="Q762" s="33" t="str">
        <f>INDEX(Detail!$F$1:$F$1001,MATCH(Main!B762,Detail!$G$1:$G$1001,0))</f>
        <v>Palu</v>
      </c>
      <c r="R762" s="7">
        <f>INDEX(Detail!$C$1:$C$1001,MATCH(B762,Detail!$G$1:$G$1001,0),1)</f>
        <v>160</v>
      </c>
      <c r="S762" s="7">
        <f>INDEX(Detail!$D$1:$D$1001,MATCH(B762,Detail!$G$1:$G$1001,0),1)</f>
        <v>90</v>
      </c>
      <c r="T762" s="7" t="str">
        <f>INDEX(Detail!$E$1:$E$1001,MATCH(Main!B762,Detail!$G$1:$G$1001,0))</f>
        <v>Gg. Gardujati No. 57</v>
      </c>
      <c r="U762" s="7" t="str">
        <f>INDEX(Detail!$B$1:$B$1001,MATCH(B762,Detail!$G$1:$G$1001,0),1)</f>
        <v>AB-</v>
      </c>
      <c r="V762" s="7" t="str" cm="1">
        <f t="array" ref="V762">INDEX(Dosen!$B$3:$E$8,MATCH(Main!C762,Dosen!$A$3:$A$8,0),IF(AND(Main!A762&gt;=1,Main!A762&lt;=250),1,IF(AND(Main!A762&gt;=251,Main!A762&lt;=500),2,IF(AND(Main!A762&gt;=501,Main!A762&lt;=750),3,4))))</f>
        <v>Bu Dwi</v>
      </c>
      <c r="W762" s="7" t="str">
        <f>_xlfn.XLOOKUP(B762,Detail!$G$1:$G$1001,Detail!$B$1:$B$1001)</f>
        <v>AB-</v>
      </c>
    </row>
    <row r="763" spans="1:23" ht="15.75" x14ac:dyDescent="0.25">
      <c r="A763" s="7">
        <v>462</v>
      </c>
      <c r="B763" s="33" t="str">
        <f t="shared" si="43"/>
        <v>E0462</v>
      </c>
      <c r="C763" s="7" t="s">
        <v>1010</v>
      </c>
      <c r="D763" s="33" t="str">
        <f>VLOOKUP(B763,Detail!$G$1:$H$1001,2,FALSE)</f>
        <v>Ifa Setiawan</v>
      </c>
      <c r="E763" s="7">
        <v>85</v>
      </c>
      <c r="F763" s="7">
        <v>53</v>
      </c>
      <c r="G763" s="57">
        <v>47</v>
      </c>
      <c r="H763" s="7">
        <v>57</v>
      </c>
      <c r="I763" s="7">
        <v>71</v>
      </c>
      <c r="J763" s="7">
        <v>68</v>
      </c>
      <c r="K763" s="7">
        <v>75</v>
      </c>
      <c r="L763" s="56" t="str">
        <f>IFERROR(VLOOKUP(B763,Absen!$A$1:$C$501,2,FALSE),"No")</f>
        <v>No</v>
      </c>
      <c r="M763" s="58">
        <f t="shared" si="40"/>
        <v>7.5</v>
      </c>
      <c r="N763" s="57">
        <f t="shared" si="41"/>
        <v>63.75</v>
      </c>
      <c r="O763" s="7" t="str">
        <f>VLOOKUP(N763,Helper!$B$30:$C$35,2,TRUE)</f>
        <v>C</v>
      </c>
      <c r="P763" s="56">
        <f>INDEX(Detail!$A$1:$A$1001,MATCH(B763,Detail!$G$1:$G$1001,0))</f>
        <v>37910</v>
      </c>
      <c r="Q763" s="33" t="str">
        <f>INDEX(Detail!$F$1:$F$1001,MATCH(Main!B763,Detail!$G$1:$G$1001,0))</f>
        <v>Bitung</v>
      </c>
      <c r="R763" s="7">
        <f>INDEX(Detail!$C$1:$C$1001,MATCH(B763,Detail!$G$1:$G$1001,0),1)</f>
        <v>158</v>
      </c>
      <c r="S763" s="7">
        <f>INDEX(Detail!$D$1:$D$1001,MATCH(B763,Detail!$G$1:$G$1001,0),1)</f>
        <v>63</v>
      </c>
      <c r="T763" s="7" t="str">
        <f>INDEX(Detail!$E$1:$E$1001,MATCH(Main!B763,Detail!$G$1:$G$1001,0))</f>
        <v xml:space="preserve">Jl. W.R. Supratman No. 0
</v>
      </c>
      <c r="U763" s="7" t="str">
        <f>INDEX(Detail!$B$1:$B$1001,MATCH(B763,Detail!$G$1:$G$1001,0),1)</f>
        <v>O+</v>
      </c>
      <c r="V763" s="7" t="str" cm="1">
        <f t="array" ref="V763">INDEX(Dosen!$B$3:$E$8,MATCH(Main!C763,Dosen!$A$3:$A$8,0),IF(AND(Main!A763&gt;=1,Main!A763&lt;=250),1,IF(AND(Main!A763&gt;=251,Main!A763&lt;=500),2,IF(AND(Main!A763&gt;=501,Main!A763&lt;=750),3,4))))</f>
        <v>Bu Dwi</v>
      </c>
      <c r="W763" s="7" t="str">
        <f>_xlfn.XLOOKUP(B763,Detail!$G$1:$G$1001,Detail!$B$1:$B$1001)</f>
        <v>O+</v>
      </c>
    </row>
    <row r="764" spans="1:23" ht="15.75" x14ac:dyDescent="0.25">
      <c r="A764" s="7">
        <v>464</v>
      </c>
      <c r="B764" s="33" t="str">
        <f t="shared" si="43"/>
        <v>E0464</v>
      </c>
      <c r="C764" s="7" t="s">
        <v>1010</v>
      </c>
      <c r="D764" s="33" t="str">
        <f>VLOOKUP(B764,Detail!$G$1:$H$1001,2,FALSE)</f>
        <v>Julia Kusmawati</v>
      </c>
      <c r="E764" s="7">
        <v>86</v>
      </c>
      <c r="F764" s="7">
        <v>52</v>
      </c>
      <c r="G764" s="57">
        <v>69</v>
      </c>
      <c r="H764" s="7">
        <v>65</v>
      </c>
      <c r="I764" s="7">
        <v>63</v>
      </c>
      <c r="J764" s="7">
        <v>67</v>
      </c>
      <c r="K764" s="7">
        <v>64</v>
      </c>
      <c r="L764" s="56">
        <f>IFERROR(VLOOKUP(B764,Absen!$A$1:$C$501,2,FALSE),"No")</f>
        <v>44789</v>
      </c>
      <c r="M764" s="58">
        <f t="shared" si="40"/>
        <v>5.4</v>
      </c>
      <c r="N764" s="57">
        <f t="shared" si="41"/>
        <v>65.849999999999994</v>
      </c>
      <c r="O764" s="7" t="str">
        <f>VLOOKUP(N764,Helper!$B$30:$C$35,2,TRUE)</f>
        <v>C</v>
      </c>
      <c r="P764" s="56">
        <f>INDEX(Detail!$A$1:$A$1001,MATCH(B764,Detail!$G$1:$G$1001,0))</f>
        <v>37718</v>
      </c>
      <c r="Q764" s="33" t="str">
        <f>INDEX(Detail!$F$1:$F$1001,MATCH(Main!B764,Detail!$G$1:$G$1001,0))</f>
        <v>Kotamobagu</v>
      </c>
      <c r="R764" s="7">
        <f>INDEX(Detail!$C$1:$C$1001,MATCH(B764,Detail!$G$1:$G$1001,0),1)</f>
        <v>152</v>
      </c>
      <c r="S764" s="7">
        <f>INDEX(Detail!$D$1:$D$1001,MATCH(B764,Detail!$G$1:$G$1001,0),1)</f>
        <v>92</v>
      </c>
      <c r="T764" s="7" t="str">
        <f>INDEX(Detail!$E$1:$E$1001,MATCH(Main!B764,Detail!$G$1:$G$1001,0))</f>
        <v>Jl. Merdeka No. 40</v>
      </c>
      <c r="U764" s="7" t="str">
        <f>INDEX(Detail!$B$1:$B$1001,MATCH(B764,Detail!$G$1:$G$1001,0),1)</f>
        <v>A+</v>
      </c>
      <c r="V764" s="7" t="str" cm="1">
        <f t="array" ref="V764">INDEX(Dosen!$B$3:$E$8,MATCH(Main!C764,Dosen!$A$3:$A$8,0),IF(AND(Main!A764&gt;=1,Main!A764&lt;=250),1,IF(AND(Main!A764&gt;=251,Main!A764&lt;=500),2,IF(AND(Main!A764&gt;=501,Main!A764&lt;=750),3,4))))</f>
        <v>Bu Dwi</v>
      </c>
      <c r="W764" s="7" t="str">
        <f>_xlfn.XLOOKUP(B764,Detail!$G$1:$G$1001,Detail!$B$1:$B$1001)</f>
        <v>A+</v>
      </c>
    </row>
    <row r="765" spans="1:23" ht="15.75" x14ac:dyDescent="0.25">
      <c r="A765" s="7">
        <v>469</v>
      </c>
      <c r="B765" s="33" t="str">
        <f t="shared" si="43"/>
        <v>E0469</v>
      </c>
      <c r="C765" s="7" t="s">
        <v>1010</v>
      </c>
      <c r="D765" s="33" t="str">
        <f>VLOOKUP(B765,Detail!$G$1:$H$1001,2,FALSE)</f>
        <v>Jaswadi Rahayu</v>
      </c>
      <c r="E765" s="7">
        <v>60</v>
      </c>
      <c r="F765" s="7">
        <v>49</v>
      </c>
      <c r="G765" s="57">
        <v>81</v>
      </c>
      <c r="H765" s="7">
        <v>54</v>
      </c>
      <c r="I765" s="7">
        <v>58</v>
      </c>
      <c r="J765" s="7">
        <v>44</v>
      </c>
      <c r="K765" s="7">
        <v>91</v>
      </c>
      <c r="L765" s="56">
        <f>IFERROR(VLOOKUP(B765,Absen!$A$1:$C$501,2,FALSE),"No")</f>
        <v>44777</v>
      </c>
      <c r="M765" s="58">
        <f t="shared" si="40"/>
        <v>8.1</v>
      </c>
      <c r="N765" s="57">
        <f t="shared" si="41"/>
        <v>60.725000000000001</v>
      </c>
      <c r="O765" s="7" t="str">
        <f>VLOOKUP(N765,Helper!$B$30:$C$35,2,TRUE)</f>
        <v>C</v>
      </c>
      <c r="P765" s="56">
        <f>INDEX(Detail!$A$1:$A$1001,MATCH(B765,Detail!$G$1:$G$1001,0))</f>
        <v>37806</v>
      </c>
      <c r="Q765" s="33" t="str">
        <f>INDEX(Detail!$F$1:$F$1001,MATCH(Main!B765,Detail!$G$1:$G$1001,0))</f>
        <v>Payakumbuh</v>
      </c>
      <c r="R765" s="7">
        <f>INDEX(Detail!$C$1:$C$1001,MATCH(B765,Detail!$G$1:$G$1001,0),1)</f>
        <v>168</v>
      </c>
      <c r="S765" s="7">
        <f>INDEX(Detail!$D$1:$D$1001,MATCH(B765,Detail!$G$1:$G$1001,0),1)</f>
        <v>47</v>
      </c>
      <c r="T765" s="7" t="str">
        <f>INDEX(Detail!$E$1:$E$1001,MATCH(Main!B765,Detail!$G$1:$G$1001,0))</f>
        <v>Jalan Raya Ujungberung No. 34</v>
      </c>
      <c r="U765" s="7" t="str">
        <f>INDEX(Detail!$B$1:$B$1001,MATCH(B765,Detail!$G$1:$G$1001,0),1)</f>
        <v>O+</v>
      </c>
      <c r="V765" s="7" t="str" cm="1">
        <f t="array" ref="V765">INDEX(Dosen!$B$3:$E$8,MATCH(Main!C765,Dosen!$A$3:$A$8,0),IF(AND(Main!A765&gt;=1,Main!A765&lt;=250),1,IF(AND(Main!A765&gt;=251,Main!A765&lt;=500),2,IF(AND(Main!A765&gt;=501,Main!A765&lt;=750),3,4))))</f>
        <v>Bu Dwi</v>
      </c>
      <c r="W765" s="7" t="str">
        <f>_xlfn.XLOOKUP(B765,Detail!$G$1:$G$1001,Detail!$B$1:$B$1001)</f>
        <v>O+</v>
      </c>
    </row>
    <row r="766" spans="1:23" ht="15.75" x14ac:dyDescent="0.25">
      <c r="A766" s="7">
        <v>478</v>
      </c>
      <c r="B766" s="33" t="str">
        <f t="shared" si="43"/>
        <v>E0478</v>
      </c>
      <c r="C766" s="7" t="s">
        <v>1010</v>
      </c>
      <c r="D766" s="33" t="str">
        <f>VLOOKUP(B766,Detail!$G$1:$H$1001,2,FALSE)</f>
        <v>Mursita Sirait</v>
      </c>
      <c r="E766" s="7">
        <v>82</v>
      </c>
      <c r="F766" s="7">
        <v>73</v>
      </c>
      <c r="G766" s="57">
        <v>91</v>
      </c>
      <c r="H766" s="7">
        <v>57</v>
      </c>
      <c r="I766" s="7">
        <v>60</v>
      </c>
      <c r="J766" s="7">
        <v>75</v>
      </c>
      <c r="K766" s="7">
        <v>73</v>
      </c>
      <c r="L766" s="56" t="str">
        <f>IFERROR(VLOOKUP(B766,Absen!$A$1:$C$501,2,FALSE),"No")</f>
        <v>No</v>
      </c>
      <c r="M766" s="58">
        <f t="shared" si="40"/>
        <v>7.3000000000000007</v>
      </c>
      <c r="N766" s="57">
        <f t="shared" si="41"/>
        <v>74.5</v>
      </c>
      <c r="O766" s="7" t="str">
        <f>VLOOKUP(N766,Helper!$B$30:$C$35,2,TRUE)</f>
        <v>B</v>
      </c>
      <c r="P766" s="56">
        <f>INDEX(Detail!$A$1:$A$1001,MATCH(B766,Detail!$G$1:$G$1001,0))</f>
        <v>37618</v>
      </c>
      <c r="Q766" s="33" t="str">
        <f>INDEX(Detail!$F$1:$F$1001,MATCH(Main!B766,Detail!$G$1:$G$1001,0))</f>
        <v>Sibolga</v>
      </c>
      <c r="R766" s="7">
        <f>INDEX(Detail!$C$1:$C$1001,MATCH(B766,Detail!$G$1:$G$1001,0),1)</f>
        <v>159</v>
      </c>
      <c r="S766" s="7">
        <f>INDEX(Detail!$D$1:$D$1001,MATCH(B766,Detail!$G$1:$G$1001,0),1)</f>
        <v>68</v>
      </c>
      <c r="T766" s="7" t="str">
        <f>INDEX(Detail!$E$1:$E$1001,MATCH(Main!B766,Detail!$G$1:$G$1001,0))</f>
        <v>Gang Ronggowarsito No. 54</v>
      </c>
      <c r="U766" s="7" t="str">
        <f>INDEX(Detail!$B$1:$B$1001,MATCH(B766,Detail!$G$1:$G$1001,0),1)</f>
        <v>O+</v>
      </c>
      <c r="V766" s="7" t="str" cm="1">
        <f t="array" ref="V766">INDEX(Dosen!$B$3:$E$8,MATCH(Main!C766,Dosen!$A$3:$A$8,0),IF(AND(Main!A766&gt;=1,Main!A766&lt;=250),1,IF(AND(Main!A766&gt;=251,Main!A766&lt;=500),2,IF(AND(Main!A766&gt;=501,Main!A766&lt;=750),3,4))))</f>
        <v>Bu Dwi</v>
      </c>
      <c r="W766" s="7" t="str">
        <f>_xlfn.XLOOKUP(B766,Detail!$G$1:$G$1001,Detail!$B$1:$B$1001)</f>
        <v>O+</v>
      </c>
    </row>
    <row r="767" spans="1:23" ht="15.75" x14ac:dyDescent="0.25">
      <c r="A767" s="7">
        <v>492</v>
      </c>
      <c r="B767" s="33" t="str">
        <f t="shared" si="43"/>
        <v>E0492</v>
      </c>
      <c r="C767" s="7" t="s">
        <v>1010</v>
      </c>
      <c r="D767" s="33" t="str">
        <f>VLOOKUP(B767,Detail!$G$1:$H$1001,2,FALSE)</f>
        <v>Halim Hakim</v>
      </c>
      <c r="E767" s="7">
        <v>65</v>
      </c>
      <c r="F767" s="7">
        <v>70</v>
      </c>
      <c r="G767" s="57">
        <v>39</v>
      </c>
      <c r="H767" s="7">
        <v>53</v>
      </c>
      <c r="I767" s="7">
        <v>77</v>
      </c>
      <c r="J767" s="7">
        <v>87</v>
      </c>
      <c r="K767" s="7">
        <v>68</v>
      </c>
      <c r="L767" s="56">
        <f>IFERROR(VLOOKUP(B767,Absen!$A$1:$C$501,2,FALSE),"No")</f>
        <v>44812</v>
      </c>
      <c r="M767" s="58">
        <f t="shared" si="40"/>
        <v>5.8000000000000007</v>
      </c>
      <c r="N767" s="57">
        <f t="shared" si="41"/>
        <v>64.125</v>
      </c>
      <c r="O767" s="7" t="str">
        <f>VLOOKUP(N767,Helper!$B$30:$C$35,2,TRUE)</f>
        <v>C</v>
      </c>
      <c r="P767" s="56">
        <f>INDEX(Detail!$A$1:$A$1001,MATCH(B767,Detail!$G$1:$G$1001,0))</f>
        <v>38273</v>
      </c>
      <c r="Q767" s="33" t="str">
        <f>INDEX(Detail!$F$1:$F$1001,MATCH(Main!B767,Detail!$G$1:$G$1001,0))</f>
        <v>Banjarbaru</v>
      </c>
      <c r="R767" s="7">
        <f>INDEX(Detail!$C$1:$C$1001,MATCH(B767,Detail!$G$1:$G$1001,0),1)</f>
        <v>163</v>
      </c>
      <c r="S767" s="7">
        <f>INDEX(Detail!$D$1:$D$1001,MATCH(B767,Detail!$G$1:$G$1001,0),1)</f>
        <v>89</v>
      </c>
      <c r="T767" s="7" t="str">
        <f>INDEX(Detail!$E$1:$E$1001,MATCH(Main!B767,Detail!$G$1:$G$1001,0))</f>
        <v>Jl. Sukajadi No. 74</v>
      </c>
      <c r="U767" s="7" t="str">
        <f>INDEX(Detail!$B$1:$B$1001,MATCH(B767,Detail!$G$1:$G$1001,0),1)</f>
        <v>B-</v>
      </c>
      <c r="V767" s="7" t="str" cm="1">
        <f t="array" ref="V767">INDEX(Dosen!$B$3:$E$8,MATCH(Main!C767,Dosen!$A$3:$A$8,0),IF(AND(Main!A767&gt;=1,Main!A767&lt;=250),1,IF(AND(Main!A767&gt;=251,Main!A767&lt;=500),2,IF(AND(Main!A767&gt;=501,Main!A767&lt;=750),3,4))))</f>
        <v>Bu Dwi</v>
      </c>
      <c r="W767" s="7" t="str">
        <f>_xlfn.XLOOKUP(B767,Detail!$G$1:$G$1001,Detail!$B$1:$B$1001)</f>
        <v>B-</v>
      </c>
    </row>
    <row r="768" spans="1:23" ht="15.75" x14ac:dyDescent="0.25">
      <c r="A768" s="7">
        <v>499</v>
      </c>
      <c r="B768" s="33" t="str">
        <f t="shared" si="43"/>
        <v>E0499</v>
      </c>
      <c r="C768" s="7" t="s">
        <v>1010</v>
      </c>
      <c r="D768" s="33" t="str">
        <f>VLOOKUP(B768,Detail!$G$1:$H$1001,2,FALSE)</f>
        <v>Dacin Yulianti</v>
      </c>
      <c r="E768" s="7">
        <v>68</v>
      </c>
      <c r="F768" s="7">
        <v>53</v>
      </c>
      <c r="G768" s="57">
        <v>70</v>
      </c>
      <c r="H768" s="7">
        <v>57</v>
      </c>
      <c r="I768" s="7">
        <v>62</v>
      </c>
      <c r="J768" s="7">
        <v>68</v>
      </c>
      <c r="K768" s="7">
        <v>71</v>
      </c>
      <c r="L768" s="56" t="str">
        <f>IFERROR(VLOOKUP(B768,Absen!$A$1:$C$501,2,FALSE),"No")</f>
        <v>No</v>
      </c>
      <c r="M768" s="58">
        <f t="shared" si="40"/>
        <v>7.1000000000000005</v>
      </c>
      <c r="N768" s="57">
        <f t="shared" si="41"/>
        <v>64.7</v>
      </c>
      <c r="O768" s="7" t="str">
        <f>VLOOKUP(N768,Helper!$B$30:$C$35,2,TRUE)</f>
        <v>C</v>
      </c>
      <c r="P768" s="56">
        <f>INDEX(Detail!$A$1:$A$1001,MATCH(B768,Detail!$G$1:$G$1001,0))</f>
        <v>37385</v>
      </c>
      <c r="Q768" s="33" t="str">
        <f>INDEX(Detail!$F$1:$F$1001,MATCH(Main!B768,Detail!$G$1:$G$1001,0))</f>
        <v>Bandar Lampung</v>
      </c>
      <c r="R768" s="7">
        <f>INDEX(Detail!$C$1:$C$1001,MATCH(B768,Detail!$G$1:$G$1001,0),1)</f>
        <v>156</v>
      </c>
      <c r="S768" s="7">
        <f>INDEX(Detail!$D$1:$D$1001,MATCH(B768,Detail!$G$1:$G$1001,0),1)</f>
        <v>85</v>
      </c>
      <c r="T768" s="7" t="str">
        <f>INDEX(Detail!$E$1:$E$1001,MATCH(Main!B768,Detail!$G$1:$G$1001,0))</f>
        <v xml:space="preserve">Gg. Moch. Ramdan No. 8
</v>
      </c>
      <c r="U768" s="7" t="str">
        <f>INDEX(Detail!$B$1:$B$1001,MATCH(B768,Detail!$G$1:$G$1001,0),1)</f>
        <v>A-</v>
      </c>
      <c r="V768" s="7" t="str" cm="1">
        <f t="array" ref="V768">INDEX(Dosen!$B$3:$E$8,MATCH(Main!C768,Dosen!$A$3:$A$8,0),IF(AND(Main!A768&gt;=1,Main!A768&lt;=250),1,IF(AND(Main!A768&gt;=251,Main!A768&lt;=500),2,IF(AND(Main!A768&gt;=501,Main!A768&lt;=750),3,4))))</f>
        <v>Bu Dwi</v>
      </c>
      <c r="W768" s="7" t="str">
        <f>_xlfn.XLOOKUP(B768,Detail!$G$1:$G$1001,Detail!$B$1:$B$1001)</f>
        <v>A-</v>
      </c>
    </row>
    <row r="769" spans="1:23" ht="15.75" x14ac:dyDescent="0.25">
      <c r="A769" s="7">
        <v>504</v>
      </c>
      <c r="B769" s="33" t="str">
        <f t="shared" si="43"/>
        <v>E0504</v>
      </c>
      <c r="C769" s="7" t="s">
        <v>1010</v>
      </c>
      <c r="D769" s="33" t="str">
        <f>VLOOKUP(B769,Detail!$G$1:$H$1001,2,FALSE)</f>
        <v>Paiman Santoso</v>
      </c>
      <c r="E769" s="7">
        <v>69</v>
      </c>
      <c r="F769" s="7">
        <v>54</v>
      </c>
      <c r="G769" s="57">
        <v>49</v>
      </c>
      <c r="H769" s="7">
        <v>58</v>
      </c>
      <c r="I769" s="7">
        <v>68</v>
      </c>
      <c r="J769" s="7">
        <v>53</v>
      </c>
      <c r="K769" s="7">
        <v>94</v>
      </c>
      <c r="L769" s="56" t="str">
        <f>IFERROR(VLOOKUP(B769,Absen!$A$1:$C$501,2,FALSE),"No")</f>
        <v>No</v>
      </c>
      <c r="M769" s="58">
        <f t="shared" si="40"/>
        <v>9.4</v>
      </c>
      <c r="N769" s="57">
        <f t="shared" si="41"/>
        <v>60.924999999999997</v>
      </c>
      <c r="O769" s="7" t="str">
        <f>VLOOKUP(N769,Helper!$B$30:$C$35,2,TRUE)</f>
        <v>C</v>
      </c>
      <c r="P769" s="56">
        <f>INDEX(Detail!$A$1:$A$1001,MATCH(B769,Detail!$G$1:$G$1001,0))</f>
        <v>37137</v>
      </c>
      <c r="Q769" s="33" t="str">
        <f>INDEX(Detail!$F$1:$F$1001,MATCH(Main!B769,Detail!$G$1:$G$1001,0))</f>
        <v>Banda Aceh</v>
      </c>
      <c r="R769" s="7">
        <f>INDEX(Detail!$C$1:$C$1001,MATCH(B769,Detail!$G$1:$G$1001,0),1)</f>
        <v>162</v>
      </c>
      <c r="S769" s="7">
        <f>INDEX(Detail!$D$1:$D$1001,MATCH(B769,Detail!$G$1:$G$1001,0),1)</f>
        <v>46</v>
      </c>
      <c r="T769" s="7" t="str">
        <f>INDEX(Detail!$E$1:$E$1001,MATCH(Main!B769,Detail!$G$1:$G$1001,0))</f>
        <v>Jl. Otto Iskandardinata No. 35</v>
      </c>
      <c r="U769" s="7" t="str">
        <f>INDEX(Detail!$B$1:$B$1001,MATCH(B769,Detail!$G$1:$G$1001,0),1)</f>
        <v>AB+</v>
      </c>
      <c r="V769" s="7" t="str" cm="1">
        <f t="array" ref="V769">INDEX(Dosen!$B$3:$E$8,MATCH(Main!C769,Dosen!$A$3:$A$8,0),IF(AND(Main!A769&gt;=1,Main!A769&lt;=250),1,IF(AND(Main!A769&gt;=251,Main!A769&lt;=500),2,IF(AND(Main!A769&gt;=501,Main!A769&lt;=750),3,4))))</f>
        <v>Pak Budi</v>
      </c>
      <c r="W769" s="7" t="str">
        <f>_xlfn.XLOOKUP(B769,Detail!$G$1:$G$1001,Detail!$B$1:$B$1001)</f>
        <v>AB+</v>
      </c>
    </row>
    <row r="770" spans="1:23" ht="15.75" x14ac:dyDescent="0.25">
      <c r="A770" s="7">
        <v>509</v>
      </c>
      <c r="B770" s="33" t="str">
        <f t="shared" si="43"/>
        <v>E0509</v>
      </c>
      <c r="C770" s="7" t="s">
        <v>1010</v>
      </c>
      <c r="D770" s="33" t="str">
        <f>VLOOKUP(B770,Detail!$G$1:$H$1001,2,FALSE)</f>
        <v>Cakrabuana Pranowo</v>
      </c>
      <c r="E770" s="7">
        <v>93</v>
      </c>
      <c r="F770" s="7">
        <v>41</v>
      </c>
      <c r="G770" s="57">
        <v>70</v>
      </c>
      <c r="H770" s="7">
        <v>65</v>
      </c>
      <c r="I770" s="7">
        <v>50</v>
      </c>
      <c r="J770" s="7">
        <v>58</v>
      </c>
      <c r="K770" s="7">
        <v>76</v>
      </c>
      <c r="L770" s="56">
        <f>IFERROR(VLOOKUP(B770,Absen!$A$1:$C$501,2,FALSE),"No")</f>
        <v>44889</v>
      </c>
      <c r="M770" s="58">
        <f t="shared" ref="M770:M833" si="44">IF(L770="no",K770,K770-10)*10%</f>
        <v>6.6000000000000005</v>
      </c>
      <c r="N770" s="57">
        <f t="shared" ref="N770:N833" si="45">SUM(E770*12.5%,F770*12.5%,H770*12.5%,I770*12.5%,G770*20%,J770*20%,M770)</f>
        <v>63.325000000000003</v>
      </c>
      <c r="O770" s="7" t="str">
        <f>VLOOKUP(N770,Helper!$B$30:$C$35,2,TRUE)</f>
        <v>C</v>
      </c>
      <c r="P770" s="56">
        <f>INDEX(Detail!$A$1:$A$1001,MATCH(B770,Detail!$G$1:$G$1001,0))</f>
        <v>38359</v>
      </c>
      <c r="Q770" s="33" t="str">
        <f>INDEX(Detail!$F$1:$F$1001,MATCH(Main!B770,Detail!$G$1:$G$1001,0))</f>
        <v>Manado</v>
      </c>
      <c r="R770" s="7">
        <f>INDEX(Detail!$C$1:$C$1001,MATCH(B770,Detail!$G$1:$G$1001,0),1)</f>
        <v>175</v>
      </c>
      <c r="S770" s="7">
        <f>INDEX(Detail!$D$1:$D$1001,MATCH(B770,Detail!$G$1:$G$1001,0),1)</f>
        <v>50</v>
      </c>
      <c r="T770" s="7" t="str">
        <f>INDEX(Detail!$E$1:$E$1001,MATCH(Main!B770,Detail!$G$1:$G$1001,0))</f>
        <v xml:space="preserve">Gang Asia Afrika No. 8
</v>
      </c>
      <c r="U770" s="7" t="str">
        <f>INDEX(Detail!$B$1:$B$1001,MATCH(B770,Detail!$G$1:$G$1001,0),1)</f>
        <v>AB+</v>
      </c>
      <c r="V770" s="7" t="str" cm="1">
        <f t="array" ref="V770">INDEX(Dosen!$B$3:$E$8,MATCH(Main!C770,Dosen!$A$3:$A$8,0),IF(AND(Main!A770&gt;=1,Main!A770&lt;=250),1,IF(AND(Main!A770&gt;=251,Main!A770&lt;=500),2,IF(AND(Main!A770&gt;=501,Main!A770&lt;=750),3,4))))</f>
        <v>Pak Budi</v>
      </c>
      <c r="W770" s="7" t="str">
        <f>_xlfn.XLOOKUP(B770,Detail!$G$1:$G$1001,Detail!$B$1:$B$1001)</f>
        <v>AB+</v>
      </c>
    </row>
    <row r="771" spans="1:23" ht="15.75" x14ac:dyDescent="0.25">
      <c r="A771" s="7">
        <v>519</v>
      </c>
      <c r="B771" s="33" t="str">
        <f t="shared" si="43"/>
        <v>E0519</v>
      </c>
      <c r="C771" s="7" t="s">
        <v>1010</v>
      </c>
      <c r="D771" s="33" t="str">
        <f>VLOOKUP(B771,Detail!$G$1:$H$1001,2,FALSE)</f>
        <v>Raditya Marpaung</v>
      </c>
      <c r="E771" s="7">
        <v>71</v>
      </c>
      <c r="F771" s="7">
        <v>43</v>
      </c>
      <c r="G771" s="57">
        <v>77</v>
      </c>
      <c r="H771" s="7">
        <v>72</v>
      </c>
      <c r="I771" s="7">
        <v>84</v>
      </c>
      <c r="J771" s="7">
        <v>71</v>
      </c>
      <c r="K771" s="7">
        <v>76</v>
      </c>
      <c r="L771" s="56" t="str">
        <f>IFERROR(VLOOKUP(B771,Absen!$A$1:$C$501,2,FALSE),"No")</f>
        <v>No</v>
      </c>
      <c r="M771" s="58">
        <f t="shared" si="44"/>
        <v>7.6000000000000005</v>
      </c>
      <c r="N771" s="57">
        <f t="shared" si="45"/>
        <v>70.95</v>
      </c>
      <c r="O771" s="7" t="str">
        <f>VLOOKUP(N771,Helper!$B$30:$C$35,2,TRUE)</f>
        <v>B</v>
      </c>
      <c r="P771" s="56">
        <f>INDEX(Detail!$A$1:$A$1001,MATCH(B771,Detail!$G$1:$G$1001,0))</f>
        <v>37149</v>
      </c>
      <c r="Q771" s="33" t="str">
        <f>INDEX(Detail!$F$1:$F$1001,MATCH(Main!B771,Detail!$G$1:$G$1001,0))</f>
        <v>Bandung</v>
      </c>
      <c r="R771" s="7">
        <f>INDEX(Detail!$C$1:$C$1001,MATCH(B771,Detail!$G$1:$G$1001,0),1)</f>
        <v>170</v>
      </c>
      <c r="S771" s="7">
        <f>INDEX(Detail!$D$1:$D$1001,MATCH(B771,Detail!$G$1:$G$1001,0),1)</f>
        <v>50</v>
      </c>
      <c r="T771" s="7" t="str">
        <f>INDEX(Detail!$E$1:$E$1001,MATCH(Main!B771,Detail!$G$1:$G$1001,0))</f>
        <v>Gang Cikapayang No. 69</v>
      </c>
      <c r="U771" s="7" t="str">
        <f>INDEX(Detail!$B$1:$B$1001,MATCH(B771,Detail!$G$1:$G$1001,0),1)</f>
        <v>O-</v>
      </c>
      <c r="V771" s="7" t="str" cm="1">
        <f t="array" ref="V771">INDEX(Dosen!$B$3:$E$8,MATCH(Main!C771,Dosen!$A$3:$A$8,0),IF(AND(Main!A771&gt;=1,Main!A771&lt;=250),1,IF(AND(Main!A771&gt;=251,Main!A771&lt;=500),2,IF(AND(Main!A771&gt;=501,Main!A771&lt;=750),3,4))))</f>
        <v>Pak Budi</v>
      </c>
      <c r="W771" s="7" t="str">
        <f>_xlfn.XLOOKUP(B771,Detail!$G$1:$G$1001,Detail!$B$1:$B$1001)</f>
        <v>O-</v>
      </c>
    </row>
    <row r="772" spans="1:23" ht="15.75" x14ac:dyDescent="0.25">
      <c r="A772" s="7">
        <v>520</v>
      </c>
      <c r="B772" s="33" t="str">
        <f t="shared" si="43"/>
        <v>E0520</v>
      </c>
      <c r="C772" s="7" t="s">
        <v>1010</v>
      </c>
      <c r="D772" s="33" t="str">
        <f>VLOOKUP(B772,Detail!$G$1:$H$1001,2,FALSE)</f>
        <v>Salimah Wastuti</v>
      </c>
      <c r="E772" s="7">
        <v>60</v>
      </c>
      <c r="F772" s="7">
        <v>52</v>
      </c>
      <c r="G772" s="57">
        <v>44</v>
      </c>
      <c r="H772" s="7">
        <v>60</v>
      </c>
      <c r="I772" s="7">
        <v>85</v>
      </c>
      <c r="J772" s="7">
        <v>93</v>
      </c>
      <c r="K772" s="7">
        <v>85</v>
      </c>
      <c r="L772" s="56">
        <f>IFERROR(VLOOKUP(B772,Absen!$A$1:$C$501,2,FALSE),"No")</f>
        <v>44770</v>
      </c>
      <c r="M772" s="58">
        <f t="shared" si="44"/>
        <v>7.5</v>
      </c>
      <c r="N772" s="57">
        <f t="shared" si="45"/>
        <v>67.025000000000006</v>
      </c>
      <c r="O772" s="7" t="str">
        <f>VLOOKUP(N772,Helper!$B$30:$C$35,2,TRUE)</f>
        <v>C</v>
      </c>
      <c r="P772" s="56">
        <f>INDEX(Detail!$A$1:$A$1001,MATCH(B772,Detail!$G$1:$G$1001,0))</f>
        <v>38124</v>
      </c>
      <c r="Q772" s="33" t="str">
        <f>INDEX(Detail!$F$1:$F$1001,MATCH(Main!B772,Detail!$G$1:$G$1001,0))</f>
        <v>Sukabumi</v>
      </c>
      <c r="R772" s="7">
        <f>INDEX(Detail!$C$1:$C$1001,MATCH(B772,Detail!$G$1:$G$1001,0),1)</f>
        <v>166</v>
      </c>
      <c r="S772" s="7">
        <f>INDEX(Detail!$D$1:$D$1001,MATCH(B772,Detail!$G$1:$G$1001,0),1)</f>
        <v>46</v>
      </c>
      <c r="T772" s="7" t="str">
        <f>INDEX(Detail!$E$1:$E$1001,MATCH(Main!B772,Detail!$G$1:$G$1001,0))</f>
        <v>Gang Kendalsari No. 87</v>
      </c>
      <c r="U772" s="7" t="str">
        <f>INDEX(Detail!$B$1:$B$1001,MATCH(B772,Detail!$G$1:$G$1001,0),1)</f>
        <v>B+</v>
      </c>
      <c r="V772" s="7" t="str" cm="1">
        <f t="array" ref="V772">INDEX(Dosen!$B$3:$E$8,MATCH(Main!C772,Dosen!$A$3:$A$8,0),IF(AND(Main!A772&gt;=1,Main!A772&lt;=250),1,IF(AND(Main!A772&gt;=251,Main!A772&lt;=500),2,IF(AND(Main!A772&gt;=501,Main!A772&lt;=750),3,4))))</f>
        <v>Pak Budi</v>
      </c>
      <c r="W772" s="7" t="str">
        <f>_xlfn.XLOOKUP(B772,Detail!$G$1:$G$1001,Detail!$B$1:$B$1001)</f>
        <v>B+</v>
      </c>
    </row>
    <row r="773" spans="1:23" ht="15.75" x14ac:dyDescent="0.25">
      <c r="A773" s="7">
        <v>522</v>
      </c>
      <c r="B773" s="33" t="str">
        <f t="shared" si="43"/>
        <v>E0522</v>
      </c>
      <c r="C773" s="7" t="s">
        <v>1010</v>
      </c>
      <c r="D773" s="33" t="str">
        <f>VLOOKUP(B773,Detail!$G$1:$H$1001,2,FALSE)</f>
        <v>Rosman Susanti</v>
      </c>
      <c r="E773" s="7">
        <v>88</v>
      </c>
      <c r="F773" s="7">
        <v>42</v>
      </c>
      <c r="G773" s="57">
        <v>60</v>
      </c>
      <c r="H773" s="7">
        <v>62</v>
      </c>
      <c r="I773" s="7">
        <v>69</v>
      </c>
      <c r="J773" s="7">
        <v>62</v>
      </c>
      <c r="K773" s="7">
        <v>67</v>
      </c>
      <c r="L773" s="56">
        <f>IFERROR(VLOOKUP(B773,Absen!$A$1:$C$501,2,FALSE),"No")</f>
        <v>44841</v>
      </c>
      <c r="M773" s="58">
        <f t="shared" si="44"/>
        <v>5.7</v>
      </c>
      <c r="N773" s="57">
        <f t="shared" si="45"/>
        <v>62.725000000000001</v>
      </c>
      <c r="O773" s="7" t="str">
        <f>VLOOKUP(N773,Helper!$B$30:$C$35,2,TRUE)</f>
        <v>C</v>
      </c>
      <c r="P773" s="56">
        <f>INDEX(Detail!$A$1:$A$1001,MATCH(B773,Detail!$G$1:$G$1001,0))</f>
        <v>37681</v>
      </c>
      <c r="Q773" s="33" t="str">
        <f>INDEX(Detail!$F$1:$F$1001,MATCH(Main!B773,Detail!$G$1:$G$1001,0))</f>
        <v>Depok</v>
      </c>
      <c r="R773" s="7">
        <f>INDEX(Detail!$C$1:$C$1001,MATCH(B773,Detail!$G$1:$G$1001,0),1)</f>
        <v>162</v>
      </c>
      <c r="S773" s="7">
        <f>INDEX(Detail!$D$1:$D$1001,MATCH(B773,Detail!$G$1:$G$1001,0),1)</f>
        <v>49</v>
      </c>
      <c r="T773" s="7" t="str">
        <f>INDEX(Detail!$E$1:$E$1001,MATCH(Main!B773,Detail!$G$1:$G$1001,0))</f>
        <v>Jl. Otto Iskandardinata No. 46</v>
      </c>
      <c r="U773" s="7" t="str">
        <f>INDEX(Detail!$B$1:$B$1001,MATCH(B773,Detail!$G$1:$G$1001,0),1)</f>
        <v>A-</v>
      </c>
      <c r="V773" s="7" t="str" cm="1">
        <f t="array" ref="V773">INDEX(Dosen!$B$3:$E$8,MATCH(Main!C773,Dosen!$A$3:$A$8,0),IF(AND(Main!A773&gt;=1,Main!A773&lt;=250),1,IF(AND(Main!A773&gt;=251,Main!A773&lt;=500),2,IF(AND(Main!A773&gt;=501,Main!A773&lt;=750),3,4))))</f>
        <v>Pak Budi</v>
      </c>
      <c r="W773" s="7" t="str">
        <f>_xlfn.XLOOKUP(B773,Detail!$G$1:$G$1001,Detail!$B$1:$B$1001)</f>
        <v>A-</v>
      </c>
    </row>
    <row r="774" spans="1:23" ht="15.75" x14ac:dyDescent="0.25">
      <c r="A774" s="7">
        <v>540</v>
      </c>
      <c r="B774" s="33" t="str">
        <f t="shared" si="43"/>
        <v>E0540</v>
      </c>
      <c r="C774" s="7" t="s">
        <v>1010</v>
      </c>
      <c r="D774" s="33" t="str">
        <f>VLOOKUP(B774,Detail!$G$1:$H$1001,2,FALSE)</f>
        <v>Nugraha Natsir</v>
      </c>
      <c r="E774" s="7">
        <v>54</v>
      </c>
      <c r="F774" s="7">
        <v>48</v>
      </c>
      <c r="G774" s="57">
        <v>71</v>
      </c>
      <c r="H774" s="7">
        <v>72</v>
      </c>
      <c r="I774" s="7">
        <v>61</v>
      </c>
      <c r="J774" s="7">
        <v>68</v>
      </c>
      <c r="K774" s="7">
        <v>95</v>
      </c>
      <c r="L774" s="56">
        <f>IFERROR(VLOOKUP(B774,Absen!$A$1:$C$501,2,FALSE),"No")</f>
        <v>44878</v>
      </c>
      <c r="M774" s="58">
        <f t="shared" si="44"/>
        <v>8.5</v>
      </c>
      <c r="N774" s="57">
        <f t="shared" si="45"/>
        <v>65.675000000000011</v>
      </c>
      <c r="O774" s="7" t="str">
        <f>VLOOKUP(N774,Helper!$B$30:$C$35,2,TRUE)</f>
        <v>C</v>
      </c>
      <c r="P774" s="56">
        <f>INDEX(Detail!$A$1:$A$1001,MATCH(B774,Detail!$G$1:$G$1001,0))</f>
        <v>38028</v>
      </c>
      <c r="Q774" s="33" t="str">
        <f>INDEX(Detail!$F$1:$F$1001,MATCH(Main!B774,Detail!$G$1:$G$1001,0))</f>
        <v>Tomohon</v>
      </c>
      <c r="R774" s="7">
        <f>INDEX(Detail!$C$1:$C$1001,MATCH(B774,Detail!$G$1:$G$1001,0),1)</f>
        <v>171</v>
      </c>
      <c r="S774" s="7">
        <f>INDEX(Detail!$D$1:$D$1001,MATCH(B774,Detail!$G$1:$G$1001,0),1)</f>
        <v>73</v>
      </c>
      <c r="T774" s="7" t="str">
        <f>INDEX(Detail!$E$1:$E$1001,MATCH(Main!B774,Detail!$G$1:$G$1001,0))</f>
        <v>Gg. Joyoboyo No. 02</v>
      </c>
      <c r="U774" s="7" t="str">
        <f>INDEX(Detail!$B$1:$B$1001,MATCH(B774,Detail!$G$1:$G$1001,0),1)</f>
        <v>O-</v>
      </c>
      <c r="V774" s="7" t="str" cm="1">
        <f t="array" ref="V774">INDEX(Dosen!$B$3:$E$8,MATCH(Main!C774,Dosen!$A$3:$A$8,0),IF(AND(Main!A774&gt;=1,Main!A774&lt;=250),1,IF(AND(Main!A774&gt;=251,Main!A774&lt;=500),2,IF(AND(Main!A774&gt;=501,Main!A774&lt;=750),3,4))))</f>
        <v>Pak Budi</v>
      </c>
      <c r="W774" s="7" t="str">
        <f>_xlfn.XLOOKUP(B774,Detail!$G$1:$G$1001,Detail!$B$1:$B$1001)</f>
        <v>O-</v>
      </c>
    </row>
    <row r="775" spans="1:23" ht="15.75" x14ac:dyDescent="0.25">
      <c r="A775" s="7">
        <v>543</v>
      </c>
      <c r="B775" s="33" t="str">
        <f t="shared" ref="B775:B806" si="46">CONCATENATE("E",TEXT(A775,"0000"))</f>
        <v>E0543</v>
      </c>
      <c r="C775" s="7" t="s">
        <v>1010</v>
      </c>
      <c r="D775" s="33" t="str">
        <f>VLOOKUP(B775,Detail!$G$1:$H$1001,2,FALSE)</f>
        <v>Lembah Nababan</v>
      </c>
      <c r="E775" s="7">
        <v>70</v>
      </c>
      <c r="F775" s="7">
        <v>73</v>
      </c>
      <c r="G775" s="57">
        <v>92</v>
      </c>
      <c r="H775" s="7">
        <v>50</v>
      </c>
      <c r="I775" s="7">
        <v>79</v>
      </c>
      <c r="J775" s="7">
        <v>49</v>
      </c>
      <c r="K775" s="7">
        <v>66</v>
      </c>
      <c r="L775" s="56">
        <f>IFERROR(VLOOKUP(B775,Absen!$A$1:$C$501,2,FALSE),"No")</f>
        <v>44763</v>
      </c>
      <c r="M775" s="58">
        <f t="shared" si="44"/>
        <v>5.6000000000000005</v>
      </c>
      <c r="N775" s="57">
        <f t="shared" si="45"/>
        <v>67.8</v>
      </c>
      <c r="O775" s="7" t="str">
        <f>VLOOKUP(N775,Helper!$B$30:$C$35,2,TRUE)</f>
        <v>C</v>
      </c>
      <c r="P775" s="56">
        <f>INDEX(Detail!$A$1:$A$1001,MATCH(B775,Detail!$G$1:$G$1001,0))</f>
        <v>37140</v>
      </c>
      <c r="Q775" s="33" t="str">
        <f>INDEX(Detail!$F$1:$F$1001,MATCH(Main!B775,Detail!$G$1:$G$1001,0))</f>
        <v>Pangkalpinang</v>
      </c>
      <c r="R775" s="7">
        <f>INDEX(Detail!$C$1:$C$1001,MATCH(B775,Detail!$G$1:$G$1001,0),1)</f>
        <v>178</v>
      </c>
      <c r="S775" s="7">
        <f>INDEX(Detail!$D$1:$D$1001,MATCH(B775,Detail!$G$1:$G$1001,0),1)</f>
        <v>91</v>
      </c>
      <c r="T775" s="7" t="str">
        <f>INDEX(Detail!$E$1:$E$1001,MATCH(Main!B775,Detail!$G$1:$G$1001,0))</f>
        <v xml:space="preserve">Gg. M.H Thamrin No. 8
</v>
      </c>
      <c r="U775" s="7" t="str">
        <f>INDEX(Detail!$B$1:$B$1001,MATCH(B775,Detail!$G$1:$G$1001,0),1)</f>
        <v>AB-</v>
      </c>
      <c r="V775" s="7" t="str" cm="1">
        <f t="array" ref="V775">INDEX(Dosen!$B$3:$E$8,MATCH(Main!C775,Dosen!$A$3:$A$8,0),IF(AND(Main!A775&gt;=1,Main!A775&lt;=250),1,IF(AND(Main!A775&gt;=251,Main!A775&lt;=500),2,IF(AND(Main!A775&gt;=501,Main!A775&lt;=750),3,4))))</f>
        <v>Pak Budi</v>
      </c>
      <c r="W775" s="7" t="str">
        <f>_xlfn.XLOOKUP(B775,Detail!$G$1:$G$1001,Detail!$B$1:$B$1001)</f>
        <v>AB-</v>
      </c>
    </row>
    <row r="776" spans="1:23" ht="15.75" x14ac:dyDescent="0.25">
      <c r="A776" s="7">
        <v>544</v>
      </c>
      <c r="B776" s="33" t="str">
        <f t="shared" si="46"/>
        <v>E0544</v>
      </c>
      <c r="C776" s="7" t="s">
        <v>1010</v>
      </c>
      <c r="D776" s="33" t="str">
        <f>VLOOKUP(B776,Detail!$G$1:$H$1001,2,FALSE)</f>
        <v>Ifa Yolanda</v>
      </c>
      <c r="E776" s="7">
        <v>69</v>
      </c>
      <c r="F776" s="7">
        <v>75</v>
      </c>
      <c r="G776" s="57">
        <v>52</v>
      </c>
      <c r="H776" s="7">
        <v>72</v>
      </c>
      <c r="I776" s="7">
        <v>90</v>
      </c>
      <c r="J776" s="7">
        <v>42</v>
      </c>
      <c r="K776" s="7">
        <v>76</v>
      </c>
      <c r="L776" s="56" t="str">
        <f>IFERROR(VLOOKUP(B776,Absen!$A$1:$C$501,2,FALSE),"No")</f>
        <v>No</v>
      </c>
      <c r="M776" s="58">
        <f t="shared" si="44"/>
        <v>7.6000000000000005</v>
      </c>
      <c r="N776" s="57">
        <f t="shared" si="45"/>
        <v>64.649999999999991</v>
      </c>
      <c r="O776" s="7" t="str">
        <f>VLOOKUP(N776,Helper!$B$30:$C$35,2,TRUE)</f>
        <v>C</v>
      </c>
      <c r="P776" s="56">
        <f>INDEX(Detail!$A$1:$A$1001,MATCH(B776,Detail!$G$1:$G$1001,0))</f>
        <v>38092</v>
      </c>
      <c r="Q776" s="33" t="str">
        <f>INDEX(Detail!$F$1:$F$1001,MATCH(Main!B776,Detail!$G$1:$G$1001,0))</f>
        <v>Madiun</v>
      </c>
      <c r="R776" s="7">
        <f>INDEX(Detail!$C$1:$C$1001,MATCH(B776,Detail!$G$1:$G$1001,0),1)</f>
        <v>171</v>
      </c>
      <c r="S776" s="7">
        <f>INDEX(Detail!$D$1:$D$1001,MATCH(B776,Detail!$G$1:$G$1001,0),1)</f>
        <v>62</v>
      </c>
      <c r="T776" s="7" t="str">
        <f>INDEX(Detail!$E$1:$E$1001,MATCH(Main!B776,Detail!$G$1:$G$1001,0))</f>
        <v xml:space="preserve">Jl. Astana Anyar No. 9
</v>
      </c>
      <c r="U776" s="7" t="str">
        <f>INDEX(Detail!$B$1:$B$1001,MATCH(B776,Detail!$G$1:$G$1001,0),1)</f>
        <v>A-</v>
      </c>
      <c r="V776" s="7" t="str" cm="1">
        <f t="array" ref="V776">INDEX(Dosen!$B$3:$E$8,MATCH(Main!C776,Dosen!$A$3:$A$8,0),IF(AND(Main!A776&gt;=1,Main!A776&lt;=250),1,IF(AND(Main!A776&gt;=251,Main!A776&lt;=500),2,IF(AND(Main!A776&gt;=501,Main!A776&lt;=750),3,4))))</f>
        <v>Pak Budi</v>
      </c>
      <c r="W776" s="7" t="str">
        <f>_xlfn.XLOOKUP(B776,Detail!$G$1:$G$1001,Detail!$B$1:$B$1001)</f>
        <v>A-</v>
      </c>
    </row>
    <row r="777" spans="1:23" ht="15.75" x14ac:dyDescent="0.25">
      <c r="A777" s="7">
        <v>549</v>
      </c>
      <c r="B777" s="33" t="str">
        <f t="shared" si="46"/>
        <v>E0549</v>
      </c>
      <c r="C777" s="7" t="s">
        <v>1010</v>
      </c>
      <c r="D777" s="33" t="str">
        <f>VLOOKUP(B777,Detail!$G$1:$H$1001,2,FALSE)</f>
        <v>Adiarja Zulaika</v>
      </c>
      <c r="E777" s="7">
        <v>95</v>
      </c>
      <c r="F777" s="7">
        <v>53</v>
      </c>
      <c r="G777" s="57">
        <v>93</v>
      </c>
      <c r="H777" s="7">
        <v>64</v>
      </c>
      <c r="I777" s="7">
        <v>59</v>
      </c>
      <c r="J777" s="7">
        <v>76</v>
      </c>
      <c r="K777" s="7">
        <v>95</v>
      </c>
      <c r="L777" s="56" t="str">
        <f>IFERROR(VLOOKUP(B777,Absen!$A$1:$C$501,2,FALSE),"No")</f>
        <v>No</v>
      </c>
      <c r="M777" s="58">
        <f t="shared" si="44"/>
        <v>9.5</v>
      </c>
      <c r="N777" s="57">
        <f t="shared" si="45"/>
        <v>77.174999999999997</v>
      </c>
      <c r="O777" s="7" t="str">
        <f>VLOOKUP(N777,Helper!$B$30:$C$35,2,TRUE)</f>
        <v>B</v>
      </c>
      <c r="P777" s="56">
        <f>INDEX(Detail!$A$1:$A$1001,MATCH(B777,Detail!$G$1:$G$1001,0))</f>
        <v>37449</v>
      </c>
      <c r="Q777" s="33" t="str">
        <f>INDEX(Detail!$F$1:$F$1001,MATCH(Main!B777,Detail!$G$1:$G$1001,0))</f>
        <v>Cimahi</v>
      </c>
      <c r="R777" s="7">
        <f>INDEX(Detail!$C$1:$C$1001,MATCH(B777,Detail!$G$1:$G$1001,0),1)</f>
        <v>167</v>
      </c>
      <c r="S777" s="7">
        <f>INDEX(Detail!$D$1:$D$1001,MATCH(B777,Detail!$G$1:$G$1001,0),1)</f>
        <v>45</v>
      </c>
      <c r="T777" s="7" t="str">
        <f>INDEX(Detail!$E$1:$E$1001,MATCH(Main!B777,Detail!$G$1:$G$1001,0))</f>
        <v xml:space="preserve">Gg. Pasirkoja No. 5
</v>
      </c>
      <c r="U777" s="7" t="str">
        <f>INDEX(Detail!$B$1:$B$1001,MATCH(B777,Detail!$G$1:$G$1001,0),1)</f>
        <v>B+</v>
      </c>
      <c r="V777" s="7" t="str" cm="1">
        <f t="array" ref="V777">INDEX(Dosen!$B$3:$E$8,MATCH(Main!C777,Dosen!$A$3:$A$8,0),IF(AND(Main!A777&gt;=1,Main!A777&lt;=250),1,IF(AND(Main!A777&gt;=251,Main!A777&lt;=500),2,IF(AND(Main!A777&gt;=501,Main!A777&lt;=750),3,4))))</f>
        <v>Pak Budi</v>
      </c>
      <c r="W777" s="7" t="str">
        <f>_xlfn.XLOOKUP(B777,Detail!$G$1:$G$1001,Detail!$B$1:$B$1001)</f>
        <v>B+</v>
      </c>
    </row>
    <row r="778" spans="1:23" ht="15.75" x14ac:dyDescent="0.25">
      <c r="A778" s="7">
        <v>556</v>
      </c>
      <c r="B778" s="33" t="str">
        <f t="shared" si="46"/>
        <v>E0556</v>
      </c>
      <c r="C778" s="7" t="s">
        <v>1010</v>
      </c>
      <c r="D778" s="33" t="str">
        <f>VLOOKUP(B778,Detail!$G$1:$H$1001,2,FALSE)</f>
        <v>Bancar Siregar</v>
      </c>
      <c r="E778" s="7">
        <v>82</v>
      </c>
      <c r="F778" s="7">
        <v>42</v>
      </c>
      <c r="G778" s="57">
        <v>50</v>
      </c>
      <c r="H778" s="7">
        <v>50</v>
      </c>
      <c r="I778" s="7">
        <v>71</v>
      </c>
      <c r="J778" s="7">
        <v>79</v>
      </c>
      <c r="K778" s="7">
        <v>77</v>
      </c>
      <c r="L778" s="56" t="str">
        <f>IFERROR(VLOOKUP(B778,Absen!$A$1:$C$501,2,FALSE),"No")</f>
        <v>No</v>
      </c>
      <c r="M778" s="58">
        <f t="shared" si="44"/>
        <v>7.7</v>
      </c>
      <c r="N778" s="57">
        <f t="shared" si="45"/>
        <v>64.125</v>
      </c>
      <c r="O778" s="7" t="str">
        <f>VLOOKUP(N778,Helper!$B$30:$C$35,2,TRUE)</f>
        <v>C</v>
      </c>
      <c r="P778" s="56">
        <f>INDEX(Detail!$A$1:$A$1001,MATCH(B778,Detail!$G$1:$G$1001,0))</f>
        <v>38024</v>
      </c>
      <c r="Q778" s="33" t="str">
        <f>INDEX(Detail!$F$1:$F$1001,MATCH(Main!B778,Detail!$G$1:$G$1001,0))</f>
        <v>Subulussalam</v>
      </c>
      <c r="R778" s="7">
        <f>INDEX(Detail!$C$1:$C$1001,MATCH(B778,Detail!$G$1:$G$1001,0),1)</f>
        <v>170</v>
      </c>
      <c r="S778" s="7">
        <f>INDEX(Detail!$D$1:$D$1001,MATCH(B778,Detail!$G$1:$G$1001,0),1)</f>
        <v>63</v>
      </c>
      <c r="T778" s="7" t="str">
        <f>INDEX(Detail!$E$1:$E$1001,MATCH(Main!B778,Detail!$G$1:$G$1001,0))</f>
        <v>Jalan Pasteur No. 62</v>
      </c>
      <c r="U778" s="7" t="str">
        <f>INDEX(Detail!$B$1:$B$1001,MATCH(B778,Detail!$G$1:$G$1001,0),1)</f>
        <v>O-</v>
      </c>
      <c r="V778" s="7" t="str" cm="1">
        <f t="array" ref="V778">INDEX(Dosen!$B$3:$E$8,MATCH(Main!C778,Dosen!$A$3:$A$8,0),IF(AND(Main!A778&gt;=1,Main!A778&lt;=250),1,IF(AND(Main!A778&gt;=251,Main!A778&lt;=500),2,IF(AND(Main!A778&gt;=501,Main!A778&lt;=750),3,4))))</f>
        <v>Pak Budi</v>
      </c>
      <c r="W778" s="7" t="str">
        <f>_xlfn.XLOOKUP(B778,Detail!$G$1:$G$1001,Detail!$B$1:$B$1001)</f>
        <v>O-</v>
      </c>
    </row>
    <row r="779" spans="1:23" ht="15.75" x14ac:dyDescent="0.25">
      <c r="A779" s="7">
        <v>560</v>
      </c>
      <c r="B779" s="33" t="str">
        <f t="shared" si="46"/>
        <v>E0560</v>
      </c>
      <c r="C779" s="7" t="s">
        <v>1010</v>
      </c>
      <c r="D779" s="33" t="str">
        <f>VLOOKUP(B779,Detail!$G$1:$H$1001,2,FALSE)</f>
        <v>Elma Hartati</v>
      </c>
      <c r="E779" s="7">
        <v>62</v>
      </c>
      <c r="F779" s="7">
        <v>66</v>
      </c>
      <c r="G779" s="57">
        <v>81</v>
      </c>
      <c r="H779" s="7">
        <v>66</v>
      </c>
      <c r="I779" s="7">
        <v>94</v>
      </c>
      <c r="J779" s="7">
        <v>91</v>
      </c>
      <c r="K779" s="7">
        <v>88</v>
      </c>
      <c r="L779" s="56" t="str">
        <f>IFERROR(VLOOKUP(B779,Absen!$A$1:$C$501,2,FALSE),"No")</f>
        <v>No</v>
      </c>
      <c r="M779" s="58">
        <f t="shared" si="44"/>
        <v>8.8000000000000007</v>
      </c>
      <c r="N779" s="57">
        <f t="shared" si="45"/>
        <v>79.2</v>
      </c>
      <c r="O779" s="7" t="str">
        <f>VLOOKUP(N779,Helper!$B$30:$C$35,2,TRUE)</f>
        <v>B</v>
      </c>
      <c r="P779" s="56">
        <f>INDEX(Detail!$A$1:$A$1001,MATCH(B779,Detail!$G$1:$G$1001,0))</f>
        <v>38175</v>
      </c>
      <c r="Q779" s="33" t="str">
        <f>INDEX(Detail!$F$1:$F$1001,MATCH(Main!B779,Detail!$G$1:$G$1001,0))</f>
        <v>Tarakan</v>
      </c>
      <c r="R779" s="7">
        <f>INDEX(Detail!$C$1:$C$1001,MATCH(B779,Detail!$G$1:$G$1001,0),1)</f>
        <v>155</v>
      </c>
      <c r="S779" s="7">
        <f>INDEX(Detail!$D$1:$D$1001,MATCH(B779,Detail!$G$1:$G$1001,0),1)</f>
        <v>76</v>
      </c>
      <c r="T779" s="7" t="str">
        <f>INDEX(Detail!$E$1:$E$1001,MATCH(Main!B779,Detail!$G$1:$G$1001,0))</f>
        <v xml:space="preserve">Jl. Monginsidi No. 4
</v>
      </c>
      <c r="U779" s="7" t="str">
        <f>INDEX(Detail!$B$1:$B$1001,MATCH(B779,Detail!$G$1:$G$1001,0),1)</f>
        <v>AB-</v>
      </c>
      <c r="V779" s="7" t="str" cm="1">
        <f t="array" ref="V779">INDEX(Dosen!$B$3:$E$8,MATCH(Main!C779,Dosen!$A$3:$A$8,0),IF(AND(Main!A779&gt;=1,Main!A779&lt;=250),1,IF(AND(Main!A779&gt;=251,Main!A779&lt;=500),2,IF(AND(Main!A779&gt;=501,Main!A779&lt;=750),3,4))))</f>
        <v>Pak Budi</v>
      </c>
      <c r="W779" s="7" t="str">
        <f>_xlfn.XLOOKUP(B779,Detail!$G$1:$G$1001,Detail!$B$1:$B$1001)</f>
        <v>AB-</v>
      </c>
    </row>
    <row r="780" spans="1:23" ht="15.75" x14ac:dyDescent="0.25">
      <c r="A780" s="7">
        <v>567</v>
      </c>
      <c r="B780" s="33" t="str">
        <f t="shared" si="46"/>
        <v>E0567</v>
      </c>
      <c r="C780" s="7" t="s">
        <v>1010</v>
      </c>
      <c r="D780" s="33" t="str">
        <f>VLOOKUP(B780,Detail!$G$1:$H$1001,2,FALSE)</f>
        <v>Viktor Novitasari</v>
      </c>
      <c r="E780" s="7">
        <v>75</v>
      </c>
      <c r="F780" s="7">
        <v>51</v>
      </c>
      <c r="G780" s="57">
        <v>77</v>
      </c>
      <c r="H780" s="7">
        <v>51</v>
      </c>
      <c r="I780" s="7">
        <v>61</v>
      </c>
      <c r="J780" s="7">
        <v>78</v>
      </c>
      <c r="K780" s="7">
        <v>62</v>
      </c>
      <c r="L780" s="56">
        <f>IFERROR(VLOOKUP(B780,Absen!$A$1:$C$501,2,FALSE),"No")</f>
        <v>44760</v>
      </c>
      <c r="M780" s="58">
        <f t="shared" si="44"/>
        <v>5.2</v>
      </c>
      <c r="N780" s="57">
        <f t="shared" si="45"/>
        <v>65.95</v>
      </c>
      <c r="O780" s="7" t="str">
        <f>VLOOKUP(N780,Helper!$B$30:$C$35,2,TRUE)</f>
        <v>C</v>
      </c>
      <c r="P780" s="56">
        <f>INDEX(Detail!$A$1:$A$1001,MATCH(B780,Detail!$G$1:$G$1001,0))</f>
        <v>37530</v>
      </c>
      <c r="Q780" s="33" t="str">
        <f>INDEX(Detail!$F$1:$F$1001,MATCH(Main!B780,Detail!$G$1:$G$1001,0))</f>
        <v>Tarakan</v>
      </c>
      <c r="R780" s="7">
        <f>INDEX(Detail!$C$1:$C$1001,MATCH(B780,Detail!$G$1:$G$1001,0),1)</f>
        <v>155</v>
      </c>
      <c r="S780" s="7">
        <f>INDEX(Detail!$D$1:$D$1001,MATCH(B780,Detail!$G$1:$G$1001,0),1)</f>
        <v>72</v>
      </c>
      <c r="T780" s="7" t="str">
        <f>INDEX(Detail!$E$1:$E$1001,MATCH(Main!B780,Detail!$G$1:$G$1001,0))</f>
        <v>Jalan S. Parman No. 75</v>
      </c>
      <c r="U780" s="7" t="str">
        <f>INDEX(Detail!$B$1:$B$1001,MATCH(B780,Detail!$G$1:$G$1001,0),1)</f>
        <v>B+</v>
      </c>
      <c r="V780" s="7" t="str" cm="1">
        <f t="array" ref="V780">INDEX(Dosen!$B$3:$E$8,MATCH(Main!C780,Dosen!$A$3:$A$8,0),IF(AND(Main!A780&gt;=1,Main!A780&lt;=250),1,IF(AND(Main!A780&gt;=251,Main!A780&lt;=500),2,IF(AND(Main!A780&gt;=501,Main!A780&lt;=750),3,4))))</f>
        <v>Pak Budi</v>
      </c>
      <c r="W780" s="7" t="str">
        <f>_xlfn.XLOOKUP(B780,Detail!$G$1:$G$1001,Detail!$B$1:$B$1001)</f>
        <v>B+</v>
      </c>
    </row>
    <row r="781" spans="1:23" ht="15.75" x14ac:dyDescent="0.25">
      <c r="A781" s="7">
        <v>569</v>
      </c>
      <c r="B781" s="33" t="str">
        <f t="shared" si="46"/>
        <v>E0569</v>
      </c>
      <c r="C781" s="7" t="s">
        <v>1010</v>
      </c>
      <c r="D781" s="33" t="str">
        <f>VLOOKUP(B781,Detail!$G$1:$H$1001,2,FALSE)</f>
        <v>Endah Yuniar</v>
      </c>
      <c r="E781" s="7">
        <v>58</v>
      </c>
      <c r="F781" s="7">
        <v>48</v>
      </c>
      <c r="G781" s="57">
        <v>31</v>
      </c>
      <c r="H781" s="7">
        <v>55</v>
      </c>
      <c r="I781" s="7">
        <v>86</v>
      </c>
      <c r="J781" s="7">
        <v>66</v>
      </c>
      <c r="K781" s="7">
        <v>60</v>
      </c>
      <c r="L781" s="56" t="str">
        <f>IFERROR(VLOOKUP(B781,Absen!$A$1:$C$501,2,FALSE),"No")</f>
        <v>No</v>
      </c>
      <c r="M781" s="58">
        <f t="shared" si="44"/>
        <v>6</v>
      </c>
      <c r="N781" s="57">
        <f t="shared" si="45"/>
        <v>56.275000000000006</v>
      </c>
      <c r="O781" s="7" t="str">
        <f>VLOOKUP(N781,Helper!$B$30:$C$35,2,TRUE)</f>
        <v>D</v>
      </c>
      <c r="P781" s="56">
        <f>INDEX(Detail!$A$1:$A$1001,MATCH(B781,Detail!$G$1:$G$1001,0))</f>
        <v>38260</v>
      </c>
      <c r="Q781" s="33" t="str">
        <f>INDEX(Detail!$F$1:$F$1001,MATCH(Main!B781,Detail!$G$1:$G$1001,0))</f>
        <v>Pekalongan</v>
      </c>
      <c r="R781" s="7">
        <f>INDEX(Detail!$C$1:$C$1001,MATCH(B781,Detail!$G$1:$G$1001,0),1)</f>
        <v>153</v>
      </c>
      <c r="S781" s="7">
        <f>INDEX(Detail!$D$1:$D$1001,MATCH(B781,Detail!$G$1:$G$1001,0),1)</f>
        <v>69</v>
      </c>
      <c r="T781" s="7" t="str">
        <f>INDEX(Detail!$E$1:$E$1001,MATCH(Main!B781,Detail!$G$1:$G$1001,0))</f>
        <v>Gang Astana Anyar No. 20</v>
      </c>
      <c r="U781" s="7" t="str">
        <f>INDEX(Detail!$B$1:$B$1001,MATCH(B781,Detail!$G$1:$G$1001,0),1)</f>
        <v>B+</v>
      </c>
      <c r="V781" s="7" t="str" cm="1">
        <f t="array" ref="V781">INDEX(Dosen!$B$3:$E$8,MATCH(Main!C781,Dosen!$A$3:$A$8,0),IF(AND(Main!A781&gt;=1,Main!A781&lt;=250),1,IF(AND(Main!A781&gt;=251,Main!A781&lt;=500),2,IF(AND(Main!A781&gt;=501,Main!A781&lt;=750),3,4))))</f>
        <v>Pak Budi</v>
      </c>
      <c r="W781" s="7" t="str">
        <f>_xlfn.XLOOKUP(B781,Detail!$G$1:$G$1001,Detail!$B$1:$B$1001)</f>
        <v>B+</v>
      </c>
    </row>
    <row r="782" spans="1:23" ht="15.75" x14ac:dyDescent="0.25">
      <c r="A782" s="7">
        <v>572</v>
      </c>
      <c r="B782" s="33" t="str">
        <f t="shared" si="46"/>
        <v>E0572</v>
      </c>
      <c r="C782" s="7" t="s">
        <v>1010</v>
      </c>
      <c r="D782" s="33" t="str">
        <f>VLOOKUP(B782,Detail!$G$1:$H$1001,2,FALSE)</f>
        <v>Nardi Maryadi</v>
      </c>
      <c r="E782" s="7">
        <v>81</v>
      </c>
      <c r="F782" s="7">
        <v>73</v>
      </c>
      <c r="G782" s="57">
        <v>40</v>
      </c>
      <c r="H782" s="7">
        <v>71</v>
      </c>
      <c r="I782" s="7">
        <v>62</v>
      </c>
      <c r="J782" s="7">
        <v>72</v>
      </c>
      <c r="K782" s="7">
        <v>75</v>
      </c>
      <c r="L782" s="56">
        <f>IFERROR(VLOOKUP(B782,Absen!$A$1:$C$501,2,FALSE),"No")</f>
        <v>44861</v>
      </c>
      <c r="M782" s="58">
        <f t="shared" si="44"/>
        <v>6.5</v>
      </c>
      <c r="N782" s="57">
        <f t="shared" si="45"/>
        <v>64.775000000000006</v>
      </c>
      <c r="O782" s="7" t="str">
        <f>VLOOKUP(N782,Helper!$B$30:$C$35,2,TRUE)</f>
        <v>C</v>
      </c>
      <c r="P782" s="56">
        <f>INDEX(Detail!$A$1:$A$1001,MATCH(B782,Detail!$G$1:$G$1001,0))</f>
        <v>38140</v>
      </c>
      <c r="Q782" s="33" t="str">
        <f>INDEX(Detail!$F$1:$F$1001,MATCH(Main!B782,Detail!$G$1:$G$1001,0))</f>
        <v>Tanjungpinang</v>
      </c>
      <c r="R782" s="7">
        <f>INDEX(Detail!$C$1:$C$1001,MATCH(B782,Detail!$G$1:$G$1001,0),1)</f>
        <v>164</v>
      </c>
      <c r="S782" s="7">
        <f>INDEX(Detail!$D$1:$D$1001,MATCH(B782,Detail!$G$1:$G$1001,0),1)</f>
        <v>47</v>
      </c>
      <c r="T782" s="7" t="str">
        <f>INDEX(Detail!$E$1:$E$1001,MATCH(Main!B782,Detail!$G$1:$G$1001,0))</f>
        <v xml:space="preserve">Jalan Dipatiukur No. 0
</v>
      </c>
      <c r="U782" s="7" t="str">
        <f>INDEX(Detail!$B$1:$B$1001,MATCH(B782,Detail!$G$1:$G$1001,0),1)</f>
        <v>AB-</v>
      </c>
      <c r="V782" s="7" t="str" cm="1">
        <f t="array" ref="V782">INDEX(Dosen!$B$3:$E$8,MATCH(Main!C782,Dosen!$A$3:$A$8,0),IF(AND(Main!A782&gt;=1,Main!A782&lt;=250),1,IF(AND(Main!A782&gt;=251,Main!A782&lt;=500),2,IF(AND(Main!A782&gt;=501,Main!A782&lt;=750),3,4))))</f>
        <v>Pak Budi</v>
      </c>
      <c r="W782" s="7" t="str">
        <f>_xlfn.XLOOKUP(B782,Detail!$G$1:$G$1001,Detail!$B$1:$B$1001)</f>
        <v>AB-</v>
      </c>
    </row>
    <row r="783" spans="1:23" ht="15.75" x14ac:dyDescent="0.25">
      <c r="A783" s="7">
        <v>574</v>
      </c>
      <c r="B783" s="33" t="str">
        <f t="shared" si="46"/>
        <v>E0574</v>
      </c>
      <c r="C783" s="7" t="s">
        <v>1010</v>
      </c>
      <c r="D783" s="33" t="str">
        <f>VLOOKUP(B783,Detail!$G$1:$H$1001,2,FALSE)</f>
        <v>Farah Pertiwi</v>
      </c>
      <c r="E783" s="7">
        <v>90</v>
      </c>
      <c r="F783" s="7">
        <v>48</v>
      </c>
      <c r="G783" s="57">
        <v>52</v>
      </c>
      <c r="H783" s="7">
        <v>71</v>
      </c>
      <c r="I783" s="7">
        <v>76</v>
      </c>
      <c r="J783" s="7">
        <v>53</v>
      </c>
      <c r="K783" s="7">
        <v>95</v>
      </c>
      <c r="L783" s="56" t="str">
        <f>IFERROR(VLOOKUP(B783,Absen!$A$1:$C$501,2,FALSE),"No")</f>
        <v>No</v>
      </c>
      <c r="M783" s="58">
        <f t="shared" si="44"/>
        <v>9.5</v>
      </c>
      <c r="N783" s="57">
        <f t="shared" si="45"/>
        <v>66.125</v>
      </c>
      <c r="O783" s="7" t="str">
        <f>VLOOKUP(N783,Helper!$B$30:$C$35,2,TRUE)</f>
        <v>C</v>
      </c>
      <c r="P783" s="56">
        <f>INDEX(Detail!$A$1:$A$1001,MATCH(B783,Detail!$G$1:$G$1001,0))</f>
        <v>37670</v>
      </c>
      <c r="Q783" s="33" t="str">
        <f>INDEX(Detail!$F$1:$F$1001,MATCH(Main!B783,Detail!$G$1:$G$1001,0))</f>
        <v>Tangerang Selatan</v>
      </c>
      <c r="R783" s="7">
        <f>INDEX(Detail!$C$1:$C$1001,MATCH(B783,Detail!$G$1:$G$1001,0),1)</f>
        <v>150</v>
      </c>
      <c r="S783" s="7">
        <f>INDEX(Detail!$D$1:$D$1001,MATCH(B783,Detail!$G$1:$G$1001,0),1)</f>
        <v>50</v>
      </c>
      <c r="T783" s="7" t="str">
        <f>INDEX(Detail!$E$1:$E$1001,MATCH(Main!B783,Detail!$G$1:$G$1001,0))</f>
        <v>Gg. BKR No. 13</v>
      </c>
      <c r="U783" s="7" t="str">
        <f>INDEX(Detail!$B$1:$B$1001,MATCH(B783,Detail!$G$1:$G$1001,0),1)</f>
        <v>AB-</v>
      </c>
      <c r="V783" s="7" t="str" cm="1">
        <f t="array" ref="V783">INDEX(Dosen!$B$3:$E$8,MATCH(Main!C783,Dosen!$A$3:$A$8,0),IF(AND(Main!A783&gt;=1,Main!A783&lt;=250),1,IF(AND(Main!A783&gt;=251,Main!A783&lt;=500),2,IF(AND(Main!A783&gt;=501,Main!A783&lt;=750),3,4))))</f>
        <v>Pak Budi</v>
      </c>
      <c r="W783" s="7" t="str">
        <f>_xlfn.XLOOKUP(B783,Detail!$G$1:$G$1001,Detail!$B$1:$B$1001)</f>
        <v>AB-</v>
      </c>
    </row>
    <row r="784" spans="1:23" ht="15.75" x14ac:dyDescent="0.25">
      <c r="A784" s="7">
        <v>578</v>
      </c>
      <c r="B784" s="33" t="str">
        <f t="shared" si="46"/>
        <v>E0578</v>
      </c>
      <c r="C784" s="7" t="s">
        <v>1010</v>
      </c>
      <c r="D784" s="33" t="str">
        <f>VLOOKUP(B784,Detail!$G$1:$H$1001,2,FALSE)</f>
        <v>Rafi Lazuardi</v>
      </c>
      <c r="E784" s="7">
        <v>76</v>
      </c>
      <c r="F784" s="7">
        <v>47</v>
      </c>
      <c r="G784" s="57">
        <v>64</v>
      </c>
      <c r="H784" s="7">
        <v>66</v>
      </c>
      <c r="I784" s="7">
        <v>86</v>
      </c>
      <c r="J784" s="7">
        <v>67</v>
      </c>
      <c r="K784" s="7">
        <v>92</v>
      </c>
      <c r="L784" s="56">
        <f>IFERROR(VLOOKUP(B784,Absen!$A$1:$C$501,2,FALSE),"No")</f>
        <v>44767</v>
      </c>
      <c r="M784" s="58">
        <f t="shared" si="44"/>
        <v>8.2000000000000011</v>
      </c>
      <c r="N784" s="57">
        <f t="shared" si="45"/>
        <v>68.774999999999991</v>
      </c>
      <c r="O784" s="7" t="str">
        <f>VLOOKUP(N784,Helper!$B$30:$C$35,2,TRUE)</f>
        <v>C</v>
      </c>
      <c r="P784" s="56">
        <f>INDEX(Detail!$A$1:$A$1001,MATCH(B784,Detail!$G$1:$G$1001,0))</f>
        <v>37918</v>
      </c>
      <c r="Q784" s="33" t="str">
        <f>INDEX(Detail!$F$1:$F$1001,MATCH(Main!B784,Detail!$G$1:$G$1001,0))</f>
        <v>Purwokerto</v>
      </c>
      <c r="R784" s="7">
        <f>INDEX(Detail!$C$1:$C$1001,MATCH(B784,Detail!$G$1:$G$1001,0),1)</f>
        <v>159</v>
      </c>
      <c r="S784" s="7">
        <f>INDEX(Detail!$D$1:$D$1001,MATCH(B784,Detail!$G$1:$G$1001,0),1)</f>
        <v>52</v>
      </c>
      <c r="T784" s="7" t="str">
        <f>INDEX(Detail!$E$1:$E$1001,MATCH(Main!B784,Detail!$G$1:$G$1001,0))</f>
        <v xml:space="preserve">Gang Suryakencana No. 2
</v>
      </c>
      <c r="U784" s="7" t="str">
        <f>INDEX(Detail!$B$1:$B$1001,MATCH(B784,Detail!$G$1:$G$1001,0),1)</f>
        <v>AB-</v>
      </c>
      <c r="V784" s="7" t="str" cm="1">
        <f t="array" ref="V784">INDEX(Dosen!$B$3:$E$8,MATCH(Main!C784,Dosen!$A$3:$A$8,0),IF(AND(Main!A784&gt;=1,Main!A784&lt;=250),1,IF(AND(Main!A784&gt;=251,Main!A784&lt;=500),2,IF(AND(Main!A784&gt;=501,Main!A784&lt;=750),3,4))))</f>
        <v>Pak Budi</v>
      </c>
      <c r="W784" s="7" t="str">
        <f>_xlfn.XLOOKUP(B784,Detail!$G$1:$G$1001,Detail!$B$1:$B$1001)</f>
        <v>AB-</v>
      </c>
    </row>
    <row r="785" spans="1:23" ht="15.75" x14ac:dyDescent="0.25">
      <c r="A785" s="7">
        <v>581</v>
      </c>
      <c r="B785" s="33" t="str">
        <f t="shared" si="46"/>
        <v>E0581</v>
      </c>
      <c r="C785" s="7" t="s">
        <v>1010</v>
      </c>
      <c r="D785" s="33" t="str">
        <f>VLOOKUP(B785,Detail!$G$1:$H$1001,2,FALSE)</f>
        <v>Jaga Maulana</v>
      </c>
      <c r="E785" s="7">
        <v>54</v>
      </c>
      <c r="F785" s="7">
        <v>52</v>
      </c>
      <c r="G785" s="57">
        <v>36</v>
      </c>
      <c r="H785" s="7">
        <v>67</v>
      </c>
      <c r="I785" s="7">
        <v>78</v>
      </c>
      <c r="J785" s="7">
        <v>53</v>
      </c>
      <c r="K785" s="7">
        <v>69</v>
      </c>
      <c r="L785" s="56">
        <f>IFERROR(VLOOKUP(B785,Absen!$A$1:$C$501,2,FALSE),"No")</f>
        <v>44748</v>
      </c>
      <c r="M785" s="58">
        <f t="shared" si="44"/>
        <v>5.9</v>
      </c>
      <c r="N785" s="57">
        <f t="shared" si="45"/>
        <v>55.075000000000003</v>
      </c>
      <c r="O785" s="7" t="str">
        <f>VLOOKUP(N785,Helper!$B$30:$C$35,2,TRUE)</f>
        <v>D</v>
      </c>
      <c r="P785" s="56">
        <f>INDEX(Detail!$A$1:$A$1001,MATCH(B785,Detail!$G$1:$G$1001,0))</f>
        <v>37333</v>
      </c>
      <c r="Q785" s="33" t="str">
        <f>INDEX(Detail!$F$1:$F$1001,MATCH(Main!B785,Detail!$G$1:$G$1001,0))</f>
        <v>Depok</v>
      </c>
      <c r="R785" s="7">
        <f>INDEX(Detail!$C$1:$C$1001,MATCH(B785,Detail!$G$1:$G$1001,0),1)</f>
        <v>171</v>
      </c>
      <c r="S785" s="7">
        <f>INDEX(Detail!$D$1:$D$1001,MATCH(B785,Detail!$G$1:$G$1001,0),1)</f>
        <v>65</v>
      </c>
      <c r="T785" s="7" t="str">
        <f>INDEX(Detail!$E$1:$E$1001,MATCH(Main!B785,Detail!$G$1:$G$1001,0))</f>
        <v xml:space="preserve">Jl. Rajawali Barat No. 7
</v>
      </c>
      <c r="U785" s="7" t="str">
        <f>INDEX(Detail!$B$1:$B$1001,MATCH(B785,Detail!$G$1:$G$1001,0),1)</f>
        <v>O+</v>
      </c>
      <c r="V785" s="7" t="str" cm="1">
        <f t="array" ref="V785">INDEX(Dosen!$B$3:$E$8,MATCH(Main!C785,Dosen!$A$3:$A$8,0),IF(AND(Main!A785&gt;=1,Main!A785&lt;=250),1,IF(AND(Main!A785&gt;=251,Main!A785&lt;=500),2,IF(AND(Main!A785&gt;=501,Main!A785&lt;=750),3,4))))</f>
        <v>Pak Budi</v>
      </c>
      <c r="W785" s="7" t="str">
        <f>_xlfn.XLOOKUP(B785,Detail!$G$1:$G$1001,Detail!$B$1:$B$1001)</f>
        <v>O+</v>
      </c>
    </row>
    <row r="786" spans="1:23" ht="15.75" x14ac:dyDescent="0.25">
      <c r="A786" s="7">
        <v>586</v>
      </c>
      <c r="B786" s="33" t="str">
        <f t="shared" si="46"/>
        <v>E0586</v>
      </c>
      <c r="C786" s="7" t="s">
        <v>1010</v>
      </c>
      <c r="D786" s="33" t="str">
        <f>VLOOKUP(B786,Detail!$G$1:$H$1001,2,FALSE)</f>
        <v>Mila Mahendra</v>
      </c>
      <c r="E786" s="7">
        <v>94</v>
      </c>
      <c r="F786" s="7">
        <v>73</v>
      </c>
      <c r="G786" s="57">
        <v>62</v>
      </c>
      <c r="H786" s="7">
        <v>54</v>
      </c>
      <c r="I786" s="7">
        <v>62</v>
      </c>
      <c r="J786" s="7">
        <v>48</v>
      </c>
      <c r="K786" s="7">
        <v>66</v>
      </c>
      <c r="L786" s="56" t="str">
        <f>IFERROR(VLOOKUP(B786,Absen!$A$1:$C$501,2,FALSE),"No")</f>
        <v>No</v>
      </c>
      <c r="M786" s="58">
        <f t="shared" si="44"/>
        <v>6.6000000000000005</v>
      </c>
      <c r="N786" s="57">
        <f t="shared" si="45"/>
        <v>63.975000000000001</v>
      </c>
      <c r="O786" s="7" t="str">
        <f>VLOOKUP(N786,Helper!$B$30:$C$35,2,TRUE)</f>
        <v>C</v>
      </c>
      <c r="P786" s="56">
        <f>INDEX(Detail!$A$1:$A$1001,MATCH(B786,Detail!$G$1:$G$1001,0))</f>
        <v>37057</v>
      </c>
      <c r="Q786" s="33" t="str">
        <f>INDEX(Detail!$F$1:$F$1001,MATCH(Main!B786,Detail!$G$1:$G$1001,0))</f>
        <v>Samarinda</v>
      </c>
      <c r="R786" s="7">
        <f>INDEX(Detail!$C$1:$C$1001,MATCH(B786,Detail!$G$1:$G$1001,0),1)</f>
        <v>169</v>
      </c>
      <c r="S786" s="7">
        <f>INDEX(Detail!$D$1:$D$1001,MATCH(B786,Detail!$G$1:$G$1001,0),1)</f>
        <v>87</v>
      </c>
      <c r="T786" s="7" t="str">
        <f>INDEX(Detail!$E$1:$E$1001,MATCH(Main!B786,Detail!$G$1:$G$1001,0))</f>
        <v>Gg. Peta No. 79</v>
      </c>
      <c r="U786" s="7" t="str">
        <f>INDEX(Detail!$B$1:$B$1001,MATCH(B786,Detail!$G$1:$G$1001,0),1)</f>
        <v>O+</v>
      </c>
      <c r="V786" s="7" t="str" cm="1">
        <f t="array" ref="V786">INDEX(Dosen!$B$3:$E$8,MATCH(Main!C786,Dosen!$A$3:$A$8,0),IF(AND(Main!A786&gt;=1,Main!A786&lt;=250),1,IF(AND(Main!A786&gt;=251,Main!A786&lt;=500),2,IF(AND(Main!A786&gt;=501,Main!A786&lt;=750),3,4))))</f>
        <v>Pak Budi</v>
      </c>
      <c r="W786" s="7" t="str">
        <f>_xlfn.XLOOKUP(B786,Detail!$G$1:$G$1001,Detail!$B$1:$B$1001)</f>
        <v>O+</v>
      </c>
    </row>
    <row r="787" spans="1:23" ht="15.75" x14ac:dyDescent="0.25">
      <c r="A787" s="7">
        <v>591</v>
      </c>
      <c r="B787" s="33" t="str">
        <f t="shared" si="46"/>
        <v>E0591</v>
      </c>
      <c r="C787" s="7" t="s">
        <v>1010</v>
      </c>
      <c r="D787" s="33" t="str">
        <f>VLOOKUP(B787,Detail!$G$1:$H$1001,2,FALSE)</f>
        <v>Almira Hassanah</v>
      </c>
      <c r="E787" s="7">
        <v>71</v>
      </c>
      <c r="F787" s="7">
        <v>46</v>
      </c>
      <c r="G787" s="57">
        <v>76</v>
      </c>
      <c r="H787" s="7">
        <v>60</v>
      </c>
      <c r="I787" s="7">
        <v>56</v>
      </c>
      <c r="J787" s="7">
        <v>96</v>
      </c>
      <c r="K787" s="7">
        <v>85</v>
      </c>
      <c r="L787" s="56">
        <f>IFERROR(VLOOKUP(B787,Absen!$A$1:$C$501,2,FALSE),"No")</f>
        <v>44758</v>
      </c>
      <c r="M787" s="58">
        <f t="shared" si="44"/>
        <v>7.5</v>
      </c>
      <c r="N787" s="57">
        <f t="shared" si="45"/>
        <v>71.025000000000006</v>
      </c>
      <c r="O787" s="7" t="str">
        <f>VLOOKUP(N787,Helper!$B$30:$C$35,2,TRUE)</f>
        <v>B</v>
      </c>
      <c r="P787" s="56">
        <f>INDEX(Detail!$A$1:$A$1001,MATCH(B787,Detail!$G$1:$G$1001,0))</f>
        <v>37977</v>
      </c>
      <c r="Q787" s="33" t="str">
        <f>INDEX(Detail!$F$1:$F$1001,MATCH(Main!B787,Detail!$G$1:$G$1001,0))</f>
        <v>Tangerang</v>
      </c>
      <c r="R787" s="7">
        <f>INDEX(Detail!$C$1:$C$1001,MATCH(B787,Detail!$G$1:$G$1001,0),1)</f>
        <v>173</v>
      </c>
      <c r="S787" s="7">
        <f>INDEX(Detail!$D$1:$D$1001,MATCH(B787,Detail!$G$1:$G$1001,0),1)</f>
        <v>75</v>
      </c>
      <c r="T787" s="7" t="str">
        <f>INDEX(Detail!$E$1:$E$1001,MATCH(Main!B787,Detail!$G$1:$G$1001,0))</f>
        <v xml:space="preserve">Gg. Peta No. 3
</v>
      </c>
      <c r="U787" s="7" t="str">
        <f>INDEX(Detail!$B$1:$B$1001,MATCH(B787,Detail!$G$1:$G$1001,0),1)</f>
        <v>O+</v>
      </c>
      <c r="V787" s="7" t="str" cm="1">
        <f t="array" ref="V787">INDEX(Dosen!$B$3:$E$8,MATCH(Main!C787,Dosen!$A$3:$A$8,0),IF(AND(Main!A787&gt;=1,Main!A787&lt;=250),1,IF(AND(Main!A787&gt;=251,Main!A787&lt;=500),2,IF(AND(Main!A787&gt;=501,Main!A787&lt;=750),3,4))))</f>
        <v>Pak Budi</v>
      </c>
      <c r="W787" s="7" t="str">
        <f>_xlfn.XLOOKUP(B787,Detail!$G$1:$G$1001,Detail!$B$1:$B$1001)</f>
        <v>O+</v>
      </c>
    </row>
    <row r="788" spans="1:23" ht="15.75" x14ac:dyDescent="0.25">
      <c r="A788" s="7">
        <v>595</v>
      </c>
      <c r="B788" s="33" t="str">
        <f t="shared" si="46"/>
        <v>E0595</v>
      </c>
      <c r="C788" s="7" t="s">
        <v>1010</v>
      </c>
      <c r="D788" s="33" t="str">
        <f>VLOOKUP(B788,Detail!$G$1:$H$1001,2,FALSE)</f>
        <v>Satya Budiman</v>
      </c>
      <c r="E788" s="7">
        <v>58</v>
      </c>
      <c r="F788" s="7">
        <v>48</v>
      </c>
      <c r="G788" s="57">
        <v>79</v>
      </c>
      <c r="H788" s="7">
        <v>75</v>
      </c>
      <c r="I788" s="7">
        <v>84</v>
      </c>
      <c r="J788" s="7">
        <v>41</v>
      </c>
      <c r="K788" s="7">
        <v>78</v>
      </c>
      <c r="L788" s="56">
        <f>IFERROR(VLOOKUP(B788,Absen!$A$1:$C$501,2,FALSE),"No")</f>
        <v>44856</v>
      </c>
      <c r="M788" s="58">
        <f t="shared" si="44"/>
        <v>6.8000000000000007</v>
      </c>
      <c r="N788" s="57">
        <f t="shared" si="45"/>
        <v>63.924999999999997</v>
      </c>
      <c r="O788" s="7" t="str">
        <f>VLOOKUP(N788,Helper!$B$30:$C$35,2,TRUE)</f>
        <v>C</v>
      </c>
      <c r="P788" s="56">
        <f>INDEX(Detail!$A$1:$A$1001,MATCH(B788,Detail!$G$1:$G$1001,0))</f>
        <v>37544</v>
      </c>
      <c r="Q788" s="33" t="str">
        <f>INDEX(Detail!$F$1:$F$1001,MATCH(Main!B788,Detail!$G$1:$G$1001,0))</f>
        <v>Padang Sidempuan</v>
      </c>
      <c r="R788" s="7">
        <f>INDEX(Detail!$C$1:$C$1001,MATCH(B788,Detail!$G$1:$G$1001,0),1)</f>
        <v>160</v>
      </c>
      <c r="S788" s="7">
        <f>INDEX(Detail!$D$1:$D$1001,MATCH(B788,Detail!$G$1:$G$1001,0),1)</f>
        <v>56</v>
      </c>
      <c r="T788" s="7" t="str">
        <f>INDEX(Detail!$E$1:$E$1001,MATCH(Main!B788,Detail!$G$1:$G$1001,0))</f>
        <v>Gg. Sukabumi No. 75</v>
      </c>
      <c r="U788" s="7" t="str">
        <f>INDEX(Detail!$B$1:$B$1001,MATCH(B788,Detail!$G$1:$G$1001,0),1)</f>
        <v>B+</v>
      </c>
      <c r="V788" s="7" t="str" cm="1">
        <f t="array" ref="V788">INDEX(Dosen!$B$3:$E$8,MATCH(Main!C788,Dosen!$A$3:$A$8,0),IF(AND(Main!A788&gt;=1,Main!A788&lt;=250),1,IF(AND(Main!A788&gt;=251,Main!A788&lt;=500),2,IF(AND(Main!A788&gt;=501,Main!A788&lt;=750),3,4))))</f>
        <v>Pak Budi</v>
      </c>
      <c r="W788" s="7" t="str">
        <f>_xlfn.XLOOKUP(B788,Detail!$G$1:$G$1001,Detail!$B$1:$B$1001)</f>
        <v>B+</v>
      </c>
    </row>
    <row r="789" spans="1:23" ht="15.75" x14ac:dyDescent="0.25">
      <c r="A789" s="7">
        <v>605</v>
      </c>
      <c r="B789" s="33" t="str">
        <f t="shared" si="46"/>
        <v>E0605</v>
      </c>
      <c r="C789" s="7" t="s">
        <v>1010</v>
      </c>
      <c r="D789" s="33" t="str">
        <f>VLOOKUP(B789,Detail!$G$1:$H$1001,2,FALSE)</f>
        <v>Fitria Gunawan</v>
      </c>
      <c r="E789" s="7">
        <v>82</v>
      </c>
      <c r="F789" s="7">
        <v>64</v>
      </c>
      <c r="G789" s="57">
        <v>55</v>
      </c>
      <c r="H789" s="7">
        <v>58</v>
      </c>
      <c r="I789" s="7">
        <v>63</v>
      </c>
      <c r="J789" s="7">
        <v>97</v>
      </c>
      <c r="K789" s="7">
        <v>80</v>
      </c>
      <c r="L789" s="56">
        <f>IFERROR(VLOOKUP(B789,Absen!$A$1:$C$501,2,FALSE),"No")</f>
        <v>44857</v>
      </c>
      <c r="M789" s="58">
        <f t="shared" si="44"/>
        <v>7</v>
      </c>
      <c r="N789" s="57">
        <f t="shared" si="45"/>
        <v>70.775000000000006</v>
      </c>
      <c r="O789" s="7" t="str">
        <f>VLOOKUP(N789,Helper!$B$30:$C$35,2,TRUE)</f>
        <v>B</v>
      </c>
      <c r="P789" s="56">
        <f>INDEX(Detail!$A$1:$A$1001,MATCH(B789,Detail!$G$1:$G$1001,0))</f>
        <v>37855</v>
      </c>
      <c r="Q789" s="33" t="str">
        <f>INDEX(Detail!$F$1:$F$1001,MATCH(Main!B789,Detail!$G$1:$G$1001,0))</f>
        <v>Kota Administrasi Jakarta Pusat</v>
      </c>
      <c r="R789" s="7">
        <f>INDEX(Detail!$C$1:$C$1001,MATCH(B789,Detail!$G$1:$G$1001,0),1)</f>
        <v>162</v>
      </c>
      <c r="S789" s="7">
        <f>INDEX(Detail!$D$1:$D$1001,MATCH(B789,Detail!$G$1:$G$1001,0),1)</f>
        <v>46</v>
      </c>
      <c r="T789" s="7" t="str">
        <f>INDEX(Detail!$E$1:$E$1001,MATCH(Main!B789,Detail!$G$1:$G$1001,0))</f>
        <v xml:space="preserve">Jl. Kebonjati No. 5
</v>
      </c>
      <c r="U789" s="7" t="str">
        <f>INDEX(Detail!$B$1:$B$1001,MATCH(B789,Detail!$G$1:$G$1001,0),1)</f>
        <v>A+</v>
      </c>
      <c r="V789" s="7" t="str" cm="1">
        <f t="array" ref="V789">INDEX(Dosen!$B$3:$E$8,MATCH(Main!C789,Dosen!$A$3:$A$8,0),IF(AND(Main!A789&gt;=1,Main!A789&lt;=250),1,IF(AND(Main!A789&gt;=251,Main!A789&lt;=500),2,IF(AND(Main!A789&gt;=501,Main!A789&lt;=750),3,4))))</f>
        <v>Pak Budi</v>
      </c>
      <c r="W789" s="7" t="str">
        <f>_xlfn.XLOOKUP(B789,Detail!$G$1:$G$1001,Detail!$B$1:$B$1001)</f>
        <v>A+</v>
      </c>
    </row>
    <row r="790" spans="1:23" ht="15.75" x14ac:dyDescent="0.25">
      <c r="A790" s="7">
        <v>608</v>
      </c>
      <c r="B790" s="33" t="str">
        <f t="shared" si="46"/>
        <v>E0608</v>
      </c>
      <c r="C790" s="7" t="s">
        <v>1010</v>
      </c>
      <c r="D790" s="33" t="str">
        <f>VLOOKUP(B790,Detail!$G$1:$H$1001,2,FALSE)</f>
        <v>Mutia Suartini</v>
      </c>
      <c r="E790" s="7">
        <v>68</v>
      </c>
      <c r="F790" s="7">
        <v>43</v>
      </c>
      <c r="G790" s="57">
        <v>77</v>
      </c>
      <c r="H790" s="7">
        <v>72</v>
      </c>
      <c r="I790" s="7">
        <v>77</v>
      </c>
      <c r="J790" s="7">
        <v>73</v>
      </c>
      <c r="K790" s="7">
        <v>100</v>
      </c>
      <c r="L790" s="56" t="str">
        <f>IFERROR(VLOOKUP(B790,Absen!$A$1:$C$501,2,FALSE),"No")</f>
        <v>No</v>
      </c>
      <c r="M790" s="58">
        <f t="shared" si="44"/>
        <v>10</v>
      </c>
      <c r="N790" s="57">
        <f t="shared" si="45"/>
        <v>72.5</v>
      </c>
      <c r="O790" s="7" t="str">
        <f>VLOOKUP(N790,Helper!$B$30:$C$35,2,TRUE)</f>
        <v>B</v>
      </c>
      <c r="P790" s="56">
        <f>INDEX(Detail!$A$1:$A$1001,MATCH(B790,Detail!$G$1:$G$1001,0))</f>
        <v>37668</v>
      </c>
      <c r="Q790" s="33" t="str">
        <f>INDEX(Detail!$F$1:$F$1001,MATCH(Main!B790,Detail!$G$1:$G$1001,0))</f>
        <v>Singkawang</v>
      </c>
      <c r="R790" s="7">
        <f>INDEX(Detail!$C$1:$C$1001,MATCH(B790,Detail!$G$1:$G$1001,0),1)</f>
        <v>174</v>
      </c>
      <c r="S790" s="7">
        <f>INDEX(Detail!$D$1:$D$1001,MATCH(B790,Detail!$G$1:$G$1001,0),1)</f>
        <v>49</v>
      </c>
      <c r="T790" s="7" t="str">
        <f>INDEX(Detail!$E$1:$E$1001,MATCH(Main!B790,Detail!$G$1:$G$1001,0))</f>
        <v>Gang Rawamangun No. 98</v>
      </c>
      <c r="U790" s="7" t="str">
        <f>INDEX(Detail!$B$1:$B$1001,MATCH(B790,Detail!$G$1:$G$1001,0),1)</f>
        <v>O-</v>
      </c>
      <c r="V790" s="7" t="str" cm="1">
        <f t="array" ref="V790">INDEX(Dosen!$B$3:$E$8,MATCH(Main!C790,Dosen!$A$3:$A$8,0),IF(AND(Main!A790&gt;=1,Main!A790&lt;=250),1,IF(AND(Main!A790&gt;=251,Main!A790&lt;=500),2,IF(AND(Main!A790&gt;=501,Main!A790&lt;=750),3,4))))</f>
        <v>Pak Budi</v>
      </c>
      <c r="W790" s="7" t="str">
        <f>_xlfn.XLOOKUP(B790,Detail!$G$1:$G$1001,Detail!$B$1:$B$1001)</f>
        <v>O-</v>
      </c>
    </row>
    <row r="791" spans="1:23" ht="15.75" x14ac:dyDescent="0.25">
      <c r="A791" s="7">
        <v>622</v>
      </c>
      <c r="B791" s="33" t="str">
        <f t="shared" si="46"/>
        <v>E0622</v>
      </c>
      <c r="C791" s="7" t="s">
        <v>1010</v>
      </c>
      <c r="D791" s="33" t="str">
        <f>VLOOKUP(B791,Detail!$G$1:$H$1001,2,FALSE)</f>
        <v>Jagaraga Wahyuni</v>
      </c>
      <c r="E791" s="7">
        <v>59</v>
      </c>
      <c r="F791" s="7">
        <v>63</v>
      </c>
      <c r="G791" s="57">
        <v>44</v>
      </c>
      <c r="H791" s="7">
        <v>57</v>
      </c>
      <c r="I791" s="7">
        <v>95</v>
      </c>
      <c r="J791" s="7">
        <v>72</v>
      </c>
      <c r="K791" s="7">
        <v>60</v>
      </c>
      <c r="L791" s="56">
        <f>IFERROR(VLOOKUP(B791,Absen!$A$1:$C$501,2,FALSE),"No")</f>
        <v>44838</v>
      </c>
      <c r="M791" s="58">
        <f t="shared" si="44"/>
        <v>5</v>
      </c>
      <c r="N791" s="57">
        <f t="shared" si="45"/>
        <v>62.449999999999996</v>
      </c>
      <c r="O791" s="7" t="str">
        <f>VLOOKUP(N791,Helper!$B$30:$C$35,2,TRUE)</f>
        <v>C</v>
      </c>
      <c r="P791" s="56">
        <f>INDEX(Detail!$A$1:$A$1001,MATCH(B791,Detail!$G$1:$G$1001,0))</f>
        <v>37172</v>
      </c>
      <c r="Q791" s="33" t="str">
        <f>INDEX(Detail!$F$1:$F$1001,MATCH(Main!B791,Detail!$G$1:$G$1001,0))</f>
        <v>Madiun</v>
      </c>
      <c r="R791" s="7">
        <f>INDEX(Detail!$C$1:$C$1001,MATCH(B791,Detail!$G$1:$G$1001,0),1)</f>
        <v>177</v>
      </c>
      <c r="S791" s="7">
        <f>INDEX(Detail!$D$1:$D$1001,MATCH(B791,Detail!$G$1:$G$1001,0),1)</f>
        <v>69</v>
      </c>
      <c r="T791" s="7" t="str">
        <f>INDEX(Detail!$E$1:$E$1001,MATCH(Main!B791,Detail!$G$1:$G$1001,0))</f>
        <v>Gang Moch. Ramdan No. 09</v>
      </c>
      <c r="U791" s="7" t="str">
        <f>INDEX(Detail!$B$1:$B$1001,MATCH(B791,Detail!$G$1:$G$1001,0),1)</f>
        <v>O+</v>
      </c>
      <c r="V791" s="7" t="str" cm="1">
        <f t="array" ref="V791">INDEX(Dosen!$B$3:$E$8,MATCH(Main!C791,Dosen!$A$3:$A$8,0),IF(AND(Main!A791&gt;=1,Main!A791&lt;=250),1,IF(AND(Main!A791&gt;=251,Main!A791&lt;=500),2,IF(AND(Main!A791&gt;=501,Main!A791&lt;=750),3,4))))</f>
        <v>Pak Budi</v>
      </c>
      <c r="W791" s="7" t="str">
        <f>_xlfn.XLOOKUP(B791,Detail!$G$1:$G$1001,Detail!$B$1:$B$1001)</f>
        <v>O+</v>
      </c>
    </row>
    <row r="792" spans="1:23" ht="15.75" x14ac:dyDescent="0.25">
      <c r="A792" s="7">
        <v>630</v>
      </c>
      <c r="B792" s="33" t="str">
        <f t="shared" si="46"/>
        <v>E0630</v>
      </c>
      <c r="C792" s="7" t="s">
        <v>1010</v>
      </c>
      <c r="D792" s="33" t="str">
        <f>VLOOKUP(B792,Detail!$G$1:$H$1001,2,FALSE)</f>
        <v>Ratih Santoso</v>
      </c>
      <c r="E792" s="7">
        <v>63</v>
      </c>
      <c r="F792" s="7">
        <v>67</v>
      </c>
      <c r="G792" s="57">
        <v>32</v>
      </c>
      <c r="H792" s="7">
        <v>55</v>
      </c>
      <c r="I792" s="7">
        <v>56</v>
      </c>
      <c r="J792" s="7">
        <v>100</v>
      </c>
      <c r="K792" s="7">
        <v>65</v>
      </c>
      <c r="L792" s="56" t="str">
        <f>IFERROR(VLOOKUP(B792,Absen!$A$1:$C$501,2,FALSE),"No")</f>
        <v>No</v>
      </c>
      <c r="M792" s="58">
        <f t="shared" si="44"/>
        <v>6.5</v>
      </c>
      <c r="N792" s="57">
        <f t="shared" si="45"/>
        <v>63.024999999999999</v>
      </c>
      <c r="O792" s="7" t="str">
        <f>VLOOKUP(N792,Helper!$B$30:$C$35,2,TRUE)</f>
        <v>C</v>
      </c>
      <c r="P792" s="56">
        <f>INDEX(Detail!$A$1:$A$1001,MATCH(B792,Detail!$G$1:$G$1001,0))</f>
        <v>37998</v>
      </c>
      <c r="Q792" s="33" t="str">
        <f>INDEX(Detail!$F$1:$F$1001,MATCH(Main!B792,Detail!$G$1:$G$1001,0))</f>
        <v>Tarakan</v>
      </c>
      <c r="R792" s="7">
        <f>INDEX(Detail!$C$1:$C$1001,MATCH(B792,Detail!$G$1:$G$1001,0),1)</f>
        <v>168</v>
      </c>
      <c r="S792" s="7">
        <f>INDEX(Detail!$D$1:$D$1001,MATCH(B792,Detail!$G$1:$G$1001,0),1)</f>
        <v>56</v>
      </c>
      <c r="T792" s="7" t="str">
        <f>INDEX(Detail!$E$1:$E$1001,MATCH(Main!B792,Detail!$G$1:$G$1001,0))</f>
        <v>Jalan Tubagus Ismail No. 99</v>
      </c>
      <c r="U792" s="7" t="str">
        <f>INDEX(Detail!$B$1:$B$1001,MATCH(B792,Detail!$G$1:$G$1001,0),1)</f>
        <v>O+</v>
      </c>
      <c r="V792" s="7" t="str" cm="1">
        <f t="array" ref="V792">INDEX(Dosen!$B$3:$E$8,MATCH(Main!C792,Dosen!$A$3:$A$8,0),IF(AND(Main!A792&gt;=1,Main!A792&lt;=250),1,IF(AND(Main!A792&gt;=251,Main!A792&lt;=500),2,IF(AND(Main!A792&gt;=501,Main!A792&lt;=750),3,4))))</f>
        <v>Pak Budi</v>
      </c>
      <c r="W792" s="7" t="str">
        <f>_xlfn.XLOOKUP(B792,Detail!$G$1:$G$1001,Detail!$B$1:$B$1001)</f>
        <v>O+</v>
      </c>
    </row>
    <row r="793" spans="1:23" ht="15.75" x14ac:dyDescent="0.25">
      <c r="A793" s="7">
        <v>636</v>
      </c>
      <c r="B793" s="33" t="str">
        <f t="shared" si="46"/>
        <v>E0636</v>
      </c>
      <c r="C793" s="7" t="s">
        <v>1010</v>
      </c>
      <c r="D793" s="33" t="str">
        <f>VLOOKUP(B793,Detail!$G$1:$H$1001,2,FALSE)</f>
        <v>Rina Samosir</v>
      </c>
      <c r="E793" s="7">
        <v>57</v>
      </c>
      <c r="F793" s="7">
        <v>56</v>
      </c>
      <c r="G793" s="57">
        <v>59</v>
      </c>
      <c r="H793" s="7">
        <v>52</v>
      </c>
      <c r="I793" s="7">
        <v>58</v>
      </c>
      <c r="J793" s="7">
        <v>83</v>
      </c>
      <c r="K793" s="7">
        <v>93</v>
      </c>
      <c r="L793" s="56">
        <f>IFERROR(VLOOKUP(B793,Absen!$A$1:$C$501,2,FALSE),"No")</f>
        <v>44808</v>
      </c>
      <c r="M793" s="58">
        <f t="shared" si="44"/>
        <v>8.3000000000000007</v>
      </c>
      <c r="N793" s="57">
        <f t="shared" si="45"/>
        <v>64.575000000000003</v>
      </c>
      <c r="O793" s="7" t="str">
        <f>VLOOKUP(N793,Helper!$B$30:$C$35,2,TRUE)</f>
        <v>C</v>
      </c>
      <c r="P793" s="56">
        <f>INDEX(Detail!$A$1:$A$1001,MATCH(B793,Detail!$G$1:$G$1001,0))</f>
        <v>37615</v>
      </c>
      <c r="Q793" s="33" t="str">
        <f>INDEX(Detail!$F$1:$F$1001,MATCH(Main!B793,Detail!$G$1:$G$1001,0))</f>
        <v>Sungai Penuh</v>
      </c>
      <c r="R793" s="7">
        <f>INDEX(Detail!$C$1:$C$1001,MATCH(B793,Detail!$G$1:$G$1001,0),1)</f>
        <v>151</v>
      </c>
      <c r="S793" s="7">
        <f>INDEX(Detail!$D$1:$D$1001,MATCH(B793,Detail!$G$1:$G$1001,0),1)</f>
        <v>58</v>
      </c>
      <c r="T793" s="7" t="str">
        <f>INDEX(Detail!$E$1:$E$1001,MATCH(Main!B793,Detail!$G$1:$G$1001,0))</f>
        <v xml:space="preserve">Gg. Gedebage Selatan No. 6
</v>
      </c>
      <c r="U793" s="7" t="str">
        <f>INDEX(Detail!$B$1:$B$1001,MATCH(B793,Detail!$G$1:$G$1001,0),1)</f>
        <v>AB+</v>
      </c>
      <c r="V793" s="7" t="str" cm="1">
        <f t="array" ref="V793">INDEX(Dosen!$B$3:$E$8,MATCH(Main!C793,Dosen!$A$3:$A$8,0),IF(AND(Main!A793&gt;=1,Main!A793&lt;=250),1,IF(AND(Main!A793&gt;=251,Main!A793&lt;=500),2,IF(AND(Main!A793&gt;=501,Main!A793&lt;=750),3,4))))</f>
        <v>Pak Budi</v>
      </c>
      <c r="W793" s="7" t="str">
        <f>_xlfn.XLOOKUP(B793,Detail!$G$1:$G$1001,Detail!$B$1:$B$1001)</f>
        <v>AB+</v>
      </c>
    </row>
    <row r="794" spans="1:23" ht="15.75" x14ac:dyDescent="0.25">
      <c r="A794" s="7">
        <v>639</v>
      </c>
      <c r="B794" s="33" t="str">
        <f t="shared" si="46"/>
        <v>E0639</v>
      </c>
      <c r="C794" s="7" t="s">
        <v>1010</v>
      </c>
      <c r="D794" s="33" t="str">
        <f>VLOOKUP(B794,Detail!$G$1:$H$1001,2,FALSE)</f>
        <v>Balamantri Kuswandari</v>
      </c>
      <c r="E794" s="7">
        <v>79</v>
      </c>
      <c r="F794" s="7">
        <v>48</v>
      </c>
      <c r="G794" s="57">
        <v>31</v>
      </c>
      <c r="H794" s="7">
        <v>50</v>
      </c>
      <c r="I794" s="7">
        <v>87</v>
      </c>
      <c r="J794" s="7">
        <v>58</v>
      </c>
      <c r="K794" s="7">
        <v>77</v>
      </c>
      <c r="L794" s="56">
        <f>IFERROR(VLOOKUP(B794,Absen!$A$1:$C$501,2,FALSE),"No")</f>
        <v>44815</v>
      </c>
      <c r="M794" s="58">
        <f t="shared" si="44"/>
        <v>6.7</v>
      </c>
      <c r="N794" s="57">
        <f t="shared" si="45"/>
        <v>57.500000000000007</v>
      </c>
      <c r="O794" s="7" t="str">
        <f>VLOOKUP(N794,Helper!$B$30:$C$35,2,TRUE)</f>
        <v>D</v>
      </c>
      <c r="P794" s="56">
        <f>INDEX(Detail!$A$1:$A$1001,MATCH(B794,Detail!$G$1:$G$1001,0))</f>
        <v>37084</v>
      </c>
      <c r="Q794" s="33" t="str">
        <f>INDEX(Detail!$F$1:$F$1001,MATCH(Main!B794,Detail!$G$1:$G$1001,0))</f>
        <v>Mojokerto</v>
      </c>
      <c r="R794" s="7">
        <f>INDEX(Detail!$C$1:$C$1001,MATCH(B794,Detail!$G$1:$G$1001,0),1)</f>
        <v>151</v>
      </c>
      <c r="S794" s="7">
        <f>INDEX(Detail!$D$1:$D$1001,MATCH(B794,Detail!$G$1:$G$1001,0),1)</f>
        <v>94</v>
      </c>
      <c r="T794" s="7" t="str">
        <f>INDEX(Detail!$E$1:$E$1001,MATCH(Main!B794,Detail!$G$1:$G$1001,0))</f>
        <v>Jalan Rajiman No. 79</v>
      </c>
      <c r="U794" s="7" t="str">
        <f>INDEX(Detail!$B$1:$B$1001,MATCH(B794,Detail!$G$1:$G$1001,0),1)</f>
        <v>A+</v>
      </c>
      <c r="V794" s="7" t="str" cm="1">
        <f t="array" ref="V794">INDEX(Dosen!$B$3:$E$8,MATCH(Main!C794,Dosen!$A$3:$A$8,0),IF(AND(Main!A794&gt;=1,Main!A794&lt;=250),1,IF(AND(Main!A794&gt;=251,Main!A794&lt;=500),2,IF(AND(Main!A794&gt;=501,Main!A794&lt;=750),3,4))))</f>
        <v>Pak Budi</v>
      </c>
      <c r="W794" s="7" t="str">
        <f>_xlfn.XLOOKUP(B794,Detail!$G$1:$G$1001,Detail!$B$1:$B$1001)</f>
        <v>A+</v>
      </c>
    </row>
    <row r="795" spans="1:23" ht="15.75" x14ac:dyDescent="0.25">
      <c r="A795" s="7">
        <v>643</v>
      </c>
      <c r="B795" s="33" t="str">
        <f t="shared" si="46"/>
        <v>E0643</v>
      </c>
      <c r="C795" s="7" t="s">
        <v>1010</v>
      </c>
      <c r="D795" s="33" t="str">
        <f>VLOOKUP(B795,Detail!$G$1:$H$1001,2,FALSE)</f>
        <v>Tasdik Riyanti</v>
      </c>
      <c r="E795" s="7">
        <v>51</v>
      </c>
      <c r="F795" s="7">
        <v>53</v>
      </c>
      <c r="G795" s="57">
        <v>52</v>
      </c>
      <c r="H795" s="7">
        <v>59</v>
      </c>
      <c r="I795" s="7">
        <v>85</v>
      </c>
      <c r="J795" s="7">
        <v>66</v>
      </c>
      <c r="K795" s="7">
        <v>74</v>
      </c>
      <c r="L795" s="56" t="str">
        <f>IFERROR(VLOOKUP(B795,Absen!$A$1:$C$501,2,FALSE),"No")</f>
        <v>No</v>
      </c>
      <c r="M795" s="58">
        <f t="shared" si="44"/>
        <v>7.4</v>
      </c>
      <c r="N795" s="57">
        <f t="shared" si="45"/>
        <v>62</v>
      </c>
      <c r="O795" s="7" t="str">
        <f>VLOOKUP(N795,Helper!$B$30:$C$35,2,TRUE)</f>
        <v>C</v>
      </c>
      <c r="P795" s="56">
        <f>INDEX(Detail!$A$1:$A$1001,MATCH(B795,Detail!$G$1:$G$1001,0))</f>
        <v>38441</v>
      </c>
      <c r="Q795" s="33" t="str">
        <f>INDEX(Detail!$F$1:$F$1001,MATCH(Main!B795,Detail!$G$1:$G$1001,0))</f>
        <v>Subulussalam</v>
      </c>
      <c r="R795" s="7">
        <f>INDEX(Detail!$C$1:$C$1001,MATCH(B795,Detail!$G$1:$G$1001,0),1)</f>
        <v>164</v>
      </c>
      <c r="S795" s="7">
        <f>INDEX(Detail!$D$1:$D$1001,MATCH(B795,Detail!$G$1:$G$1001,0),1)</f>
        <v>83</v>
      </c>
      <c r="T795" s="7" t="str">
        <f>INDEX(Detail!$E$1:$E$1001,MATCH(Main!B795,Detail!$G$1:$G$1001,0))</f>
        <v>Gg. KH Amin Jasuta No. 08</v>
      </c>
      <c r="U795" s="7" t="str">
        <f>INDEX(Detail!$B$1:$B$1001,MATCH(B795,Detail!$G$1:$G$1001,0),1)</f>
        <v>O-</v>
      </c>
      <c r="V795" s="7" t="str" cm="1">
        <f t="array" ref="V795">INDEX(Dosen!$B$3:$E$8,MATCH(Main!C795,Dosen!$A$3:$A$8,0),IF(AND(Main!A795&gt;=1,Main!A795&lt;=250),1,IF(AND(Main!A795&gt;=251,Main!A795&lt;=500),2,IF(AND(Main!A795&gt;=501,Main!A795&lt;=750),3,4))))</f>
        <v>Pak Budi</v>
      </c>
      <c r="W795" s="7" t="str">
        <f>_xlfn.XLOOKUP(B795,Detail!$G$1:$G$1001,Detail!$B$1:$B$1001)</f>
        <v>O-</v>
      </c>
    </row>
    <row r="796" spans="1:23" ht="15.75" x14ac:dyDescent="0.25">
      <c r="A796" s="7">
        <v>652</v>
      </c>
      <c r="B796" s="33" t="str">
        <f t="shared" si="46"/>
        <v>E0652</v>
      </c>
      <c r="C796" s="7" t="s">
        <v>1010</v>
      </c>
      <c r="D796" s="33" t="str">
        <f>VLOOKUP(B796,Detail!$G$1:$H$1001,2,FALSE)</f>
        <v>Kayun Dongoran</v>
      </c>
      <c r="E796" s="7">
        <v>89</v>
      </c>
      <c r="F796" s="7">
        <v>49</v>
      </c>
      <c r="G796" s="57">
        <v>83</v>
      </c>
      <c r="H796" s="7">
        <v>54</v>
      </c>
      <c r="I796" s="7">
        <v>90</v>
      </c>
      <c r="J796" s="7">
        <v>57</v>
      </c>
      <c r="K796" s="7">
        <v>70</v>
      </c>
      <c r="L796" s="56" t="str">
        <f>IFERROR(VLOOKUP(B796,Absen!$A$1:$C$501,2,FALSE),"No")</f>
        <v>No</v>
      </c>
      <c r="M796" s="58">
        <f t="shared" si="44"/>
        <v>7</v>
      </c>
      <c r="N796" s="57">
        <f t="shared" si="45"/>
        <v>70.25</v>
      </c>
      <c r="O796" s="7" t="str">
        <f>VLOOKUP(N796,Helper!$B$30:$C$35,2,TRUE)</f>
        <v>B</v>
      </c>
      <c r="P796" s="56">
        <f>INDEX(Detail!$A$1:$A$1001,MATCH(B796,Detail!$G$1:$G$1001,0))</f>
        <v>37246</v>
      </c>
      <c r="Q796" s="33" t="str">
        <f>INDEX(Detail!$F$1:$F$1001,MATCH(Main!B796,Detail!$G$1:$G$1001,0))</f>
        <v>Madiun</v>
      </c>
      <c r="R796" s="7">
        <f>INDEX(Detail!$C$1:$C$1001,MATCH(B796,Detail!$G$1:$G$1001,0),1)</f>
        <v>151</v>
      </c>
      <c r="S796" s="7">
        <f>INDEX(Detail!$D$1:$D$1001,MATCH(B796,Detail!$G$1:$G$1001,0),1)</f>
        <v>93</v>
      </c>
      <c r="T796" s="7" t="str">
        <f>INDEX(Detail!$E$1:$E$1001,MATCH(Main!B796,Detail!$G$1:$G$1001,0))</f>
        <v>Gg. Kutisari Selatan No. 05</v>
      </c>
      <c r="U796" s="7" t="str">
        <f>INDEX(Detail!$B$1:$B$1001,MATCH(B796,Detail!$G$1:$G$1001,0),1)</f>
        <v>AB-</v>
      </c>
      <c r="V796" s="7" t="str" cm="1">
        <f t="array" ref="V796">INDEX(Dosen!$B$3:$E$8,MATCH(Main!C796,Dosen!$A$3:$A$8,0),IF(AND(Main!A796&gt;=1,Main!A796&lt;=250),1,IF(AND(Main!A796&gt;=251,Main!A796&lt;=500),2,IF(AND(Main!A796&gt;=501,Main!A796&lt;=750),3,4))))</f>
        <v>Pak Budi</v>
      </c>
      <c r="W796" s="7" t="str">
        <f>_xlfn.XLOOKUP(B796,Detail!$G$1:$G$1001,Detail!$B$1:$B$1001)</f>
        <v>AB-</v>
      </c>
    </row>
    <row r="797" spans="1:23" ht="15.75" x14ac:dyDescent="0.25">
      <c r="A797" s="7">
        <v>669</v>
      </c>
      <c r="B797" s="33" t="str">
        <f t="shared" si="46"/>
        <v>E0669</v>
      </c>
      <c r="C797" s="7" t="s">
        <v>1010</v>
      </c>
      <c r="D797" s="33" t="str">
        <f>VLOOKUP(B797,Detail!$G$1:$H$1001,2,FALSE)</f>
        <v>Galiono Waluyo</v>
      </c>
      <c r="E797" s="7">
        <v>79</v>
      </c>
      <c r="F797" s="7">
        <v>46</v>
      </c>
      <c r="G797" s="57">
        <v>60</v>
      </c>
      <c r="H797" s="7">
        <v>61</v>
      </c>
      <c r="I797" s="7">
        <v>50</v>
      </c>
      <c r="J797" s="7">
        <v>51</v>
      </c>
      <c r="K797" s="7">
        <v>65</v>
      </c>
      <c r="L797" s="56">
        <f>IFERROR(VLOOKUP(B797,Absen!$A$1:$C$501,2,FALSE),"No")</f>
        <v>44886</v>
      </c>
      <c r="M797" s="58">
        <f t="shared" si="44"/>
        <v>5.5</v>
      </c>
      <c r="N797" s="57">
        <f t="shared" si="45"/>
        <v>57.2</v>
      </c>
      <c r="O797" s="7" t="str">
        <f>VLOOKUP(N797,Helper!$B$30:$C$35,2,TRUE)</f>
        <v>D</v>
      </c>
      <c r="P797" s="56">
        <f>INDEX(Detail!$A$1:$A$1001,MATCH(B797,Detail!$G$1:$G$1001,0))</f>
        <v>37540</v>
      </c>
      <c r="Q797" s="33" t="str">
        <f>INDEX(Detail!$F$1:$F$1001,MATCH(Main!B797,Detail!$G$1:$G$1001,0))</f>
        <v>Salatiga</v>
      </c>
      <c r="R797" s="7">
        <f>INDEX(Detail!$C$1:$C$1001,MATCH(B797,Detail!$G$1:$G$1001,0),1)</f>
        <v>158</v>
      </c>
      <c r="S797" s="7">
        <f>INDEX(Detail!$D$1:$D$1001,MATCH(B797,Detail!$G$1:$G$1001,0),1)</f>
        <v>60</v>
      </c>
      <c r="T797" s="7" t="str">
        <f>INDEX(Detail!$E$1:$E$1001,MATCH(Main!B797,Detail!$G$1:$G$1001,0))</f>
        <v>Gg. Asia Afrika No. 12</v>
      </c>
      <c r="U797" s="7" t="str">
        <f>INDEX(Detail!$B$1:$B$1001,MATCH(B797,Detail!$G$1:$G$1001,0),1)</f>
        <v>AB-</v>
      </c>
      <c r="V797" s="7" t="str" cm="1">
        <f t="array" ref="V797">INDEX(Dosen!$B$3:$E$8,MATCH(Main!C797,Dosen!$A$3:$A$8,0),IF(AND(Main!A797&gt;=1,Main!A797&lt;=250),1,IF(AND(Main!A797&gt;=251,Main!A797&lt;=500),2,IF(AND(Main!A797&gt;=501,Main!A797&lt;=750),3,4))))</f>
        <v>Pak Budi</v>
      </c>
      <c r="W797" s="7" t="str">
        <f>_xlfn.XLOOKUP(B797,Detail!$G$1:$G$1001,Detail!$B$1:$B$1001)</f>
        <v>AB-</v>
      </c>
    </row>
    <row r="798" spans="1:23" ht="15.75" x14ac:dyDescent="0.25">
      <c r="A798" s="7">
        <v>685</v>
      </c>
      <c r="B798" s="33" t="str">
        <f t="shared" si="46"/>
        <v>E0685</v>
      </c>
      <c r="C798" s="7" t="s">
        <v>1010</v>
      </c>
      <c r="D798" s="33" t="str">
        <f>VLOOKUP(B798,Detail!$G$1:$H$1001,2,FALSE)</f>
        <v>Tira Natsir</v>
      </c>
      <c r="E798" s="7">
        <v>61</v>
      </c>
      <c r="F798" s="7">
        <v>43</v>
      </c>
      <c r="G798" s="57">
        <v>85</v>
      </c>
      <c r="H798" s="7">
        <v>62</v>
      </c>
      <c r="I798" s="7">
        <v>65</v>
      </c>
      <c r="J798" s="7">
        <v>97</v>
      </c>
      <c r="K798" s="7">
        <v>91</v>
      </c>
      <c r="L798" s="56">
        <f>IFERROR(VLOOKUP(B798,Absen!$A$1:$C$501,2,FALSE),"No")</f>
        <v>44850</v>
      </c>
      <c r="M798" s="58">
        <f t="shared" si="44"/>
        <v>8.1</v>
      </c>
      <c r="N798" s="57">
        <f t="shared" si="45"/>
        <v>73.375</v>
      </c>
      <c r="O798" s="7" t="str">
        <f>VLOOKUP(N798,Helper!$B$30:$C$35,2,TRUE)</f>
        <v>B</v>
      </c>
      <c r="P798" s="56">
        <f>INDEX(Detail!$A$1:$A$1001,MATCH(B798,Detail!$G$1:$G$1001,0))</f>
        <v>37680</v>
      </c>
      <c r="Q798" s="33" t="str">
        <f>INDEX(Detail!$F$1:$F$1001,MATCH(Main!B798,Detail!$G$1:$G$1001,0))</f>
        <v>Singkawang</v>
      </c>
      <c r="R798" s="7">
        <f>INDEX(Detail!$C$1:$C$1001,MATCH(B798,Detail!$G$1:$G$1001,0),1)</f>
        <v>175</v>
      </c>
      <c r="S798" s="7">
        <f>INDEX(Detail!$D$1:$D$1001,MATCH(B798,Detail!$G$1:$G$1001,0),1)</f>
        <v>57</v>
      </c>
      <c r="T798" s="7" t="str">
        <f>INDEX(Detail!$E$1:$E$1001,MATCH(Main!B798,Detail!$G$1:$G$1001,0))</f>
        <v>Gg. Stasiun Wonokromo No. 18</v>
      </c>
      <c r="U798" s="7" t="str">
        <f>INDEX(Detail!$B$1:$B$1001,MATCH(B798,Detail!$G$1:$G$1001,0),1)</f>
        <v>B+</v>
      </c>
      <c r="V798" s="7" t="str" cm="1">
        <f t="array" ref="V798">INDEX(Dosen!$B$3:$E$8,MATCH(Main!C798,Dosen!$A$3:$A$8,0),IF(AND(Main!A798&gt;=1,Main!A798&lt;=250),1,IF(AND(Main!A798&gt;=251,Main!A798&lt;=500),2,IF(AND(Main!A798&gt;=501,Main!A798&lt;=750),3,4))))</f>
        <v>Pak Budi</v>
      </c>
      <c r="W798" s="7" t="str">
        <f>_xlfn.XLOOKUP(B798,Detail!$G$1:$G$1001,Detail!$B$1:$B$1001)</f>
        <v>B+</v>
      </c>
    </row>
    <row r="799" spans="1:23" ht="15.75" x14ac:dyDescent="0.25">
      <c r="A799" s="7">
        <v>700</v>
      </c>
      <c r="B799" s="33" t="str">
        <f t="shared" si="46"/>
        <v>E0700</v>
      </c>
      <c r="C799" s="7" t="s">
        <v>1010</v>
      </c>
      <c r="D799" s="33" t="str">
        <f>VLOOKUP(B799,Detail!$G$1:$H$1001,2,FALSE)</f>
        <v>Jessica Hakim</v>
      </c>
      <c r="E799" s="7">
        <v>93</v>
      </c>
      <c r="F799" s="7">
        <v>63</v>
      </c>
      <c r="G799" s="57">
        <v>71</v>
      </c>
      <c r="H799" s="7">
        <v>50</v>
      </c>
      <c r="I799" s="7">
        <v>79</v>
      </c>
      <c r="J799" s="7">
        <v>62</v>
      </c>
      <c r="K799" s="7">
        <v>86</v>
      </c>
      <c r="L799" s="56" t="str">
        <f>IFERROR(VLOOKUP(B799,Absen!$A$1:$C$501,2,FALSE),"No")</f>
        <v>No</v>
      </c>
      <c r="M799" s="58">
        <f t="shared" si="44"/>
        <v>8.6</v>
      </c>
      <c r="N799" s="57">
        <f t="shared" si="45"/>
        <v>70.825000000000003</v>
      </c>
      <c r="O799" s="7" t="str">
        <f>VLOOKUP(N799,Helper!$B$30:$C$35,2,TRUE)</f>
        <v>B</v>
      </c>
      <c r="P799" s="56">
        <f>INDEX(Detail!$A$1:$A$1001,MATCH(B799,Detail!$G$1:$G$1001,0))</f>
        <v>37109</v>
      </c>
      <c r="Q799" s="33" t="str">
        <f>INDEX(Detail!$F$1:$F$1001,MATCH(Main!B799,Detail!$G$1:$G$1001,0))</f>
        <v>Parepare</v>
      </c>
      <c r="R799" s="7">
        <f>INDEX(Detail!$C$1:$C$1001,MATCH(B799,Detail!$G$1:$G$1001,0),1)</f>
        <v>178</v>
      </c>
      <c r="S799" s="7">
        <f>INDEX(Detail!$D$1:$D$1001,MATCH(B799,Detail!$G$1:$G$1001,0),1)</f>
        <v>73</v>
      </c>
      <c r="T799" s="7" t="str">
        <f>INDEX(Detail!$E$1:$E$1001,MATCH(Main!B799,Detail!$G$1:$G$1001,0))</f>
        <v>Jl. Siliwangi No. 84</v>
      </c>
      <c r="U799" s="7" t="str">
        <f>INDEX(Detail!$B$1:$B$1001,MATCH(B799,Detail!$G$1:$G$1001,0),1)</f>
        <v>A-</v>
      </c>
      <c r="V799" s="7" t="str" cm="1">
        <f t="array" ref="V799">INDEX(Dosen!$B$3:$E$8,MATCH(Main!C799,Dosen!$A$3:$A$8,0),IF(AND(Main!A799&gt;=1,Main!A799&lt;=250),1,IF(AND(Main!A799&gt;=251,Main!A799&lt;=500),2,IF(AND(Main!A799&gt;=501,Main!A799&lt;=750),3,4))))</f>
        <v>Pak Budi</v>
      </c>
      <c r="W799" s="7" t="str">
        <f>_xlfn.XLOOKUP(B799,Detail!$G$1:$G$1001,Detail!$B$1:$B$1001)</f>
        <v>A-</v>
      </c>
    </row>
    <row r="800" spans="1:23" ht="15.75" x14ac:dyDescent="0.25">
      <c r="A800" s="7">
        <v>703</v>
      </c>
      <c r="B800" s="33" t="str">
        <f t="shared" si="46"/>
        <v>E0703</v>
      </c>
      <c r="C800" s="7" t="s">
        <v>1010</v>
      </c>
      <c r="D800" s="33" t="str">
        <f>VLOOKUP(B800,Detail!$G$1:$H$1001,2,FALSE)</f>
        <v>Hadi Yuliarti</v>
      </c>
      <c r="E800" s="7">
        <v>69</v>
      </c>
      <c r="F800" s="7">
        <v>50</v>
      </c>
      <c r="G800" s="57">
        <v>42</v>
      </c>
      <c r="H800" s="7">
        <v>64</v>
      </c>
      <c r="I800" s="7">
        <v>68</v>
      </c>
      <c r="J800" s="7">
        <v>56</v>
      </c>
      <c r="K800" s="7">
        <v>93</v>
      </c>
      <c r="L800" s="56" t="str">
        <f>IFERROR(VLOOKUP(B800,Absen!$A$1:$C$501,2,FALSE),"No")</f>
        <v>No</v>
      </c>
      <c r="M800" s="58">
        <f t="shared" si="44"/>
        <v>9.3000000000000007</v>
      </c>
      <c r="N800" s="57">
        <f t="shared" si="45"/>
        <v>60.275000000000006</v>
      </c>
      <c r="O800" s="7" t="str">
        <f>VLOOKUP(N800,Helper!$B$30:$C$35,2,TRUE)</f>
        <v>C</v>
      </c>
      <c r="P800" s="56">
        <f>INDEX(Detail!$A$1:$A$1001,MATCH(B800,Detail!$G$1:$G$1001,0))</f>
        <v>38230</v>
      </c>
      <c r="Q800" s="33" t="str">
        <f>INDEX(Detail!$F$1:$F$1001,MATCH(Main!B800,Detail!$G$1:$G$1001,0))</f>
        <v>Bandar Lampung</v>
      </c>
      <c r="R800" s="7">
        <f>INDEX(Detail!$C$1:$C$1001,MATCH(B800,Detail!$G$1:$G$1001,0),1)</f>
        <v>153</v>
      </c>
      <c r="S800" s="7">
        <f>INDEX(Detail!$D$1:$D$1001,MATCH(B800,Detail!$G$1:$G$1001,0),1)</f>
        <v>82</v>
      </c>
      <c r="T800" s="7" t="str">
        <f>INDEX(Detail!$E$1:$E$1001,MATCH(Main!B800,Detail!$G$1:$G$1001,0))</f>
        <v xml:space="preserve">Gang Pasir Koja No. 1
</v>
      </c>
      <c r="U800" s="7" t="str">
        <f>INDEX(Detail!$B$1:$B$1001,MATCH(B800,Detail!$G$1:$G$1001,0),1)</f>
        <v>B+</v>
      </c>
      <c r="V800" s="7" t="str" cm="1">
        <f t="array" ref="V800">INDEX(Dosen!$B$3:$E$8,MATCH(Main!C800,Dosen!$A$3:$A$8,0),IF(AND(Main!A800&gt;=1,Main!A800&lt;=250),1,IF(AND(Main!A800&gt;=251,Main!A800&lt;=500),2,IF(AND(Main!A800&gt;=501,Main!A800&lt;=750),3,4))))</f>
        <v>Pak Budi</v>
      </c>
      <c r="W800" s="7" t="str">
        <f>_xlfn.XLOOKUP(B800,Detail!$G$1:$G$1001,Detail!$B$1:$B$1001)</f>
        <v>B+</v>
      </c>
    </row>
    <row r="801" spans="1:23" ht="15.75" x14ac:dyDescent="0.25">
      <c r="A801" s="7">
        <v>708</v>
      </c>
      <c r="B801" s="33" t="str">
        <f t="shared" si="46"/>
        <v>E0708</v>
      </c>
      <c r="C801" s="7" t="s">
        <v>1010</v>
      </c>
      <c r="D801" s="33" t="str">
        <f>VLOOKUP(B801,Detail!$G$1:$H$1001,2,FALSE)</f>
        <v>Sadina Prabowo</v>
      </c>
      <c r="E801" s="7">
        <v>95</v>
      </c>
      <c r="F801" s="7">
        <v>70</v>
      </c>
      <c r="G801" s="57">
        <v>67</v>
      </c>
      <c r="H801" s="7">
        <v>71</v>
      </c>
      <c r="I801" s="7">
        <v>54</v>
      </c>
      <c r="J801" s="7">
        <v>90</v>
      </c>
      <c r="K801" s="7">
        <v>73</v>
      </c>
      <c r="L801" s="56">
        <f>IFERROR(VLOOKUP(B801,Absen!$A$1:$C$501,2,FALSE),"No")</f>
        <v>44808</v>
      </c>
      <c r="M801" s="58">
        <f t="shared" si="44"/>
        <v>6.3000000000000007</v>
      </c>
      <c r="N801" s="57">
        <f t="shared" si="45"/>
        <v>73.95</v>
      </c>
      <c r="O801" s="7" t="str">
        <f>VLOOKUP(N801,Helper!$B$30:$C$35,2,TRUE)</f>
        <v>B</v>
      </c>
      <c r="P801" s="56">
        <f>INDEX(Detail!$A$1:$A$1001,MATCH(B801,Detail!$G$1:$G$1001,0))</f>
        <v>37996</v>
      </c>
      <c r="Q801" s="33" t="str">
        <f>INDEX(Detail!$F$1:$F$1001,MATCH(Main!B801,Detail!$G$1:$G$1001,0))</f>
        <v>Kota Administrasi Jakarta Timur</v>
      </c>
      <c r="R801" s="7">
        <f>INDEX(Detail!$C$1:$C$1001,MATCH(B801,Detail!$G$1:$G$1001,0),1)</f>
        <v>176</v>
      </c>
      <c r="S801" s="7">
        <f>INDEX(Detail!$D$1:$D$1001,MATCH(B801,Detail!$G$1:$G$1001,0),1)</f>
        <v>75</v>
      </c>
      <c r="T801" s="7" t="str">
        <f>INDEX(Detail!$E$1:$E$1001,MATCH(Main!B801,Detail!$G$1:$G$1001,0))</f>
        <v xml:space="preserve">Gang Kutai No. 3
</v>
      </c>
      <c r="U801" s="7" t="str">
        <f>INDEX(Detail!$B$1:$B$1001,MATCH(B801,Detail!$G$1:$G$1001,0),1)</f>
        <v>AB+</v>
      </c>
      <c r="V801" s="7" t="str" cm="1">
        <f t="array" ref="V801">INDEX(Dosen!$B$3:$E$8,MATCH(Main!C801,Dosen!$A$3:$A$8,0),IF(AND(Main!A801&gt;=1,Main!A801&lt;=250),1,IF(AND(Main!A801&gt;=251,Main!A801&lt;=500),2,IF(AND(Main!A801&gt;=501,Main!A801&lt;=750),3,4))))</f>
        <v>Pak Budi</v>
      </c>
      <c r="W801" s="7" t="str">
        <f>_xlfn.XLOOKUP(B801,Detail!$G$1:$G$1001,Detail!$B$1:$B$1001)</f>
        <v>AB+</v>
      </c>
    </row>
    <row r="802" spans="1:23" ht="15.75" x14ac:dyDescent="0.25">
      <c r="A802" s="7">
        <v>721</v>
      </c>
      <c r="B802" s="33" t="str">
        <f t="shared" si="46"/>
        <v>E0721</v>
      </c>
      <c r="C802" s="7" t="s">
        <v>1010</v>
      </c>
      <c r="D802" s="33" t="str">
        <f>VLOOKUP(B802,Detail!$G$1:$H$1001,2,FALSE)</f>
        <v>Kamaria Wijayanti</v>
      </c>
      <c r="E802" s="7">
        <v>73</v>
      </c>
      <c r="F802" s="7">
        <v>75</v>
      </c>
      <c r="G802" s="57">
        <v>71</v>
      </c>
      <c r="H802" s="7">
        <v>64</v>
      </c>
      <c r="I802" s="7">
        <v>66</v>
      </c>
      <c r="J802" s="7">
        <v>66</v>
      </c>
      <c r="K802" s="7">
        <v>80</v>
      </c>
      <c r="L802" s="56">
        <f>IFERROR(VLOOKUP(B802,Absen!$A$1:$C$501,2,FALSE),"No")</f>
        <v>44813</v>
      </c>
      <c r="M802" s="58">
        <f t="shared" si="44"/>
        <v>7</v>
      </c>
      <c r="N802" s="57">
        <f t="shared" si="45"/>
        <v>69.150000000000006</v>
      </c>
      <c r="O802" s="7" t="str">
        <f>VLOOKUP(N802,Helper!$B$30:$C$35,2,TRUE)</f>
        <v>C</v>
      </c>
      <c r="P802" s="56">
        <f>INDEX(Detail!$A$1:$A$1001,MATCH(B802,Detail!$G$1:$G$1001,0))</f>
        <v>38437</v>
      </c>
      <c r="Q802" s="33" t="str">
        <f>INDEX(Detail!$F$1:$F$1001,MATCH(Main!B802,Detail!$G$1:$G$1001,0))</f>
        <v>Kota Administrasi Jakarta Barat</v>
      </c>
      <c r="R802" s="7">
        <f>INDEX(Detail!$C$1:$C$1001,MATCH(B802,Detail!$G$1:$G$1001,0),1)</f>
        <v>159</v>
      </c>
      <c r="S802" s="7">
        <f>INDEX(Detail!$D$1:$D$1001,MATCH(B802,Detail!$G$1:$G$1001,0),1)</f>
        <v>76</v>
      </c>
      <c r="T802" s="7" t="str">
        <f>INDEX(Detail!$E$1:$E$1001,MATCH(Main!B802,Detail!$G$1:$G$1001,0))</f>
        <v>Jalan Antapani Lama No. 17</v>
      </c>
      <c r="U802" s="7" t="str">
        <f>INDEX(Detail!$B$1:$B$1001,MATCH(B802,Detail!$G$1:$G$1001,0),1)</f>
        <v>A+</v>
      </c>
      <c r="V802" s="7" t="str" cm="1">
        <f t="array" ref="V802">INDEX(Dosen!$B$3:$E$8,MATCH(Main!C802,Dosen!$A$3:$A$8,0),IF(AND(Main!A802&gt;=1,Main!A802&lt;=250),1,IF(AND(Main!A802&gt;=251,Main!A802&lt;=500),2,IF(AND(Main!A802&gt;=501,Main!A802&lt;=750),3,4))))</f>
        <v>Pak Budi</v>
      </c>
      <c r="W802" s="7" t="str">
        <f>_xlfn.XLOOKUP(B802,Detail!$G$1:$G$1001,Detail!$B$1:$B$1001)</f>
        <v>A+</v>
      </c>
    </row>
    <row r="803" spans="1:23" ht="15.75" x14ac:dyDescent="0.25">
      <c r="A803" s="7">
        <v>724</v>
      </c>
      <c r="B803" s="33" t="str">
        <f t="shared" si="46"/>
        <v>E0724</v>
      </c>
      <c r="C803" s="7" t="s">
        <v>1010</v>
      </c>
      <c r="D803" s="33" t="str">
        <f>VLOOKUP(B803,Detail!$G$1:$H$1001,2,FALSE)</f>
        <v>Cindy Sitompul</v>
      </c>
      <c r="E803" s="7">
        <v>72</v>
      </c>
      <c r="F803" s="7">
        <v>67</v>
      </c>
      <c r="G803" s="57">
        <v>66</v>
      </c>
      <c r="H803" s="7">
        <v>55</v>
      </c>
      <c r="I803" s="7">
        <v>52</v>
      </c>
      <c r="J803" s="7">
        <v>48</v>
      </c>
      <c r="K803" s="7">
        <v>94</v>
      </c>
      <c r="L803" s="56">
        <f>IFERROR(VLOOKUP(B803,Absen!$A$1:$C$501,2,FALSE),"No")</f>
        <v>44832</v>
      </c>
      <c r="M803" s="58">
        <f t="shared" si="44"/>
        <v>8.4</v>
      </c>
      <c r="N803" s="57">
        <f t="shared" si="45"/>
        <v>61.95</v>
      </c>
      <c r="O803" s="7" t="str">
        <f>VLOOKUP(N803,Helper!$B$30:$C$35,2,TRUE)</f>
        <v>C</v>
      </c>
      <c r="P803" s="56">
        <f>INDEX(Detail!$A$1:$A$1001,MATCH(B803,Detail!$G$1:$G$1001,0))</f>
        <v>38012</v>
      </c>
      <c r="Q803" s="33" t="str">
        <f>INDEX(Detail!$F$1:$F$1001,MATCH(Main!B803,Detail!$G$1:$G$1001,0))</f>
        <v>Banjarbaru</v>
      </c>
      <c r="R803" s="7">
        <f>INDEX(Detail!$C$1:$C$1001,MATCH(B803,Detail!$G$1:$G$1001,0),1)</f>
        <v>155</v>
      </c>
      <c r="S803" s="7">
        <f>INDEX(Detail!$D$1:$D$1001,MATCH(B803,Detail!$G$1:$G$1001,0),1)</f>
        <v>53</v>
      </c>
      <c r="T803" s="7" t="str">
        <f>INDEX(Detail!$E$1:$E$1001,MATCH(Main!B803,Detail!$G$1:$G$1001,0))</f>
        <v>Jl. Asia Afrika No. 30</v>
      </c>
      <c r="U803" s="7" t="str">
        <f>INDEX(Detail!$B$1:$B$1001,MATCH(B803,Detail!$G$1:$G$1001,0),1)</f>
        <v>AB-</v>
      </c>
      <c r="V803" s="7" t="str" cm="1">
        <f t="array" ref="V803">INDEX(Dosen!$B$3:$E$8,MATCH(Main!C803,Dosen!$A$3:$A$8,0),IF(AND(Main!A803&gt;=1,Main!A803&lt;=250),1,IF(AND(Main!A803&gt;=251,Main!A803&lt;=500),2,IF(AND(Main!A803&gt;=501,Main!A803&lt;=750),3,4))))</f>
        <v>Pak Budi</v>
      </c>
      <c r="W803" s="7" t="str">
        <f>_xlfn.XLOOKUP(B803,Detail!$G$1:$G$1001,Detail!$B$1:$B$1001)</f>
        <v>AB-</v>
      </c>
    </row>
    <row r="804" spans="1:23" ht="15.75" x14ac:dyDescent="0.25">
      <c r="A804" s="7">
        <v>734</v>
      </c>
      <c r="B804" s="33" t="str">
        <f t="shared" si="46"/>
        <v>E0734</v>
      </c>
      <c r="C804" s="7" t="s">
        <v>1010</v>
      </c>
      <c r="D804" s="33" t="str">
        <f>VLOOKUP(B804,Detail!$G$1:$H$1001,2,FALSE)</f>
        <v>Perkasa Lailasari</v>
      </c>
      <c r="E804" s="7">
        <v>89</v>
      </c>
      <c r="F804" s="7">
        <v>42</v>
      </c>
      <c r="G804" s="57">
        <v>36</v>
      </c>
      <c r="H804" s="7">
        <v>74</v>
      </c>
      <c r="I804" s="7">
        <v>88</v>
      </c>
      <c r="J804" s="7">
        <v>47</v>
      </c>
      <c r="K804" s="7">
        <v>76</v>
      </c>
      <c r="L804" s="56" t="str">
        <f>IFERROR(VLOOKUP(B804,Absen!$A$1:$C$501,2,FALSE),"No")</f>
        <v>No</v>
      </c>
      <c r="M804" s="58">
        <f t="shared" si="44"/>
        <v>7.6000000000000005</v>
      </c>
      <c r="N804" s="57">
        <f t="shared" si="45"/>
        <v>60.825000000000003</v>
      </c>
      <c r="O804" s="7" t="str">
        <f>VLOOKUP(N804,Helper!$B$30:$C$35,2,TRUE)</f>
        <v>C</v>
      </c>
      <c r="P804" s="56">
        <f>INDEX(Detail!$A$1:$A$1001,MATCH(B804,Detail!$G$1:$G$1001,0))</f>
        <v>37436</v>
      </c>
      <c r="Q804" s="33" t="str">
        <f>INDEX(Detail!$F$1:$F$1001,MATCH(Main!B804,Detail!$G$1:$G$1001,0))</f>
        <v>Jayapura</v>
      </c>
      <c r="R804" s="7">
        <f>INDEX(Detail!$C$1:$C$1001,MATCH(B804,Detail!$G$1:$G$1001,0),1)</f>
        <v>155</v>
      </c>
      <c r="S804" s="7">
        <f>INDEX(Detail!$D$1:$D$1001,MATCH(B804,Detail!$G$1:$G$1001,0),1)</f>
        <v>58</v>
      </c>
      <c r="T804" s="7" t="str">
        <f>INDEX(Detail!$E$1:$E$1001,MATCH(Main!B804,Detail!$G$1:$G$1001,0))</f>
        <v xml:space="preserve">Jalan Antapani Lama No. 7
</v>
      </c>
      <c r="U804" s="7" t="str">
        <f>INDEX(Detail!$B$1:$B$1001,MATCH(B804,Detail!$G$1:$G$1001,0),1)</f>
        <v>O-</v>
      </c>
      <c r="V804" s="7" t="str" cm="1">
        <f t="array" ref="V804">INDEX(Dosen!$B$3:$E$8,MATCH(Main!C804,Dosen!$A$3:$A$8,0),IF(AND(Main!A804&gt;=1,Main!A804&lt;=250),1,IF(AND(Main!A804&gt;=251,Main!A804&lt;=500),2,IF(AND(Main!A804&gt;=501,Main!A804&lt;=750),3,4))))</f>
        <v>Pak Budi</v>
      </c>
      <c r="W804" s="7" t="str">
        <f>_xlfn.XLOOKUP(B804,Detail!$G$1:$G$1001,Detail!$B$1:$B$1001)</f>
        <v>O-</v>
      </c>
    </row>
    <row r="805" spans="1:23" ht="15.75" x14ac:dyDescent="0.25">
      <c r="A805" s="7">
        <v>743</v>
      </c>
      <c r="B805" s="33" t="str">
        <f t="shared" si="46"/>
        <v>E0743</v>
      </c>
      <c r="C805" s="7" t="s">
        <v>1010</v>
      </c>
      <c r="D805" s="33" t="str">
        <f>VLOOKUP(B805,Detail!$G$1:$H$1001,2,FALSE)</f>
        <v>Adinata Saefullah</v>
      </c>
      <c r="E805" s="7">
        <v>56</v>
      </c>
      <c r="F805" s="7">
        <v>60</v>
      </c>
      <c r="G805" s="57">
        <v>45</v>
      </c>
      <c r="H805" s="7">
        <v>58</v>
      </c>
      <c r="I805" s="7">
        <v>74</v>
      </c>
      <c r="J805" s="7">
        <v>60</v>
      </c>
      <c r="K805" s="7">
        <v>95</v>
      </c>
      <c r="L805" s="56">
        <f>IFERROR(VLOOKUP(B805,Absen!$A$1:$C$501,2,FALSE),"No")</f>
        <v>44780</v>
      </c>
      <c r="M805" s="58">
        <f t="shared" si="44"/>
        <v>8.5</v>
      </c>
      <c r="N805" s="57">
        <f t="shared" si="45"/>
        <v>60.5</v>
      </c>
      <c r="O805" s="7" t="str">
        <f>VLOOKUP(N805,Helper!$B$30:$C$35,2,TRUE)</f>
        <v>C</v>
      </c>
      <c r="P805" s="56">
        <f>INDEX(Detail!$A$1:$A$1001,MATCH(B805,Detail!$G$1:$G$1001,0))</f>
        <v>38132</v>
      </c>
      <c r="Q805" s="33" t="str">
        <f>INDEX(Detail!$F$1:$F$1001,MATCH(Main!B805,Detail!$G$1:$G$1001,0))</f>
        <v>Samarinda</v>
      </c>
      <c r="R805" s="7">
        <f>INDEX(Detail!$C$1:$C$1001,MATCH(B805,Detail!$G$1:$G$1001,0),1)</f>
        <v>151</v>
      </c>
      <c r="S805" s="7">
        <f>INDEX(Detail!$D$1:$D$1001,MATCH(B805,Detail!$G$1:$G$1001,0),1)</f>
        <v>59</v>
      </c>
      <c r="T805" s="7" t="str">
        <f>INDEX(Detail!$E$1:$E$1001,MATCH(Main!B805,Detail!$G$1:$G$1001,0))</f>
        <v>Gang Gegerkalong Hilir No. 08</v>
      </c>
      <c r="U805" s="7" t="str">
        <f>INDEX(Detail!$B$1:$B$1001,MATCH(B805,Detail!$G$1:$G$1001,0),1)</f>
        <v>B+</v>
      </c>
      <c r="V805" s="7" t="str" cm="1">
        <f t="array" ref="V805">INDEX(Dosen!$B$3:$E$8,MATCH(Main!C805,Dosen!$A$3:$A$8,0),IF(AND(Main!A805&gt;=1,Main!A805&lt;=250),1,IF(AND(Main!A805&gt;=251,Main!A805&lt;=500),2,IF(AND(Main!A805&gt;=501,Main!A805&lt;=750),3,4))))</f>
        <v>Pak Budi</v>
      </c>
      <c r="W805" s="7" t="str">
        <f>_xlfn.XLOOKUP(B805,Detail!$G$1:$G$1001,Detail!$B$1:$B$1001)</f>
        <v>B+</v>
      </c>
    </row>
    <row r="806" spans="1:23" ht="15.75" x14ac:dyDescent="0.25">
      <c r="A806" s="7">
        <v>754</v>
      </c>
      <c r="B806" s="33" t="str">
        <f t="shared" si="46"/>
        <v>E0754</v>
      </c>
      <c r="C806" s="7" t="s">
        <v>1010</v>
      </c>
      <c r="D806" s="33" t="str">
        <f>VLOOKUP(B806,Detail!$G$1:$H$1001,2,FALSE)</f>
        <v>Mursinin Dabukke</v>
      </c>
      <c r="E806" s="7">
        <v>86</v>
      </c>
      <c r="F806" s="7">
        <v>59</v>
      </c>
      <c r="G806" s="57">
        <v>90</v>
      </c>
      <c r="H806" s="7">
        <v>64</v>
      </c>
      <c r="I806" s="7">
        <v>82</v>
      </c>
      <c r="J806" s="7">
        <v>88</v>
      </c>
      <c r="K806" s="7">
        <v>97</v>
      </c>
      <c r="L806" s="56">
        <f>IFERROR(VLOOKUP(B806,Absen!$A$1:$C$501,2,FALSE),"No")</f>
        <v>44860</v>
      </c>
      <c r="M806" s="58">
        <f t="shared" si="44"/>
        <v>8.7000000000000011</v>
      </c>
      <c r="N806" s="57">
        <f t="shared" si="45"/>
        <v>80.674999999999997</v>
      </c>
      <c r="O806" s="7" t="str">
        <f>VLOOKUP(N806,Helper!$B$30:$C$35,2,TRUE)</f>
        <v>A</v>
      </c>
      <c r="P806" s="56">
        <f>INDEX(Detail!$A$1:$A$1001,MATCH(B806,Detail!$G$1:$G$1001,0))</f>
        <v>38092</v>
      </c>
      <c r="Q806" s="33" t="str">
        <f>INDEX(Detail!$F$1:$F$1001,MATCH(Main!B806,Detail!$G$1:$G$1001,0))</f>
        <v>Parepare</v>
      </c>
      <c r="R806" s="7">
        <f>INDEX(Detail!$C$1:$C$1001,MATCH(B806,Detail!$G$1:$G$1001,0),1)</f>
        <v>160</v>
      </c>
      <c r="S806" s="7">
        <f>INDEX(Detail!$D$1:$D$1001,MATCH(B806,Detail!$G$1:$G$1001,0),1)</f>
        <v>59</v>
      </c>
      <c r="T806" s="7" t="str">
        <f>INDEX(Detail!$E$1:$E$1001,MATCH(Main!B806,Detail!$G$1:$G$1001,0))</f>
        <v xml:space="preserve">Gang Bangka Raya No. 7
</v>
      </c>
      <c r="U806" s="7" t="str">
        <f>INDEX(Detail!$B$1:$B$1001,MATCH(B806,Detail!$G$1:$G$1001,0),1)</f>
        <v>B+</v>
      </c>
      <c r="V806" s="7" t="str" cm="1">
        <f t="array" ref="V806">INDEX(Dosen!$B$3:$E$8,MATCH(Main!C806,Dosen!$A$3:$A$8,0),IF(AND(Main!A806&gt;=1,Main!A806&lt;=250),1,IF(AND(Main!A806&gt;=251,Main!A806&lt;=500),2,IF(AND(Main!A806&gt;=501,Main!A806&lt;=750),3,4))))</f>
        <v>Bu Ratna</v>
      </c>
      <c r="W806" s="7" t="str">
        <f>_xlfn.XLOOKUP(B806,Detail!$G$1:$G$1001,Detail!$B$1:$B$1001)</f>
        <v>B+</v>
      </c>
    </row>
    <row r="807" spans="1:23" ht="15.75" x14ac:dyDescent="0.25">
      <c r="A807" s="7">
        <v>756</v>
      </c>
      <c r="B807" s="33" t="str">
        <f t="shared" ref="B807:B837" si="47">CONCATENATE("E",TEXT(A807,"0000"))</f>
        <v>E0756</v>
      </c>
      <c r="C807" s="7" t="s">
        <v>1010</v>
      </c>
      <c r="D807" s="33" t="str">
        <f>VLOOKUP(B807,Detail!$G$1:$H$1001,2,FALSE)</f>
        <v>Xanana Nababan</v>
      </c>
      <c r="E807" s="7">
        <v>62</v>
      </c>
      <c r="F807" s="7">
        <v>51</v>
      </c>
      <c r="G807" s="57">
        <v>46</v>
      </c>
      <c r="H807" s="7">
        <v>67</v>
      </c>
      <c r="I807" s="7">
        <v>83</v>
      </c>
      <c r="J807" s="7">
        <v>56</v>
      </c>
      <c r="K807" s="7">
        <v>90</v>
      </c>
      <c r="L807" s="56">
        <f>IFERROR(VLOOKUP(B807,Absen!$A$1:$C$501,2,FALSE),"No")</f>
        <v>44883</v>
      </c>
      <c r="M807" s="58">
        <f t="shared" si="44"/>
        <v>8</v>
      </c>
      <c r="N807" s="57">
        <f t="shared" si="45"/>
        <v>61.275000000000006</v>
      </c>
      <c r="O807" s="7" t="str">
        <f>VLOOKUP(N807,Helper!$B$30:$C$35,2,TRUE)</f>
        <v>C</v>
      </c>
      <c r="P807" s="56">
        <f>INDEX(Detail!$A$1:$A$1001,MATCH(B807,Detail!$G$1:$G$1001,0))</f>
        <v>38359</v>
      </c>
      <c r="Q807" s="33" t="str">
        <f>INDEX(Detail!$F$1:$F$1001,MATCH(Main!B807,Detail!$G$1:$G$1001,0))</f>
        <v>Blitar</v>
      </c>
      <c r="R807" s="7">
        <f>INDEX(Detail!$C$1:$C$1001,MATCH(B807,Detail!$G$1:$G$1001,0),1)</f>
        <v>176</v>
      </c>
      <c r="S807" s="7">
        <f>INDEX(Detail!$D$1:$D$1001,MATCH(B807,Detail!$G$1:$G$1001,0),1)</f>
        <v>71</v>
      </c>
      <c r="T807" s="7" t="str">
        <f>INDEX(Detail!$E$1:$E$1001,MATCH(Main!B807,Detail!$G$1:$G$1001,0))</f>
        <v>Jl. Dipenogoro No. 36</v>
      </c>
      <c r="U807" s="7" t="str">
        <f>INDEX(Detail!$B$1:$B$1001,MATCH(B807,Detail!$G$1:$G$1001,0),1)</f>
        <v>AB+</v>
      </c>
      <c r="V807" s="7" t="str" cm="1">
        <f t="array" ref="V807">INDEX(Dosen!$B$3:$E$8,MATCH(Main!C807,Dosen!$A$3:$A$8,0),IF(AND(Main!A807&gt;=1,Main!A807&lt;=250),1,IF(AND(Main!A807&gt;=251,Main!A807&lt;=500),2,IF(AND(Main!A807&gt;=501,Main!A807&lt;=750),3,4))))</f>
        <v>Bu Ratna</v>
      </c>
      <c r="W807" s="7" t="str">
        <f>_xlfn.XLOOKUP(B807,Detail!$G$1:$G$1001,Detail!$B$1:$B$1001)</f>
        <v>AB+</v>
      </c>
    </row>
    <row r="808" spans="1:23" ht="15.75" x14ac:dyDescent="0.25">
      <c r="A808" s="7">
        <v>765</v>
      </c>
      <c r="B808" s="33" t="str">
        <f t="shared" si="47"/>
        <v>E0765</v>
      </c>
      <c r="C808" s="7" t="s">
        <v>1010</v>
      </c>
      <c r="D808" s="33" t="str">
        <f>VLOOKUP(B808,Detail!$G$1:$H$1001,2,FALSE)</f>
        <v>Digdaya Mustofa</v>
      </c>
      <c r="E808" s="7">
        <v>89</v>
      </c>
      <c r="F808" s="7">
        <v>65</v>
      </c>
      <c r="G808" s="57">
        <v>68</v>
      </c>
      <c r="H808" s="7">
        <v>74</v>
      </c>
      <c r="I808" s="7">
        <v>50</v>
      </c>
      <c r="J808" s="7">
        <v>48</v>
      </c>
      <c r="K808" s="7">
        <v>87</v>
      </c>
      <c r="L808" s="56" t="str">
        <f>IFERROR(VLOOKUP(B808,Absen!$A$1:$C$501,2,FALSE),"No")</f>
        <v>No</v>
      </c>
      <c r="M808" s="58">
        <f t="shared" si="44"/>
        <v>8.7000000000000011</v>
      </c>
      <c r="N808" s="57">
        <f t="shared" si="45"/>
        <v>66.650000000000006</v>
      </c>
      <c r="O808" s="7" t="str">
        <f>VLOOKUP(N808,Helper!$B$30:$C$35,2,TRUE)</f>
        <v>C</v>
      </c>
      <c r="P808" s="56">
        <f>INDEX(Detail!$A$1:$A$1001,MATCH(B808,Detail!$G$1:$G$1001,0))</f>
        <v>37637</v>
      </c>
      <c r="Q808" s="33" t="str">
        <f>INDEX(Detail!$F$1:$F$1001,MATCH(Main!B808,Detail!$G$1:$G$1001,0))</f>
        <v>Tidore Kepulauan</v>
      </c>
      <c r="R808" s="7">
        <f>INDEX(Detail!$C$1:$C$1001,MATCH(B808,Detail!$G$1:$G$1001,0),1)</f>
        <v>172</v>
      </c>
      <c r="S808" s="7">
        <f>INDEX(Detail!$D$1:$D$1001,MATCH(B808,Detail!$G$1:$G$1001,0),1)</f>
        <v>94</v>
      </c>
      <c r="T808" s="7" t="str">
        <f>INDEX(Detail!$E$1:$E$1001,MATCH(Main!B808,Detail!$G$1:$G$1001,0))</f>
        <v xml:space="preserve">Gang Gardujati No. 4
</v>
      </c>
      <c r="U808" s="7" t="str">
        <f>INDEX(Detail!$B$1:$B$1001,MATCH(B808,Detail!$G$1:$G$1001,0),1)</f>
        <v>B-</v>
      </c>
      <c r="V808" s="7" t="str" cm="1">
        <f t="array" ref="V808">INDEX(Dosen!$B$3:$E$8,MATCH(Main!C808,Dosen!$A$3:$A$8,0),IF(AND(Main!A808&gt;=1,Main!A808&lt;=250),1,IF(AND(Main!A808&gt;=251,Main!A808&lt;=500),2,IF(AND(Main!A808&gt;=501,Main!A808&lt;=750),3,4))))</f>
        <v>Bu Ratna</v>
      </c>
      <c r="W808" s="7" t="str">
        <f>_xlfn.XLOOKUP(B808,Detail!$G$1:$G$1001,Detail!$B$1:$B$1001)</f>
        <v>B-</v>
      </c>
    </row>
    <row r="809" spans="1:23" ht="15.75" x14ac:dyDescent="0.25">
      <c r="A809" s="7">
        <v>768</v>
      </c>
      <c r="B809" s="33" t="str">
        <f t="shared" si="47"/>
        <v>E0768</v>
      </c>
      <c r="C809" s="7" t="s">
        <v>1010</v>
      </c>
      <c r="D809" s="33" t="str">
        <f>VLOOKUP(B809,Detail!$G$1:$H$1001,2,FALSE)</f>
        <v>Marwata Susanti</v>
      </c>
      <c r="E809" s="7">
        <v>63</v>
      </c>
      <c r="F809" s="7">
        <v>67</v>
      </c>
      <c r="G809" s="57">
        <v>57</v>
      </c>
      <c r="H809" s="7">
        <v>68</v>
      </c>
      <c r="I809" s="7">
        <v>85</v>
      </c>
      <c r="J809" s="7">
        <v>75</v>
      </c>
      <c r="K809" s="7">
        <v>68</v>
      </c>
      <c r="L809" s="56">
        <f>IFERROR(VLOOKUP(B809,Absen!$A$1:$C$501,2,FALSE),"No")</f>
        <v>44796</v>
      </c>
      <c r="M809" s="58">
        <f t="shared" si="44"/>
        <v>5.8000000000000007</v>
      </c>
      <c r="N809" s="57">
        <f t="shared" si="45"/>
        <v>67.575000000000003</v>
      </c>
      <c r="O809" s="7" t="str">
        <f>VLOOKUP(N809,Helper!$B$30:$C$35,2,TRUE)</f>
        <v>C</v>
      </c>
      <c r="P809" s="56">
        <f>INDEX(Detail!$A$1:$A$1001,MATCH(B809,Detail!$G$1:$G$1001,0))</f>
        <v>37920</v>
      </c>
      <c r="Q809" s="33" t="str">
        <f>INDEX(Detail!$F$1:$F$1001,MATCH(Main!B809,Detail!$G$1:$G$1001,0))</f>
        <v>Padangpanjang</v>
      </c>
      <c r="R809" s="7">
        <f>INDEX(Detail!$C$1:$C$1001,MATCH(B809,Detail!$G$1:$G$1001,0),1)</f>
        <v>178</v>
      </c>
      <c r="S809" s="7">
        <f>INDEX(Detail!$D$1:$D$1001,MATCH(B809,Detail!$G$1:$G$1001,0),1)</f>
        <v>68</v>
      </c>
      <c r="T809" s="7" t="str">
        <f>INDEX(Detail!$E$1:$E$1001,MATCH(Main!B809,Detail!$G$1:$G$1001,0))</f>
        <v>Jalan Pasir Koja No. 95</v>
      </c>
      <c r="U809" s="7" t="str">
        <f>INDEX(Detail!$B$1:$B$1001,MATCH(B809,Detail!$G$1:$G$1001,0),1)</f>
        <v>B+</v>
      </c>
      <c r="V809" s="7" t="str" cm="1">
        <f t="array" ref="V809">INDEX(Dosen!$B$3:$E$8,MATCH(Main!C809,Dosen!$A$3:$A$8,0),IF(AND(Main!A809&gt;=1,Main!A809&lt;=250),1,IF(AND(Main!A809&gt;=251,Main!A809&lt;=500),2,IF(AND(Main!A809&gt;=501,Main!A809&lt;=750),3,4))))</f>
        <v>Bu Ratna</v>
      </c>
      <c r="W809" s="7" t="str">
        <f>_xlfn.XLOOKUP(B809,Detail!$G$1:$G$1001,Detail!$B$1:$B$1001)</f>
        <v>B+</v>
      </c>
    </row>
    <row r="810" spans="1:23" ht="15.75" x14ac:dyDescent="0.25">
      <c r="A810" s="7">
        <v>771</v>
      </c>
      <c r="B810" s="33" t="str">
        <f t="shared" si="47"/>
        <v>E0771</v>
      </c>
      <c r="C810" s="7" t="s">
        <v>1010</v>
      </c>
      <c r="D810" s="33" t="str">
        <f>VLOOKUP(B810,Detail!$G$1:$H$1001,2,FALSE)</f>
        <v>Mumpuni Napitupulu</v>
      </c>
      <c r="E810" s="7">
        <v>93</v>
      </c>
      <c r="F810" s="7">
        <v>47</v>
      </c>
      <c r="G810" s="57">
        <v>43</v>
      </c>
      <c r="H810" s="7">
        <v>68</v>
      </c>
      <c r="I810" s="7">
        <v>64</v>
      </c>
      <c r="J810" s="7">
        <v>71</v>
      </c>
      <c r="K810" s="7">
        <v>98</v>
      </c>
      <c r="L810" s="56">
        <f>IFERROR(VLOOKUP(B810,Absen!$A$1:$C$501,2,FALSE),"No")</f>
        <v>44845</v>
      </c>
      <c r="M810" s="58">
        <f t="shared" si="44"/>
        <v>8.8000000000000007</v>
      </c>
      <c r="N810" s="57">
        <f t="shared" si="45"/>
        <v>65.600000000000009</v>
      </c>
      <c r="O810" s="7" t="str">
        <f>VLOOKUP(N810,Helper!$B$30:$C$35,2,TRUE)</f>
        <v>C</v>
      </c>
      <c r="P810" s="56">
        <f>INDEX(Detail!$A$1:$A$1001,MATCH(B810,Detail!$G$1:$G$1001,0))</f>
        <v>38130</v>
      </c>
      <c r="Q810" s="33" t="str">
        <f>INDEX(Detail!$F$1:$F$1001,MATCH(Main!B810,Detail!$G$1:$G$1001,0))</f>
        <v>Blitar</v>
      </c>
      <c r="R810" s="7">
        <f>INDEX(Detail!$C$1:$C$1001,MATCH(B810,Detail!$G$1:$G$1001,0),1)</f>
        <v>161</v>
      </c>
      <c r="S810" s="7">
        <f>INDEX(Detail!$D$1:$D$1001,MATCH(B810,Detail!$G$1:$G$1001,0),1)</f>
        <v>86</v>
      </c>
      <c r="T810" s="7" t="str">
        <f>INDEX(Detail!$E$1:$E$1001,MATCH(Main!B810,Detail!$G$1:$G$1001,0))</f>
        <v>Jalan Pasirkoja No. 20</v>
      </c>
      <c r="U810" s="7" t="str">
        <f>INDEX(Detail!$B$1:$B$1001,MATCH(B810,Detail!$G$1:$G$1001,0),1)</f>
        <v>O+</v>
      </c>
      <c r="V810" s="7" t="str" cm="1">
        <f t="array" ref="V810">INDEX(Dosen!$B$3:$E$8,MATCH(Main!C810,Dosen!$A$3:$A$8,0),IF(AND(Main!A810&gt;=1,Main!A810&lt;=250),1,IF(AND(Main!A810&gt;=251,Main!A810&lt;=500),2,IF(AND(Main!A810&gt;=501,Main!A810&lt;=750),3,4))))</f>
        <v>Bu Ratna</v>
      </c>
      <c r="W810" s="7" t="str">
        <f>_xlfn.XLOOKUP(B810,Detail!$G$1:$G$1001,Detail!$B$1:$B$1001)</f>
        <v>O+</v>
      </c>
    </row>
    <row r="811" spans="1:23" ht="15.75" x14ac:dyDescent="0.25">
      <c r="A811" s="7">
        <v>781</v>
      </c>
      <c r="B811" s="33" t="str">
        <f t="shared" si="47"/>
        <v>E0781</v>
      </c>
      <c r="C811" s="7" t="s">
        <v>1010</v>
      </c>
      <c r="D811" s="33" t="str">
        <f>VLOOKUP(B811,Detail!$G$1:$H$1001,2,FALSE)</f>
        <v>Lidya Hutagalung</v>
      </c>
      <c r="E811" s="7">
        <v>87</v>
      </c>
      <c r="F811" s="7">
        <v>68</v>
      </c>
      <c r="G811" s="57">
        <v>90</v>
      </c>
      <c r="H811" s="7">
        <v>56</v>
      </c>
      <c r="I811" s="7">
        <v>94</v>
      </c>
      <c r="J811" s="7">
        <v>64</v>
      </c>
      <c r="K811" s="7">
        <v>100</v>
      </c>
      <c r="L811" s="56">
        <f>IFERROR(VLOOKUP(B811,Absen!$A$1:$C$501,2,FALSE),"No")</f>
        <v>44889</v>
      </c>
      <c r="M811" s="58">
        <f t="shared" si="44"/>
        <v>9</v>
      </c>
      <c r="N811" s="57">
        <f t="shared" si="45"/>
        <v>77.924999999999997</v>
      </c>
      <c r="O811" s="7" t="str">
        <f>VLOOKUP(N811,Helper!$B$30:$C$35,2,TRUE)</f>
        <v>B</v>
      </c>
      <c r="P811" s="56">
        <f>INDEX(Detail!$A$1:$A$1001,MATCH(B811,Detail!$G$1:$G$1001,0))</f>
        <v>37508</v>
      </c>
      <c r="Q811" s="33" t="str">
        <f>INDEX(Detail!$F$1:$F$1001,MATCH(Main!B811,Detail!$G$1:$G$1001,0))</f>
        <v>Cirebon</v>
      </c>
      <c r="R811" s="7">
        <f>INDEX(Detail!$C$1:$C$1001,MATCH(B811,Detail!$G$1:$G$1001,0),1)</f>
        <v>176</v>
      </c>
      <c r="S811" s="7">
        <f>INDEX(Detail!$D$1:$D$1001,MATCH(B811,Detail!$G$1:$G$1001,0),1)</f>
        <v>89</v>
      </c>
      <c r="T811" s="7" t="str">
        <f>INDEX(Detail!$E$1:$E$1001,MATCH(Main!B811,Detail!$G$1:$G$1001,0))</f>
        <v xml:space="preserve">Jalan Veteran No. 3
</v>
      </c>
      <c r="U811" s="7" t="str">
        <f>INDEX(Detail!$B$1:$B$1001,MATCH(B811,Detail!$G$1:$G$1001,0),1)</f>
        <v>B-</v>
      </c>
      <c r="V811" s="7" t="str" cm="1">
        <f t="array" ref="V811">INDEX(Dosen!$B$3:$E$8,MATCH(Main!C811,Dosen!$A$3:$A$8,0),IF(AND(Main!A811&gt;=1,Main!A811&lt;=250),1,IF(AND(Main!A811&gt;=251,Main!A811&lt;=500),2,IF(AND(Main!A811&gt;=501,Main!A811&lt;=750),3,4))))</f>
        <v>Bu Ratna</v>
      </c>
      <c r="W811" s="7" t="str">
        <f>_xlfn.XLOOKUP(B811,Detail!$G$1:$G$1001,Detail!$B$1:$B$1001)</f>
        <v>B-</v>
      </c>
    </row>
    <row r="812" spans="1:23" ht="15.75" x14ac:dyDescent="0.25">
      <c r="A812" s="7">
        <v>790</v>
      </c>
      <c r="B812" s="33" t="str">
        <f t="shared" si="47"/>
        <v>E0790</v>
      </c>
      <c r="C812" s="7" t="s">
        <v>1010</v>
      </c>
      <c r="D812" s="33" t="str">
        <f>VLOOKUP(B812,Detail!$G$1:$H$1001,2,FALSE)</f>
        <v>Chandra Latupono</v>
      </c>
      <c r="E812" s="7">
        <v>57</v>
      </c>
      <c r="F812" s="7">
        <v>57</v>
      </c>
      <c r="G812" s="57">
        <v>82</v>
      </c>
      <c r="H812" s="7">
        <v>62</v>
      </c>
      <c r="I812" s="7">
        <v>60</v>
      </c>
      <c r="J812" s="7">
        <v>76</v>
      </c>
      <c r="K812" s="7">
        <v>93</v>
      </c>
      <c r="L812" s="56">
        <f>IFERROR(VLOOKUP(B812,Absen!$A$1:$C$501,2,FALSE),"No")</f>
        <v>44801</v>
      </c>
      <c r="M812" s="58">
        <f t="shared" si="44"/>
        <v>8.3000000000000007</v>
      </c>
      <c r="N812" s="57">
        <f t="shared" si="45"/>
        <v>69.400000000000006</v>
      </c>
      <c r="O812" s="7" t="str">
        <f>VLOOKUP(N812,Helper!$B$30:$C$35,2,TRUE)</f>
        <v>C</v>
      </c>
      <c r="P812" s="56">
        <f>INDEX(Detail!$A$1:$A$1001,MATCH(B812,Detail!$G$1:$G$1001,0))</f>
        <v>37072</v>
      </c>
      <c r="Q812" s="33" t="str">
        <f>INDEX(Detail!$F$1:$F$1001,MATCH(Main!B812,Detail!$G$1:$G$1001,0))</f>
        <v>Palembang</v>
      </c>
      <c r="R812" s="7">
        <f>INDEX(Detail!$C$1:$C$1001,MATCH(B812,Detail!$G$1:$G$1001,0),1)</f>
        <v>168</v>
      </c>
      <c r="S812" s="7">
        <f>INDEX(Detail!$D$1:$D$1001,MATCH(B812,Detail!$G$1:$G$1001,0),1)</f>
        <v>52</v>
      </c>
      <c r="T812" s="7" t="str">
        <f>INDEX(Detail!$E$1:$E$1001,MATCH(Main!B812,Detail!$G$1:$G$1001,0))</f>
        <v>Gg. Sukabumi No. 67</v>
      </c>
      <c r="U812" s="7" t="str">
        <f>INDEX(Detail!$B$1:$B$1001,MATCH(B812,Detail!$G$1:$G$1001,0),1)</f>
        <v>B-</v>
      </c>
      <c r="V812" s="7" t="str" cm="1">
        <f t="array" ref="V812">INDEX(Dosen!$B$3:$E$8,MATCH(Main!C812,Dosen!$A$3:$A$8,0),IF(AND(Main!A812&gt;=1,Main!A812&lt;=250),1,IF(AND(Main!A812&gt;=251,Main!A812&lt;=500),2,IF(AND(Main!A812&gt;=501,Main!A812&lt;=750),3,4))))</f>
        <v>Bu Ratna</v>
      </c>
      <c r="W812" s="7" t="str">
        <f>_xlfn.XLOOKUP(B812,Detail!$G$1:$G$1001,Detail!$B$1:$B$1001)</f>
        <v>B-</v>
      </c>
    </row>
    <row r="813" spans="1:23" ht="15.75" x14ac:dyDescent="0.25">
      <c r="A813" s="7">
        <v>796</v>
      </c>
      <c r="B813" s="33" t="str">
        <f t="shared" si="47"/>
        <v>E0796</v>
      </c>
      <c r="C813" s="7" t="s">
        <v>1010</v>
      </c>
      <c r="D813" s="33" t="str">
        <f>VLOOKUP(B813,Detail!$G$1:$H$1001,2,FALSE)</f>
        <v>Sabar Tamba</v>
      </c>
      <c r="E813" s="7">
        <v>71</v>
      </c>
      <c r="F813" s="7">
        <v>70</v>
      </c>
      <c r="G813" s="57">
        <v>51</v>
      </c>
      <c r="H813" s="7">
        <v>73</v>
      </c>
      <c r="I813" s="7">
        <v>60</v>
      </c>
      <c r="J813" s="7">
        <v>95</v>
      </c>
      <c r="K813" s="7">
        <v>83</v>
      </c>
      <c r="L813" s="56" t="str">
        <f>IFERROR(VLOOKUP(B813,Absen!$A$1:$C$501,2,FALSE),"No")</f>
        <v>No</v>
      </c>
      <c r="M813" s="58">
        <f t="shared" si="44"/>
        <v>8.3000000000000007</v>
      </c>
      <c r="N813" s="57">
        <f t="shared" si="45"/>
        <v>71.75</v>
      </c>
      <c r="O813" s="7" t="str">
        <f>VLOOKUP(N813,Helper!$B$30:$C$35,2,TRUE)</f>
        <v>B</v>
      </c>
      <c r="P813" s="56">
        <f>INDEX(Detail!$A$1:$A$1001,MATCH(B813,Detail!$G$1:$G$1001,0))</f>
        <v>38120</v>
      </c>
      <c r="Q813" s="33" t="str">
        <f>INDEX(Detail!$F$1:$F$1001,MATCH(Main!B813,Detail!$G$1:$G$1001,0))</f>
        <v>Palopo</v>
      </c>
      <c r="R813" s="7">
        <f>INDEX(Detail!$C$1:$C$1001,MATCH(B813,Detail!$G$1:$G$1001,0),1)</f>
        <v>178</v>
      </c>
      <c r="S813" s="7">
        <f>INDEX(Detail!$D$1:$D$1001,MATCH(B813,Detail!$G$1:$G$1001,0),1)</f>
        <v>89</v>
      </c>
      <c r="T813" s="7" t="str">
        <f>INDEX(Detail!$E$1:$E$1001,MATCH(Main!B813,Detail!$G$1:$G$1001,0))</f>
        <v xml:space="preserve">Jalan Tubagus Ismail No. 7
</v>
      </c>
      <c r="U813" s="7" t="str">
        <f>INDEX(Detail!$B$1:$B$1001,MATCH(B813,Detail!$G$1:$G$1001,0),1)</f>
        <v>B+</v>
      </c>
      <c r="V813" s="7" t="str" cm="1">
        <f t="array" ref="V813">INDEX(Dosen!$B$3:$E$8,MATCH(Main!C813,Dosen!$A$3:$A$8,0),IF(AND(Main!A813&gt;=1,Main!A813&lt;=250),1,IF(AND(Main!A813&gt;=251,Main!A813&lt;=500),2,IF(AND(Main!A813&gt;=501,Main!A813&lt;=750),3,4))))</f>
        <v>Bu Ratna</v>
      </c>
      <c r="W813" s="7" t="str">
        <f>_xlfn.XLOOKUP(B813,Detail!$G$1:$G$1001,Detail!$B$1:$B$1001)</f>
        <v>B+</v>
      </c>
    </row>
    <row r="814" spans="1:23" ht="15.75" x14ac:dyDescent="0.25">
      <c r="A814" s="7">
        <v>798</v>
      </c>
      <c r="B814" s="33" t="str">
        <f t="shared" si="47"/>
        <v>E0798</v>
      </c>
      <c r="C814" s="7" t="s">
        <v>1010</v>
      </c>
      <c r="D814" s="33" t="str">
        <f>VLOOKUP(B814,Detail!$G$1:$H$1001,2,FALSE)</f>
        <v>Jasmani Nurdiyanti</v>
      </c>
      <c r="E814" s="7">
        <v>64</v>
      </c>
      <c r="F814" s="7">
        <v>49</v>
      </c>
      <c r="G814" s="57">
        <v>39</v>
      </c>
      <c r="H814" s="7">
        <v>53</v>
      </c>
      <c r="I814" s="7">
        <v>70</v>
      </c>
      <c r="J814" s="7">
        <v>54</v>
      </c>
      <c r="K814" s="7">
        <v>72</v>
      </c>
      <c r="L814" s="56" t="str">
        <f>IFERROR(VLOOKUP(B814,Absen!$A$1:$C$501,2,FALSE),"No")</f>
        <v>No</v>
      </c>
      <c r="M814" s="58">
        <f t="shared" si="44"/>
        <v>7.2</v>
      </c>
      <c r="N814" s="57">
        <f t="shared" si="45"/>
        <v>55.3</v>
      </c>
      <c r="O814" s="7" t="str">
        <f>VLOOKUP(N814,Helper!$B$30:$C$35,2,TRUE)</f>
        <v>D</v>
      </c>
      <c r="P814" s="56">
        <f>INDEX(Detail!$A$1:$A$1001,MATCH(B814,Detail!$G$1:$G$1001,0))</f>
        <v>37479</v>
      </c>
      <c r="Q814" s="33" t="str">
        <f>INDEX(Detail!$F$1:$F$1001,MATCH(Main!B814,Detail!$G$1:$G$1001,0))</f>
        <v>Pekalongan</v>
      </c>
      <c r="R814" s="7">
        <f>INDEX(Detail!$C$1:$C$1001,MATCH(B814,Detail!$G$1:$G$1001,0),1)</f>
        <v>158</v>
      </c>
      <c r="S814" s="7">
        <f>INDEX(Detail!$D$1:$D$1001,MATCH(B814,Detail!$G$1:$G$1001,0),1)</f>
        <v>45</v>
      </c>
      <c r="T814" s="7" t="str">
        <f>INDEX(Detail!$E$1:$E$1001,MATCH(Main!B814,Detail!$G$1:$G$1001,0))</f>
        <v>Jl. Erlangga No. 49</v>
      </c>
      <c r="U814" s="7" t="str">
        <f>INDEX(Detail!$B$1:$B$1001,MATCH(B814,Detail!$G$1:$G$1001,0),1)</f>
        <v>O-</v>
      </c>
      <c r="V814" s="7" t="str" cm="1">
        <f t="array" ref="V814">INDEX(Dosen!$B$3:$E$8,MATCH(Main!C814,Dosen!$A$3:$A$8,0),IF(AND(Main!A814&gt;=1,Main!A814&lt;=250),1,IF(AND(Main!A814&gt;=251,Main!A814&lt;=500),2,IF(AND(Main!A814&gt;=501,Main!A814&lt;=750),3,4))))</f>
        <v>Bu Ratna</v>
      </c>
      <c r="W814" s="7" t="str">
        <f>_xlfn.XLOOKUP(B814,Detail!$G$1:$G$1001,Detail!$B$1:$B$1001)</f>
        <v>O-</v>
      </c>
    </row>
    <row r="815" spans="1:23" ht="15.75" x14ac:dyDescent="0.25">
      <c r="A815" s="7">
        <v>799</v>
      </c>
      <c r="B815" s="33" t="str">
        <f t="shared" si="47"/>
        <v>E0799</v>
      </c>
      <c r="C815" s="7" t="s">
        <v>1010</v>
      </c>
      <c r="D815" s="33" t="str">
        <f>VLOOKUP(B815,Detail!$G$1:$H$1001,2,FALSE)</f>
        <v>Adiarja Nasyiah</v>
      </c>
      <c r="E815" s="7">
        <v>92</v>
      </c>
      <c r="F815" s="7">
        <v>47</v>
      </c>
      <c r="G815" s="57">
        <v>68</v>
      </c>
      <c r="H815" s="7">
        <v>72</v>
      </c>
      <c r="I815" s="7">
        <v>91</v>
      </c>
      <c r="J815" s="7">
        <v>64</v>
      </c>
      <c r="K815" s="7">
        <v>88</v>
      </c>
      <c r="L815" s="56" t="str">
        <f>IFERROR(VLOOKUP(B815,Absen!$A$1:$C$501,2,FALSE),"No")</f>
        <v>No</v>
      </c>
      <c r="M815" s="58">
        <f t="shared" si="44"/>
        <v>8.8000000000000007</v>
      </c>
      <c r="N815" s="57">
        <f t="shared" si="45"/>
        <v>72.95</v>
      </c>
      <c r="O815" s="7" t="str">
        <f>VLOOKUP(N815,Helper!$B$30:$C$35,2,TRUE)</f>
        <v>B</v>
      </c>
      <c r="P815" s="56">
        <f>INDEX(Detail!$A$1:$A$1001,MATCH(B815,Detail!$G$1:$G$1001,0))</f>
        <v>38239</v>
      </c>
      <c r="Q815" s="33" t="str">
        <f>INDEX(Detail!$F$1:$F$1001,MATCH(Main!B815,Detail!$G$1:$G$1001,0))</f>
        <v>Ternate</v>
      </c>
      <c r="R815" s="7">
        <f>INDEX(Detail!$C$1:$C$1001,MATCH(B815,Detail!$G$1:$G$1001,0),1)</f>
        <v>152</v>
      </c>
      <c r="S815" s="7">
        <f>INDEX(Detail!$D$1:$D$1001,MATCH(B815,Detail!$G$1:$G$1001,0),1)</f>
        <v>83</v>
      </c>
      <c r="T815" s="7" t="str">
        <f>INDEX(Detail!$E$1:$E$1001,MATCH(Main!B815,Detail!$G$1:$G$1001,0))</f>
        <v xml:space="preserve">Gang Laswi No. 9
</v>
      </c>
      <c r="U815" s="7" t="str">
        <f>INDEX(Detail!$B$1:$B$1001,MATCH(B815,Detail!$G$1:$G$1001,0),1)</f>
        <v>A+</v>
      </c>
      <c r="V815" s="7" t="str" cm="1">
        <f t="array" ref="V815">INDEX(Dosen!$B$3:$E$8,MATCH(Main!C815,Dosen!$A$3:$A$8,0),IF(AND(Main!A815&gt;=1,Main!A815&lt;=250),1,IF(AND(Main!A815&gt;=251,Main!A815&lt;=500),2,IF(AND(Main!A815&gt;=501,Main!A815&lt;=750),3,4))))</f>
        <v>Bu Ratna</v>
      </c>
      <c r="W815" s="7" t="str">
        <f>_xlfn.XLOOKUP(B815,Detail!$G$1:$G$1001,Detail!$B$1:$B$1001)</f>
        <v>A+</v>
      </c>
    </row>
    <row r="816" spans="1:23" ht="15.75" x14ac:dyDescent="0.25">
      <c r="A816" s="7">
        <v>806</v>
      </c>
      <c r="B816" s="33" t="str">
        <f t="shared" si="47"/>
        <v>E0806</v>
      </c>
      <c r="C816" s="7" t="s">
        <v>1010</v>
      </c>
      <c r="D816" s="33" t="str">
        <f>VLOOKUP(B816,Detail!$G$1:$H$1001,2,FALSE)</f>
        <v>Adiarja Sihotang</v>
      </c>
      <c r="E816" s="7">
        <v>52</v>
      </c>
      <c r="F816" s="7">
        <v>65</v>
      </c>
      <c r="G816" s="57">
        <v>87</v>
      </c>
      <c r="H816" s="7">
        <v>74</v>
      </c>
      <c r="I816" s="7">
        <v>92</v>
      </c>
      <c r="J816" s="7">
        <v>82</v>
      </c>
      <c r="K816" s="7">
        <v>86</v>
      </c>
      <c r="L816" s="56" t="str">
        <f>IFERROR(VLOOKUP(B816,Absen!$A$1:$C$501,2,FALSE),"No")</f>
        <v>No</v>
      </c>
      <c r="M816" s="58">
        <f t="shared" si="44"/>
        <v>8.6</v>
      </c>
      <c r="N816" s="57">
        <f t="shared" si="45"/>
        <v>77.775000000000006</v>
      </c>
      <c r="O816" s="7" t="str">
        <f>VLOOKUP(N816,Helper!$B$30:$C$35,2,TRUE)</f>
        <v>B</v>
      </c>
      <c r="P816" s="56">
        <f>INDEX(Detail!$A$1:$A$1001,MATCH(B816,Detail!$G$1:$G$1001,0))</f>
        <v>37973</v>
      </c>
      <c r="Q816" s="33" t="str">
        <f>INDEX(Detail!$F$1:$F$1001,MATCH(Main!B816,Detail!$G$1:$G$1001,0))</f>
        <v>Denpasar</v>
      </c>
      <c r="R816" s="7">
        <f>INDEX(Detail!$C$1:$C$1001,MATCH(B816,Detail!$G$1:$G$1001,0),1)</f>
        <v>162</v>
      </c>
      <c r="S816" s="7">
        <f>INDEX(Detail!$D$1:$D$1001,MATCH(B816,Detail!$G$1:$G$1001,0),1)</f>
        <v>82</v>
      </c>
      <c r="T816" s="7" t="str">
        <f>INDEX(Detail!$E$1:$E$1001,MATCH(Main!B816,Detail!$G$1:$G$1001,0))</f>
        <v>Jl. Rungkut Industri No. 10</v>
      </c>
      <c r="U816" s="7" t="str">
        <f>INDEX(Detail!$B$1:$B$1001,MATCH(B816,Detail!$G$1:$G$1001,0),1)</f>
        <v>A-</v>
      </c>
      <c r="V816" s="7" t="str" cm="1">
        <f t="array" ref="V816">INDEX(Dosen!$B$3:$E$8,MATCH(Main!C816,Dosen!$A$3:$A$8,0),IF(AND(Main!A816&gt;=1,Main!A816&lt;=250),1,IF(AND(Main!A816&gt;=251,Main!A816&lt;=500),2,IF(AND(Main!A816&gt;=501,Main!A816&lt;=750),3,4))))</f>
        <v>Bu Ratna</v>
      </c>
      <c r="W816" s="7" t="str">
        <f>_xlfn.XLOOKUP(B816,Detail!$G$1:$G$1001,Detail!$B$1:$B$1001)</f>
        <v>A-</v>
      </c>
    </row>
    <row r="817" spans="1:23" ht="15.75" x14ac:dyDescent="0.25">
      <c r="A817" s="7">
        <v>808</v>
      </c>
      <c r="B817" s="33" t="str">
        <f t="shared" si="47"/>
        <v>E0808</v>
      </c>
      <c r="C817" s="7" t="s">
        <v>1010</v>
      </c>
      <c r="D817" s="33" t="str">
        <f>VLOOKUP(B817,Detail!$G$1:$H$1001,2,FALSE)</f>
        <v>Prasetyo Situmorang</v>
      </c>
      <c r="E817" s="7">
        <v>62</v>
      </c>
      <c r="F817" s="7">
        <v>57</v>
      </c>
      <c r="G817" s="57">
        <v>42</v>
      </c>
      <c r="H817" s="7">
        <v>66</v>
      </c>
      <c r="I817" s="7">
        <v>62</v>
      </c>
      <c r="J817" s="7">
        <v>78</v>
      </c>
      <c r="K817" s="7">
        <v>84</v>
      </c>
      <c r="L817" s="56">
        <f>IFERROR(VLOOKUP(B817,Absen!$A$1:$C$501,2,FALSE),"No")</f>
        <v>44915</v>
      </c>
      <c r="M817" s="58">
        <f t="shared" si="44"/>
        <v>7.4</v>
      </c>
      <c r="N817" s="57">
        <f t="shared" si="45"/>
        <v>62.274999999999999</v>
      </c>
      <c r="O817" s="7" t="str">
        <f>VLOOKUP(N817,Helper!$B$30:$C$35,2,TRUE)</f>
        <v>C</v>
      </c>
      <c r="P817" s="56">
        <f>INDEX(Detail!$A$1:$A$1001,MATCH(B817,Detail!$G$1:$G$1001,0))</f>
        <v>37667</v>
      </c>
      <c r="Q817" s="33" t="str">
        <f>INDEX(Detail!$F$1:$F$1001,MATCH(Main!B817,Detail!$G$1:$G$1001,0))</f>
        <v>Prabumulih</v>
      </c>
      <c r="R817" s="7">
        <f>INDEX(Detail!$C$1:$C$1001,MATCH(B817,Detail!$G$1:$G$1001,0),1)</f>
        <v>175</v>
      </c>
      <c r="S817" s="7">
        <f>INDEX(Detail!$D$1:$D$1001,MATCH(B817,Detail!$G$1:$G$1001,0),1)</f>
        <v>69</v>
      </c>
      <c r="T817" s="7" t="str">
        <f>INDEX(Detail!$E$1:$E$1001,MATCH(Main!B817,Detail!$G$1:$G$1001,0))</f>
        <v>Jalan Indragiri No. 95</v>
      </c>
      <c r="U817" s="7" t="str">
        <f>INDEX(Detail!$B$1:$B$1001,MATCH(B817,Detail!$G$1:$G$1001,0),1)</f>
        <v>AB+</v>
      </c>
      <c r="V817" s="7" t="str" cm="1">
        <f t="array" ref="V817">INDEX(Dosen!$B$3:$E$8,MATCH(Main!C817,Dosen!$A$3:$A$8,0),IF(AND(Main!A817&gt;=1,Main!A817&lt;=250),1,IF(AND(Main!A817&gt;=251,Main!A817&lt;=500),2,IF(AND(Main!A817&gt;=501,Main!A817&lt;=750),3,4))))</f>
        <v>Bu Ratna</v>
      </c>
      <c r="W817" s="7" t="str">
        <f>_xlfn.XLOOKUP(B817,Detail!$G$1:$G$1001,Detail!$B$1:$B$1001)</f>
        <v>AB+</v>
      </c>
    </row>
    <row r="818" spans="1:23" ht="15.75" x14ac:dyDescent="0.25">
      <c r="A818" s="7">
        <v>824</v>
      </c>
      <c r="B818" s="33" t="str">
        <f t="shared" si="47"/>
        <v>E0824</v>
      </c>
      <c r="C818" s="7" t="s">
        <v>1010</v>
      </c>
      <c r="D818" s="33" t="str">
        <f>VLOOKUP(B818,Detail!$G$1:$H$1001,2,FALSE)</f>
        <v>Yunita Namaga</v>
      </c>
      <c r="E818" s="7">
        <v>89</v>
      </c>
      <c r="F818" s="7">
        <v>71</v>
      </c>
      <c r="G818" s="57">
        <v>87</v>
      </c>
      <c r="H818" s="7">
        <v>70</v>
      </c>
      <c r="I818" s="7">
        <v>80</v>
      </c>
      <c r="J818" s="7">
        <v>92</v>
      </c>
      <c r="K818" s="7">
        <v>88</v>
      </c>
      <c r="L818" s="56" t="str">
        <f>IFERROR(VLOOKUP(B818,Absen!$A$1:$C$501,2,FALSE),"No")</f>
        <v>No</v>
      </c>
      <c r="M818" s="58">
        <f t="shared" si="44"/>
        <v>8.8000000000000007</v>
      </c>
      <c r="N818" s="57">
        <f t="shared" si="45"/>
        <v>83.350000000000009</v>
      </c>
      <c r="O818" s="7" t="str">
        <f>VLOOKUP(N818,Helper!$B$30:$C$35,2,TRUE)</f>
        <v>A</v>
      </c>
      <c r="P818" s="56">
        <f>INDEX(Detail!$A$1:$A$1001,MATCH(B818,Detail!$G$1:$G$1001,0))</f>
        <v>37130</v>
      </c>
      <c r="Q818" s="33" t="str">
        <f>INDEX(Detail!$F$1:$F$1001,MATCH(Main!B818,Detail!$G$1:$G$1001,0))</f>
        <v>Malang</v>
      </c>
      <c r="R818" s="7">
        <f>INDEX(Detail!$C$1:$C$1001,MATCH(B818,Detail!$G$1:$G$1001,0),1)</f>
        <v>151</v>
      </c>
      <c r="S818" s="7">
        <f>INDEX(Detail!$D$1:$D$1001,MATCH(B818,Detail!$G$1:$G$1001,0),1)</f>
        <v>69</v>
      </c>
      <c r="T818" s="7" t="str">
        <f>INDEX(Detail!$E$1:$E$1001,MATCH(Main!B818,Detail!$G$1:$G$1001,0))</f>
        <v xml:space="preserve">Gg. Laswi No. 6
</v>
      </c>
      <c r="U818" s="7" t="str">
        <f>INDEX(Detail!$B$1:$B$1001,MATCH(B818,Detail!$G$1:$G$1001,0),1)</f>
        <v>AB+</v>
      </c>
      <c r="V818" s="7" t="str" cm="1">
        <f t="array" ref="V818">INDEX(Dosen!$B$3:$E$8,MATCH(Main!C818,Dosen!$A$3:$A$8,0),IF(AND(Main!A818&gt;=1,Main!A818&lt;=250),1,IF(AND(Main!A818&gt;=251,Main!A818&lt;=500),2,IF(AND(Main!A818&gt;=501,Main!A818&lt;=750),3,4))))</f>
        <v>Bu Ratna</v>
      </c>
      <c r="W818" s="7" t="str">
        <f>_xlfn.XLOOKUP(B818,Detail!$G$1:$G$1001,Detail!$B$1:$B$1001)</f>
        <v>AB+</v>
      </c>
    </row>
    <row r="819" spans="1:23" ht="15.75" x14ac:dyDescent="0.25">
      <c r="A819" s="7">
        <v>826</v>
      </c>
      <c r="B819" s="33" t="str">
        <f t="shared" si="47"/>
        <v>E0826</v>
      </c>
      <c r="C819" s="7" t="s">
        <v>1010</v>
      </c>
      <c r="D819" s="33" t="str">
        <f>VLOOKUP(B819,Detail!$G$1:$H$1001,2,FALSE)</f>
        <v>Gamani Wibisono</v>
      </c>
      <c r="E819" s="7">
        <v>79</v>
      </c>
      <c r="F819" s="7">
        <v>53</v>
      </c>
      <c r="G819" s="57">
        <v>69</v>
      </c>
      <c r="H819" s="7">
        <v>65</v>
      </c>
      <c r="I819" s="7">
        <v>80</v>
      </c>
      <c r="J819" s="7">
        <v>100</v>
      </c>
      <c r="K819" s="7">
        <v>70</v>
      </c>
      <c r="L819" s="56" t="str">
        <f>IFERROR(VLOOKUP(B819,Absen!$A$1:$C$501,2,FALSE),"No")</f>
        <v>No</v>
      </c>
      <c r="M819" s="58">
        <f t="shared" si="44"/>
        <v>7</v>
      </c>
      <c r="N819" s="57">
        <f t="shared" si="45"/>
        <v>75.424999999999997</v>
      </c>
      <c r="O819" s="7" t="str">
        <f>VLOOKUP(N819,Helper!$B$30:$C$35,2,TRUE)</f>
        <v>B</v>
      </c>
      <c r="P819" s="56">
        <f>INDEX(Detail!$A$1:$A$1001,MATCH(B819,Detail!$G$1:$G$1001,0))</f>
        <v>37431</v>
      </c>
      <c r="Q819" s="33" t="str">
        <f>INDEX(Detail!$F$1:$F$1001,MATCH(Main!B819,Detail!$G$1:$G$1001,0))</f>
        <v>Tasikmalaya</v>
      </c>
      <c r="R819" s="7">
        <f>INDEX(Detail!$C$1:$C$1001,MATCH(B819,Detail!$G$1:$G$1001,0),1)</f>
        <v>169</v>
      </c>
      <c r="S819" s="7">
        <f>INDEX(Detail!$D$1:$D$1001,MATCH(B819,Detail!$G$1:$G$1001,0),1)</f>
        <v>94</v>
      </c>
      <c r="T819" s="7" t="str">
        <f>INDEX(Detail!$E$1:$E$1001,MATCH(Main!B819,Detail!$G$1:$G$1001,0))</f>
        <v xml:space="preserve">Gg. Kiaracondong No. 9
</v>
      </c>
      <c r="U819" s="7" t="str">
        <f>INDEX(Detail!$B$1:$B$1001,MATCH(B819,Detail!$G$1:$G$1001,0),1)</f>
        <v>O-</v>
      </c>
      <c r="V819" s="7" t="str" cm="1">
        <f t="array" ref="V819">INDEX(Dosen!$B$3:$E$8,MATCH(Main!C819,Dosen!$A$3:$A$8,0),IF(AND(Main!A819&gt;=1,Main!A819&lt;=250),1,IF(AND(Main!A819&gt;=251,Main!A819&lt;=500),2,IF(AND(Main!A819&gt;=501,Main!A819&lt;=750),3,4))))</f>
        <v>Bu Ratna</v>
      </c>
      <c r="W819" s="7" t="str">
        <f>_xlfn.XLOOKUP(B819,Detail!$G$1:$G$1001,Detail!$B$1:$B$1001)</f>
        <v>O-</v>
      </c>
    </row>
    <row r="820" spans="1:23" ht="15.75" x14ac:dyDescent="0.25">
      <c r="A820" s="7">
        <v>827</v>
      </c>
      <c r="B820" s="33" t="str">
        <f t="shared" si="47"/>
        <v>E0827</v>
      </c>
      <c r="C820" s="7" t="s">
        <v>1010</v>
      </c>
      <c r="D820" s="33" t="str">
        <f>VLOOKUP(B820,Detail!$G$1:$H$1001,2,FALSE)</f>
        <v>Melinda Utama</v>
      </c>
      <c r="E820" s="7">
        <v>56</v>
      </c>
      <c r="F820" s="7">
        <v>49</v>
      </c>
      <c r="G820" s="57">
        <v>88</v>
      </c>
      <c r="H820" s="7">
        <v>50</v>
      </c>
      <c r="I820" s="7">
        <v>53</v>
      </c>
      <c r="J820" s="7">
        <v>70</v>
      </c>
      <c r="K820" s="7">
        <v>75</v>
      </c>
      <c r="L820" s="56" t="str">
        <f>IFERROR(VLOOKUP(B820,Absen!$A$1:$C$501,2,FALSE),"No")</f>
        <v>No</v>
      </c>
      <c r="M820" s="58">
        <f t="shared" si="44"/>
        <v>7.5</v>
      </c>
      <c r="N820" s="57">
        <f t="shared" si="45"/>
        <v>65.099999999999994</v>
      </c>
      <c r="O820" s="7" t="str">
        <f>VLOOKUP(N820,Helper!$B$30:$C$35,2,TRUE)</f>
        <v>C</v>
      </c>
      <c r="P820" s="56">
        <f>INDEX(Detail!$A$1:$A$1001,MATCH(B820,Detail!$G$1:$G$1001,0))</f>
        <v>37607</v>
      </c>
      <c r="Q820" s="33" t="str">
        <f>INDEX(Detail!$F$1:$F$1001,MATCH(Main!B820,Detail!$G$1:$G$1001,0))</f>
        <v>Sabang</v>
      </c>
      <c r="R820" s="7">
        <f>INDEX(Detail!$C$1:$C$1001,MATCH(B820,Detail!$G$1:$G$1001,0),1)</f>
        <v>172</v>
      </c>
      <c r="S820" s="7">
        <f>INDEX(Detail!$D$1:$D$1001,MATCH(B820,Detail!$G$1:$G$1001,0),1)</f>
        <v>85</v>
      </c>
      <c r="T820" s="7" t="str">
        <f>INDEX(Detail!$E$1:$E$1001,MATCH(Main!B820,Detail!$G$1:$G$1001,0))</f>
        <v>Gang Sadang Serang No. 87</v>
      </c>
      <c r="U820" s="7" t="str">
        <f>INDEX(Detail!$B$1:$B$1001,MATCH(B820,Detail!$G$1:$G$1001,0),1)</f>
        <v>B-</v>
      </c>
      <c r="V820" s="7" t="str" cm="1">
        <f t="array" ref="V820">INDEX(Dosen!$B$3:$E$8,MATCH(Main!C820,Dosen!$A$3:$A$8,0),IF(AND(Main!A820&gt;=1,Main!A820&lt;=250),1,IF(AND(Main!A820&gt;=251,Main!A820&lt;=500),2,IF(AND(Main!A820&gt;=501,Main!A820&lt;=750),3,4))))</f>
        <v>Bu Ratna</v>
      </c>
      <c r="W820" s="7" t="str">
        <f>_xlfn.XLOOKUP(B820,Detail!$G$1:$G$1001,Detail!$B$1:$B$1001)</f>
        <v>B-</v>
      </c>
    </row>
    <row r="821" spans="1:23" ht="15.75" x14ac:dyDescent="0.25">
      <c r="A821" s="7">
        <v>833</v>
      </c>
      <c r="B821" s="33" t="str">
        <f t="shared" si="47"/>
        <v>E0833</v>
      </c>
      <c r="C821" s="7" t="s">
        <v>1010</v>
      </c>
      <c r="D821" s="33" t="str">
        <f>VLOOKUP(B821,Detail!$G$1:$H$1001,2,FALSE)</f>
        <v>Julia Kuswandari</v>
      </c>
      <c r="E821" s="7">
        <v>68</v>
      </c>
      <c r="F821" s="7">
        <v>60</v>
      </c>
      <c r="G821" s="57">
        <v>30</v>
      </c>
      <c r="H821" s="7">
        <v>67</v>
      </c>
      <c r="I821" s="7">
        <v>91</v>
      </c>
      <c r="J821" s="7">
        <v>91</v>
      </c>
      <c r="K821" s="7">
        <v>81</v>
      </c>
      <c r="L821" s="56">
        <f>IFERROR(VLOOKUP(B821,Absen!$A$1:$C$501,2,FALSE),"No")</f>
        <v>44890</v>
      </c>
      <c r="M821" s="58">
        <f t="shared" si="44"/>
        <v>7.1000000000000005</v>
      </c>
      <c r="N821" s="57">
        <f t="shared" si="45"/>
        <v>67.05</v>
      </c>
      <c r="O821" s="7" t="str">
        <f>VLOOKUP(N821,Helper!$B$30:$C$35,2,TRUE)</f>
        <v>C</v>
      </c>
      <c r="P821" s="56">
        <f>INDEX(Detail!$A$1:$A$1001,MATCH(B821,Detail!$G$1:$G$1001,0))</f>
        <v>37472</v>
      </c>
      <c r="Q821" s="33" t="str">
        <f>INDEX(Detail!$F$1:$F$1001,MATCH(Main!B821,Detail!$G$1:$G$1001,0))</f>
        <v>Banda Aceh</v>
      </c>
      <c r="R821" s="7">
        <f>INDEX(Detail!$C$1:$C$1001,MATCH(B821,Detail!$G$1:$G$1001,0),1)</f>
        <v>165</v>
      </c>
      <c r="S821" s="7">
        <f>INDEX(Detail!$D$1:$D$1001,MATCH(B821,Detail!$G$1:$G$1001,0),1)</f>
        <v>50</v>
      </c>
      <c r="T821" s="7" t="str">
        <f>INDEX(Detail!$E$1:$E$1001,MATCH(Main!B821,Detail!$G$1:$G$1001,0))</f>
        <v>Gang BKR No. 89</v>
      </c>
      <c r="U821" s="7" t="str">
        <f>INDEX(Detail!$B$1:$B$1001,MATCH(B821,Detail!$G$1:$G$1001,0),1)</f>
        <v>O+</v>
      </c>
      <c r="V821" s="7" t="str" cm="1">
        <f t="array" ref="V821">INDEX(Dosen!$B$3:$E$8,MATCH(Main!C821,Dosen!$A$3:$A$8,0),IF(AND(Main!A821&gt;=1,Main!A821&lt;=250),1,IF(AND(Main!A821&gt;=251,Main!A821&lt;=500),2,IF(AND(Main!A821&gt;=501,Main!A821&lt;=750),3,4))))</f>
        <v>Bu Ratna</v>
      </c>
      <c r="W821" s="7" t="str">
        <f>_xlfn.XLOOKUP(B821,Detail!$G$1:$G$1001,Detail!$B$1:$B$1001)</f>
        <v>O+</v>
      </c>
    </row>
    <row r="822" spans="1:23" ht="15.75" x14ac:dyDescent="0.25">
      <c r="A822" s="7">
        <v>848</v>
      </c>
      <c r="B822" s="33" t="str">
        <f t="shared" si="47"/>
        <v>E0848</v>
      </c>
      <c r="C822" s="7" t="s">
        <v>1010</v>
      </c>
      <c r="D822" s="33" t="str">
        <f>VLOOKUP(B822,Detail!$G$1:$H$1001,2,FALSE)</f>
        <v>Shania Pertiwi</v>
      </c>
      <c r="E822" s="7">
        <v>92</v>
      </c>
      <c r="F822" s="7">
        <v>58</v>
      </c>
      <c r="G822" s="57">
        <v>47</v>
      </c>
      <c r="H822" s="7">
        <v>54</v>
      </c>
      <c r="I822" s="7">
        <v>51</v>
      </c>
      <c r="J822" s="7">
        <v>79</v>
      </c>
      <c r="K822" s="7">
        <v>71</v>
      </c>
      <c r="L822" s="56">
        <f>IFERROR(VLOOKUP(B822,Absen!$A$1:$C$501,2,FALSE),"No")</f>
        <v>44811</v>
      </c>
      <c r="M822" s="58">
        <f t="shared" si="44"/>
        <v>6.1000000000000005</v>
      </c>
      <c r="N822" s="57">
        <f t="shared" si="45"/>
        <v>63.175000000000004</v>
      </c>
      <c r="O822" s="7" t="str">
        <f>VLOOKUP(N822,Helper!$B$30:$C$35,2,TRUE)</f>
        <v>C</v>
      </c>
      <c r="P822" s="56">
        <f>INDEX(Detail!$A$1:$A$1001,MATCH(B822,Detail!$G$1:$G$1001,0))</f>
        <v>37259</v>
      </c>
      <c r="Q822" s="33" t="str">
        <f>INDEX(Detail!$F$1:$F$1001,MATCH(Main!B822,Detail!$G$1:$G$1001,0))</f>
        <v>Surakarta</v>
      </c>
      <c r="R822" s="7">
        <f>INDEX(Detail!$C$1:$C$1001,MATCH(B822,Detail!$G$1:$G$1001,0),1)</f>
        <v>155</v>
      </c>
      <c r="S822" s="7">
        <f>INDEX(Detail!$D$1:$D$1001,MATCH(B822,Detail!$G$1:$G$1001,0),1)</f>
        <v>82</v>
      </c>
      <c r="T822" s="7" t="str">
        <f>INDEX(Detail!$E$1:$E$1001,MATCH(Main!B822,Detail!$G$1:$G$1001,0))</f>
        <v>Jl. Bangka Raya No. 78</v>
      </c>
      <c r="U822" s="7" t="str">
        <f>INDEX(Detail!$B$1:$B$1001,MATCH(B822,Detail!$G$1:$G$1001,0),1)</f>
        <v>AB+</v>
      </c>
      <c r="V822" s="7" t="str" cm="1">
        <f t="array" ref="V822">INDEX(Dosen!$B$3:$E$8,MATCH(Main!C822,Dosen!$A$3:$A$8,0),IF(AND(Main!A822&gt;=1,Main!A822&lt;=250),1,IF(AND(Main!A822&gt;=251,Main!A822&lt;=500),2,IF(AND(Main!A822&gt;=501,Main!A822&lt;=750),3,4))))</f>
        <v>Bu Ratna</v>
      </c>
      <c r="W822" s="7" t="str">
        <f>_xlfn.XLOOKUP(B822,Detail!$G$1:$G$1001,Detail!$B$1:$B$1001)</f>
        <v>AB+</v>
      </c>
    </row>
    <row r="823" spans="1:23" ht="15.75" x14ac:dyDescent="0.25">
      <c r="A823" s="7">
        <v>851</v>
      </c>
      <c r="B823" s="33" t="str">
        <f t="shared" si="47"/>
        <v>E0851</v>
      </c>
      <c r="C823" s="7" t="s">
        <v>1010</v>
      </c>
      <c r="D823" s="33" t="str">
        <f>VLOOKUP(B823,Detail!$G$1:$H$1001,2,FALSE)</f>
        <v>Darmaji Budiman</v>
      </c>
      <c r="E823" s="7">
        <v>58</v>
      </c>
      <c r="F823" s="7">
        <v>55</v>
      </c>
      <c r="G823" s="57">
        <v>78</v>
      </c>
      <c r="H823" s="7">
        <v>62</v>
      </c>
      <c r="I823" s="7">
        <v>65</v>
      </c>
      <c r="J823" s="7">
        <v>99</v>
      </c>
      <c r="K823" s="7">
        <v>88</v>
      </c>
      <c r="L823" s="56" t="str">
        <f>IFERROR(VLOOKUP(B823,Absen!$A$1:$C$501,2,FALSE),"No")</f>
        <v>No</v>
      </c>
      <c r="M823" s="58">
        <f t="shared" si="44"/>
        <v>8.8000000000000007</v>
      </c>
      <c r="N823" s="57">
        <f t="shared" si="45"/>
        <v>74.2</v>
      </c>
      <c r="O823" s="7" t="str">
        <f>VLOOKUP(N823,Helper!$B$30:$C$35,2,TRUE)</f>
        <v>B</v>
      </c>
      <c r="P823" s="56">
        <f>INDEX(Detail!$A$1:$A$1001,MATCH(B823,Detail!$G$1:$G$1001,0))</f>
        <v>37598</v>
      </c>
      <c r="Q823" s="33" t="str">
        <f>INDEX(Detail!$F$1:$F$1001,MATCH(Main!B823,Detail!$G$1:$G$1001,0))</f>
        <v>Pontianak</v>
      </c>
      <c r="R823" s="7">
        <f>INDEX(Detail!$C$1:$C$1001,MATCH(B823,Detail!$G$1:$G$1001,0),1)</f>
        <v>157</v>
      </c>
      <c r="S823" s="7">
        <f>INDEX(Detail!$D$1:$D$1001,MATCH(B823,Detail!$G$1:$G$1001,0),1)</f>
        <v>88</v>
      </c>
      <c r="T823" s="7" t="str">
        <f>INDEX(Detail!$E$1:$E$1001,MATCH(Main!B823,Detail!$G$1:$G$1001,0))</f>
        <v>Gg. Joyoboyo No. 46</v>
      </c>
      <c r="U823" s="7" t="str">
        <f>INDEX(Detail!$B$1:$B$1001,MATCH(B823,Detail!$G$1:$G$1001,0),1)</f>
        <v>AB+</v>
      </c>
      <c r="V823" s="7" t="str" cm="1">
        <f t="array" ref="V823">INDEX(Dosen!$B$3:$E$8,MATCH(Main!C823,Dosen!$A$3:$A$8,0),IF(AND(Main!A823&gt;=1,Main!A823&lt;=250),1,IF(AND(Main!A823&gt;=251,Main!A823&lt;=500),2,IF(AND(Main!A823&gt;=501,Main!A823&lt;=750),3,4))))</f>
        <v>Bu Ratna</v>
      </c>
      <c r="W823" s="7" t="str">
        <f>_xlfn.XLOOKUP(B823,Detail!$G$1:$G$1001,Detail!$B$1:$B$1001)</f>
        <v>AB+</v>
      </c>
    </row>
    <row r="824" spans="1:23" ht="15.75" x14ac:dyDescent="0.25">
      <c r="A824" s="7">
        <v>852</v>
      </c>
      <c r="B824" s="33" t="str">
        <f t="shared" si="47"/>
        <v>E0852</v>
      </c>
      <c r="C824" s="7" t="s">
        <v>1010</v>
      </c>
      <c r="D824" s="33" t="str">
        <f>VLOOKUP(B824,Detail!$G$1:$H$1001,2,FALSE)</f>
        <v>Bambang Haryanto</v>
      </c>
      <c r="E824" s="7">
        <v>78</v>
      </c>
      <c r="F824" s="7">
        <v>65</v>
      </c>
      <c r="G824" s="57">
        <v>69</v>
      </c>
      <c r="H824" s="7">
        <v>73</v>
      </c>
      <c r="I824" s="7">
        <v>90</v>
      </c>
      <c r="J824" s="7">
        <v>66</v>
      </c>
      <c r="K824" s="7">
        <v>89</v>
      </c>
      <c r="L824" s="56">
        <f>IFERROR(VLOOKUP(B824,Absen!$A$1:$C$501,2,FALSE),"No")</f>
        <v>44811</v>
      </c>
      <c r="M824" s="58">
        <f t="shared" si="44"/>
        <v>7.9</v>
      </c>
      <c r="N824" s="57">
        <f t="shared" si="45"/>
        <v>73.150000000000006</v>
      </c>
      <c r="O824" s="7" t="str">
        <f>VLOOKUP(N824,Helper!$B$30:$C$35,2,TRUE)</f>
        <v>B</v>
      </c>
      <c r="P824" s="56">
        <f>INDEX(Detail!$A$1:$A$1001,MATCH(B824,Detail!$G$1:$G$1001,0))</f>
        <v>37466</v>
      </c>
      <c r="Q824" s="33" t="str">
        <f>INDEX(Detail!$F$1:$F$1001,MATCH(Main!B824,Detail!$G$1:$G$1001,0))</f>
        <v>Bau-Bau</v>
      </c>
      <c r="R824" s="7">
        <f>INDEX(Detail!$C$1:$C$1001,MATCH(B824,Detail!$G$1:$G$1001,0),1)</f>
        <v>157</v>
      </c>
      <c r="S824" s="7">
        <f>INDEX(Detail!$D$1:$D$1001,MATCH(B824,Detail!$G$1:$G$1001,0),1)</f>
        <v>60</v>
      </c>
      <c r="T824" s="7" t="str">
        <f>INDEX(Detail!$E$1:$E$1001,MATCH(Main!B824,Detail!$G$1:$G$1001,0))</f>
        <v>Gg. Astana Anyar No. 64</v>
      </c>
      <c r="U824" s="7" t="str">
        <f>INDEX(Detail!$B$1:$B$1001,MATCH(B824,Detail!$G$1:$G$1001,0),1)</f>
        <v>AB+</v>
      </c>
      <c r="V824" s="7" t="str" cm="1">
        <f t="array" ref="V824">INDEX(Dosen!$B$3:$E$8,MATCH(Main!C824,Dosen!$A$3:$A$8,0),IF(AND(Main!A824&gt;=1,Main!A824&lt;=250),1,IF(AND(Main!A824&gt;=251,Main!A824&lt;=500),2,IF(AND(Main!A824&gt;=501,Main!A824&lt;=750),3,4))))</f>
        <v>Bu Ratna</v>
      </c>
      <c r="W824" s="7" t="str">
        <f>_xlfn.XLOOKUP(B824,Detail!$G$1:$G$1001,Detail!$B$1:$B$1001)</f>
        <v>AB+</v>
      </c>
    </row>
    <row r="825" spans="1:23" ht="15.75" x14ac:dyDescent="0.25">
      <c r="A825" s="7">
        <v>874</v>
      </c>
      <c r="B825" s="33" t="str">
        <f t="shared" si="47"/>
        <v>E0874</v>
      </c>
      <c r="C825" s="7" t="s">
        <v>1010</v>
      </c>
      <c r="D825" s="33" t="str">
        <f>VLOOKUP(B825,Detail!$G$1:$H$1001,2,FALSE)</f>
        <v>Danu Mulyani</v>
      </c>
      <c r="E825" s="7">
        <v>55</v>
      </c>
      <c r="F825" s="7">
        <v>48</v>
      </c>
      <c r="G825" s="57">
        <v>48</v>
      </c>
      <c r="H825" s="7">
        <v>72</v>
      </c>
      <c r="I825" s="7">
        <v>54</v>
      </c>
      <c r="J825" s="7">
        <v>82</v>
      </c>
      <c r="K825" s="7">
        <v>97</v>
      </c>
      <c r="L825" s="56" t="str">
        <f>IFERROR(VLOOKUP(B825,Absen!$A$1:$C$501,2,FALSE),"No")</f>
        <v>No</v>
      </c>
      <c r="M825" s="58">
        <f t="shared" si="44"/>
        <v>9.7000000000000011</v>
      </c>
      <c r="N825" s="57">
        <f t="shared" si="45"/>
        <v>64.325000000000003</v>
      </c>
      <c r="O825" s="7" t="str">
        <f>VLOOKUP(N825,Helper!$B$30:$C$35,2,TRUE)</f>
        <v>C</v>
      </c>
      <c r="P825" s="56">
        <f>INDEX(Detail!$A$1:$A$1001,MATCH(B825,Detail!$G$1:$G$1001,0))</f>
        <v>37674</v>
      </c>
      <c r="Q825" s="33" t="str">
        <f>INDEX(Detail!$F$1:$F$1001,MATCH(Main!B825,Detail!$G$1:$G$1001,0))</f>
        <v>Pariaman</v>
      </c>
      <c r="R825" s="7">
        <f>INDEX(Detail!$C$1:$C$1001,MATCH(B825,Detail!$G$1:$G$1001,0),1)</f>
        <v>160</v>
      </c>
      <c r="S825" s="7">
        <f>INDEX(Detail!$D$1:$D$1001,MATCH(B825,Detail!$G$1:$G$1001,0),1)</f>
        <v>57</v>
      </c>
      <c r="T825" s="7" t="str">
        <f>INDEX(Detail!$E$1:$E$1001,MATCH(Main!B825,Detail!$G$1:$G$1001,0))</f>
        <v>Jalan Ronggowarsito No. 39</v>
      </c>
      <c r="U825" s="7" t="str">
        <f>INDEX(Detail!$B$1:$B$1001,MATCH(B825,Detail!$G$1:$G$1001,0),1)</f>
        <v>B+</v>
      </c>
      <c r="V825" s="7" t="str" cm="1">
        <f t="array" ref="V825">INDEX(Dosen!$B$3:$E$8,MATCH(Main!C825,Dosen!$A$3:$A$8,0),IF(AND(Main!A825&gt;=1,Main!A825&lt;=250),1,IF(AND(Main!A825&gt;=251,Main!A825&lt;=500),2,IF(AND(Main!A825&gt;=501,Main!A825&lt;=750),3,4))))</f>
        <v>Bu Ratna</v>
      </c>
      <c r="W825" s="7" t="str">
        <f>_xlfn.XLOOKUP(B825,Detail!$G$1:$G$1001,Detail!$B$1:$B$1001)</f>
        <v>B+</v>
      </c>
    </row>
    <row r="826" spans="1:23" ht="15.75" x14ac:dyDescent="0.25">
      <c r="A826" s="7">
        <v>894</v>
      </c>
      <c r="B826" s="33" t="str">
        <f t="shared" si="47"/>
        <v>E0894</v>
      </c>
      <c r="C826" s="7" t="s">
        <v>1010</v>
      </c>
      <c r="D826" s="33" t="str">
        <f>VLOOKUP(B826,Detail!$G$1:$H$1001,2,FALSE)</f>
        <v>Harimurti Iswahyudi</v>
      </c>
      <c r="E826" s="7">
        <v>67</v>
      </c>
      <c r="F826" s="7">
        <v>65</v>
      </c>
      <c r="G826" s="57">
        <v>65</v>
      </c>
      <c r="H826" s="7">
        <v>60</v>
      </c>
      <c r="I826" s="7">
        <v>63</v>
      </c>
      <c r="J826" s="7">
        <v>99</v>
      </c>
      <c r="K826" s="7">
        <v>96</v>
      </c>
      <c r="L826" s="56" t="str">
        <f>IFERROR(VLOOKUP(B826,Absen!$A$1:$C$501,2,FALSE),"No")</f>
        <v>No</v>
      </c>
      <c r="M826" s="58">
        <f t="shared" si="44"/>
        <v>9.6000000000000014</v>
      </c>
      <c r="N826" s="57">
        <f t="shared" si="45"/>
        <v>74.275000000000006</v>
      </c>
      <c r="O826" s="7" t="str">
        <f>VLOOKUP(N826,Helper!$B$30:$C$35,2,TRUE)</f>
        <v>B</v>
      </c>
      <c r="P826" s="56">
        <f>INDEX(Detail!$A$1:$A$1001,MATCH(B826,Detail!$G$1:$G$1001,0))</f>
        <v>37754</v>
      </c>
      <c r="Q826" s="33" t="str">
        <f>INDEX(Detail!$F$1:$F$1001,MATCH(Main!B826,Detail!$G$1:$G$1001,0))</f>
        <v>Magelang</v>
      </c>
      <c r="R826" s="7">
        <f>INDEX(Detail!$C$1:$C$1001,MATCH(B826,Detail!$G$1:$G$1001,0),1)</f>
        <v>163</v>
      </c>
      <c r="S826" s="7">
        <f>INDEX(Detail!$D$1:$D$1001,MATCH(B826,Detail!$G$1:$G$1001,0),1)</f>
        <v>76</v>
      </c>
      <c r="T826" s="7" t="str">
        <f>INDEX(Detail!$E$1:$E$1001,MATCH(Main!B826,Detail!$G$1:$G$1001,0))</f>
        <v xml:space="preserve">Gg. Kebonjati No. 4
</v>
      </c>
      <c r="U826" s="7" t="str">
        <f>INDEX(Detail!$B$1:$B$1001,MATCH(B826,Detail!$G$1:$G$1001,0),1)</f>
        <v>A-</v>
      </c>
      <c r="V826" s="7" t="str" cm="1">
        <f t="array" ref="V826">INDEX(Dosen!$B$3:$E$8,MATCH(Main!C826,Dosen!$A$3:$A$8,0),IF(AND(Main!A826&gt;=1,Main!A826&lt;=250),1,IF(AND(Main!A826&gt;=251,Main!A826&lt;=500),2,IF(AND(Main!A826&gt;=501,Main!A826&lt;=750),3,4))))</f>
        <v>Bu Ratna</v>
      </c>
      <c r="W826" s="7" t="str">
        <f>_xlfn.XLOOKUP(B826,Detail!$G$1:$G$1001,Detail!$B$1:$B$1001)</f>
        <v>A-</v>
      </c>
    </row>
    <row r="827" spans="1:23" ht="15.75" x14ac:dyDescent="0.25">
      <c r="A827" s="7">
        <v>909</v>
      </c>
      <c r="B827" s="33" t="str">
        <f t="shared" si="47"/>
        <v>E0909</v>
      </c>
      <c r="C827" s="7" t="s">
        <v>1010</v>
      </c>
      <c r="D827" s="33" t="str">
        <f>VLOOKUP(B827,Detail!$G$1:$H$1001,2,FALSE)</f>
        <v>Dariati Samosir</v>
      </c>
      <c r="E827" s="7">
        <v>52</v>
      </c>
      <c r="F827" s="7">
        <v>45</v>
      </c>
      <c r="G827" s="57">
        <v>36</v>
      </c>
      <c r="H827" s="7">
        <v>57</v>
      </c>
      <c r="I827" s="7">
        <v>82</v>
      </c>
      <c r="J827" s="7">
        <v>57</v>
      </c>
      <c r="K827" s="7">
        <v>69</v>
      </c>
      <c r="L827" s="56" t="str">
        <f>IFERROR(VLOOKUP(B827,Absen!$A$1:$C$501,2,FALSE),"No")</f>
        <v>No</v>
      </c>
      <c r="M827" s="58">
        <f t="shared" si="44"/>
        <v>6.9</v>
      </c>
      <c r="N827" s="57">
        <f t="shared" si="45"/>
        <v>55</v>
      </c>
      <c r="O827" s="7" t="str">
        <f>VLOOKUP(N827,Helper!$B$30:$C$35,2,TRUE)</f>
        <v>D</v>
      </c>
      <c r="P827" s="56">
        <f>INDEX(Detail!$A$1:$A$1001,MATCH(B827,Detail!$G$1:$G$1001,0))</f>
        <v>37425</v>
      </c>
      <c r="Q827" s="33" t="str">
        <f>INDEX(Detail!$F$1:$F$1001,MATCH(Main!B827,Detail!$G$1:$G$1001,0))</f>
        <v>Semarang</v>
      </c>
      <c r="R827" s="7">
        <f>INDEX(Detail!$C$1:$C$1001,MATCH(B827,Detail!$G$1:$G$1001,0),1)</f>
        <v>170</v>
      </c>
      <c r="S827" s="7">
        <f>INDEX(Detail!$D$1:$D$1001,MATCH(B827,Detail!$G$1:$G$1001,0),1)</f>
        <v>65</v>
      </c>
      <c r="T827" s="7" t="str">
        <f>INDEX(Detail!$E$1:$E$1001,MATCH(Main!B827,Detail!$G$1:$G$1001,0))</f>
        <v xml:space="preserve">Gang Sukajadi No. 1
</v>
      </c>
      <c r="U827" s="7" t="str">
        <f>INDEX(Detail!$B$1:$B$1001,MATCH(B827,Detail!$G$1:$G$1001,0),1)</f>
        <v>O-</v>
      </c>
      <c r="V827" s="7" t="str" cm="1">
        <f t="array" ref="V827">INDEX(Dosen!$B$3:$E$8,MATCH(Main!C827,Dosen!$A$3:$A$8,0),IF(AND(Main!A827&gt;=1,Main!A827&lt;=250),1,IF(AND(Main!A827&gt;=251,Main!A827&lt;=500),2,IF(AND(Main!A827&gt;=501,Main!A827&lt;=750),3,4))))</f>
        <v>Bu Ratna</v>
      </c>
      <c r="W827" s="7" t="str">
        <f>_xlfn.XLOOKUP(B827,Detail!$G$1:$G$1001,Detail!$B$1:$B$1001)</f>
        <v>O-</v>
      </c>
    </row>
    <row r="828" spans="1:23" ht="15.75" x14ac:dyDescent="0.25">
      <c r="A828" s="7">
        <v>919</v>
      </c>
      <c r="B828" s="33" t="str">
        <f t="shared" si="47"/>
        <v>E0919</v>
      </c>
      <c r="C828" s="7" t="s">
        <v>1010</v>
      </c>
      <c r="D828" s="33" t="str">
        <f>VLOOKUP(B828,Detail!$G$1:$H$1001,2,FALSE)</f>
        <v>Karman Hidayat</v>
      </c>
      <c r="E828" s="7">
        <v>75</v>
      </c>
      <c r="F828" s="7">
        <v>56</v>
      </c>
      <c r="G828" s="57">
        <v>56</v>
      </c>
      <c r="H828" s="7">
        <v>52</v>
      </c>
      <c r="I828" s="7">
        <v>76</v>
      </c>
      <c r="J828" s="7">
        <v>75</v>
      </c>
      <c r="K828" s="7">
        <v>72</v>
      </c>
      <c r="L828" s="56">
        <f>IFERROR(VLOOKUP(B828,Absen!$A$1:$C$501,2,FALSE),"No")</f>
        <v>44857</v>
      </c>
      <c r="M828" s="58">
        <f t="shared" si="44"/>
        <v>6.2</v>
      </c>
      <c r="N828" s="57">
        <f t="shared" si="45"/>
        <v>64.775000000000006</v>
      </c>
      <c r="O828" s="7" t="str">
        <f>VLOOKUP(N828,Helper!$B$30:$C$35,2,TRUE)</f>
        <v>C</v>
      </c>
      <c r="P828" s="56">
        <f>INDEX(Detail!$A$1:$A$1001,MATCH(B828,Detail!$G$1:$G$1001,0))</f>
        <v>37921</v>
      </c>
      <c r="Q828" s="33" t="str">
        <f>INDEX(Detail!$F$1:$F$1001,MATCH(Main!B828,Detail!$G$1:$G$1001,0))</f>
        <v>Kota Administrasi Jakarta Pusat</v>
      </c>
      <c r="R828" s="7">
        <f>INDEX(Detail!$C$1:$C$1001,MATCH(B828,Detail!$G$1:$G$1001,0),1)</f>
        <v>154</v>
      </c>
      <c r="S828" s="7">
        <f>INDEX(Detail!$D$1:$D$1001,MATCH(B828,Detail!$G$1:$G$1001,0),1)</f>
        <v>73</v>
      </c>
      <c r="T828" s="7" t="str">
        <f>INDEX(Detail!$E$1:$E$1001,MATCH(Main!B828,Detail!$G$1:$G$1001,0))</f>
        <v>Jalan Rajawali Timur No. 19</v>
      </c>
      <c r="U828" s="7" t="str">
        <f>INDEX(Detail!$B$1:$B$1001,MATCH(B828,Detail!$G$1:$G$1001,0),1)</f>
        <v>O+</v>
      </c>
      <c r="V828" s="7" t="str" cm="1">
        <f t="array" ref="V828">INDEX(Dosen!$B$3:$E$8,MATCH(Main!C828,Dosen!$A$3:$A$8,0),IF(AND(Main!A828&gt;=1,Main!A828&lt;=250),1,IF(AND(Main!A828&gt;=251,Main!A828&lt;=500),2,IF(AND(Main!A828&gt;=501,Main!A828&lt;=750),3,4))))</f>
        <v>Bu Ratna</v>
      </c>
      <c r="W828" s="7" t="str">
        <f>_xlfn.XLOOKUP(B828,Detail!$G$1:$G$1001,Detail!$B$1:$B$1001)</f>
        <v>O+</v>
      </c>
    </row>
    <row r="829" spans="1:23" ht="15.75" x14ac:dyDescent="0.25">
      <c r="A829" s="7">
        <v>933</v>
      </c>
      <c r="B829" s="33" t="str">
        <f t="shared" si="47"/>
        <v>E0933</v>
      </c>
      <c r="C829" s="7" t="s">
        <v>1010</v>
      </c>
      <c r="D829" s="33" t="str">
        <f>VLOOKUP(B829,Detail!$G$1:$H$1001,2,FALSE)</f>
        <v>Prima Saefullah</v>
      </c>
      <c r="E829" s="7">
        <v>59</v>
      </c>
      <c r="F829" s="7">
        <v>69</v>
      </c>
      <c r="G829" s="57">
        <v>47</v>
      </c>
      <c r="H829" s="7">
        <v>58</v>
      </c>
      <c r="I829" s="7">
        <v>85</v>
      </c>
      <c r="J829" s="7">
        <v>46</v>
      </c>
      <c r="K829" s="7">
        <v>77</v>
      </c>
      <c r="L829" s="56" t="str">
        <f>IFERROR(VLOOKUP(B829,Absen!$A$1:$C$501,2,FALSE),"No")</f>
        <v>No</v>
      </c>
      <c r="M829" s="58">
        <f t="shared" si="44"/>
        <v>7.7</v>
      </c>
      <c r="N829" s="57">
        <f t="shared" si="45"/>
        <v>60.175000000000004</v>
      </c>
      <c r="O829" s="7" t="str">
        <f>VLOOKUP(N829,Helper!$B$30:$C$35,2,TRUE)</f>
        <v>C</v>
      </c>
      <c r="P829" s="56">
        <f>INDEX(Detail!$A$1:$A$1001,MATCH(B829,Detail!$G$1:$G$1001,0))</f>
        <v>37672</v>
      </c>
      <c r="Q829" s="33" t="str">
        <f>INDEX(Detail!$F$1:$F$1001,MATCH(Main!B829,Detail!$G$1:$G$1001,0))</f>
        <v>Pagaralam</v>
      </c>
      <c r="R829" s="7">
        <f>INDEX(Detail!$C$1:$C$1001,MATCH(B829,Detail!$G$1:$G$1001,0),1)</f>
        <v>176</v>
      </c>
      <c r="S829" s="7">
        <f>INDEX(Detail!$D$1:$D$1001,MATCH(B829,Detail!$G$1:$G$1001,0),1)</f>
        <v>72</v>
      </c>
      <c r="T829" s="7" t="str">
        <f>INDEX(Detail!$E$1:$E$1001,MATCH(Main!B829,Detail!$G$1:$G$1001,0))</f>
        <v>Jalan Cihampelas No. 50</v>
      </c>
      <c r="U829" s="7" t="str">
        <f>INDEX(Detail!$B$1:$B$1001,MATCH(B829,Detail!$G$1:$G$1001,0),1)</f>
        <v>AB+</v>
      </c>
      <c r="V829" s="7" t="str" cm="1">
        <f t="array" ref="V829">INDEX(Dosen!$B$3:$E$8,MATCH(Main!C829,Dosen!$A$3:$A$8,0),IF(AND(Main!A829&gt;=1,Main!A829&lt;=250),1,IF(AND(Main!A829&gt;=251,Main!A829&lt;=500),2,IF(AND(Main!A829&gt;=501,Main!A829&lt;=750),3,4))))</f>
        <v>Bu Ratna</v>
      </c>
      <c r="W829" s="7" t="str">
        <f>_xlfn.XLOOKUP(B829,Detail!$G$1:$G$1001,Detail!$B$1:$B$1001)</f>
        <v>AB+</v>
      </c>
    </row>
    <row r="830" spans="1:23" ht="15.75" x14ac:dyDescent="0.25">
      <c r="A830" s="7">
        <v>944</v>
      </c>
      <c r="B830" s="33" t="str">
        <f t="shared" si="47"/>
        <v>E0944</v>
      </c>
      <c r="C830" s="7" t="s">
        <v>1010</v>
      </c>
      <c r="D830" s="33" t="str">
        <f>VLOOKUP(B830,Detail!$G$1:$H$1001,2,FALSE)</f>
        <v>Ikhsan Maheswara</v>
      </c>
      <c r="E830" s="7">
        <v>81</v>
      </c>
      <c r="F830" s="7">
        <v>62</v>
      </c>
      <c r="G830" s="57">
        <v>65</v>
      </c>
      <c r="H830" s="7">
        <v>73</v>
      </c>
      <c r="I830" s="7">
        <v>55</v>
      </c>
      <c r="J830" s="7">
        <v>45</v>
      </c>
      <c r="K830" s="7">
        <v>74</v>
      </c>
      <c r="L830" s="56">
        <f>IFERROR(VLOOKUP(B830,Absen!$A$1:$C$501,2,FALSE),"No")</f>
        <v>44823</v>
      </c>
      <c r="M830" s="58">
        <f t="shared" si="44"/>
        <v>6.4</v>
      </c>
      <c r="N830" s="57">
        <f t="shared" si="45"/>
        <v>62.274999999999999</v>
      </c>
      <c r="O830" s="7" t="str">
        <f>VLOOKUP(N830,Helper!$B$30:$C$35,2,TRUE)</f>
        <v>C</v>
      </c>
      <c r="P830" s="56">
        <f>INDEX(Detail!$A$1:$A$1001,MATCH(B830,Detail!$G$1:$G$1001,0))</f>
        <v>37972</v>
      </c>
      <c r="Q830" s="33" t="str">
        <f>INDEX(Detail!$F$1:$F$1001,MATCH(Main!B830,Detail!$G$1:$G$1001,0))</f>
        <v>Jambi</v>
      </c>
      <c r="R830" s="7">
        <f>INDEX(Detail!$C$1:$C$1001,MATCH(B830,Detail!$G$1:$G$1001,0),1)</f>
        <v>175</v>
      </c>
      <c r="S830" s="7">
        <f>INDEX(Detail!$D$1:$D$1001,MATCH(B830,Detail!$G$1:$G$1001,0),1)</f>
        <v>48</v>
      </c>
      <c r="T830" s="7" t="str">
        <f>INDEX(Detail!$E$1:$E$1001,MATCH(Main!B830,Detail!$G$1:$G$1001,0))</f>
        <v xml:space="preserve">Jalan H.J Maemunah No. 5
</v>
      </c>
      <c r="U830" s="7" t="str">
        <f>INDEX(Detail!$B$1:$B$1001,MATCH(B830,Detail!$G$1:$G$1001,0),1)</f>
        <v>A-</v>
      </c>
      <c r="V830" s="7" t="str" cm="1">
        <f t="array" ref="V830">INDEX(Dosen!$B$3:$E$8,MATCH(Main!C830,Dosen!$A$3:$A$8,0),IF(AND(Main!A830&gt;=1,Main!A830&lt;=250),1,IF(AND(Main!A830&gt;=251,Main!A830&lt;=500),2,IF(AND(Main!A830&gt;=501,Main!A830&lt;=750),3,4))))</f>
        <v>Bu Ratna</v>
      </c>
      <c r="W830" s="7" t="str">
        <f>_xlfn.XLOOKUP(B830,Detail!$G$1:$G$1001,Detail!$B$1:$B$1001)</f>
        <v>A-</v>
      </c>
    </row>
    <row r="831" spans="1:23" ht="15.75" x14ac:dyDescent="0.25">
      <c r="A831" s="7">
        <v>947</v>
      </c>
      <c r="B831" s="33" t="str">
        <f t="shared" si="47"/>
        <v>E0947</v>
      </c>
      <c r="C831" s="7" t="s">
        <v>1010</v>
      </c>
      <c r="D831" s="33" t="str">
        <f>VLOOKUP(B831,Detail!$G$1:$H$1001,2,FALSE)</f>
        <v>Labuh Purnawati</v>
      </c>
      <c r="E831" s="7">
        <v>93</v>
      </c>
      <c r="F831" s="7">
        <v>53</v>
      </c>
      <c r="G831" s="57">
        <v>39</v>
      </c>
      <c r="H831" s="7">
        <v>57</v>
      </c>
      <c r="I831" s="7">
        <v>70</v>
      </c>
      <c r="J831" s="7">
        <v>88</v>
      </c>
      <c r="K831" s="7">
        <v>69</v>
      </c>
      <c r="L831" s="56" t="str">
        <f>IFERROR(VLOOKUP(B831,Absen!$A$1:$C$501,2,FALSE),"No")</f>
        <v>No</v>
      </c>
      <c r="M831" s="58">
        <f t="shared" si="44"/>
        <v>6.9</v>
      </c>
      <c r="N831" s="57">
        <f t="shared" si="45"/>
        <v>66.424999999999997</v>
      </c>
      <c r="O831" s="7" t="str">
        <f>VLOOKUP(N831,Helper!$B$30:$C$35,2,TRUE)</f>
        <v>C</v>
      </c>
      <c r="P831" s="56">
        <f>INDEX(Detail!$A$1:$A$1001,MATCH(B831,Detail!$G$1:$G$1001,0))</f>
        <v>37650</v>
      </c>
      <c r="Q831" s="33" t="str">
        <f>INDEX(Detail!$F$1:$F$1001,MATCH(Main!B831,Detail!$G$1:$G$1001,0))</f>
        <v>Bitung</v>
      </c>
      <c r="R831" s="7">
        <f>INDEX(Detail!$C$1:$C$1001,MATCH(B831,Detail!$G$1:$G$1001,0),1)</f>
        <v>171</v>
      </c>
      <c r="S831" s="7">
        <f>INDEX(Detail!$D$1:$D$1001,MATCH(B831,Detail!$G$1:$G$1001,0),1)</f>
        <v>87</v>
      </c>
      <c r="T831" s="7" t="str">
        <f>INDEX(Detail!$E$1:$E$1001,MATCH(Main!B831,Detail!$G$1:$G$1001,0))</f>
        <v>Gg. Yos Sudarso No. 38</v>
      </c>
      <c r="U831" s="7" t="str">
        <f>INDEX(Detail!$B$1:$B$1001,MATCH(B831,Detail!$G$1:$G$1001,0),1)</f>
        <v>B+</v>
      </c>
      <c r="V831" s="7" t="str" cm="1">
        <f t="array" ref="V831">INDEX(Dosen!$B$3:$E$8,MATCH(Main!C831,Dosen!$A$3:$A$8,0),IF(AND(Main!A831&gt;=1,Main!A831&lt;=250),1,IF(AND(Main!A831&gt;=251,Main!A831&lt;=500),2,IF(AND(Main!A831&gt;=501,Main!A831&lt;=750),3,4))))</f>
        <v>Bu Ratna</v>
      </c>
      <c r="W831" s="7" t="str">
        <f>_xlfn.XLOOKUP(B831,Detail!$G$1:$G$1001,Detail!$B$1:$B$1001)</f>
        <v>B+</v>
      </c>
    </row>
    <row r="832" spans="1:23" ht="15.75" x14ac:dyDescent="0.25">
      <c r="A832" s="7">
        <v>961</v>
      </c>
      <c r="B832" s="33" t="str">
        <f t="shared" si="47"/>
        <v>E0961</v>
      </c>
      <c r="C832" s="7" t="s">
        <v>1010</v>
      </c>
      <c r="D832" s="33" t="str">
        <f>VLOOKUP(B832,Detail!$G$1:$H$1001,2,FALSE)</f>
        <v>Gantar Prayoga</v>
      </c>
      <c r="E832" s="7">
        <v>54</v>
      </c>
      <c r="F832" s="7">
        <v>45</v>
      </c>
      <c r="G832" s="57">
        <v>32</v>
      </c>
      <c r="H832" s="7">
        <v>72</v>
      </c>
      <c r="I832" s="7">
        <v>80</v>
      </c>
      <c r="J832" s="7">
        <v>75</v>
      </c>
      <c r="K832" s="7">
        <v>95</v>
      </c>
      <c r="L832" s="56" t="str">
        <f>IFERROR(VLOOKUP(B832,Absen!$A$1:$C$501,2,FALSE),"No")</f>
        <v>No</v>
      </c>
      <c r="M832" s="58">
        <f t="shared" si="44"/>
        <v>9.5</v>
      </c>
      <c r="N832" s="57">
        <f t="shared" si="45"/>
        <v>62.274999999999999</v>
      </c>
      <c r="O832" s="7" t="str">
        <f>VLOOKUP(N832,Helper!$B$30:$C$35,2,TRUE)</f>
        <v>C</v>
      </c>
      <c r="P832" s="56">
        <f>INDEX(Detail!$A$1:$A$1001,MATCH(B832,Detail!$G$1:$G$1001,0))</f>
        <v>37453</v>
      </c>
      <c r="Q832" s="33" t="str">
        <f>INDEX(Detail!$F$1:$F$1001,MATCH(Main!B832,Detail!$G$1:$G$1001,0))</f>
        <v>Ambon</v>
      </c>
      <c r="R832" s="7">
        <f>INDEX(Detail!$C$1:$C$1001,MATCH(B832,Detail!$G$1:$G$1001,0),1)</f>
        <v>175</v>
      </c>
      <c r="S832" s="7">
        <f>INDEX(Detail!$D$1:$D$1001,MATCH(B832,Detail!$G$1:$G$1001,0),1)</f>
        <v>86</v>
      </c>
      <c r="T832" s="7" t="str">
        <f>INDEX(Detail!$E$1:$E$1001,MATCH(Main!B832,Detail!$G$1:$G$1001,0))</f>
        <v xml:space="preserve">Jl. Abdul Muis No. 6
</v>
      </c>
      <c r="U832" s="7" t="str">
        <f>INDEX(Detail!$B$1:$B$1001,MATCH(B832,Detail!$G$1:$G$1001,0),1)</f>
        <v>B+</v>
      </c>
      <c r="V832" s="7" t="str" cm="1">
        <f t="array" ref="V832">INDEX(Dosen!$B$3:$E$8,MATCH(Main!C832,Dosen!$A$3:$A$8,0),IF(AND(Main!A832&gt;=1,Main!A832&lt;=250),1,IF(AND(Main!A832&gt;=251,Main!A832&lt;=500),2,IF(AND(Main!A832&gt;=501,Main!A832&lt;=750),3,4))))</f>
        <v>Bu Ratna</v>
      </c>
      <c r="W832" s="7" t="str">
        <f>_xlfn.XLOOKUP(B832,Detail!$G$1:$G$1001,Detail!$B$1:$B$1001)</f>
        <v>B+</v>
      </c>
    </row>
    <row r="833" spans="1:23" ht="15.75" x14ac:dyDescent="0.25">
      <c r="A833" s="7">
        <v>967</v>
      </c>
      <c r="B833" s="33" t="str">
        <f t="shared" si="47"/>
        <v>E0967</v>
      </c>
      <c r="C833" s="7" t="s">
        <v>1010</v>
      </c>
      <c r="D833" s="33" t="str">
        <f>VLOOKUP(B833,Detail!$G$1:$H$1001,2,FALSE)</f>
        <v>Hana Prasetya</v>
      </c>
      <c r="E833" s="7">
        <v>83</v>
      </c>
      <c r="F833" s="7">
        <v>48</v>
      </c>
      <c r="G833" s="57">
        <v>39</v>
      </c>
      <c r="H833" s="7">
        <v>62</v>
      </c>
      <c r="I833" s="7">
        <v>62</v>
      </c>
      <c r="J833" s="7">
        <v>85</v>
      </c>
      <c r="K833" s="7">
        <v>91</v>
      </c>
      <c r="L833" s="56">
        <f>IFERROR(VLOOKUP(B833,Absen!$A$1:$C$501,2,FALSE),"No")</f>
        <v>44840</v>
      </c>
      <c r="M833" s="58">
        <f t="shared" si="44"/>
        <v>8.1</v>
      </c>
      <c r="N833" s="57">
        <f t="shared" si="45"/>
        <v>64.774999999999991</v>
      </c>
      <c r="O833" s="7" t="str">
        <f>VLOOKUP(N833,Helper!$B$30:$C$35,2,TRUE)</f>
        <v>C</v>
      </c>
      <c r="P833" s="56">
        <f>INDEX(Detail!$A$1:$A$1001,MATCH(B833,Detail!$G$1:$G$1001,0))</f>
        <v>38134</v>
      </c>
      <c r="Q833" s="33" t="str">
        <f>INDEX(Detail!$F$1:$F$1001,MATCH(Main!B833,Detail!$G$1:$G$1001,0))</f>
        <v>Bau-Bau</v>
      </c>
      <c r="R833" s="7">
        <f>INDEX(Detail!$C$1:$C$1001,MATCH(B833,Detail!$G$1:$G$1001,0),1)</f>
        <v>170</v>
      </c>
      <c r="S833" s="7">
        <f>INDEX(Detail!$D$1:$D$1001,MATCH(B833,Detail!$G$1:$G$1001,0),1)</f>
        <v>52</v>
      </c>
      <c r="T833" s="7" t="str">
        <f>INDEX(Detail!$E$1:$E$1001,MATCH(Main!B833,Detail!$G$1:$G$1001,0))</f>
        <v xml:space="preserve">Gg. Bangka Raya No. 9
</v>
      </c>
      <c r="U833" s="7" t="str">
        <f>INDEX(Detail!$B$1:$B$1001,MATCH(B833,Detail!$G$1:$G$1001,0),1)</f>
        <v>B-</v>
      </c>
      <c r="V833" s="7" t="str" cm="1">
        <f t="array" ref="V833">INDEX(Dosen!$B$3:$E$8,MATCH(Main!C833,Dosen!$A$3:$A$8,0),IF(AND(Main!A833&gt;=1,Main!A833&lt;=250),1,IF(AND(Main!A833&gt;=251,Main!A833&lt;=500),2,IF(AND(Main!A833&gt;=501,Main!A833&lt;=750),3,4))))</f>
        <v>Bu Ratna</v>
      </c>
      <c r="W833" s="7" t="str">
        <f>_xlfn.XLOOKUP(B833,Detail!$G$1:$G$1001,Detail!$B$1:$B$1001)</f>
        <v>B-</v>
      </c>
    </row>
    <row r="834" spans="1:23" ht="15.75" x14ac:dyDescent="0.25">
      <c r="A834" s="7">
        <v>968</v>
      </c>
      <c r="B834" s="33" t="str">
        <f t="shared" si="47"/>
        <v>E0968</v>
      </c>
      <c r="C834" s="7" t="s">
        <v>1010</v>
      </c>
      <c r="D834" s="33" t="str">
        <f>VLOOKUP(B834,Detail!$G$1:$H$1001,2,FALSE)</f>
        <v>Eva Puspita</v>
      </c>
      <c r="E834" s="7">
        <v>88</v>
      </c>
      <c r="F834" s="7">
        <v>44</v>
      </c>
      <c r="G834" s="57">
        <v>85</v>
      </c>
      <c r="H834" s="7">
        <v>54</v>
      </c>
      <c r="I834" s="7">
        <v>55</v>
      </c>
      <c r="J834" s="7">
        <v>81</v>
      </c>
      <c r="K834" s="7">
        <v>64</v>
      </c>
      <c r="L834" s="56" t="str">
        <f>IFERROR(VLOOKUP(B834,Absen!$A$1:$C$501,2,FALSE),"No")</f>
        <v>No</v>
      </c>
      <c r="M834" s="58">
        <f t="shared" ref="M834:M897" si="48">IF(L834="no",K834,K834-10)*10%</f>
        <v>6.4</v>
      </c>
      <c r="N834" s="57">
        <f t="shared" ref="N834:N897" si="49">SUM(E834*12.5%,F834*12.5%,H834*12.5%,I834*12.5%,G834*20%,J834*20%,M834)</f>
        <v>69.725000000000009</v>
      </c>
      <c r="O834" s="7" t="str">
        <f>VLOOKUP(N834,Helper!$B$30:$C$35,2,TRUE)</f>
        <v>C</v>
      </c>
      <c r="P834" s="56">
        <f>INDEX(Detail!$A$1:$A$1001,MATCH(B834,Detail!$G$1:$G$1001,0))</f>
        <v>37552</v>
      </c>
      <c r="Q834" s="33" t="str">
        <f>INDEX(Detail!$F$1:$F$1001,MATCH(Main!B834,Detail!$G$1:$G$1001,0))</f>
        <v>Bau-Bau</v>
      </c>
      <c r="R834" s="7">
        <f>INDEX(Detail!$C$1:$C$1001,MATCH(B834,Detail!$G$1:$G$1001,0),1)</f>
        <v>160</v>
      </c>
      <c r="S834" s="7">
        <f>INDEX(Detail!$D$1:$D$1001,MATCH(B834,Detail!$G$1:$G$1001,0),1)</f>
        <v>51</v>
      </c>
      <c r="T834" s="7" t="str">
        <f>INDEX(Detail!$E$1:$E$1001,MATCH(Main!B834,Detail!$G$1:$G$1001,0))</f>
        <v>Jl. Ir. H. Djuanda No. 77</v>
      </c>
      <c r="U834" s="7" t="str">
        <f>INDEX(Detail!$B$1:$B$1001,MATCH(B834,Detail!$G$1:$G$1001,0),1)</f>
        <v>O+</v>
      </c>
      <c r="V834" s="7" t="str" cm="1">
        <f t="array" ref="V834">INDEX(Dosen!$B$3:$E$8,MATCH(Main!C834,Dosen!$A$3:$A$8,0),IF(AND(Main!A834&gt;=1,Main!A834&lt;=250),1,IF(AND(Main!A834&gt;=251,Main!A834&lt;=500),2,IF(AND(Main!A834&gt;=501,Main!A834&lt;=750),3,4))))</f>
        <v>Bu Ratna</v>
      </c>
      <c r="W834" s="7" t="str">
        <f>_xlfn.XLOOKUP(B834,Detail!$G$1:$G$1001,Detail!$B$1:$B$1001)</f>
        <v>O+</v>
      </c>
    </row>
    <row r="835" spans="1:23" ht="15.75" x14ac:dyDescent="0.25">
      <c r="A835" s="7">
        <v>975</v>
      </c>
      <c r="B835" s="33" t="str">
        <f t="shared" si="47"/>
        <v>E0975</v>
      </c>
      <c r="C835" s="7" t="s">
        <v>1010</v>
      </c>
      <c r="D835" s="33" t="str">
        <f>VLOOKUP(B835,Detail!$G$1:$H$1001,2,FALSE)</f>
        <v>Simon Widiastuti</v>
      </c>
      <c r="E835" s="7">
        <v>65</v>
      </c>
      <c r="F835" s="7">
        <v>48</v>
      </c>
      <c r="G835" s="57">
        <v>85</v>
      </c>
      <c r="H835" s="7">
        <v>68</v>
      </c>
      <c r="I835" s="7">
        <v>84</v>
      </c>
      <c r="J835" s="7">
        <v>70</v>
      </c>
      <c r="K835" s="7">
        <v>64</v>
      </c>
      <c r="L835" s="56" t="str">
        <f>IFERROR(VLOOKUP(B835,Absen!$A$1:$C$501,2,FALSE),"No")</f>
        <v>No</v>
      </c>
      <c r="M835" s="58">
        <f t="shared" si="48"/>
        <v>6.4</v>
      </c>
      <c r="N835" s="57">
        <f t="shared" si="49"/>
        <v>70.525000000000006</v>
      </c>
      <c r="O835" s="7" t="str">
        <f>VLOOKUP(N835,Helper!$B$30:$C$35,2,TRUE)</f>
        <v>B</v>
      </c>
      <c r="P835" s="56">
        <f>INDEX(Detail!$A$1:$A$1001,MATCH(B835,Detail!$G$1:$G$1001,0))</f>
        <v>38373</v>
      </c>
      <c r="Q835" s="33" t="str">
        <f>INDEX(Detail!$F$1:$F$1001,MATCH(Main!B835,Detail!$G$1:$G$1001,0))</f>
        <v>Magelang</v>
      </c>
      <c r="R835" s="7">
        <f>INDEX(Detail!$C$1:$C$1001,MATCH(B835,Detail!$G$1:$G$1001,0),1)</f>
        <v>180</v>
      </c>
      <c r="S835" s="7">
        <f>INDEX(Detail!$D$1:$D$1001,MATCH(B835,Detail!$G$1:$G$1001,0),1)</f>
        <v>91</v>
      </c>
      <c r="T835" s="7" t="str">
        <f>INDEX(Detail!$E$1:$E$1001,MATCH(Main!B835,Detail!$G$1:$G$1001,0))</f>
        <v>Jalan Rumah Sakit No. 66</v>
      </c>
      <c r="U835" s="7" t="str">
        <f>INDEX(Detail!$B$1:$B$1001,MATCH(B835,Detail!$G$1:$G$1001,0),1)</f>
        <v>A+</v>
      </c>
      <c r="V835" s="7" t="str" cm="1">
        <f t="array" ref="V835">INDEX(Dosen!$B$3:$E$8,MATCH(Main!C835,Dosen!$A$3:$A$8,0),IF(AND(Main!A835&gt;=1,Main!A835&lt;=250),1,IF(AND(Main!A835&gt;=251,Main!A835&lt;=500),2,IF(AND(Main!A835&gt;=501,Main!A835&lt;=750),3,4))))</f>
        <v>Bu Ratna</v>
      </c>
      <c r="W835" s="7" t="str">
        <f>_xlfn.XLOOKUP(B835,Detail!$G$1:$G$1001,Detail!$B$1:$B$1001)</f>
        <v>A+</v>
      </c>
    </row>
    <row r="836" spans="1:23" ht="15.75" x14ac:dyDescent="0.25">
      <c r="A836" s="7">
        <v>981</v>
      </c>
      <c r="B836" s="33" t="str">
        <f t="shared" si="47"/>
        <v>E0981</v>
      </c>
      <c r="C836" s="7" t="s">
        <v>1010</v>
      </c>
      <c r="D836" s="33" t="str">
        <f>VLOOKUP(B836,Detail!$G$1:$H$1001,2,FALSE)</f>
        <v>Amelia Manullang</v>
      </c>
      <c r="E836" s="7">
        <v>79</v>
      </c>
      <c r="F836" s="7">
        <v>41</v>
      </c>
      <c r="G836" s="57">
        <v>91</v>
      </c>
      <c r="H836" s="7">
        <v>57</v>
      </c>
      <c r="I836" s="7">
        <v>78</v>
      </c>
      <c r="J836" s="7">
        <v>89</v>
      </c>
      <c r="K836" s="7">
        <v>96</v>
      </c>
      <c r="L836" s="56" t="str">
        <f>IFERROR(VLOOKUP(B836,Absen!$A$1:$C$501,2,FALSE),"No")</f>
        <v>No</v>
      </c>
      <c r="M836" s="58">
        <f t="shared" si="48"/>
        <v>9.6000000000000014</v>
      </c>
      <c r="N836" s="57">
        <f t="shared" si="49"/>
        <v>77.474999999999994</v>
      </c>
      <c r="O836" s="7" t="str">
        <f>VLOOKUP(N836,Helper!$B$30:$C$35,2,TRUE)</f>
        <v>B</v>
      </c>
      <c r="P836" s="56">
        <f>INDEX(Detail!$A$1:$A$1001,MATCH(B836,Detail!$G$1:$G$1001,0))</f>
        <v>37267</v>
      </c>
      <c r="Q836" s="33" t="str">
        <f>INDEX(Detail!$F$1:$F$1001,MATCH(Main!B836,Detail!$G$1:$G$1001,0))</f>
        <v>Solok</v>
      </c>
      <c r="R836" s="7">
        <f>INDEX(Detail!$C$1:$C$1001,MATCH(B836,Detail!$G$1:$G$1001,0),1)</f>
        <v>153</v>
      </c>
      <c r="S836" s="7">
        <f>INDEX(Detail!$D$1:$D$1001,MATCH(B836,Detail!$G$1:$G$1001,0),1)</f>
        <v>47</v>
      </c>
      <c r="T836" s="7" t="str">
        <f>INDEX(Detail!$E$1:$E$1001,MATCH(Main!B836,Detail!$G$1:$G$1001,0))</f>
        <v>Gg. Gegerkalong Hilir No. 12</v>
      </c>
      <c r="U836" s="7" t="str">
        <f>INDEX(Detail!$B$1:$B$1001,MATCH(B836,Detail!$G$1:$G$1001,0),1)</f>
        <v>AB-</v>
      </c>
      <c r="V836" s="7" t="str" cm="1">
        <f t="array" ref="V836">INDEX(Dosen!$B$3:$E$8,MATCH(Main!C836,Dosen!$A$3:$A$8,0),IF(AND(Main!A836&gt;=1,Main!A836&lt;=250),1,IF(AND(Main!A836&gt;=251,Main!A836&lt;=500),2,IF(AND(Main!A836&gt;=501,Main!A836&lt;=750),3,4))))</f>
        <v>Bu Ratna</v>
      </c>
      <c r="W836" s="7" t="str">
        <f>_xlfn.XLOOKUP(B836,Detail!$G$1:$G$1001,Detail!$B$1:$B$1001)</f>
        <v>AB-</v>
      </c>
    </row>
    <row r="837" spans="1:23" ht="15.75" x14ac:dyDescent="0.25">
      <c r="A837" s="7">
        <v>998</v>
      </c>
      <c r="B837" s="33" t="str">
        <f t="shared" si="47"/>
        <v>E0998</v>
      </c>
      <c r="C837" s="7" t="s">
        <v>1010</v>
      </c>
      <c r="D837" s="33" t="str">
        <f>VLOOKUP(B837,Detail!$G$1:$H$1001,2,FALSE)</f>
        <v>Ade Astuti</v>
      </c>
      <c r="E837" s="7">
        <v>50</v>
      </c>
      <c r="F837" s="7">
        <v>43</v>
      </c>
      <c r="G837" s="57">
        <v>89</v>
      </c>
      <c r="H837" s="7">
        <v>63</v>
      </c>
      <c r="I837" s="7">
        <v>84</v>
      </c>
      <c r="J837" s="7">
        <v>52</v>
      </c>
      <c r="K837" s="7">
        <v>75</v>
      </c>
      <c r="L837" s="56" t="str">
        <f>IFERROR(VLOOKUP(B837,Absen!$A$1:$C$501,2,FALSE),"No")</f>
        <v>No</v>
      </c>
      <c r="M837" s="58">
        <f t="shared" si="48"/>
        <v>7.5</v>
      </c>
      <c r="N837" s="57">
        <f t="shared" si="49"/>
        <v>65.699999999999989</v>
      </c>
      <c r="O837" s="7" t="str">
        <f>VLOOKUP(N837,Helper!$B$30:$C$35,2,TRUE)</f>
        <v>C</v>
      </c>
      <c r="P837" s="56">
        <f>INDEX(Detail!$A$1:$A$1001,MATCH(B837,Detail!$G$1:$G$1001,0))</f>
        <v>37749</v>
      </c>
      <c r="Q837" s="33" t="str">
        <f>INDEX(Detail!$F$1:$F$1001,MATCH(Main!B837,Detail!$G$1:$G$1001,0))</f>
        <v>Padang</v>
      </c>
      <c r="R837" s="7">
        <f>INDEX(Detail!$C$1:$C$1001,MATCH(B837,Detail!$G$1:$G$1001,0),1)</f>
        <v>180</v>
      </c>
      <c r="S837" s="7">
        <f>INDEX(Detail!$D$1:$D$1001,MATCH(B837,Detail!$G$1:$G$1001,0),1)</f>
        <v>55</v>
      </c>
      <c r="T837" s="7" t="str">
        <f>INDEX(Detail!$E$1:$E$1001,MATCH(Main!B837,Detail!$G$1:$G$1001,0))</f>
        <v>Jalan Pasteur No. 97</v>
      </c>
      <c r="U837" s="7" t="str">
        <f>INDEX(Detail!$B$1:$B$1001,MATCH(B837,Detail!$G$1:$G$1001,0),1)</f>
        <v>A-</v>
      </c>
      <c r="V837" s="7" t="str" cm="1">
        <f t="array" ref="V837">INDEX(Dosen!$B$3:$E$8,MATCH(Main!C837,Dosen!$A$3:$A$8,0),IF(AND(Main!A837&gt;=1,Main!A837&lt;=250),1,IF(AND(Main!A837&gt;=251,Main!A837&lt;=500),2,IF(AND(Main!A837&gt;=501,Main!A837&lt;=750),3,4))))</f>
        <v>Bu Ratna</v>
      </c>
      <c r="W837" s="7" t="str">
        <f>_xlfn.XLOOKUP(B837,Detail!$G$1:$G$1001,Detail!$B$1:$B$1001)</f>
        <v>A-</v>
      </c>
    </row>
    <row r="838" spans="1:23" ht="15.75" x14ac:dyDescent="0.25">
      <c r="A838" s="7">
        <v>8</v>
      </c>
      <c r="B838" s="33" t="str">
        <f t="shared" ref="B838:B869" si="50">CONCATENATE("F",TEXT(A838,"0000"))</f>
        <v>F0008</v>
      </c>
      <c r="C838" s="7" t="s">
        <v>1011</v>
      </c>
      <c r="D838" s="33" t="str">
        <f>VLOOKUP(B838,Detail!$G$1:$H$1001,2,FALSE)</f>
        <v>Dadap Winarsih</v>
      </c>
      <c r="E838" s="7">
        <v>92</v>
      </c>
      <c r="F838" s="7">
        <v>75</v>
      </c>
      <c r="G838" s="57">
        <v>70</v>
      </c>
      <c r="H838" s="7">
        <v>70</v>
      </c>
      <c r="I838" s="7">
        <v>68</v>
      </c>
      <c r="J838" s="7">
        <v>65</v>
      </c>
      <c r="K838" s="7">
        <v>84</v>
      </c>
      <c r="L838" s="56" t="str">
        <f>IFERROR(VLOOKUP(B838,Absen!$A$1:$C$501,2,FALSE),"No")</f>
        <v>No</v>
      </c>
      <c r="M838" s="58">
        <f t="shared" si="48"/>
        <v>8.4</v>
      </c>
      <c r="N838" s="57">
        <f t="shared" si="49"/>
        <v>73.525000000000006</v>
      </c>
      <c r="O838" s="7" t="str">
        <f>VLOOKUP(N838,Helper!$B$30:$C$35,2,TRUE)</f>
        <v>B</v>
      </c>
      <c r="P838" s="56">
        <f>INDEX(Detail!$A$1:$A$1001,MATCH(B838,Detail!$G$1:$G$1001,0))</f>
        <v>38387</v>
      </c>
      <c r="Q838" s="33" t="str">
        <f>INDEX(Detail!$F$1:$F$1001,MATCH(Main!B838,Detail!$G$1:$G$1001,0))</f>
        <v>Pematangsiantar</v>
      </c>
      <c r="R838" s="7">
        <f>INDEX(Detail!$C$1:$C$1001,MATCH(B838,Detail!$G$1:$G$1001,0),1)</f>
        <v>178</v>
      </c>
      <c r="S838" s="7">
        <f>INDEX(Detail!$D$1:$D$1001,MATCH(B838,Detail!$G$1:$G$1001,0),1)</f>
        <v>54</v>
      </c>
      <c r="T838" s="7" t="str">
        <f>INDEX(Detail!$E$1:$E$1001,MATCH(Main!B838,Detail!$G$1:$G$1001,0))</f>
        <v xml:space="preserve">Gg. Suryakencana No. 0
</v>
      </c>
      <c r="U838" s="7" t="str">
        <f>INDEX(Detail!$B$1:$B$1001,MATCH(B838,Detail!$G$1:$G$1001,0),1)</f>
        <v>AB+</v>
      </c>
      <c r="V838" s="7" t="str" cm="1">
        <f t="array" ref="V838">INDEX(Dosen!$B$3:$E$8,MATCH(Main!C838,Dosen!$A$3:$A$8,0),IF(AND(Main!A838&gt;=1,Main!A838&lt;=250),1,IF(AND(Main!A838&gt;=251,Main!A838&lt;=500),2,IF(AND(Main!A838&gt;=501,Main!A838&lt;=750),3,4))))</f>
        <v>Pak Andi</v>
      </c>
      <c r="W838" s="7" t="str">
        <f>_xlfn.XLOOKUP(B838,Detail!$G$1:$G$1001,Detail!$B$1:$B$1001)</f>
        <v>AB+</v>
      </c>
    </row>
    <row r="839" spans="1:23" ht="15.75" x14ac:dyDescent="0.25">
      <c r="A839" s="7">
        <v>15</v>
      </c>
      <c r="B839" s="33" t="str">
        <f t="shared" si="50"/>
        <v>F0015</v>
      </c>
      <c r="C839" s="7" t="s">
        <v>1011</v>
      </c>
      <c r="D839" s="33" t="str">
        <f>VLOOKUP(B839,Detail!$G$1:$H$1001,2,FALSE)</f>
        <v>Adinata Permata</v>
      </c>
      <c r="E839" s="7">
        <v>81</v>
      </c>
      <c r="F839" s="7">
        <v>48</v>
      </c>
      <c r="G839" s="57">
        <v>61</v>
      </c>
      <c r="H839" s="7">
        <v>53</v>
      </c>
      <c r="I839" s="7">
        <v>85</v>
      </c>
      <c r="J839" s="7">
        <v>70</v>
      </c>
      <c r="K839" s="7">
        <v>60</v>
      </c>
      <c r="L839" s="56">
        <f>IFERROR(VLOOKUP(B839,Absen!$A$1:$C$501,2,FALSE),"No")</f>
        <v>44756</v>
      </c>
      <c r="M839" s="58">
        <f t="shared" si="48"/>
        <v>5</v>
      </c>
      <c r="N839" s="57">
        <f t="shared" si="49"/>
        <v>64.575000000000003</v>
      </c>
      <c r="O839" s="7" t="str">
        <f>VLOOKUP(N839,Helper!$B$30:$C$35,2,TRUE)</f>
        <v>C</v>
      </c>
      <c r="P839" s="56">
        <f>INDEX(Detail!$A$1:$A$1001,MATCH(B839,Detail!$G$1:$G$1001,0))</f>
        <v>38005</v>
      </c>
      <c r="Q839" s="33" t="str">
        <f>INDEX(Detail!$F$1:$F$1001,MATCH(Main!B839,Detail!$G$1:$G$1001,0))</f>
        <v>Pontianak</v>
      </c>
      <c r="R839" s="7">
        <f>INDEX(Detail!$C$1:$C$1001,MATCH(B839,Detail!$G$1:$G$1001,0),1)</f>
        <v>158</v>
      </c>
      <c r="S839" s="7">
        <f>INDEX(Detail!$D$1:$D$1001,MATCH(B839,Detail!$G$1:$G$1001,0),1)</f>
        <v>82</v>
      </c>
      <c r="T839" s="7" t="str">
        <f>INDEX(Detail!$E$1:$E$1001,MATCH(Main!B839,Detail!$G$1:$G$1001,0))</f>
        <v xml:space="preserve">Jl. Rungkut Industri No. 5
</v>
      </c>
      <c r="U839" s="7" t="str">
        <f>INDEX(Detail!$B$1:$B$1001,MATCH(B839,Detail!$G$1:$G$1001,0),1)</f>
        <v>A-</v>
      </c>
      <c r="V839" s="7" t="str" cm="1">
        <f t="array" ref="V839">INDEX(Dosen!$B$3:$E$8,MATCH(Main!C839,Dosen!$A$3:$A$8,0),IF(AND(Main!A839&gt;=1,Main!A839&lt;=250),1,IF(AND(Main!A839&gt;=251,Main!A839&lt;=500),2,IF(AND(Main!A839&gt;=501,Main!A839&lt;=750),3,4))))</f>
        <v>Pak Andi</v>
      </c>
      <c r="W839" s="7" t="str">
        <f>_xlfn.XLOOKUP(B839,Detail!$G$1:$G$1001,Detail!$B$1:$B$1001)</f>
        <v>A-</v>
      </c>
    </row>
    <row r="840" spans="1:23" ht="15.75" x14ac:dyDescent="0.25">
      <c r="A840" s="7">
        <v>17</v>
      </c>
      <c r="B840" s="33" t="str">
        <f t="shared" si="50"/>
        <v>F0017</v>
      </c>
      <c r="C840" s="7" t="s">
        <v>1011</v>
      </c>
      <c r="D840" s="33" t="str">
        <f>VLOOKUP(B840,Detail!$G$1:$H$1001,2,FALSE)</f>
        <v>Jati Suwarno</v>
      </c>
      <c r="E840" s="7">
        <v>60</v>
      </c>
      <c r="F840" s="7">
        <v>46</v>
      </c>
      <c r="G840" s="57">
        <v>85</v>
      </c>
      <c r="H840" s="7">
        <v>66</v>
      </c>
      <c r="I840" s="7">
        <v>73</v>
      </c>
      <c r="J840" s="7">
        <v>47</v>
      </c>
      <c r="K840" s="7">
        <v>62</v>
      </c>
      <c r="L840" s="56" t="str">
        <f>IFERROR(VLOOKUP(B840,Absen!$A$1:$C$501,2,FALSE),"No")</f>
        <v>No</v>
      </c>
      <c r="M840" s="58">
        <f t="shared" si="48"/>
        <v>6.2</v>
      </c>
      <c r="N840" s="57">
        <f t="shared" si="49"/>
        <v>63.225000000000001</v>
      </c>
      <c r="O840" s="7" t="str">
        <f>VLOOKUP(N840,Helper!$B$30:$C$35,2,TRUE)</f>
        <v>C</v>
      </c>
      <c r="P840" s="56">
        <f>INDEX(Detail!$A$1:$A$1001,MATCH(B840,Detail!$G$1:$G$1001,0))</f>
        <v>38285</v>
      </c>
      <c r="Q840" s="33" t="str">
        <f>INDEX(Detail!$F$1:$F$1001,MATCH(Main!B840,Detail!$G$1:$G$1001,0))</f>
        <v>Pekanbaru</v>
      </c>
      <c r="R840" s="7">
        <f>INDEX(Detail!$C$1:$C$1001,MATCH(B840,Detail!$G$1:$G$1001,0),1)</f>
        <v>165</v>
      </c>
      <c r="S840" s="7">
        <f>INDEX(Detail!$D$1:$D$1001,MATCH(B840,Detail!$G$1:$G$1001,0),1)</f>
        <v>90</v>
      </c>
      <c r="T840" s="7" t="str">
        <f>INDEX(Detail!$E$1:$E$1001,MATCH(Main!B840,Detail!$G$1:$G$1001,0))</f>
        <v>Gang Dipatiukur No. 63</v>
      </c>
      <c r="U840" s="7" t="str">
        <f>INDEX(Detail!$B$1:$B$1001,MATCH(B840,Detail!$G$1:$G$1001,0),1)</f>
        <v>A-</v>
      </c>
      <c r="V840" s="7" t="str" cm="1">
        <f t="array" ref="V840">INDEX(Dosen!$B$3:$E$8,MATCH(Main!C840,Dosen!$A$3:$A$8,0),IF(AND(Main!A840&gt;=1,Main!A840&lt;=250),1,IF(AND(Main!A840&gt;=251,Main!A840&lt;=500),2,IF(AND(Main!A840&gt;=501,Main!A840&lt;=750),3,4))))</f>
        <v>Pak Andi</v>
      </c>
      <c r="W840" s="7" t="str">
        <f>_xlfn.XLOOKUP(B840,Detail!$G$1:$G$1001,Detail!$B$1:$B$1001)</f>
        <v>A-</v>
      </c>
    </row>
    <row r="841" spans="1:23" ht="15.75" x14ac:dyDescent="0.25">
      <c r="A841" s="7">
        <v>25</v>
      </c>
      <c r="B841" s="33" t="str">
        <f t="shared" si="50"/>
        <v>F0025</v>
      </c>
      <c r="C841" s="7" t="s">
        <v>1011</v>
      </c>
      <c r="D841" s="33" t="str">
        <f>VLOOKUP(B841,Detail!$G$1:$H$1001,2,FALSE)</f>
        <v>Ghaliyati Kurniawan</v>
      </c>
      <c r="E841" s="7">
        <v>73</v>
      </c>
      <c r="F841" s="7">
        <v>68</v>
      </c>
      <c r="G841" s="57">
        <v>56</v>
      </c>
      <c r="H841" s="7">
        <v>53</v>
      </c>
      <c r="I841" s="7">
        <v>63</v>
      </c>
      <c r="J841" s="7">
        <v>56</v>
      </c>
      <c r="K841" s="7">
        <v>78</v>
      </c>
      <c r="L841" s="56" t="str">
        <f>IFERROR(VLOOKUP(B841,Absen!$A$1:$C$501,2,FALSE),"No")</f>
        <v>No</v>
      </c>
      <c r="M841" s="58">
        <f t="shared" si="48"/>
        <v>7.8000000000000007</v>
      </c>
      <c r="N841" s="57">
        <f t="shared" si="49"/>
        <v>62.325000000000003</v>
      </c>
      <c r="O841" s="7" t="str">
        <f>VLOOKUP(N841,Helper!$B$30:$C$35,2,TRUE)</f>
        <v>C</v>
      </c>
      <c r="P841" s="56">
        <f>INDEX(Detail!$A$1:$A$1001,MATCH(B841,Detail!$G$1:$G$1001,0))</f>
        <v>37879</v>
      </c>
      <c r="Q841" s="33" t="str">
        <f>INDEX(Detail!$F$1:$F$1001,MATCH(Main!B841,Detail!$G$1:$G$1001,0))</f>
        <v>Gorontalo</v>
      </c>
      <c r="R841" s="7">
        <f>INDEX(Detail!$C$1:$C$1001,MATCH(B841,Detail!$G$1:$G$1001,0),1)</f>
        <v>180</v>
      </c>
      <c r="S841" s="7">
        <f>INDEX(Detail!$D$1:$D$1001,MATCH(B841,Detail!$G$1:$G$1001,0),1)</f>
        <v>74</v>
      </c>
      <c r="T841" s="7" t="str">
        <f>INDEX(Detail!$E$1:$E$1001,MATCH(Main!B841,Detail!$G$1:$G$1001,0))</f>
        <v xml:space="preserve">Gg. Asia Afrika No. 3
</v>
      </c>
      <c r="U841" s="7" t="str">
        <f>INDEX(Detail!$B$1:$B$1001,MATCH(B841,Detail!$G$1:$G$1001,0),1)</f>
        <v>A-</v>
      </c>
      <c r="V841" s="7" t="str" cm="1">
        <f t="array" ref="V841">INDEX(Dosen!$B$3:$E$8,MATCH(Main!C841,Dosen!$A$3:$A$8,0),IF(AND(Main!A841&gt;=1,Main!A841&lt;=250),1,IF(AND(Main!A841&gt;=251,Main!A841&lt;=500),2,IF(AND(Main!A841&gt;=501,Main!A841&lt;=750),3,4))))</f>
        <v>Pak Andi</v>
      </c>
      <c r="W841" s="7" t="str">
        <f>_xlfn.XLOOKUP(B841,Detail!$G$1:$G$1001,Detail!$B$1:$B$1001)</f>
        <v>A-</v>
      </c>
    </row>
    <row r="842" spans="1:23" ht="15.75" x14ac:dyDescent="0.25">
      <c r="A842" s="7">
        <v>36</v>
      </c>
      <c r="B842" s="33" t="str">
        <f t="shared" si="50"/>
        <v>F0036</v>
      </c>
      <c r="C842" s="7" t="s">
        <v>1011</v>
      </c>
      <c r="D842" s="33" t="str">
        <f>VLOOKUP(B842,Detail!$G$1:$H$1001,2,FALSE)</f>
        <v>Purwadi Sinaga</v>
      </c>
      <c r="E842" s="7">
        <v>53</v>
      </c>
      <c r="F842" s="7">
        <v>45</v>
      </c>
      <c r="G842" s="57">
        <v>87</v>
      </c>
      <c r="H842" s="7">
        <v>57</v>
      </c>
      <c r="I842" s="7">
        <v>90</v>
      </c>
      <c r="J842" s="7">
        <v>43</v>
      </c>
      <c r="K842" s="7">
        <v>75</v>
      </c>
      <c r="L842" s="56">
        <f>IFERROR(VLOOKUP(B842,Absen!$A$1:$C$501,2,FALSE),"No")</f>
        <v>44784</v>
      </c>
      <c r="M842" s="58">
        <f t="shared" si="48"/>
        <v>6.5</v>
      </c>
      <c r="N842" s="57">
        <f t="shared" si="49"/>
        <v>63.125000000000007</v>
      </c>
      <c r="O842" s="7" t="str">
        <f>VLOOKUP(N842,Helper!$B$30:$C$35,2,TRUE)</f>
        <v>C</v>
      </c>
      <c r="P842" s="56">
        <f>INDEX(Detail!$A$1:$A$1001,MATCH(B842,Detail!$G$1:$G$1001,0))</f>
        <v>38171</v>
      </c>
      <c r="Q842" s="33" t="str">
        <f>INDEX(Detail!$F$1:$F$1001,MATCH(Main!B842,Detail!$G$1:$G$1001,0))</f>
        <v>Pagaralam</v>
      </c>
      <c r="R842" s="7">
        <f>INDEX(Detail!$C$1:$C$1001,MATCH(B842,Detail!$G$1:$G$1001,0),1)</f>
        <v>168</v>
      </c>
      <c r="S842" s="7">
        <f>INDEX(Detail!$D$1:$D$1001,MATCH(B842,Detail!$G$1:$G$1001,0),1)</f>
        <v>86</v>
      </c>
      <c r="T842" s="7" t="str">
        <f>INDEX(Detail!$E$1:$E$1001,MATCH(Main!B842,Detail!$G$1:$G$1001,0))</f>
        <v xml:space="preserve">Gg. Monginsidi No. 7
</v>
      </c>
      <c r="U842" s="7" t="str">
        <f>INDEX(Detail!$B$1:$B$1001,MATCH(B842,Detail!$G$1:$G$1001,0),1)</f>
        <v>B-</v>
      </c>
      <c r="V842" s="7" t="str" cm="1">
        <f t="array" ref="V842">INDEX(Dosen!$B$3:$E$8,MATCH(Main!C842,Dosen!$A$3:$A$8,0),IF(AND(Main!A842&gt;=1,Main!A842&lt;=250),1,IF(AND(Main!A842&gt;=251,Main!A842&lt;=500),2,IF(AND(Main!A842&gt;=501,Main!A842&lt;=750),3,4))))</f>
        <v>Pak Andi</v>
      </c>
      <c r="W842" s="7" t="str">
        <f>_xlfn.XLOOKUP(B842,Detail!$G$1:$G$1001,Detail!$B$1:$B$1001)</f>
        <v>B-</v>
      </c>
    </row>
    <row r="843" spans="1:23" ht="15.75" x14ac:dyDescent="0.25">
      <c r="A843" s="7">
        <v>38</v>
      </c>
      <c r="B843" s="33" t="str">
        <f t="shared" si="50"/>
        <v>F0038</v>
      </c>
      <c r="C843" s="7" t="s">
        <v>1011</v>
      </c>
      <c r="D843" s="33" t="str">
        <f>VLOOKUP(B843,Detail!$G$1:$H$1001,2,FALSE)</f>
        <v>Rahmi Pratiwi</v>
      </c>
      <c r="E843" s="7">
        <v>95</v>
      </c>
      <c r="F843" s="7">
        <v>49</v>
      </c>
      <c r="G843" s="57">
        <v>70</v>
      </c>
      <c r="H843" s="7">
        <v>61</v>
      </c>
      <c r="I843" s="7">
        <v>53</v>
      </c>
      <c r="J843" s="7">
        <v>40</v>
      </c>
      <c r="K843" s="7">
        <v>94</v>
      </c>
      <c r="L843" s="56">
        <f>IFERROR(VLOOKUP(B843,Absen!$A$1:$C$501,2,FALSE),"No")</f>
        <v>44801</v>
      </c>
      <c r="M843" s="58">
        <f t="shared" si="48"/>
        <v>8.4</v>
      </c>
      <c r="N843" s="57">
        <f t="shared" si="49"/>
        <v>62.65</v>
      </c>
      <c r="O843" s="7" t="str">
        <f>VLOOKUP(N843,Helper!$B$30:$C$35,2,TRUE)</f>
        <v>C</v>
      </c>
      <c r="P843" s="56">
        <f>INDEX(Detail!$A$1:$A$1001,MATCH(B843,Detail!$G$1:$G$1001,0))</f>
        <v>38086</v>
      </c>
      <c r="Q843" s="33" t="str">
        <f>INDEX(Detail!$F$1:$F$1001,MATCH(Main!B843,Detail!$G$1:$G$1001,0))</f>
        <v>Kota Administrasi Jakarta Barat</v>
      </c>
      <c r="R843" s="7">
        <f>INDEX(Detail!$C$1:$C$1001,MATCH(B843,Detail!$G$1:$G$1001,0),1)</f>
        <v>151</v>
      </c>
      <c r="S843" s="7">
        <f>INDEX(Detail!$D$1:$D$1001,MATCH(B843,Detail!$G$1:$G$1001,0),1)</f>
        <v>95</v>
      </c>
      <c r="T843" s="7" t="str">
        <f>INDEX(Detail!$E$1:$E$1001,MATCH(Main!B843,Detail!$G$1:$G$1001,0))</f>
        <v>Jl. Sukajadi No. 67</v>
      </c>
      <c r="U843" s="7" t="str">
        <f>INDEX(Detail!$B$1:$B$1001,MATCH(B843,Detail!$G$1:$G$1001,0),1)</f>
        <v>AB-</v>
      </c>
      <c r="V843" s="7" t="str" cm="1">
        <f t="array" ref="V843">INDEX(Dosen!$B$3:$E$8,MATCH(Main!C843,Dosen!$A$3:$A$8,0),IF(AND(Main!A843&gt;=1,Main!A843&lt;=250),1,IF(AND(Main!A843&gt;=251,Main!A843&lt;=500),2,IF(AND(Main!A843&gt;=501,Main!A843&lt;=750),3,4))))</f>
        <v>Pak Andi</v>
      </c>
      <c r="W843" s="7" t="str">
        <f>_xlfn.XLOOKUP(B843,Detail!$G$1:$G$1001,Detail!$B$1:$B$1001)</f>
        <v>AB-</v>
      </c>
    </row>
    <row r="844" spans="1:23" ht="15.75" x14ac:dyDescent="0.25">
      <c r="A844" s="7">
        <v>40</v>
      </c>
      <c r="B844" s="33" t="str">
        <f t="shared" si="50"/>
        <v>F0040</v>
      </c>
      <c r="C844" s="7" t="s">
        <v>1011</v>
      </c>
      <c r="D844" s="33" t="str">
        <f>VLOOKUP(B844,Detail!$G$1:$H$1001,2,FALSE)</f>
        <v>Ibun Kusmawati</v>
      </c>
      <c r="E844" s="7">
        <v>68</v>
      </c>
      <c r="F844" s="7">
        <v>54</v>
      </c>
      <c r="G844" s="57">
        <v>80</v>
      </c>
      <c r="H844" s="7">
        <v>54</v>
      </c>
      <c r="I844" s="7">
        <v>50</v>
      </c>
      <c r="J844" s="7">
        <v>54</v>
      </c>
      <c r="K844" s="7">
        <v>65</v>
      </c>
      <c r="L844" s="56">
        <f>IFERROR(VLOOKUP(B844,Absen!$A$1:$C$501,2,FALSE),"No")</f>
        <v>44856</v>
      </c>
      <c r="M844" s="58">
        <f t="shared" si="48"/>
        <v>5.5</v>
      </c>
      <c r="N844" s="57">
        <f t="shared" si="49"/>
        <v>60.55</v>
      </c>
      <c r="O844" s="7" t="str">
        <f>VLOOKUP(N844,Helper!$B$30:$C$35,2,TRUE)</f>
        <v>C</v>
      </c>
      <c r="P844" s="56">
        <f>INDEX(Detail!$A$1:$A$1001,MATCH(B844,Detail!$G$1:$G$1001,0))</f>
        <v>37266</v>
      </c>
      <c r="Q844" s="33" t="str">
        <f>INDEX(Detail!$F$1:$F$1001,MATCH(Main!B844,Detail!$G$1:$G$1001,0))</f>
        <v>Medan</v>
      </c>
      <c r="R844" s="7">
        <f>INDEX(Detail!$C$1:$C$1001,MATCH(B844,Detail!$G$1:$G$1001,0),1)</f>
        <v>165</v>
      </c>
      <c r="S844" s="7">
        <f>INDEX(Detail!$D$1:$D$1001,MATCH(B844,Detail!$G$1:$G$1001,0),1)</f>
        <v>61</v>
      </c>
      <c r="T844" s="7" t="str">
        <f>INDEX(Detail!$E$1:$E$1001,MATCH(Main!B844,Detail!$G$1:$G$1001,0))</f>
        <v>Jl. Merdeka No. 68</v>
      </c>
      <c r="U844" s="7" t="str">
        <f>INDEX(Detail!$B$1:$B$1001,MATCH(B844,Detail!$G$1:$G$1001,0),1)</f>
        <v>B-</v>
      </c>
      <c r="V844" s="7" t="str" cm="1">
        <f t="array" ref="V844">INDEX(Dosen!$B$3:$E$8,MATCH(Main!C844,Dosen!$A$3:$A$8,0),IF(AND(Main!A844&gt;=1,Main!A844&lt;=250),1,IF(AND(Main!A844&gt;=251,Main!A844&lt;=500),2,IF(AND(Main!A844&gt;=501,Main!A844&lt;=750),3,4))))</f>
        <v>Pak Andi</v>
      </c>
      <c r="W844" s="7" t="str">
        <f>_xlfn.XLOOKUP(B844,Detail!$G$1:$G$1001,Detail!$B$1:$B$1001)</f>
        <v>B-</v>
      </c>
    </row>
    <row r="845" spans="1:23" ht="15.75" x14ac:dyDescent="0.25">
      <c r="A845" s="7">
        <v>47</v>
      </c>
      <c r="B845" s="33" t="str">
        <f t="shared" si="50"/>
        <v>F0047</v>
      </c>
      <c r="C845" s="7" t="s">
        <v>1011</v>
      </c>
      <c r="D845" s="33" t="str">
        <f>VLOOKUP(B845,Detail!$G$1:$H$1001,2,FALSE)</f>
        <v>Daliman Thamrin</v>
      </c>
      <c r="E845" s="7">
        <v>84</v>
      </c>
      <c r="F845" s="7">
        <v>44</v>
      </c>
      <c r="G845" s="57">
        <v>94</v>
      </c>
      <c r="H845" s="7">
        <v>65</v>
      </c>
      <c r="I845" s="7">
        <v>75</v>
      </c>
      <c r="J845" s="7">
        <v>44</v>
      </c>
      <c r="K845" s="7">
        <v>85</v>
      </c>
      <c r="L845" s="56">
        <f>IFERROR(VLOOKUP(B845,Absen!$A$1:$C$501,2,FALSE),"No")</f>
        <v>44784</v>
      </c>
      <c r="M845" s="58">
        <f t="shared" si="48"/>
        <v>7.5</v>
      </c>
      <c r="N845" s="57">
        <f t="shared" si="49"/>
        <v>68.599999999999994</v>
      </c>
      <c r="O845" s="7" t="str">
        <f>VLOOKUP(N845,Helper!$B$30:$C$35,2,TRUE)</f>
        <v>C</v>
      </c>
      <c r="P845" s="56">
        <f>INDEX(Detail!$A$1:$A$1001,MATCH(B845,Detail!$G$1:$G$1001,0))</f>
        <v>37964</v>
      </c>
      <c r="Q845" s="33" t="str">
        <f>INDEX(Detail!$F$1:$F$1001,MATCH(Main!B845,Detail!$G$1:$G$1001,0))</f>
        <v>Probolinggo</v>
      </c>
      <c r="R845" s="7">
        <f>INDEX(Detail!$C$1:$C$1001,MATCH(B845,Detail!$G$1:$G$1001,0),1)</f>
        <v>166</v>
      </c>
      <c r="S845" s="7">
        <f>INDEX(Detail!$D$1:$D$1001,MATCH(B845,Detail!$G$1:$G$1001,0),1)</f>
        <v>51</v>
      </c>
      <c r="T845" s="7" t="str">
        <f>INDEX(Detail!$E$1:$E$1001,MATCH(Main!B845,Detail!$G$1:$G$1001,0))</f>
        <v xml:space="preserve">Gang Gardujati No. 1
</v>
      </c>
      <c r="U845" s="7" t="str">
        <f>INDEX(Detail!$B$1:$B$1001,MATCH(B845,Detail!$G$1:$G$1001,0),1)</f>
        <v>AB-</v>
      </c>
      <c r="V845" s="7" t="str" cm="1">
        <f t="array" ref="V845">INDEX(Dosen!$B$3:$E$8,MATCH(Main!C845,Dosen!$A$3:$A$8,0),IF(AND(Main!A845&gt;=1,Main!A845&lt;=250),1,IF(AND(Main!A845&gt;=251,Main!A845&lt;=500),2,IF(AND(Main!A845&gt;=501,Main!A845&lt;=750),3,4))))</f>
        <v>Pak Andi</v>
      </c>
      <c r="W845" s="7" t="str">
        <f>_xlfn.XLOOKUP(B845,Detail!$G$1:$G$1001,Detail!$B$1:$B$1001)</f>
        <v>AB-</v>
      </c>
    </row>
    <row r="846" spans="1:23" ht="15.75" x14ac:dyDescent="0.25">
      <c r="A846" s="7">
        <v>53</v>
      </c>
      <c r="B846" s="33" t="str">
        <f t="shared" si="50"/>
        <v>F0053</v>
      </c>
      <c r="C846" s="7" t="s">
        <v>1011</v>
      </c>
      <c r="D846" s="33" t="str">
        <f>VLOOKUP(B846,Detail!$G$1:$H$1001,2,FALSE)</f>
        <v>Setya Suryatmi</v>
      </c>
      <c r="E846" s="7">
        <v>68</v>
      </c>
      <c r="F846" s="7">
        <v>70</v>
      </c>
      <c r="G846" s="57">
        <v>31</v>
      </c>
      <c r="H846" s="7">
        <v>64</v>
      </c>
      <c r="I846" s="7">
        <v>80</v>
      </c>
      <c r="J846" s="7">
        <v>75</v>
      </c>
      <c r="K846" s="7">
        <v>96</v>
      </c>
      <c r="L846" s="56" t="str">
        <f>IFERROR(VLOOKUP(B846,Absen!$A$1:$C$501,2,FALSE),"No")</f>
        <v>No</v>
      </c>
      <c r="M846" s="58">
        <f t="shared" si="48"/>
        <v>9.6000000000000014</v>
      </c>
      <c r="N846" s="57">
        <f t="shared" si="49"/>
        <v>66.050000000000011</v>
      </c>
      <c r="O846" s="7" t="str">
        <f>VLOOKUP(N846,Helper!$B$30:$C$35,2,TRUE)</f>
        <v>C</v>
      </c>
      <c r="P846" s="56">
        <f>INDEX(Detail!$A$1:$A$1001,MATCH(B846,Detail!$G$1:$G$1001,0))</f>
        <v>38124</v>
      </c>
      <c r="Q846" s="33" t="str">
        <f>INDEX(Detail!$F$1:$F$1001,MATCH(Main!B846,Detail!$G$1:$G$1001,0))</f>
        <v>Kota Administrasi Jakarta Utara</v>
      </c>
      <c r="R846" s="7">
        <f>INDEX(Detail!$C$1:$C$1001,MATCH(B846,Detail!$G$1:$G$1001,0),1)</f>
        <v>180</v>
      </c>
      <c r="S846" s="7">
        <f>INDEX(Detail!$D$1:$D$1001,MATCH(B846,Detail!$G$1:$G$1001,0),1)</f>
        <v>94</v>
      </c>
      <c r="T846" s="7" t="str">
        <f>INDEX(Detail!$E$1:$E$1001,MATCH(Main!B846,Detail!$G$1:$G$1001,0))</f>
        <v xml:space="preserve">Gang H.J Maemunah No. 5
</v>
      </c>
      <c r="U846" s="7" t="str">
        <f>INDEX(Detail!$B$1:$B$1001,MATCH(B846,Detail!$G$1:$G$1001,0),1)</f>
        <v>AB-</v>
      </c>
      <c r="V846" s="7" t="str" cm="1">
        <f t="array" ref="V846">INDEX(Dosen!$B$3:$E$8,MATCH(Main!C846,Dosen!$A$3:$A$8,0),IF(AND(Main!A846&gt;=1,Main!A846&lt;=250),1,IF(AND(Main!A846&gt;=251,Main!A846&lt;=500),2,IF(AND(Main!A846&gt;=501,Main!A846&lt;=750),3,4))))</f>
        <v>Pak Andi</v>
      </c>
      <c r="W846" s="7" t="str">
        <f>_xlfn.XLOOKUP(B846,Detail!$G$1:$G$1001,Detail!$B$1:$B$1001)</f>
        <v>AB-</v>
      </c>
    </row>
    <row r="847" spans="1:23" ht="15.75" x14ac:dyDescent="0.25">
      <c r="A847" s="7">
        <v>74</v>
      </c>
      <c r="B847" s="33" t="str">
        <f t="shared" si="50"/>
        <v>F0074</v>
      </c>
      <c r="C847" s="7" t="s">
        <v>1011</v>
      </c>
      <c r="D847" s="33" t="str">
        <f>VLOOKUP(B847,Detail!$G$1:$H$1001,2,FALSE)</f>
        <v>Rahmat Nasyidah</v>
      </c>
      <c r="E847" s="7">
        <v>85</v>
      </c>
      <c r="F847" s="7">
        <v>73</v>
      </c>
      <c r="G847" s="57">
        <v>60</v>
      </c>
      <c r="H847" s="7">
        <v>52</v>
      </c>
      <c r="I847" s="7">
        <v>55</v>
      </c>
      <c r="J847" s="7">
        <v>58</v>
      </c>
      <c r="K847" s="7">
        <v>68</v>
      </c>
      <c r="L847" s="56" t="str">
        <f>IFERROR(VLOOKUP(B847,Absen!$A$1:$C$501,2,FALSE),"No")</f>
        <v>No</v>
      </c>
      <c r="M847" s="58">
        <f t="shared" si="48"/>
        <v>6.8000000000000007</v>
      </c>
      <c r="N847" s="57">
        <f t="shared" si="49"/>
        <v>63.525000000000006</v>
      </c>
      <c r="O847" s="7" t="str">
        <f>VLOOKUP(N847,Helper!$B$30:$C$35,2,TRUE)</f>
        <v>C</v>
      </c>
      <c r="P847" s="56">
        <f>INDEX(Detail!$A$1:$A$1001,MATCH(B847,Detail!$G$1:$G$1001,0))</f>
        <v>38460</v>
      </c>
      <c r="Q847" s="33" t="str">
        <f>INDEX(Detail!$F$1:$F$1001,MATCH(Main!B847,Detail!$G$1:$G$1001,0))</f>
        <v>Lhokseumawe</v>
      </c>
      <c r="R847" s="7">
        <f>INDEX(Detail!$C$1:$C$1001,MATCH(B847,Detail!$G$1:$G$1001,0),1)</f>
        <v>176</v>
      </c>
      <c r="S847" s="7">
        <f>INDEX(Detail!$D$1:$D$1001,MATCH(B847,Detail!$G$1:$G$1001,0),1)</f>
        <v>92</v>
      </c>
      <c r="T847" s="7" t="str">
        <f>INDEX(Detail!$E$1:$E$1001,MATCH(Main!B847,Detail!$G$1:$G$1001,0))</f>
        <v>Jalan Laswi No. 49</v>
      </c>
      <c r="U847" s="7" t="str">
        <f>INDEX(Detail!$B$1:$B$1001,MATCH(B847,Detail!$G$1:$G$1001,0),1)</f>
        <v>AB+</v>
      </c>
      <c r="V847" s="7" t="str" cm="1">
        <f t="array" ref="V847">INDEX(Dosen!$B$3:$E$8,MATCH(Main!C847,Dosen!$A$3:$A$8,0),IF(AND(Main!A847&gt;=1,Main!A847&lt;=250),1,IF(AND(Main!A847&gt;=251,Main!A847&lt;=500),2,IF(AND(Main!A847&gt;=501,Main!A847&lt;=750),3,4))))</f>
        <v>Pak Andi</v>
      </c>
      <c r="W847" s="7" t="str">
        <f>_xlfn.XLOOKUP(B847,Detail!$G$1:$G$1001,Detail!$B$1:$B$1001)</f>
        <v>AB+</v>
      </c>
    </row>
    <row r="848" spans="1:23" ht="15.75" x14ac:dyDescent="0.25">
      <c r="A848" s="7">
        <v>78</v>
      </c>
      <c r="B848" s="33" t="str">
        <f t="shared" si="50"/>
        <v>F0078</v>
      </c>
      <c r="C848" s="7" t="s">
        <v>1011</v>
      </c>
      <c r="D848" s="33" t="str">
        <f>VLOOKUP(B848,Detail!$G$1:$H$1001,2,FALSE)</f>
        <v>Diah Simbolon</v>
      </c>
      <c r="E848" s="7">
        <v>95</v>
      </c>
      <c r="F848" s="7">
        <v>41</v>
      </c>
      <c r="G848" s="57">
        <v>90</v>
      </c>
      <c r="H848" s="7">
        <v>68</v>
      </c>
      <c r="I848" s="7">
        <v>90</v>
      </c>
      <c r="J848" s="7">
        <v>97</v>
      </c>
      <c r="K848" s="7">
        <v>67</v>
      </c>
      <c r="L848" s="56" t="str">
        <f>IFERROR(VLOOKUP(B848,Absen!$A$1:$C$501,2,FALSE),"No")</f>
        <v>No</v>
      </c>
      <c r="M848" s="58">
        <f t="shared" si="48"/>
        <v>6.7</v>
      </c>
      <c r="N848" s="57">
        <f t="shared" si="49"/>
        <v>80.850000000000009</v>
      </c>
      <c r="O848" s="7" t="str">
        <f>VLOOKUP(N848,Helper!$B$30:$C$35,2,TRUE)</f>
        <v>A</v>
      </c>
      <c r="P848" s="56">
        <f>INDEX(Detail!$A$1:$A$1001,MATCH(B848,Detail!$G$1:$G$1001,0))</f>
        <v>37105</v>
      </c>
      <c r="Q848" s="33" t="str">
        <f>INDEX(Detail!$F$1:$F$1001,MATCH(Main!B848,Detail!$G$1:$G$1001,0))</f>
        <v>Bandar Lampung</v>
      </c>
      <c r="R848" s="7">
        <f>INDEX(Detail!$C$1:$C$1001,MATCH(B848,Detail!$G$1:$G$1001,0),1)</f>
        <v>171</v>
      </c>
      <c r="S848" s="7">
        <f>INDEX(Detail!$D$1:$D$1001,MATCH(B848,Detail!$G$1:$G$1001,0),1)</f>
        <v>69</v>
      </c>
      <c r="T848" s="7" t="str">
        <f>INDEX(Detail!$E$1:$E$1001,MATCH(Main!B848,Detail!$G$1:$G$1001,0))</f>
        <v xml:space="preserve">Gang Kebonjati No. 8
</v>
      </c>
      <c r="U848" s="7" t="str">
        <f>INDEX(Detail!$B$1:$B$1001,MATCH(B848,Detail!$G$1:$G$1001,0),1)</f>
        <v>O-</v>
      </c>
      <c r="V848" s="7" t="str" cm="1">
        <f t="array" ref="V848">INDEX(Dosen!$B$3:$E$8,MATCH(Main!C848,Dosen!$A$3:$A$8,0),IF(AND(Main!A848&gt;=1,Main!A848&lt;=250),1,IF(AND(Main!A848&gt;=251,Main!A848&lt;=500),2,IF(AND(Main!A848&gt;=501,Main!A848&lt;=750),3,4))))</f>
        <v>Pak Andi</v>
      </c>
      <c r="W848" s="7" t="str">
        <f>_xlfn.XLOOKUP(B848,Detail!$G$1:$G$1001,Detail!$B$1:$B$1001)</f>
        <v>O-</v>
      </c>
    </row>
    <row r="849" spans="1:23" ht="15.75" x14ac:dyDescent="0.25">
      <c r="A849" s="7">
        <v>88</v>
      </c>
      <c r="B849" s="33" t="str">
        <f t="shared" si="50"/>
        <v>F0088</v>
      </c>
      <c r="C849" s="7" t="s">
        <v>1011</v>
      </c>
      <c r="D849" s="33" t="str">
        <f>VLOOKUP(B849,Detail!$G$1:$H$1001,2,FALSE)</f>
        <v>Liman Pradipta</v>
      </c>
      <c r="E849" s="7">
        <v>80</v>
      </c>
      <c r="F849" s="7">
        <v>74</v>
      </c>
      <c r="G849" s="57">
        <v>50</v>
      </c>
      <c r="H849" s="7">
        <v>58</v>
      </c>
      <c r="I849" s="7">
        <v>94</v>
      </c>
      <c r="J849" s="7">
        <v>85</v>
      </c>
      <c r="K849" s="7">
        <v>68</v>
      </c>
      <c r="L849" s="56">
        <f>IFERROR(VLOOKUP(B849,Absen!$A$1:$C$501,2,FALSE),"No")</f>
        <v>44897</v>
      </c>
      <c r="M849" s="58">
        <f t="shared" si="48"/>
        <v>5.8000000000000007</v>
      </c>
      <c r="N849" s="57">
        <f t="shared" si="49"/>
        <v>71.05</v>
      </c>
      <c r="O849" s="7" t="str">
        <f>VLOOKUP(N849,Helper!$B$30:$C$35,2,TRUE)</f>
        <v>B</v>
      </c>
      <c r="P849" s="56">
        <f>INDEX(Detail!$A$1:$A$1001,MATCH(B849,Detail!$G$1:$G$1001,0))</f>
        <v>38125</v>
      </c>
      <c r="Q849" s="33" t="str">
        <f>INDEX(Detail!$F$1:$F$1001,MATCH(Main!B849,Detail!$G$1:$G$1001,0))</f>
        <v>Surabaya</v>
      </c>
      <c r="R849" s="7">
        <f>INDEX(Detail!$C$1:$C$1001,MATCH(B849,Detail!$G$1:$G$1001,0),1)</f>
        <v>171</v>
      </c>
      <c r="S849" s="7">
        <f>INDEX(Detail!$D$1:$D$1001,MATCH(B849,Detail!$G$1:$G$1001,0),1)</f>
        <v>61</v>
      </c>
      <c r="T849" s="7" t="str">
        <f>INDEX(Detail!$E$1:$E$1001,MATCH(Main!B849,Detail!$G$1:$G$1001,0))</f>
        <v>Jl. Medokan Ayu No. 70</v>
      </c>
      <c r="U849" s="7" t="str">
        <f>INDEX(Detail!$B$1:$B$1001,MATCH(B849,Detail!$G$1:$G$1001,0),1)</f>
        <v>B+</v>
      </c>
      <c r="V849" s="7" t="str" cm="1">
        <f t="array" ref="V849">INDEX(Dosen!$B$3:$E$8,MATCH(Main!C849,Dosen!$A$3:$A$8,0),IF(AND(Main!A849&gt;=1,Main!A849&lt;=250),1,IF(AND(Main!A849&gt;=251,Main!A849&lt;=500),2,IF(AND(Main!A849&gt;=501,Main!A849&lt;=750),3,4))))</f>
        <v>Pak Andi</v>
      </c>
      <c r="W849" s="7" t="str">
        <f>_xlfn.XLOOKUP(B849,Detail!$G$1:$G$1001,Detail!$B$1:$B$1001)</f>
        <v>B+</v>
      </c>
    </row>
    <row r="850" spans="1:23" ht="15.75" x14ac:dyDescent="0.25">
      <c r="A850" s="7">
        <v>91</v>
      </c>
      <c r="B850" s="33" t="str">
        <f t="shared" si="50"/>
        <v>F0091</v>
      </c>
      <c r="C850" s="7" t="s">
        <v>1011</v>
      </c>
      <c r="D850" s="33" t="str">
        <f>VLOOKUP(B850,Detail!$G$1:$H$1001,2,FALSE)</f>
        <v>Omar Wibowo</v>
      </c>
      <c r="E850" s="7">
        <v>95</v>
      </c>
      <c r="F850" s="7">
        <v>66</v>
      </c>
      <c r="G850" s="57">
        <v>55</v>
      </c>
      <c r="H850" s="7">
        <v>70</v>
      </c>
      <c r="I850" s="7">
        <v>83</v>
      </c>
      <c r="J850" s="7">
        <v>86</v>
      </c>
      <c r="K850" s="7">
        <v>77</v>
      </c>
      <c r="L850" s="56" t="str">
        <f>IFERROR(VLOOKUP(B850,Absen!$A$1:$C$501,2,FALSE),"No")</f>
        <v>No</v>
      </c>
      <c r="M850" s="58">
        <f t="shared" si="48"/>
        <v>7.7</v>
      </c>
      <c r="N850" s="57">
        <f t="shared" si="49"/>
        <v>75.150000000000006</v>
      </c>
      <c r="O850" s="7" t="str">
        <f>VLOOKUP(N850,Helper!$B$30:$C$35,2,TRUE)</f>
        <v>B</v>
      </c>
      <c r="P850" s="56">
        <f>INDEX(Detail!$A$1:$A$1001,MATCH(B850,Detail!$G$1:$G$1001,0))</f>
        <v>37366</v>
      </c>
      <c r="Q850" s="33" t="str">
        <f>INDEX(Detail!$F$1:$F$1001,MATCH(Main!B850,Detail!$G$1:$G$1001,0))</f>
        <v>Ambon</v>
      </c>
      <c r="R850" s="7">
        <f>INDEX(Detail!$C$1:$C$1001,MATCH(B850,Detail!$G$1:$G$1001,0),1)</f>
        <v>170</v>
      </c>
      <c r="S850" s="7">
        <f>INDEX(Detail!$D$1:$D$1001,MATCH(B850,Detail!$G$1:$G$1001,0),1)</f>
        <v>78</v>
      </c>
      <c r="T850" s="7" t="str">
        <f>INDEX(Detail!$E$1:$E$1001,MATCH(Main!B850,Detail!$G$1:$G$1001,0))</f>
        <v>Gg. Suniaraja No. 72</v>
      </c>
      <c r="U850" s="7" t="str">
        <f>INDEX(Detail!$B$1:$B$1001,MATCH(B850,Detail!$G$1:$G$1001,0),1)</f>
        <v>B-</v>
      </c>
      <c r="V850" s="7" t="str" cm="1">
        <f t="array" ref="V850">INDEX(Dosen!$B$3:$E$8,MATCH(Main!C850,Dosen!$A$3:$A$8,0),IF(AND(Main!A850&gt;=1,Main!A850&lt;=250),1,IF(AND(Main!A850&gt;=251,Main!A850&lt;=500),2,IF(AND(Main!A850&gt;=501,Main!A850&lt;=750),3,4))))</f>
        <v>Pak Andi</v>
      </c>
      <c r="W850" s="7" t="str">
        <f>_xlfn.XLOOKUP(B850,Detail!$G$1:$G$1001,Detail!$B$1:$B$1001)</f>
        <v>B-</v>
      </c>
    </row>
    <row r="851" spans="1:23" ht="15.75" x14ac:dyDescent="0.25">
      <c r="A851" s="7">
        <v>95</v>
      </c>
      <c r="B851" s="33" t="str">
        <f t="shared" si="50"/>
        <v>F0095</v>
      </c>
      <c r="C851" s="7" t="s">
        <v>1011</v>
      </c>
      <c r="D851" s="33" t="str">
        <f>VLOOKUP(B851,Detail!$G$1:$H$1001,2,FALSE)</f>
        <v>Bagiya Damanik</v>
      </c>
      <c r="E851" s="7">
        <v>52</v>
      </c>
      <c r="F851" s="7">
        <v>42</v>
      </c>
      <c r="G851" s="57">
        <v>76</v>
      </c>
      <c r="H851" s="7">
        <v>68</v>
      </c>
      <c r="I851" s="7">
        <v>69</v>
      </c>
      <c r="J851" s="7">
        <v>54</v>
      </c>
      <c r="K851" s="7">
        <v>85</v>
      </c>
      <c r="L851" s="56">
        <f>IFERROR(VLOOKUP(B851,Absen!$A$1:$C$501,2,FALSE),"No")</f>
        <v>44773</v>
      </c>
      <c r="M851" s="58">
        <f t="shared" si="48"/>
        <v>7.5</v>
      </c>
      <c r="N851" s="57">
        <f t="shared" si="49"/>
        <v>62.375</v>
      </c>
      <c r="O851" s="7" t="str">
        <f>VLOOKUP(N851,Helper!$B$30:$C$35,2,TRUE)</f>
        <v>C</v>
      </c>
      <c r="P851" s="56">
        <f>INDEX(Detail!$A$1:$A$1001,MATCH(B851,Detail!$G$1:$G$1001,0))</f>
        <v>38292</v>
      </c>
      <c r="Q851" s="33" t="str">
        <f>INDEX(Detail!$F$1:$F$1001,MATCH(Main!B851,Detail!$G$1:$G$1001,0))</f>
        <v>Salatiga</v>
      </c>
      <c r="R851" s="7">
        <f>INDEX(Detail!$C$1:$C$1001,MATCH(B851,Detail!$G$1:$G$1001,0),1)</f>
        <v>163</v>
      </c>
      <c r="S851" s="7">
        <f>INDEX(Detail!$D$1:$D$1001,MATCH(B851,Detail!$G$1:$G$1001,0),1)</f>
        <v>92</v>
      </c>
      <c r="T851" s="7" t="str">
        <f>INDEX(Detail!$E$1:$E$1001,MATCH(Main!B851,Detail!$G$1:$G$1001,0))</f>
        <v>Gang Medokan Ayu No. 10</v>
      </c>
      <c r="U851" s="7" t="str">
        <f>INDEX(Detail!$B$1:$B$1001,MATCH(B851,Detail!$G$1:$G$1001,0),1)</f>
        <v>A-</v>
      </c>
      <c r="V851" s="7" t="str" cm="1">
        <f t="array" ref="V851">INDEX(Dosen!$B$3:$E$8,MATCH(Main!C851,Dosen!$A$3:$A$8,0),IF(AND(Main!A851&gt;=1,Main!A851&lt;=250),1,IF(AND(Main!A851&gt;=251,Main!A851&lt;=500),2,IF(AND(Main!A851&gt;=501,Main!A851&lt;=750),3,4))))</f>
        <v>Pak Andi</v>
      </c>
      <c r="W851" s="7" t="str">
        <f>_xlfn.XLOOKUP(B851,Detail!$G$1:$G$1001,Detail!$B$1:$B$1001)</f>
        <v>A-</v>
      </c>
    </row>
    <row r="852" spans="1:23" ht="15.75" x14ac:dyDescent="0.25">
      <c r="A852" s="7">
        <v>99</v>
      </c>
      <c r="B852" s="33" t="str">
        <f t="shared" si="50"/>
        <v>F0099</v>
      </c>
      <c r="C852" s="7" t="s">
        <v>1011</v>
      </c>
      <c r="D852" s="33" t="str">
        <f>VLOOKUP(B852,Detail!$G$1:$H$1001,2,FALSE)</f>
        <v>Dalimin Padmasari</v>
      </c>
      <c r="E852" s="7">
        <v>89</v>
      </c>
      <c r="F852" s="7">
        <v>43</v>
      </c>
      <c r="G852" s="57">
        <v>60</v>
      </c>
      <c r="H852" s="7">
        <v>54</v>
      </c>
      <c r="I852" s="7">
        <v>79</v>
      </c>
      <c r="J852" s="7">
        <v>61</v>
      </c>
      <c r="K852" s="7">
        <v>78</v>
      </c>
      <c r="L852" s="56" t="str">
        <f>IFERROR(VLOOKUP(B852,Absen!$A$1:$C$501,2,FALSE),"No")</f>
        <v>No</v>
      </c>
      <c r="M852" s="58">
        <f t="shared" si="48"/>
        <v>7.8000000000000007</v>
      </c>
      <c r="N852" s="57">
        <f t="shared" si="49"/>
        <v>65.125</v>
      </c>
      <c r="O852" s="7" t="str">
        <f>VLOOKUP(N852,Helper!$B$30:$C$35,2,TRUE)</f>
        <v>C</v>
      </c>
      <c r="P852" s="56">
        <f>INDEX(Detail!$A$1:$A$1001,MATCH(B852,Detail!$G$1:$G$1001,0))</f>
        <v>37384</v>
      </c>
      <c r="Q852" s="33" t="str">
        <f>INDEX(Detail!$F$1:$F$1001,MATCH(Main!B852,Detail!$G$1:$G$1001,0))</f>
        <v>Bengkulu</v>
      </c>
      <c r="R852" s="7">
        <f>INDEX(Detail!$C$1:$C$1001,MATCH(B852,Detail!$G$1:$G$1001,0),1)</f>
        <v>165</v>
      </c>
      <c r="S852" s="7">
        <f>INDEX(Detail!$D$1:$D$1001,MATCH(B852,Detail!$G$1:$G$1001,0),1)</f>
        <v>53</v>
      </c>
      <c r="T852" s="7" t="str">
        <f>INDEX(Detail!$E$1:$E$1001,MATCH(Main!B852,Detail!$G$1:$G$1001,0))</f>
        <v>Jl. Suniaraja No. 25</v>
      </c>
      <c r="U852" s="7" t="str">
        <f>INDEX(Detail!$B$1:$B$1001,MATCH(B852,Detail!$G$1:$G$1001,0),1)</f>
        <v>A-</v>
      </c>
      <c r="V852" s="7" t="str" cm="1">
        <f t="array" ref="V852">INDEX(Dosen!$B$3:$E$8,MATCH(Main!C852,Dosen!$A$3:$A$8,0),IF(AND(Main!A852&gt;=1,Main!A852&lt;=250),1,IF(AND(Main!A852&gt;=251,Main!A852&lt;=500),2,IF(AND(Main!A852&gt;=501,Main!A852&lt;=750),3,4))))</f>
        <v>Pak Andi</v>
      </c>
      <c r="W852" s="7" t="str">
        <f>_xlfn.XLOOKUP(B852,Detail!$G$1:$G$1001,Detail!$B$1:$B$1001)</f>
        <v>A-</v>
      </c>
    </row>
    <row r="853" spans="1:23" ht="15.75" x14ac:dyDescent="0.25">
      <c r="A853" s="7">
        <v>109</v>
      </c>
      <c r="B853" s="33" t="str">
        <f t="shared" si="50"/>
        <v>F0109</v>
      </c>
      <c r="C853" s="7" t="s">
        <v>1011</v>
      </c>
      <c r="D853" s="33" t="str">
        <f>VLOOKUP(B853,Detail!$G$1:$H$1001,2,FALSE)</f>
        <v>Saiful Kusumo</v>
      </c>
      <c r="E853" s="7">
        <v>57</v>
      </c>
      <c r="F853" s="7">
        <v>56</v>
      </c>
      <c r="G853" s="57">
        <v>90</v>
      </c>
      <c r="H853" s="7">
        <v>62</v>
      </c>
      <c r="I853" s="7">
        <v>51</v>
      </c>
      <c r="J853" s="7">
        <v>97</v>
      </c>
      <c r="K853" s="7">
        <v>78</v>
      </c>
      <c r="L853" s="56">
        <f>IFERROR(VLOOKUP(B853,Absen!$A$1:$C$501,2,FALSE),"No")</f>
        <v>44872</v>
      </c>
      <c r="M853" s="58">
        <f t="shared" si="48"/>
        <v>6.8000000000000007</v>
      </c>
      <c r="N853" s="57">
        <f t="shared" si="49"/>
        <v>72.45</v>
      </c>
      <c r="O853" s="7" t="str">
        <f>VLOOKUP(N853,Helper!$B$30:$C$35,2,TRUE)</f>
        <v>B</v>
      </c>
      <c r="P853" s="56">
        <f>INDEX(Detail!$A$1:$A$1001,MATCH(B853,Detail!$G$1:$G$1001,0))</f>
        <v>38339</v>
      </c>
      <c r="Q853" s="33" t="str">
        <f>INDEX(Detail!$F$1:$F$1001,MATCH(Main!B853,Detail!$G$1:$G$1001,0))</f>
        <v>Pekalongan</v>
      </c>
      <c r="R853" s="7">
        <f>INDEX(Detail!$C$1:$C$1001,MATCH(B853,Detail!$G$1:$G$1001,0),1)</f>
        <v>180</v>
      </c>
      <c r="S853" s="7">
        <f>INDEX(Detail!$D$1:$D$1001,MATCH(B853,Detail!$G$1:$G$1001,0),1)</f>
        <v>61</v>
      </c>
      <c r="T853" s="7" t="str">
        <f>INDEX(Detail!$E$1:$E$1001,MATCH(Main!B853,Detail!$G$1:$G$1001,0))</f>
        <v>Jalan Wonoayu No. 69</v>
      </c>
      <c r="U853" s="7" t="str">
        <f>INDEX(Detail!$B$1:$B$1001,MATCH(B853,Detail!$G$1:$G$1001,0),1)</f>
        <v>O-</v>
      </c>
      <c r="V853" s="7" t="str" cm="1">
        <f t="array" ref="V853">INDEX(Dosen!$B$3:$E$8,MATCH(Main!C853,Dosen!$A$3:$A$8,0),IF(AND(Main!A853&gt;=1,Main!A853&lt;=250),1,IF(AND(Main!A853&gt;=251,Main!A853&lt;=500),2,IF(AND(Main!A853&gt;=501,Main!A853&lt;=750),3,4))))</f>
        <v>Pak Andi</v>
      </c>
      <c r="W853" s="7" t="str">
        <f>_xlfn.XLOOKUP(B853,Detail!$G$1:$G$1001,Detail!$B$1:$B$1001)</f>
        <v>O-</v>
      </c>
    </row>
    <row r="854" spans="1:23" ht="15.75" x14ac:dyDescent="0.25">
      <c r="A854" s="7">
        <v>116</v>
      </c>
      <c r="B854" s="33" t="str">
        <f t="shared" si="50"/>
        <v>F0116</v>
      </c>
      <c r="C854" s="7" t="s">
        <v>1011</v>
      </c>
      <c r="D854" s="33" t="str">
        <f>VLOOKUP(B854,Detail!$G$1:$H$1001,2,FALSE)</f>
        <v>Aurora Siregar</v>
      </c>
      <c r="E854" s="7">
        <v>93</v>
      </c>
      <c r="F854" s="7">
        <v>57</v>
      </c>
      <c r="G854" s="57">
        <v>82</v>
      </c>
      <c r="H854" s="7">
        <v>65</v>
      </c>
      <c r="I854" s="7">
        <v>62</v>
      </c>
      <c r="J854" s="7">
        <v>65</v>
      </c>
      <c r="K854" s="7">
        <v>99</v>
      </c>
      <c r="L854" s="56" t="str">
        <f>IFERROR(VLOOKUP(B854,Absen!$A$1:$C$501,2,FALSE),"No")</f>
        <v>No</v>
      </c>
      <c r="M854" s="58">
        <f t="shared" si="48"/>
        <v>9.9</v>
      </c>
      <c r="N854" s="57">
        <f t="shared" si="49"/>
        <v>73.925000000000011</v>
      </c>
      <c r="O854" s="7" t="str">
        <f>VLOOKUP(N854,Helper!$B$30:$C$35,2,TRUE)</f>
        <v>B</v>
      </c>
      <c r="P854" s="56">
        <f>INDEX(Detail!$A$1:$A$1001,MATCH(B854,Detail!$G$1:$G$1001,0))</f>
        <v>38340</v>
      </c>
      <c r="Q854" s="33" t="str">
        <f>INDEX(Detail!$F$1:$F$1001,MATCH(Main!B854,Detail!$G$1:$G$1001,0))</f>
        <v>Bandung</v>
      </c>
      <c r="R854" s="7">
        <f>INDEX(Detail!$C$1:$C$1001,MATCH(B854,Detail!$G$1:$G$1001,0),1)</f>
        <v>168</v>
      </c>
      <c r="S854" s="7">
        <f>INDEX(Detail!$D$1:$D$1001,MATCH(B854,Detail!$G$1:$G$1001,0),1)</f>
        <v>95</v>
      </c>
      <c r="T854" s="7" t="str">
        <f>INDEX(Detail!$E$1:$E$1001,MATCH(Main!B854,Detail!$G$1:$G$1001,0))</f>
        <v xml:space="preserve">Jl. Sukabumi No. 2
</v>
      </c>
      <c r="U854" s="7" t="str">
        <f>INDEX(Detail!$B$1:$B$1001,MATCH(B854,Detail!$G$1:$G$1001,0),1)</f>
        <v>O+</v>
      </c>
      <c r="V854" s="7" t="str" cm="1">
        <f t="array" ref="V854">INDEX(Dosen!$B$3:$E$8,MATCH(Main!C854,Dosen!$A$3:$A$8,0),IF(AND(Main!A854&gt;=1,Main!A854&lt;=250),1,IF(AND(Main!A854&gt;=251,Main!A854&lt;=500),2,IF(AND(Main!A854&gt;=501,Main!A854&lt;=750),3,4))))</f>
        <v>Pak Andi</v>
      </c>
      <c r="W854" s="7" t="str">
        <f>_xlfn.XLOOKUP(B854,Detail!$G$1:$G$1001,Detail!$B$1:$B$1001)</f>
        <v>O+</v>
      </c>
    </row>
    <row r="855" spans="1:23" ht="15.75" x14ac:dyDescent="0.25">
      <c r="A855" s="7">
        <v>117</v>
      </c>
      <c r="B855" s="33" t="str">
        <f t="shared" si="50"/>
        <v>F0117</v>
      </c>
      <c r="C855" s="7" t="s">
        <v>1011</v>
      </c>
      <c r="D855" s="33" t="str">
        <f>VLOOKUP(B855,Detail!$G$1:$H$1001,2,FALSE)</f>
        <v>Hasim Purwanti</v>
      </c>
      <c r="E855" s="7">
        <v>90</v>
      </c>
      <c r="F855" s="7">
        <v>63</v>
      </c>
      <c r="G855" s="57">
        <v>62</v>
      </c>
      <c r="H855" s="7">
        <v>71</v>
      </c>
      <c r="I855" s="7">
        <v>78</v>
      </c>
      <c r="J855" s="7">
        <v>75</v>
      </c>
      <c r="K855" s="7">
        <v>97</v>
      </c>
      <c r="L855" s="56" t="str">
        <f>IFERROR(VLOOKUP(B855,Absen!$A$1:$C$501,2,FALSE),"No")</f>
        <v>No</v>
      </c>
      <c r="M855" s="58">
        <f t="shared" si="48"/>
        <v>9.7000000000000011</v>
      </c>
      <c r="N855" s="57">
        <f t="shared" si="49"/>
        <v>74.850000000000009</v>
      </c>
      <c r="O855" s="7" t="str">
        <f>VLOOKUP(N855,Helper!$B$30:$C$35,2,TRUE)</f>
        <v>B</v>
      </c>
      <c r="P855" s="56">
        <f>INDEX(Detail!$A$1:$A$1001,MATCH(B855,Detail!$G$1:$G$1001,0))</f>
        <v>37357</v>
      </c>
      <c r="Q855" s="33" t="str">
        <f>INDEX(Detail!$F$1:$F$1001,MATCH(Main!B855,Detail!$G$1:$G$1001,0))</f>
        <v>Gorontalo</v>
      </c>
      <c r="R855" s="7">
        <f>INDEX(Detail!$C$1:$C$1001,MATCH(B855,Detail!$G$1:$G$1001,0),1)</f>
        <v>173</v>
      </c>
      <c r="S855" s="7">
        <f>INDEX(Detail!$D$1:$D$1001,MATCH(B855,Detail!$G$1:$G$1001,0),1)</f>
        <v>61</v>
      </c>
      <c r="T855" s="7" t="str">
        <f>INDEX(Detail!$E$1:$E$1001,MATCH(Main!B855,Detail!$G$1:$G$1001,0))</f>
        <v>Jl. Cikapayang No. 43</v>
      </c>
      <c r="U855" s="7" t="str">
        <f>INDEX(Detail!$B$1:$B$1001,MATCH(B855,Detail!$G$1:$G$1001,0),1)</f>
        <v>O+</v>
      </c>
      <c r="V855" s="7" t="str" cm="1">
        <f t="array" ref="V855">INDEX(Dosen!$B$3:$E$8,MATCH(Main!C855,Dosen!$A$3:$A$8,0),IF(AND(Main!A855&gt;=1,Main!A855&lt;=250),1,IF(AND(Main!A855&gt;=251,Main!A855&lt;=500),2,IF(AND(Main!A855&gt;=501,Main!A855&lt;=750),3,4))))</f>
        <v>Pak Andi</v>
      </c>
      <c r="W855" s="7" t="str">
        <f>_xlfn.XLOOKUP(B855,Detail!$G$1:$G$1001,Detail!$B$1:$B$1001)</f>
        <v>O+</v>
      </c>
    </row>
    <row r="856" spans="1:23" ht="15.75" x14ac:dyDescent="0.25">
      <c r="A856" s="7">
        <v>126</v>
      </c>
      <c r="B856" s="33" t="str">
        <f t="shared" si="50"/>
        <v>F0126</v>
      </c>
      <c r="C856" s="7" t="s">
        <v>1011</v>
      </c>
      <c r="D856" s="33" t="str">
        <f>VLOOKUP(B856,Detail!$G$1:$H$1001,2,FALSE)</f>
        <v>Drajat Suwarno</v>
      </c>
      <c r="E856" s="7">
        <v>91</v>
      </c>
      <c r="F856" s="7">
        <v>45</v>
      </c>
      <c r="G856" s="57">
        <v>35</v>
      </c>
      <c r="H856" s="7">
        <v>74</v>
      </c>
      <c r="I856" s="7">
        <v>91</v>
      </c>
      <c r="J856" s="7">
        <v>96</v>
      </c>
      <c r="K856" s="7">
        <v>74</v>
      </c>
      <c r="L856" s="56">
        <f>IFERROR(VLOOKUP(B856,Absen!$A$1:$C$501,2,FALSE),"No")</f>
        <v>44864</v>
      </c>
      <c r="M856" s="58">
        <f t="shared" si="48"/>
        <v>6.4</v>
      </c>
      <c r="N856" s="57">
        <f t="shared" si="49"/>
        <v>70.225000000000009</v>
      </c>
      <c r="O856" s="7" t="str">
        <f>VLOOKUP(N856,Helper!$B$30:$C$35,2,TRUE)</f>
        <v>B</v>
      </c>
      <c r="P856" s="56">
        <f>INDEX(Detail!$A$1:$A$1001,MATCH(B856,Detail!$G$1:$G$1001,0))</f>
        <v>38072</v>
      </c>
      <c r="Q856" s="33" t="str">
        <f>INDEX(Detail!$F$1:$F$1001,MATCH(Main!B856,Detail!$G$1:$G$1001,0))</f>
        <v>Manado</v>
      </c>
      <c r="R856" s="7">
        <f>INDEX(Detail!$C$1:$C$1001,MATCH(B856,Detail!$G$1:$G$1001,0),1)</f>
        <v>152</v>
      </c>
      <c r="S856" s="7">
        <f>INDEX(Detail!$D$1:$D$1001,MATCH(B856,Detail!$G$1:$G$1001,0),1)</f>
        <v>76</v>
      </c>
      <c r="T856" s="7" t="str">
        <f>INDEX(Detail!$E$1:$E$1001,MATCH(Main!B856,Detail!$G$1:$G$1001,0))</f>
        <v>Jalan Indragiri No. 47</v>
      </c>
      <c r="U856" s="7" t="str">
        <f>INDEX(Detail!$B$1:$B$1001,MATCH(B856,Detail!$G$1:$G$1001,0),1)</f>
        <v>O+</v>
      </c>
      <c r="V856" s="7" t="str" cm="1">
        <f t="array" ref="V856">INDEX(Dosen!$B$3:$E$8,MATCH(Main!C856,Dosen!$A$3:$A$8,0),IF(AND(Main!A856&gt;=1,Main!A856&lt;=250),1,IF(AND(Main!A856&gt;=251,Main!A856&lt;=500),2,IF(AND(Main!A856&gt;=501,Main!A856&lt;=750),3,4))))</f>
        <v>Pak Andi</v>
      </c>
      <c r="W856" s="7" t="str">
        <f>_xlfn.XLOOKUP(B856,Detail!$G$1:$G$1001,Detail!$B$1:$B$1001)</f>
        <v>O+</v>
      </c>
    </row>
    <row r="857" spans="1:23" ht="15.75" x14ac:dyDescent="0.25">
      <c r="A857" s="7">
        <v>127</v>
      </c>
      <c r="B857" s="33" t="str">
        <f t="shared" si="50"/>
        <v>F0127</v>
      </c>
      <c r="C857" s="7" t="s">
        <v>1011</v>
      </c>
      <c r="D857" s="33" t="str">
        <f>VLOOKUP(B857,Detail!$G$1:$H$1001,2,FALSE)</f>
        <v>Bajragin Pudjiastuti</v>
      </c>
      <c r="E857" s="7">
        <v>68</v>
      </c>
      <c r="F857" s="7">
        <v>59</v>
      </c>
      <c r="G857" s="57">
        <v>95</v>
      </c>
      <c r="H857" s="7">
        <v>55</v>
      </c>
      <c r="I857" s="7">
        <v>86</v>
      </c>
      <c r="J857" s="7">
        <v>77</v>
      </c>
      <c r="K857" s="7">
        <v>69</v>
      </c>
      <c r="L857" s="56" t="str">
        <f>IFERROR(VLOOKUP(B857,Absen!$A$1:$C$501,2,FALSE),"No")</f>
        <v>No</v>
      </c>
      <c r="M857" s="58">
        <f t="shared" si="48"/>
        <v>6.9</v>
      </c>
      <c r="N857" s="57">
        <f t="shared" si="49"/>
        <v>74.800000000000011</v>
      </c>
      <c r="O857" s="7" t="str">
        <f>VLOOKUP(N857,Helper!$B$30:$C$35,2,TRUE)</f>
        <v>B</v>
      </c>
      <c r="P857" s="56">
        <f>INDEX(Detail!$A$1:$A$1001,MATCH(B857,Detail!$G$1:$G$1001,0))</f>
        <v>38242</v>
      </c>
      <c r="Q857" s="33" t="str">
        <f>INDEX(Detail!$F$1:$F$1001,MATCH(Main!B857,Detail!$G$1:$G$1001,0))</f>
        <v>Lubuklinggau</v>
      </c>
      <c r="R857" s="7">
        <f>INDEX(Detail!$C$1:$C$1001,MATCH(B857,Detail!$G$1:$G$1001,0),1)</f>
        <v>165</v>
      </c>
      <c r="S857" s="7">
        <f>INDEX(Detail!$D$1:$D$1001,MATCH(B857,Detail!$G$1:$G$1001,0),1)</f>
        <v>62</v>
      </c>
      <c r="T857" s="7" t="str">
        <f>INDEX(Detail!$E$1:$E$1001,MATCH(Main!B857,Detail!$G$1:$G$1001,0))</f>
        <v xml:space="preserve">Gg. Jakarta No. 0
</v>
      </c>
      <c r="U857" s="7" t="str">
        <f>INDEX(Detail!$B$1:$B$1001,MATCH(B857,Detail!$G$1:$G$1001,0),1)</f>
        <v>AB-</v>
      </c>
      <c r="V857" s="7" t="str" cm="1">
        <f t="array" ref="V857">INDEX(Dosen!$B$3:$E$8,MATCH(Main!C857,Dosen!$A$3:$A$8,0),IF(AND(Main!A857&gt;=1,Main!A857&lt;=250),1,IF(AND(Main!A857&gt;=251,Main!A857&lt;=500),2,IF(AND(Main!A857&gt;=501,Main!A857&lt;=750),3,4))))</f>
        <v>Pak Andi</v>
      </c>
      <c r="W857" s="7" t="str">
        <f>_xlfn.XLOOKUP(B857,Detail!$G$1:$G$1001,Detail!$B$1:$B$1001)</f>
        <v>AB-</v>
      </c>
    </row>
    <row r="858" spans="1:23" ht="15.75" x14ac:dyDescent="0.25">
      <c r="A858" s="7">
        <v>134</v>
      </c>
      <c r="B858" s="33" t="str">
        <f t="shared" si="50"/>
        <v>F0134</v>
      </c>
      <c r="C858" s="7" t="s">
        <v>1011</v>
      </c>
      <c r="D858" s="33" t="str">
        <f>VLOOKUP(B858,Detail!$G$1:$H$1001,2,FALSE)</f>
        <v>Edi Hariyah</v>
      </c>
      <c r="E858" s="7">
        <v>55</v>
      </c>
      <c r="F858" s="7">
        <v>70</v>
      </c>
      <c r="G858" s="57">
        <v>77</v>
      </c>
      <c r="H858" s="7">
        <v>50</v>
      </c>
      <c r="I858" s="7">
        <v>84</v>
      </c>
      <c r="J858" s="7">
        <v>48</v>
      </c>
      <c r="K858" s="7">
        <v>76</v>
      </c>
      <c r="L858" s="56" t="str">
        <f>IFERROR(VLOOKUP(B858,Absen!$A$1:$C$501,2,FALSE),"No")</f>
        <v>No</v>
      </c>
      <c r="M858" s="58">
        <f t="shared" si="48"/>
        <v>7.6000000000000005</v>
      </c>
      <c r="N858" s="57">
        <f t="shared" si="49"/>
        <v>64.974999999999994</v>
      </c>
      <c r="O858" s="7" t="str">
        <f>VLOOKUP(N858,Helper!$B$30:$C$35,2,TRUE)</f>
        <v>C</v>
      </c>
      <c r="P858" s="56">
        <f>INDEX(Detail!$A$1:$A$1001,MATCH(B858,Detail!$G$1:$G$1001,0))</f>
        <v>38331</v>
      </c>
      <c r="Q858" s="33" t="str">
        <f>INDEX(Detail!$F$1:$F$1001,MATCH(Main!B858,Detail!$G$1:$G$1001,0))</f>
        <v>Dumai</v>
      </c>
      <c r="R858" s="7">
        <f>INDEX(Detail!$C$1:$C$1001,MATCH(B858,Detail!$G$1:$G$1001,0),1)</f>
        <v>160</v>
      </c>
      <c r="S858" s="7">
        <f>INDEX(Detail!$D$1:$D$1001,MATCH(B858,Detail!$G$1:$G$1001,0),1)</f>
        <v>74</v>
      </c>
      <c r="T858" s="7" t="str">
        <f>INDEX(Detail!$E$1:$E$1001,MATCH(Main!B858,Detail!$G$1:$G$1001,0))</f>
        <v>Jl. Suryakencana No. 68</v>
      </c>
      <c r="U858" s="7" t="str">
        <f>INDEX(Detail!$B$1:$B$1001,MATCH(B858,Detail!$G$1:$G$1001,0),1)</f>
        <v>AB-</v>
      </c>
      <c r="V858" s="7" t="str" cm="1">
        <f t="array" ref="V858">INDEX(Dosen!$B$3:$E$8,MATCH(Main!C858,Dosen!$A$3:$A$8,0),IF(AND(Main!A858&gt;=1,Main!A858&lt;=250),1,IF(AND(Main!A858&gt;=251,Main!A858&lt;=500),2,IF(AND(Main!A858&gt;=501,Main!A858&lt;=750),3,4))))</f>
        <v>Pak Andi</v>
      </c>
      <c r="W858" s="7" t="str">
        <f>_xlfn.XLOOKUP(B858,Detail!$G$1:$G$1001,Detail!$B$1:$B$1001)</f>
        <v>AB-</v>
      </c>
    </row>
    <row r="859" spans="1:23" ht="15.75" x14ac:dyDescent="0.25">
      <c r="A859" s="7">
        <v>147</v>
      </c>
      <c r="B859" s="33" t="str">
        <f t="shared" si="50"/>
        <v>F0147</v>
      </c>
      <c r="C859" s="7" t="s">
        <v>1011</v>
      </c>
      <c r="D859" s="33" t="str">
        <f>VLOOKUP(B859,Detail!$G$1:$H$1001,2,FALSE)</f>
        <v>Kuncara Uwais</v>
      </c>
      <c r="E859" s="7">
        <v>72</v>
      </c>
      <c r="F859" s="7">
        <v>67</v>
      </c>
      <c r="G859" s="57">
        <v>58</v>
      </c>
      <c r="H859" s="7">
        <v>70</v>
      </c>
      <c r="I859" s="7">
        <v>79</v>
      </c>
      <c r="J859" s="7">
        <v>40</v>
      </c>
      <c r="K859" s="7">
        <v>70</v>
      </c>
      <c r="L859" s="56" t="str">
        <f>IFERROR(VLOOKUP(B859,Absen!$A$1:$C$501,2,FALSE),"No")</f>
        <v>No</v>
      </c>
      <c r="M859" s="58">
        <f t="shared" si="48"/>
        <v>7</v>
      </c>
      <c r="N859" s="57">
        <f t="shared" si="49"/>
        <v>62.6</v>
      </c>
      <c r="O859" s="7" t="str">
        <f>VLOOKUP(N859,Helper!$B$30:$C$35,2,TRUE)</f>
        <v>C</v>
      </c>
      <c r="P859" s="56">
        <f>INDEX(Detail!$A$1:$A$1001,MATCH(B859,Detail!$G$1:$G$1001,0))</f>
        <v>37515</v>
      </c>
      <c r="Q859" s="33" t="str">
        <f>INDEX(Detail!$F$1:$F$1001,MATCH(Main!B859,Detail!$G$1:$G$1001,0))</f>
        <v>Padang</v>
      </c>
      <c r="R859" s="7">
        <f>INDEX(Detail!$C$1:$C$1001,MATCH(B859,Detail!$G$1:$G$1001,0),1)</f>
        <v>161</v>
      </c>
      <c r="S859" s="7">
        <f>INDEX(Detail!$D$1:$D$1001,MATCH(B859,Detail!$G$1:$G$1001,0),1)</f>
        <v>62</v>
      </c>
      <c r="T859" s="7" t="str">
        <f>INDEX(Detail!$E$1:$E$1001,MATCH(Main!B859,Detail!$G$1:$G$1001,0))</f>
        <v>Jl. Abdul Muis No. 40</v>
      </c>
      <c r="U859" s="7" t="str">
        <f>INDEX(Detail!$B$1:$B$1001,MATCH(B859,Detail!$G$1:$G$1001,0),1)</f>
        <v>A+</v>
      </c>
      <c r="V859" s="7" t="str" cm="1">
        <f t="array" ref="V859">INDEX(Dosen!$B$3:$E$8,MATCH(Main!C859,Dosen!$A$3:$A$8,0),IF(AND(Main!A859&gt;=1,Main!A859&lt;=250),1,IF(AND(Main!A859&gt;=251,Main!A859&lt;=500),2,IF(AND(Main!A859&gt;=501,Main!A859&lt;=750),3,4))))</f>
        <v>Pak Andi</v>
      </c>
      <c r="W859" s="7" t="str">
        <f>_xlfn.XLOOKUP(B859,Detail!$G$1:$G$1001,Detail!$B$1:$B$1001)</f>
        <v>A+</v>
      </c>
    </row>
    <row r="860" spans="1:23" ht="15.75" x14ac:dyDescent="0.25">
      <c r="A860" s="7">
        <v>162</v>
      </c>
      <c r="B860" s="33" t="str">
        <f t="shared" si="50"/>
        <v>F0162</v>
      </c>
      <c r="C860" s="7" t="s">
        <v>1011</v>
      </c>
      <c r="D860" s="33" t="str">
        <f>VLOOKUP(B860,Detail!$G$1:$H$1001,2,FALSE)</f>
        <v>Galak Salahudin</v>
      </c>
      <c r="E860" s="7">
        <v>64</v>
      </c>
      <c r="F860" s="7">
        <v>69</v>
      </c>
      <c r="G860" s="57">
        <v>94</v>
      </c>
      <c r="H860" s="7">
        <v>56</v>
      </c>
      <c r="I860" s="7">
        <v>62</v>
      </c>
      <c r="J860" s="7">
        <v>84</v>
      </c>
      <c r="K860" s="7">
        <v>63</v>
      </c>
      <c r="L860" s="56" t="str">
        <f>IFERROR(VLOOKUP(B860,Absen!$A$1:$C$501,2,FALSE),"No")</f>
        <v>No</v>
      </c>
      <c r="M860" s="58">
        <f t="shared" si="48"/>
        <v>6.3000000000000007</v>
      </c>
      <c r="N860" s="57">
        <f t="shared" si="49"/>
        <v>73.274999999999991</v>
      </c>
      <c r="O860" s="7" t="str">
        <f>VLOOKUP(N860,Helper!$B$30:$C$35,2,TRUE)</f>
        <v>B</v>
      </c>
      <c r="P860" s="56">
        <f>INDEX(Detail!$A$1:$A$1001,MATCH(B860,Detail!$G$1:$G$1001,0))</f>
        <v>37726</v>
      </c>
      <c r="Q860" s="33" t="str">
        <f>INDEX(Detail!$F$1:$F$1001,MATCH(Main!B860,Detail!$G$1:$G$1001,0))</f>
        <v>Kota Administrasi Jakarta Barat</v>
      </c>
      <c r="R860" s="7">
        <f>INDEX(Detail!$C$1:$C$1001,MATCH(B860,Detail!$G$1:$G$1001,0),1)</f>
        <v>166</v>
      </c>
      <c r="S860" s="7">
        <f>INDEX(Detail!$D$1:$D$1001,MATCH(B860,Detail!$G$1:$G$1001,0),1)</f>
        <v>63</v>
      </c>
      <c r="T860" s="7" t="str">
        <f>INDEX(Detail!$E$1:$E$1001,MATCH(Main!B860,Detail!$G$1:$G$1001,0))</f>
        <v xml:space="preserve">Gg. Rajawali Barat No. 7
</v>
      </c>
      <c r="U860" s="7" t="str">
        <f>INDEX(Detail!$B$1:$B$1001,MATCH(B860,Detail!$G$1:$G$1001,0),1)</f>
        <v>AB-</v>
      </c>
      <c r="V860" s="7" t="str" cm="1">
        <f t="array" ref="V860">INDEX(Dosen!$B$3:$E$8,MATCH(Main!C860,Dosen!$A$3:$A$8,0),IF(AND(Main!A860&gt;=1,Main!A860&lt;=250),1,IF(AND(Main!A860&gt;=251,Main!A860&lt;=500),2,IF(AND(Main!A860&gt;=501,Main!A860&lt;=750),3,4))))</f>
        <v>Pak Andi</v>
      </c>
      <c r="W860" s="7" t="str">
        <f>_xlfn.XLOOKUP(B860,Detail!$G$1:$G$1001,Detail!$B$1:$B$1001)</f>
        <v>AB-</v>
      </c>
    </row>
    <row r="861" spans="1:23" ht="15.75" x14ac:dyDescent="0.25">
      <c r="A861" s="7">
        <v>164</v>
      </c>
      <c r="B861" s="33" t="str">
        <f t="shared" si="50"/>
        <v>F0164</v>
      </c>
      <c r="C861" s="7" t="s">
        <v>1011</v>
      </c>
      <c r="D861" s="33" t="str">
        <f>VLOOKUP(B861,Detail!$G$1:$H$1001,2,FALSE)</f>
        <v>Nova Sirait</v>
      </c>
      <c r="E861" s="7">
        <v>64</v>
      </c>
      <c r="F861" s="7">
        <v>71</v>
      </c>
      <c r="G861" s="57">
        <v>44</v>
      </c>
      <c r="H861" s="7">
        <v>73</v>
      </c>
      <c r="I861" s="7">
        <v>95</v>
      </c>
      <c r="J861" s="7">
        <v>60</v>
      </c>
      <c r="K861" s="7">
        <v>73</v>
      </c>
      <c r="L861" s="56">
        <f>IFERROR(VLOOKUP(B861,Absen!$A$1:$C$501,2,FALSE),"No")</f>
        <v>44859</v>
      </c>
      <c r="M861" s="58">
        <f t="shared" si="48"/>
        <v>6.3000000000000007</v>
      </c>
      <c r="N861" s="57">
        <f t="shared" si="49"/>
        <v>64.974999999999994</v>
      </c>
      <c r="O861" s="7" t="str">
        <f>VLOOKUP(N861,Helper!$B$30:$C$35,2,TRUE)</f>
        <v>C</v>
      </c>
      <c r="P861" s="56">
        <f>INDEX(Detail!$A$1:$A$1001,MATCH(B861,Detail!$G$1:$G$1001,0))</f>
        <v>37697</v>
      </c>
      <c r="Q861" s="33" t="str">
        <f>INDEX(Detail!$F$1:$F$1001,MATCH(Main!B861,Detail!$G$1:$G$1001,0))</f>
        <v>Kendari</v>
      </c>
      <c r="R861" s="7">
        <f>INDEX(Detail!$C$1:$C$1001,MATCH(B861,Detail!$G$1:$G$1001,0),1)</f>
        <v>163</v>
      </c>
      <c r="S861" s="7">
        <f>INDEX(Detail!$D$1:$D$1001,MATCH(B861,Detail!$G$1:$G$1001,0),1)</f>
        <v>61</v>
      </c>
      <c r="T861" s="7" t="str">
        <f>INDEX(Detail!$E$1:$E$1001,MATCH(Main!B861,Detail!$G$1:$G$1001,0))</f>
        <v>Gang Suryakencana No. 15</v>
      </c>
      <c r="U861" s="7" t="str">
        <f>INDEX(Detail!$B$1:$B$1001,MATCH(B861,Detail!$G$1:$G$1001,0),1)</f>
        <v>AB+</v>
      </c>
      <c r="V861" s="7" t="str" cm="1">
        <f t="array" ref="V861">INDEX(Dosen!$B$3:$E$8,MATCH(Main!C861,Dosen!$A$3:$A$8,0),IF(AND(Main!A861&gt;=1,Main!A861&lt;=250),1,IF(AND(Main!A861&gt;=251,Main!A861&lt;=500),2,IF(AND(Main!A861&gt;=501,Main!A861&lt;=750),3,4))))</f>
        <v>Pak Andi</v>
      </c>
      <c r="W861" s="7" t="str">
        <f>_xlfn.XLOOKUP(B861,Detail!$G$1:$G$1001,Detail!$B$1:$B$1001)</f>
        <v>AB+</v>
      </c>
    </row>
    <row r="862" spans="1:23" ht="15.75" x14ac:dyDescent="0.25">
      <c r="A862" s="7">
        <v>168</v>
      </c>
      <c r="B862" s="33" t="str">
        <f t="shared" si="50"/>
        <v>F0168</v>
      </c>
      <c r="C862" s="7" t="s">
        <v>1011</v>
      </c>
      <c r="D862" s="33" t="str">
        <f>VLOOKUP(B862,Detail!$G$1:$H$1001,2,FALSE)</f>
        <v>Talia Yuliarti</v>
      </c>
      <c r="E862" s="7">
        <v>92</v>
      </c>
      <c r="F862" s="7">
        <v>71</v>
      </c>
      <c r="G862" s="57">
        <v>39</v>
      </c>
      <c r="H862" s="7">
        <v>50</v>
      </c>
      <c r="I862" s="7">
        <v>77</v>
      </c>
      <c r="J862" s="7">
        <v>51</v>
      </c>
      <c r="K862" s="7">
        <v>63</v>
      </c>
      <c r="L862" s="56" t="str">
        <f>IFERROR(VLOOKUP(B862,Absen!$A$1:$C$501,2,FALSE),"No")</f>
        <v>No</v>
      </c>
      <c r="M862" s="58">
        <f t="shared" si="48"/>
        <v>6.3000000000000007</v>
      </c>
      <c r="N862" s="57">
        <f t="shared" si="49"/>
        <v>60.55</v>
      </c>
      <c r="O862" s="7" t="str">
        <f>VLOOKUP(N862,Helper!$B$30:$C$35,2,TRUE)</f>
        <v>C</v>
      </c>
      <c r="P862" s="56">
        <f>INDEX(Detail!$A$1:$A$1001,MATCH(B862,Detail!$G$1:$G$1001,0))</f>
        <v>37250</v>
      </c>
      <c r="Q862" s="33" t="str">
        <f>INDEX(Detail!$F$1:$F$1001,MATCH(Main!B862,Detail!$G$1:$G$1001,0))</f>
        <v>Gorontalo</v>
      </c>
      <c r="R862" s="7">
        <f>INDEX(Detail!$C$1:$C$1001,MATCH(B862,Detail!$G$1:$G$1001,0),1)</f>
        <v>164</v>
      </c>
      <c r="S862" s="7">
        <f>INDEX(Detail!$D$1:$D$1001,MATCH(B862,Detail!$G$1:$G$1001,0),1)</f>
        <v>80</v>
      </c>
      <c r="T862" s="7" t="str">
        <f>INDEX(Detail!$E$1:$E$1001,MATCH(Main!B862,Detail!$G$1:$G$1001,0))</f>
        <v>Gang R.E Martadinata No. 04</v>
      </c>
      <c r="U862" s="7" t="str">
        <f>INDEX(Detail!$B$1:$B$1001,MATCH(B862,Detail!$G$1:$G$1001,0),1)</f>
        <v>A+</v>
      </c>
      <c r="V862" s="7" t="str" cm="1">
        <f t="array" ref="V862">INDEX(Dosen!$B$3:$E$8,MATCH(Main!C862,Dosen!$A$3:$A$8,0),IF(AND(Main!A862&gt;=1,Main!A862&lt;=250),1,IF(AND(Main!A862&gt;=251,Main!A862&lt;=500),2,IF(AND(Main!A862&gt;=501,Main!A862&lt;=750),3,4))))</f>
        <v>Pak Andi</v>
      </c>
      <c r="W862" s="7" t="str">
        <f>_xlfn.XLOOKUP(B862,Detail!$G$1:$G$1001,Detail!$B$1:$B$1001)</f>
        <v>A+</v>
      </c>
    </row>
    <row r="863" spans="1:23" ht="15.75" x14ac:dyDescent="0.25">
      <c r="A863" s="7">
        <v>172</v>
      </c>
      <c r="B863" s="33" t="str">
        <f t="shared" si="50"/>
        <v>F0172</v>
      </c>
      <c r="C863" s="7" t="s">
        <v>1011</v>
      </c>
      <c r="D863" s="33" t="str">
        <f>VLOOKUP(B863,Detail!$G$1:$H$1001,2,FALSE)</f>
        <v>Eka Permadi</v>
      </c>
      <c r="E863" s="7">
        <v>94</v>
      </c>
      <c r="F863" s="7">
        <v>43</v>
      </c>
      <c r="G863" s="57">
        <v>78</v>
      </c>
      <c r="H863" s="7">
        <v>54</v>
      </c>
      <c r="I863" s="7">
        <v>73</v>
      </c>
      <c r="J863" s="7">
        <v>47</v>
      </c>
      <c r="K863" s="7">
        <v>74</v>
      </c>
      <c r="L863" s="56" t="str">
        <f>IFERROR(VLOOKUP(B863,Absen!$A$1:$C$501,2,FALSE),"No")</f>
        <v>No</v>
      </c>
      <c r="M863" s="58">
        <f t="shared" si="48"/>
        <v>7.4</v>
      </c>
      <c r="N863" s="57">
        <f t="shared" si="49"/>
        <v>65.400000000000006</v>
      </c>
      <c r="O863" s="7" t="str">
        <f>VLOOKUP(N863,Helper!$B$30:$C$35,2,TRUE)</f>
        <v>C</v>
      </c>
      <c r="P863" s="56">
        <f>INDEX(Detail!$A$1:$A$1001,MATCH(B863,Detail!$G$1:$G$1001,0))</f>
        <v>37344</v>
      </c>
      <c r="Q863" s="33" t="str">
        <f>INDEX(Detail!$F$1:$F$1001,MATCH(Main!B863,Detail!$G$1:$G$1001,0))</f>
        <v>Prabumulih</v>
      </c>
      <c r="R863" s="7">
        <f>INDEX(Detail!$C$1:$C$1001,MATCH(B863,Detail!$G$1:$G$1001,0),1)</f>
        <v>164</v>
      </c>
      <c r="S863" s="7">
        <f>INDEX(Detail!$D$1:$D$1001,MATCH(B863,Detail!$G$1:$G$1001,0),1)</f>
        <v>63</v>
      </c>
      <c r="T863" s="7" t="str">
        <f>INDEX(Detail!$E$1:$E$1001,MATCH(Main!B863,Detail!$G$1:$G$1001,0))</f>
        <v xml:space="preserve">Jl. Pasteur No. 4
</v>
      </c>
      <c r="U863" s="7" t="str">
        <f>INDEX(Detail!$B$1:$B$1001,MATCH(B863,Detail!$G$1:$G$1001,0),1)</f>
        <v>AB+</v>
      </c>
      <c r="V863" s="7" t="str" cm="1">
        <f t="array" ref="V863">INDEX(Dosen!$B$3:$E$8,MATCH(Main!C863,Dosen!$A$3:$A$8,0),IF(AND(Main!A863&gt;=1,Main!A863&lt;=250),1,IF(AND(Main!A863&gt;=251,Main!A863&lt;=500),2,IF(AND(Main!A863&gt;=501,Main!A863&lt;=750),3,4))))</f>
        <v>Pak Andi</v>
      </c>
      <c r="W863" s="7" t="str">
        <f>_xlfn.XLOOKUP(B863,Detail!$G$1:$G$1001,Detail!$B$1:$B$1001)</f>
        <v>AB+</v>
      </c>
    </row>
    <row r="864" spans="1:23" ht="15.75" x14ac:dyDescent="0.25">
      <c r="A864" s="7">
        <v>180</v>
      </c>
      <c r="B864" s="33" t="str">
        <f t="shared" si="50"/>
        <v>F0180</v>
      </c>
      <c r="C864" s="7" t="s">
        <v>1011</v>
      </c>
      <c r="D864" s="33" t="str">
        <f>VLOOKUP(B864,Detail!$G$1:$H$1001,2,FALSE)</f>
        <v>Bajragin Aryani</v>
      </c>
      <c r="E864" s="7">
        <v>61</v>
      </c>
      <c r="F864" s="7">
        <v>70</v>
      </c>
      <c r="G864" s="57">
        <v>67</v>
      </c>
      <c r="H864" s="7">
        <v>64</v>
      </c>
      <c r="I864" s="7">
        <v>77</v>
      </c>
      <c r="J864" s="7">
        <v>98</v>
      </c>
      <c r="K864" s="7">
        <v>65</v>
      </c>
      <c r="L864" s="56" t="str">
        <f>IFERROR(VLOOKUP(B864,Absen!$A$1:$C$501,2,FALSE),"No")</f>
        <v>No</v>
      </c>
      <c r="M864" s="58">
        <f t="shared" si="48"/>
        <v>6.5</v>
      </c>
      <c r="N864" s="57">
        <f t="shared" si="49"/>
        <v>73.5</v>
      </c>
      <c r="O864" s="7" t="str">
        <f>VLOOKUP(N864,Helper!$B$30:$C$35,2,TRUE)</f>
        <v>B</v>
      </c>
      <c r="P864" s="56">
        <f>INDEX(Detail!$A$1:$A$1001,MATCH(B864,Detail!$G$1:$G$1001,0))</f>
        <v>38162</v>
      </c>
      <c r="Q864" s="33" t="str">
        <f>INDEX(Detail!$F$1:$F$1001,MATCH(Main!B864,Detail!$G$1:$G$1001,0))</f>
        <v>Denpasar</v>
      </c>
      <c r="R864" s="7">
        <f>INDEX(Detail!$C$1:$C$1001,MATCH(B864,Detail!$G$1:$G$1001,0),1)</f>
        <v>169</v>
      </c>
      <c r="S864" s="7">
        <f>INDEX(Detail!$D$1:$D$1001,MATCH(B864,Detail!$G$1:$G$1001,0),1)</f>
        <v>88</v>
      </c>
      <c r="T864" s="7" t="str">
        <f>INDEX(Detail!$E$1:$E$1001,MATCH(Main!B864,Detail!$G$1:$G$1001,0))</f>
        <v>Gg. Pasir Koja No. 72</v>
      </c>
      <c r="U864" s="7" t="str">
        <f>INDEX(Detail!$B$1:$B$1001,MATCH(B864,Detail!$G$1:$G$1001,0),1)</f>
        <v>O-</v>
      </c>
      <c r="V864" s="7" t="str" cm="1">
        <f t="array" ref="V864">INDEX(Dosen!$B$3:$E$8,MATCH(Main!C864,Dosen!$A$3:$A$8,0),IF(AND(Main!A864&gt;=1,Main!A864&lt;=250),1,IF(AND(Main!A864&gt;=251,Main!A864&lt;=500),2,IF(AND(Main!A864&gt;=501,Main!A864&lt;=750),3,4))))</f>
        <v>Pak Andi</v>
      </c>
      <c r="W864" s="7" t="str">
        <f>_xlfn.XLOOKUP(B864,Detail!$G$1:$G$1001,Detail!$B$1:$B$1001)</f>
        <v>O-</v>
      </c>
    </row>
    <row r="865" spans="1:23" ht="15.75" x14ac:dyDescent="0.25">
      <c r="A865" s="7">
        <v>182</v>
      </c>
      <c r="B865" s="33" t="str">
        <f t="shared" si="50"/>
        <v>F0182</v>
      </c>
      <c r="C865" s="7" t="s">
        <v>1011</v>
      </c>
      <c r="D865" s="33" t="str">
        <f>VLOOKUP(B865,Detail!$G$1:$H$1001,2,FALSE)</f>
        <v>Samsul Widodo</v>
      </c>
      <c r="E865" s="7">
        <v>57</v>
      </c>
      <c r="F865" s="7">
        <v>71</v>
      </c>
      <c r="G865" s="57">
        <v>87</v>
      </c>
      <c r="H865" s="7">
        <v>51</v>
      </c>
      <c r="I865" s="7">
        <v>95</v>
      </c>
      <c r="J865" s="7">
        <v>97</v>
      </c>
      <c r="K865" s="7">
        <v>86</v>
      </c>
      <c r="L865" s="56" t="str">
        <f>IFERROR(VLOOKUP(B865,Absen!$A$1:$C$501,2,FALSE),"No")</f>
        <v>No</v>
      </c>
      <c r="M865" s="58">
        <f t="shared" si="48"/>
        <v>8.6</v>
      </c>
      <c r="N865" s="57">
        <f t="shared" si="49"/>
        <v>79.650000000000006</v>
      </c>
      <c r="O865" s="7" t="str">
        <f>VLOOKUP(N865,Helper!$B$30:$C$35,2,TRUE)</f>
        <v>B</v>
      </c>
      <c r="P865" s="56">
        <f>INDEX(Detail!$A$1:$A$1001,MATCH(B865,Detail!$G$1:$G$1001,0))</f>
        <v>37268</v>
      </c>
      <c r="Q865" s="33" t="str">
        <f>INDEX(Detail!$F$1:$F$1001,MATCH(Main!B865,Detail!$G$1:$G$1001,0))</f>
        <v>Tanjungbalai</v>
      </c>
      <c r="R865" s="7">
        <f>INDEX(Detail!$C$1:$C$1001,MATCH(B865,Detail!$G$1:$G$1001,0),1)</f>
        <v>152</v>
      </c>
      <c r="S865" s="7">
        <f>INDEX(Detail!$D$1:$D$1001,MATCH(B865,Detail!$G$1:$G$1001,0),1)</f>
        <v>84</v>
      </c>
      <c r="T865" s="7" t="str">
        <f>INDEX(Detail!$E$1:$E$1001,MATCH(Main!B865,Detail!$G$1:$G$1001,0))</f>
        <v xml:space="preserve">Gg. Erlangga No. 9
</v>
      </c>
      <c r="U865" s="7" t="str">
        <f>INDEX(Detail!$B$1:$B$1001,MATCH(B865,Detail!$G$1:$G$1001,0),1)</f>
        <v>B+</v>
      </c>
      <c r="V865" s="7" t="str" cm="1">
        <f t="array" ref="V865">INDEX(Dosen!$B$3:$E$8,MATCH(Main!C865,Dosen!$A$3:$A$8,0),IF(AND(Main!A865&gt;=1,Main!A865&lt;=250),1,IF(AND(Main!A865&gt;=251,Main!A865&lt;=500),2,IF(AND(Main!A865&gt;=501,Main!A865&lt;=750),3,4))))</f>
        <v>Pak Andi</v>
      </c>
      <c r="W865" s="7" t="str">
        <f>_xlfn.XLOOKUP(B865,Detail!$G$1:$G$1001,Detail!$B$1:$B$1001)</f>
        <v>B+</v>
      </c>
    </row>
    <row r="866" spans="1:23" ht="15.75" x14ac:dyDescent="0.25">
      <c r="A866" s="7">
        <v>184</v>
      </c>
      <c r="B866" s="33" t="str">
        <f t="shared" si="50"/>
        <v>F0184</v>
      </c>
      <c r="C866" s="7" t="s">
        <v>1011</v>
      </c>
      <c r="D866" s="33" t="str">
        <f>VLOOKUP(B866,Detail!$G$1:$H$1001,2,FALSE)</f>
        <v>Taufik Lailasari</v>
      </c>
      <c r="E866" s="7">
        <v>52</v>
      </c>
      <c r="F866" s="7">
        <v>54</v>
      </c>
      <c r="G866" s="57">
        <v>64</v>
      </c>
      <c r="H866" s="7">
        <v>66</v>
      </c>
      <c r="I866" s="7">
        <v>81</v>
      </c>
      <c r="J866" s="7">
        <v>100</v>
      </c>
      <c r="K866" s="7">
        <v>87</v>
      </c>
      <c r="L866" s="56" t="str">
        <f>IFERROR(VLOOKUP(B866,Absen!$A$1:$C$501,2,FALSE),"No")</f>
        <v>No</v>
      </c>
      <c r="M866" s="58">
        <f t="shared" si="48"/>
        <v>8.7000000000000011</v>
      </c>
      <c r="N866" s="57">
        <f t="shared" si="49"/>
        <v>73.125</v>
      </c>
      <c r="O866" s="7" t="str">
        <f>VLOOKUP(N866,Helper!$B$30:$C$35,2,TRUE)</f>
        <v>B</v>
      </c>
      <c r="P866" s="56">
        <f>INDEX(Detail!$A$1:$A$1001,MATCH(B866,Detail!$G$1:$G$1001,0))</f>
        <v>37213</v>
      </c>
      <c r="Q866" s="33" t="str">
        <f>INDEX(Detail!$F$1:$F$1001,MATCH(Main!B866,Detail!$G$1:$G$1001,0))</f>
        <v>Sorong</v>
      </c>
      <c r="R866" s="7">
        <f>INDEX(Detail!$C$1:$C$1001,MATCH(B866,Detail!$G$1:$G$1001,0),1)</f>
        <v>175</v>
      </c>
      <c r="S866" s="7">
        <f>INDEX(Detail!$D$1:$D$1001,MATCH(B866,Detail!$G$1:$G$1001,0),1)</f>
        <v>47</v>
      </c>
      <c r="T866" s="7" t="str">
        <f>INDEX(Detail!$E$1:$E$1001,MATCH(Main!B866,Detail!$G$1:$G$1001,0))</f>
        <v>Jalan Kutisari Selatan No. 76</v>
      </c>
      <c r="U866" s="7" t="str">
        <f>INDEX(Detail!$B$1:$B$1001,MATCH(B866,Detail!$G$1:$G$1001,0),1)</f>
        <v>A-</v>
      </c>
      <c r="V866" s="7" t="str" cm="1">
        <f t="array" ref="V866">INDEX(Dosen!$B$3:$E$8,MATCH(Main!C866,Dosen!$A$3:$A$8,0),IF(AND(Main!A866&gt;=1,Main!A866&lt;=250),1,IF(AND(Main!A866&gt;=251,Main!A866&lt;=500),2,IF(AND(Main!A866&gt;=501,Main!A866&lt;=750),3,4))))</f>
        <v>Pak Andi</v>
      </c>
      <c r="W866" s="7" t="str">
        <f>_xlfn.XLOOKUP(B866,Detail!$G$1:$G$1001,Detail!$B$1:$B$1001)</f>
        <v>A-</v>
      </c>
    </row>
    <row r="867" spans="1:23" ht="15.75" x14ac:dyDescent="0.25">
      <c r="A867" s="7">
        <v>186</v>
      </c>
      <c r="B867" s="33" t="str">
        <f t="shared" si="50"/>
        <v>F0186</v>
      </c>
      <c r="C867" s="7" t="s">
        <v>1011</v>
      </c>
      <c r="D867" s="33" t="str">
        <f>VLOOKUP(B867,Detail!$G$1:$H$1001,2,FALSE)</f>
        <v>Ika Maheswara</v>
      </c>
      <c r="E867" s="7">
        <v>75</v>
      </c>
      <c r="F867" s="7">
        <v>73</v>
      </c>
      <c r="G867" s="57">
        <v>66</v>
      </c>
      <c r="H867" s="7">
        <v>69</v>
      </c>
      <c r="I867" s="7">
        <v>89</v>
      </c>
      <c r="J867" s="7">
        <v>97</v>
      </c>
      <c r="K867" s="7">
        <v>89</v>
      </c>
      <c r="L867" s="56" t="str">
        <f>IFERROR(VLOOKUP(B867,Absen!$A$1:$C$501,2,FALSE),"No")</f>
        <v>No</v>
      </c>
      <c r="M867" s="58">
        <f t="shared" si="48"/>
        <v>8.9</v>
      </c>
      <c r="N867" s="57">
        <f t="shared" si="49"/>
        <v>79.750000000000014</v>
      </c>
      <c r="O867" s="7" t="str">
        <f>VLOOKUP(N867,Helper!$B$30:$C$35,2,TRUE)</f>
        <v>B</v>
      </c>
      <c r="P867" s="56">
        <f>INDEX(Detail!$A$1:$A$1001,MATCH(B867,Detail!$G$1:$G$1001,0))</f>
        <v>38188</v>
      </c>
      <c r="Q867" s="33" t="str">
        <f>INDEX(Detail!$F$1:$F$1001,MATCH(Main!B867,Detail!$G$1:$G$1001,0))</f>
        <v>Kota Administrasi Jakarta Utara</v>
      </c>
      <c r="R867" s="7">
        <f>INDEX(Detail!$C$1:$C$1001,MATCH(B867,Detail!$G$1:$G$1001,0),1)</f>
        <v>158</v>
      </c>
      <c r="S867" s="7">
        <f>INDEX(Detail!$D$1:$D$1001,MATCH(B867,Detail!$G$1:$G$1001,0),1)</f>
        <v>91</v>
      </c>
      <c r="T867" s="7" t="str">
        <f>INDEX(Detail!$E$1:$E$1001,MATCH(Main!B867,Detail!$G$1:$G$1001,0))</f>
        <v>Jl. Pasteur No. 87</v>
      </c>
      <c r="U867" s="7" t="str">
        <f>INDEX(Detail!$B$1:$B$1001,MATCH(B867,Detail!$G$1:$G$1001,0),1)</f>
        <v>AB-</v>
      </c>
      <c r="V867" s="7" t="str" cm="1">
        <f t="array" ref="V867">INDEX(Dosen!$B$3:$E$8,MATCH(Main!C867,Dosen!$A$3:$A$8,0),IF(AND(Main!A867&gt;=1,Main!A867&lt;=250),1,IF(AND(Main!A867&gt;=251,Main!A867&lt;=500),2,IF(AND(Main!A867&gt;=501,Main!A867&lt;=750),3,4))))</f>
        <v>Pak Andi</v>
      </c>
      <c r="W867" s="7" t="str">
        <f>_xlfn.XLOOKUP(B867,Detail!$G$1:$G$1001,Detail!$B$1:$B$1001)</f>
        <v>AB-</v>
      </c>
    </row>
    <row r="868" spans="1:23" ht="15.75" x14ac:dyDescent="0.25">
      <c r="A868" s="7">
        <v>189</v>
      </c>
      <c r="B868" s="33" t="str">
        <f t="shared" si="50"/>
        <v>F0189</v>
      </c>
      <c r="C868" s="7" t="s">
        <v>1011</v>
      </c>
      <c r="D868" s="33" t="str">
        <f>VLOOKUP(B868,Detail!$G$1:$H$1001,2,FALSE)</f>
        <v>Bahuwirya Halim</v>
      </c>
      <c r="E868" s="7">
        <v>79</v>
      </c>
      <c r="F868" s="7">
        <v>44</v>
      </c>
      <c r="G868" s="57">
        <v>94</v>
      </c>
      <c r="H868" s="7">
        <v>64</v>
      </c>
      <c r="I868" s="7">
        <v>62</v>
      </c>
      <c r="J868" s="7">
        <v>75</v>
      </c>
      <c r="K868" s="7">
        <v>100</v>
      </c>
      <c r="L868" s="56" t="str">
        <f>IFERROR(VLOOKUP(B868,Absen!$A$1:$C$501,2,FALSE),"No")</f>
        <v>No</v>
      </c>
      <c r="M868" s="58">
        <f t="shared" si="48"/>
        <v>10</v>
      </c>
      <c r="N868" s="57">
        <f t="shared" si="49"/>
        <v>74.924999999999997</v>
      </c>
      <c r="O868" s="7" t="str">
        <f>VLOOKUP(N868,Helper!$B$30:$C$35,2,TRUE)</f>
        <v>B</v>
      </c>
      <c r="P868" s="56">
        <f>INDEX(Detail!$A$1:$A$1001,MATCH(B868,Detail!$G$1:$G$1001,0))</f>
        <v>37881</v>
      </c>
      <c r="Q868" s="33" t="str">
        <f>INDEX(Detail!$F$1:$F$1001,MATCH(Main!B868,Detail!$G$1:$G$1001,0))</f>
        <v>Madiun</v>
      </c>
      <c r="R868" s="7">
        <f>INDEX(Detail!$C$1:$C$1001,MATCH(B868,Detail!$G$1:$G$1001,0),1)</f>
        <v>157</v>
      </c>
      <c r="S868" s="7">
        <f>INDEX(Detail!$D$1:$D$1001,MATCH(B868,Detail!$G$1:$G$1001,0),1)</f>
        <v>95</v>
      </c>
      <c r="T868" s="7" t="str">
        <f>INDEX(Detail!$E$1:$E$1001,MATCH(Main!B868,Detail!$G$1:$G$1001,0))</f>
        <v>Jalan Veteran No. 11</v>
      </c>
      <c r="U868" s="7" t="str">
        <f>INDEX(Detail!$B$1:$B$1001,MATCH(B868,Detail!$G$1:$G$1001,0),1)</f>
        <v>B-</v>
      </c>
      <c r="V868" s="7" t="str" cm="1">
        <f t="array" ref="V868">INDEX(Dosen!$B$3:$E$8,MATCH(Main!C868,Dosen!$A$3:$A$8,0),IF(AND(Main!A868&gt;=1,Main!A868&lt;=250),1,IF(AND(Main!A868&gt;=251,Main!A868&lt;=500),2,IF(AND(Main!A868&gt;=501,Main!A868&lt;=750),3,4))))</f>
        <v>Pak Andi</v>
      </c>
      <c r="W868" s="7" t="str">
        <f>_xlfn.XLOOKUP(B868,Detail!$G$1:$G$1001,Detail!$B$1:$B$1001)</f>
        <v>B-</v>
      </c>
    </row>
    <row r="869" spans="1:23" ht="15.75" x14ac:dyDescent="0.25">
      <c r="A869" s="7">
        <v>195</v>
      </c>
      <c r="B869" s="33" t="str">
        <f t="shared" si="50"/>
        <v>F0195</v>
      </c>
      <c r="C869" s="7" t="s">
        <v>1011</v>
      </c>
      <c r="D869" s="33" t="str">
        <f>VLOOKUP(B869,Detail!$G$1:$H$1001,2,FALSE)</f>
        <v>Prabawa Pratiwi</v>
      </c>
      <c r="E869" s="7">
        <v>81</v>
      </c>
      <c r="F869" s="7">
        <v>57</v>
      </c>
      <c r="G869" s="57">
        <v>79</v>
      </c>
      <c r="H869" s="7">
        <v>53</v>
      </c>
      <c r="I869" s="7">
        <v>83</v>
      </c>
      <c r="J869" s="7">
        <v>59</v>
      </c>
      <c r="K869" s="7">
        <v>64</v>
      </c>
      <c r="L869" s="56">
        <f>IFERROR(VLOOKUP(B869,Absen!$A$1:$C$501,2,FALSE),"No")</f>
        <v>44775</v>
      </c>
      <c r="M869" s="58">
        <f t="shared" si="48"/>
        <v>5.4</v>
      </c>
      <c r="N869" s="57">
        <f t="shared" si="49"/>
        <v>67.25</v>
      </c>
      <c r="O869" s="7" t="str">
        <f>VLOOKUP(N869,Helper!$B$30:$C$35,2,TRUE)</f>
        <v>C</v>
      </c>
      <c r="P869" s="56">
        <f>INDEX(Detail!$A$1:$A$1001,MATCH(B869,Detail!$G$1:$G$1001,0))</f>
        <v>37135</v>
      </c>
      <c r="Q869" s="33" t="str">
        <f>INDEX(Detail!$F$1:$F$1001,MATCH(Main!B869,Detail!$G$1:$G$1001,0))</f>
        <v>Bekasi</v>
      </c>
      <c r="R869" s="7">
        <f>INDEX(Detail!$C$1:$C$1001,MATCH(B869,Detail!$G$1:$G$1001,0),1)</f>
        <v>180</v>
      </c>
      <c r="S869" s="7">
        <f>INDEX(Detail!$D$1:$D$1001,MATCH(B869,Detail!$G$1:$G$1001,0),1)</f>
        <v>90</v>
      </c>
      <c r="T869" s="7" t="str">
        <f>INDEX(Detail!$E$1:$E$1001,MATCH(Main!B869,Detail!$G$1:$G$1001,0))</f>
        <v>Gang Tebet Barat Dalam No. 45</v>
      </c>
      <c r="U869" s="7" t="str">
        <f>INDEX(Detail!$B$1:$B$1001,MATCH(B869,Detail!$G$1:$G$1001,0),1)</f>
        <v>O+</v>
      </c>
      <c r="V869" s="7" t="str" cm="1">
        <f t="array" ref="V869">INDEX(Dosen!$B$3:$E$8,MATCH(Main!C869,Dosen!$A$3:$A$8,0),IF(AND(Main!A869&gt;=1,Main!A869&lt;=250),1,IF(AND(Main!A869&gt;=251,Main!A869&lt;=500),2,IF(AND(Main!A869&gt;=501,Main!A869&lt;=750),3,4))))</f>
        <v>Pak Andi</v>
      </c>
      <c r="W869" s="7" t="str">
        <f>_xlfn.XLOOKUP(B869,Detail!$G$1:$G$1001,Detail!$B$1:$B$1001)</f>
        <v>O+</v>
      </c>
    </row>
    <row r="870" spans="1:23" ht="15.75" x14ac:dyDescent="0.25">
      <c r="A870" s="7">
        <v>198</v>
      </c>
      <c r="B870" s="33" t="str">
        <f t="shared" ref="B870:B901" si="51">CONCATENATE("F",TEXT(A870,"0000"))</f>
        <v>F0198</v>
      </c>
      <c r="C870" s="7" t="s">
        <v>1011</v>
      </c>
      <c r="D870" s="33" t="str">
        <f>VLOOKUP(B870,Detail!$G$1:$H$1001,2,FALSE)</f>
        <v>Intan Namaga</v>
      </c>
      <c r="E870" s="7">
        <v>87</v>
      </c>
      <c r="F870" s="7">
        <v>41</v>
      </c>
      <c r="G870" s="57">
        <v>77</v>
      </c>
      <c r="H870" s="7">
        <v>53</v>
      </c>
      <c r="I870" s="7">
        <v>81</v>
      </c>
      <c r="J870" s="7">
        <v>99</v>
      </c>
      <c r="K870" s="7">
        <v>96</v>
      </c>
      <c r="L870" s="56" t="str">
        <f>IFERROR(VLOOKUP(B870,Absen!$A$1:$C$501,2,FALSE),"No")</f>
        <v>No</v>
      </c>
      <c r="M870" s="58">
        <f t="shared" si="48"/>
        <v>9.6000000000000014</v>
      </c>
      <c r="N870" s="57">
        <f t="shared" si="49"/>
        <v>77.550000000000011</v>
      </c>
      <c r="O870" s="7" t="str">
        <f>VLOOKUP(N870,Helper!$B$30:$C$35,2,TRUE)</f>
        <v>B</v>
      </c>
      <c r="P870" s="56">
        <f>INDEX(Detail!$A$1:$A$1001,MATCH(B870,Detail!$G$1:$G$1001,0))</f>
        <v>37749</v>
      </c>
      <c r="Q870" s="33" t="str">
        <f>INDEX(Detail!$F$1:$F$1001,MATCH(Main!B870,Detail!$G$1:$G$1001,0))</f>
        <v>Batu</v>
      </c>
      <c r="R870" s="7">
        <f>INDEX(Detail!$C$1:$C$1001,MATCH(B870,Detail!$G$1:$G$1001,0),1)</f>
        <v>161</v>
      </c>
      <c r="S870" s="7">
        <f>INDEX(Detail!$D$1:$D$1001,MATCH(B870,Detail!$G$1:$G$1001,0),1)</f>
        <v>81</v>
      </c>
      <c r="T870" s="7" t="str">
        <f>INDEX(Detail!$E$1:$E$1001,MATCH(Main!B870,Detail!$G$1:$G$1001,0))</f>
        <v xml:space="preserve">Jl. Pelajar Pejuang No. 7
</v>
      </c>
      <c r="U870" s="7" t="str">
        <f>INDEX(Detail!$B$1:$B$1001,MATCH(B870,Detail!$G$1:$G$1001,0),1)</f>
        <v>A-</v>
      </c>
      <c r="V870" s="7" t="str" cm="1">
        <f t="array" ref="V870">INDEX(Dosen!$B$3:$E$8,MATCH(Main!C870,Dosen!$A$3:$A$8,0),IF(AND(Main!A870&gt;=1,Main!A870&lt;=250),1,IF(AND(Main!A870&gt;=251,Main!A870&lt;=500),2,IF(AND(Main!A870&gt;=501,Main!A870&lt;=750),3,4))))</f>
        <v>Pak Andi</v>
      </c>
      <c r="W870" s="7" t="str">
        <f>_xlfn.XLOOKUP(B870,Detail!$G$1:$G$1001,Detail!$B$1:$B$1001)</f>
        <v>A-</v>
      </c>
    </row>
    <row r="871" spans="1:23" ht="15.75" x14ac:dyDescent="0.25">
      <c r="A871" s="7">
        <v>204</v>
      </c>
      <c r="B871" s="33" t="str">
        <f t="shared" si="51"/>
        <v>F0204</v>
      </c>
      <c r="C871" s="7" t="s">
        <v>1011</v>
      </c>
      <c r="D871" s="33" t="str">
        <f>VLOOKUP(B871,Detail!$G$1:$H$1001,2,FALSE)</f>
        <v>Ade Mustofa</v>
      </c>
      <c r="E871" s="7">
        <v>93</v>
      </c>
      <c r="F871" s="7">
        <v>55</v>
      </c>
      <c r="G871" s="57">
        <v>69</v>
      </c>
      <c r="H871" s="7">
        <v>57</v>
      </c>
      <c r="I871" s="7">
        <v>62</v>
      </c>
      <c r="J871" s="7">
        <v>71</v>
      </c>
      <c r="K871" s="7">
        <v>100</v>
      </c>
      <c r="L871" s="56">
        <f>IFERROR(VLOOKUP(B871,Absen!$A$1:$C$501,2,FALSE),"No")</f>
        <v>44800</v>
      </c>
      <c r="M871" s="58">
        <f t="shared" si="48"/>
        <v>9</v>
      </c>
      <c r="N871" s="57">
        <f t="shared" si="49"/>
        <v>70.375</v>
      </c>
      <c r="O871" s="7" t="str">
        <f>VLOOKUP(N871,Helper!$B$30:$C$35,2,TRUE)</f>
        <v>B</v>
      </c>
      <c r="P871" s="56">
        <f>INDEX(Detail!$A$1:$A$1001,MATCH(B871,Detail!$G$1:$G$1001,0))</f>
        <v>37439</v>
      </c>
      <c r="Q871" s="33" t="str">
        <f>INDEX(Detail!$F$1:$F$1001,MATCH(Main!B871,Detail!$G$1:$G$1001,0))</f>
        <v>Pangkalpinang</v>
      </c>
      <c r="R871" s="7">
        <f>INDEX(Detail!$C$1:$C$1001,MATCH(B871,Detail!$G$1:$G$1001,0),1)</f>
        <v>174</v>
      </c>
      <c r="S871" s="7">
        <f>INDEX(Detail!$D$1:$D$1001,MATCH(B871,Detail!$G$1:$G$1001,0),1)</f>
        <v>66</v>
      </c>
      <c r="T871" s="7" t="str">
        <f>INDEX(Detail!$E$1:$E$1001,MATCH(Main!B871,Detail!$G$1:$G$1001,0))</f>
        <v>Gang Kiaracondong No. 44</v>
      </c>
      <c r="U871" s="7" t="str">
        <f>INDEX(Detail!$B$1:$B$1001,MATCH(B871,Detail!$G$1:$G$1001,0),1)</f>
        <v>AB+</v>
      </c>
      <c r="V871" s="7" t="str" cm="1">
        <f t="array" ref="V871">INDEX(Dosen!$B$3:$E$8,MATCH(Main!C871,Dosen!$A$3:$A$8,0),IF(AND(Main!A871&gt;=1,Main!A871&lt;=250),1,IF(AND(Main!A871&gt;=251,Main!A871&lt;=500),2,IF(AND(Main!A871&gt;=501,Main!A871&lt;=750),3,4))))</f>
        <v>Pak Andi</v>
      </c>
      <c r="W871" s="7" t="str">
        <f>_xlfn.XLOOKUP(B871,Detail!$G$1:$G$1001,Detail!$B$1:$B$1001)</f>
        <v>AB+</v>
      </c>
    </row>
    <row r="872" spans="1:23" ht="15.75" x14ac:dyDescent="0.25">
      <c r="A872" s="7">
        <v>210</v>
      </c>
      <c r="B872" s="33" t="str">
        <f t="shared" si="51"/>
        <v>F0210</v>
      </c>
      <c r="C872" s="7" t="s">
        <v>1011</v>
      </c>
      <c r="D872" s="33" t="str">
        <f>VLOOKUP(B872,Detail!$G$1:$H$1001,2,FALSE)</f>
        <v>Rosman Maryadi</v>
      </c>
      <c r="E872" s="7">
        <v>65</v>
      </c>
      <c r="F872" s="7">
        <v>45</v>
      </c>
      <c r="G872" s="57">
        <v>34</v>
      </c>
      <c r="H872" s="7">
        <v>75</v>
      </c>
      <c r="I872" s="7">
        <v>93</v>
      </c>
      <c r="J872" s="7">
        <v>55</v>
      </c>
      <c r="K872" s="7">
        <v>60</v>
      </c>
      <c r="L872" s="56" t="str">
        <f>IFERROR(VLOOKUP(B872,Absen!$A$1:$C$501,2,FALSE),"No")</f>
        <v>No</v>
      </c>
      <c r="M872" s="58">
        <f t="shared" si="48"/>
        <v>6</v>
      </c>
      <c r="N872" s="57">
        <f t="shared" si="49"/>
        <v>58.55</v>
      </c>
      <c r="O872" s="7" t="str">
        <f>VLOOKUP(N872,Helper!$B$30:$C$35,2,TRUE)</f>
        <v>D</v>
      </c>
      <c r="P872" s="56">
        <f>INDEX(Detail!$A$1:$A$1001,MATCH(B872,Detail!$G$1:$G$1001,0))</f>
        <v>37728</v>
      </c>
      <c r="Q872" s="33" t="str">
        <f>INDEX(Detail!$F$1:$F$1001,MATCH(Main!B872,Detail!$G$1:$G$1001,0))</f>
        <v>Samarinda</v>
      </c>
      <c r="R872" s="7">
        <f>INDEX(Detail!$C$1:$C$1001,MATCH(B872,Detail!$G$1:$G$1001,0),1)</f>
        <v>172</v>
      </c>
      <c r="S872" s="7">
        <f>INDEX(Detail!$D$1:$D$1001,MATCH(B872,Detail!$G$1:$G$1001,0),1)</f>
        <v>78</v>
      </c>
      <c r="T872" s="7" t="str">
        <f>INDEX(Detail!$E$1:$E$1001,MATCH(Main!B872,Detail!$G$1:$G$1001,0))</f>
        <v xml:space="preserve">Gang BKR No. 6
</v>
      </c>
      <c r="U872" s="7" t="str">
        <f>INDEX(Detail!$B$1:$B$1001,MATCH(B872,Detail!$G$1:$G$1001,0),1)</f>
        <v>O+</v>
      </c>
      <c r="V872" s="7" t="str" cm="1">
        <f t="array" ref="V872">INDEX(Dosen!$B$3:$E$8,MATCH(Main!C872,Dosen!$A$3:$A$8,0),IF(AND(Main!A872&gt;=1,Main!A872&lt;=250),1,IF(AND(Main!A872&gt;=251,Main!A872&lt;=500),2,IF(AND(Main!A872&gt;=501,Main!A872&lt;=750),3,4))))</f>
        <v>Pak Andi</v>
      </c>
      <c r="W872" s="7" t="str">
        <f>_xlfn.XLOOKUP(B872,Detail!$G$1:$G$1001,Detail!$B$1:$B$1001)</f>
        <v>O+</v>
      </c>
    </row>
    <row r="873" spans="1:23" ht="15.75" x14ac:dyDescent="0.25">
      <c r="A873" s="7">
        <v>211</v>
      </c>
      <c r="B873" s="33" t="str">
        <f t="shared" si="51"/>
        <v>F0211</v>
      </c>
      <c r="C873" s="7" t="s">
        <v>1011</v>
      </c>
      <c r="D873" s="33" t="str">
        <f>VLOOKUP(B873,Detail!$G$1:$H$1001,2,FALSE)</f>
        <v>Hasta Suwarno</v>
      </c>
      <c r="E873" s="7">
        <v>94</v>
      </c>
      <c r="F873" s="7">
        <v>57</v>
      </c>
      <c r="G873" s="57">
        <v>56</v>
      </c>
      <c r="H873" s="7">
        <v>56</v>
      </c>
      <c r="I873" s="7">
        <v>82</v>
      </c>
      <c r="J873" s="7">
        <v>46</v>
      </c>
      <c r="K873" s="7">
        <v>85</v>
      </c>
      <c r="L873" s="56">
        <f>IFERROR(VLOOKUP(B873,Absen!$A$1:$C$501,2,FALSE),"No")</f>
        <v>44885</v>
      </c>
      <c r="M873" s="58">
        <f t="shared" si="48"/>
        <v>7.5</v>
      </c>
      <c r="N873" s="57">
        <f t="shared" si="49"/>
        <v>64.025000000000006</v>
      </c>
      <c r="O873" s="7" t="str">
        <f>VLOOKUP(N873,Helper!$B$30:$C$35,2,TRUE)</f>
        <v>C</v>
      </c>
      <c r="P873" s="56">
        <f>INDEX(Detail!$A$1:$A$1001,MATCH(B873,Detail!$G$1:$G$1001,0))</f>
        <v>37941</v>
      </c>
      <c r="Q873" s="33" t="str">
        <f>INDEX(Detail!$F$1:$F$1001,MATCH(Main!B873,Detail!$G$1:$G$1001,0))</f>
        <v>Yogyakarta</v>
      </c>
      <c r="R873" s="7">
        <f>INDEX(Detail!$C$1:$C$1001,MATCH(B873,Detail!$G$1:$G$1001,0),1)</f>
        <v>162</v>
      </c>
      <c r="S873" s="7">
        <f>INDEX(Detail!$D$1:$D$1001,MATCH(B873,Detail!$G$1:$G$1001,0),1)</f>
        <v>88</v>
      </c>
      <c r="T873" s="7" t="str">
        <f>INDEX(Detail!$E$1:$E$1001,MATCH(Main!B873,Detail!$G$1:$G$1001,0))</f>
        <v xml:space="preserve">Gang Rajawali Timur No. 3
</v>
      </c>
      <c r="U873" s="7" t="str">
        <f>INDEX(Detail!$B$1:$B$1001,MATCH(B873,Detail!$G$1:$G$1001,0),1)</f>
        <v>A+</v>
      </c>
      <c r="V873" s="7" t="str" cm="1">
        <f t="array" ref="V873">INDEX(Dosen!$B$3:$E$8,MATCH(Main!C873,Dosen!$A$3:$A$8,0),IF(AND(Main!A873&gt;=1,Main!A873&lt;=250),1,IF(AND(Main!A873&gt;=251,Main!A873&lt;=500),2,IF(AND(Main!A873&gt;=501,Main!A873&lt;=750),3,4))))</f>
        <v>Pak Andi</v>
      </c>
      <c r="W873" s="7" t="str">
        <f>_xlfn.XLOOKUP(B873,Detail!$G$1:$G$1001,Detail!$B$1:$B$1001)</f>
        <v>A+</v>
      </c>
    </row>
    <row r="874" spans="1:23" ht="15.75" x14ac:dyDescent="0.25">
      <c r="A874" s="7">
        <v>212</v>
      </c>
      <c r="B874" s="33" t="str">
        <f t="shared" si="51"/>
        <v>F0212</v>
      </c>
      <c r="C874" s="7" t="s">
        <v>1011</v>
      </c>
      <c r="D874" s="33" t="str">
        <f>VLOOKUP(B874,Detail!$G$1:$H$1001,2,FALSE)</f>
        <v>Yance Palastri</v>
      </c>
      <c r="E874" s="7">
        <v>91</v>
      </c>
      <c r="F874" s="7">
        <v>54</v>
      </c>
      <c r="G874" s="57">
        <v>65</v>
      </c>
      <c r="H874" s="7">
        <v>71</v>
      </c>
      <c r="I874" s="7">
        <v>84</v>
      </c>
      <c r="J874" s="7">
        <v>60</v>
      </c>
      <c r="K874" s="7">
        <v>71</v>
      </c>
      <c r="L874" s="56">
        <f>IFERROR(VLOOKUP(B874,Absen!$A$1:$C$501,2,FALSE),"No")</f>
        <v>44903</v>
      </c>
      <c r="M874" s="58">
        <f t="shared" si="48"/>
        <v>6.1000000000000005</v>
      </c>
      <c r="N874" s="57">
        <f t="shared" si="49"/>
        <v>68.599999999999994</v>
      </c>
      <c r="O874" s="7" t="str">
        <f>VLOOKUP(N874,Helper!$B$30:$C$35,2,TRUE)</f>
        <v>C</v>
      </c>
      <c r="P874" s="56">
        <f>INDEX(Detail!$A$1:$A$1001,MATCH(B874,Detail!$G$1:$G$1001,0))</f>
        <v>38435</v>
      </c>
      <c r="Q874" s="33" t="str">
        <f>INDEX(Detail!$F$1:$F$1001,MATCH(Main!B874,Detail!$G$1:$G$1001,0))</f>
        <v>Lhokseumawe</v>
      </c>
      <c r="R874" s="7">
        <f>INDEX(Detail!$C$1:$C$1001,MATCH(B874,Detail!$G$1:$G$1001,0),1)</f>
        <v>165</v>
      </c>
      <c r="S874" s="7">
        <f>INDEX(Detail!$D$1:$D$1001,MATCH(B874,Detail!$G$1:$G$1001,0),1)</f>
        <v>64</v>
      </c>
      <c r="T874" s="7" t="str">
        <f>INDEX(Detail!$E$1:$E$1001,MATCH(Main!B874,Detail!$G$1:$G$1001,0))</f>
        <v xml:space="preserve">Jalan Gedebage Selatan No. 9
</v>
      </c>
      <c r="U874" s="7" t="str">
        <f>INDEX(Detail!$B$1:$B$1001,MATCH(B874,Detail!$G$1:$G$1001,0),1)</f>
        <v>A-</v>
      </c>
      <c r="V874" s="7" t="str" cm="1">
        <f t="array" ref="V874">INDEX(Dosen!$B$3:$E$8,MATCH(Main!C874,Dosen!$A$3:$A$8,0),IF(AND(Main!A874&gt;=1,Main!A874&lt;=250),1,IF(AND(Main!A874&gt;=251,Main!A874&lt;=500),2,IF(AND(Main!A874&gt;=501,Main!A874&lt;=750),3,4))))</f>
        <v>Pak Andi</v>
      </c>
      <c r="W874" s="7" t="str">
        <f>_xlfn.XLOOKUP(B874,Detail!$G$1:$G$1001,Detail!$B$1:$B$1001)</f>
        <v>A-</v>
      </c>
    </row>
    <row r="875" spans="1:23" ht="15.75" x14ac:dyDescent="0.25">
      <c r="A875" s="7">
        <v>215</v>
      </c>
      <c r="B875" s="33" t="str">
        <f t="shared" si="51"/>
        <v>F0215</v>
      </c>
      <c r="C875" s="7" t="s">
        <v>1011</v>
      </c>
      <c r="D875" s="33" t="str">
        <f>VLOOKUP(B875,Detail!$G$1:$H$1001,2,FALSE)</f>
        <v>Diah Wahyudin</v>
      </c>
      <c r="E875" s="7">
        <v>88</v>
      </c>
      <c r="F875" s="7">
        <v>45</v>
      </c>
      <c r="G875" s="57">
        <v>38</v>
      </c>
      <c r="H875" s="7">
        <v>60</v>
      </c>
      <c r="I875" s="7">
        <v>91</v>
      </c>
      <c r="J875" s="7">
        <v>54</v>
      </c>
      <c r="K875" s="7">
        <v>62</v>
      </c>
      <c r="L875" s="56">
        <f>IFERROR(VLOOKUP(B875,Absen!$A$1:$C$501,2,FALSE),"No")</f>
        <v>44876</v>
      </c>
      <c r="M875" s="58">
        <f t="shared" si="48"/>
        <v>5.2</v>
      </c>
      <c r="N875" s="57">
        <f t="shared" si="49"/>
        <v>59.100000000000009</v>
      </c>
      <c r="O875" s="7" t="str">
        <f>VLOOKUP(N875,Helper!$B$30:$C$35,2,TRUE)</f>
        <v>D</v>
      </c>
      <c r="P875" s="56">
        <f>INDEX(Detail!$A$1:$A$1001,MATCH(B875,Detail!$G$1:$G$1001,0))</f>
        <v>37050</v>
      </c>
      <c r="Q875" s="33" t="str">
        <f>INDEX(Detail!$F$1:$F$1001,MATCH(Main!B875,Detail!$G$1:$G$1001,0))</f>
        <v>Tarakan</v>
      </c>
      <c r="R875" s="7">
        <f>INDEX(Detail!$C$1:$C$1001,MATCH(B875,Detail!$G$1:$G$1001,0),1)</f>
        <v>179</v>
      </c>
      <c r="S875" s="7">
        <f>INDEX(Detail!$D$1:$D$1001,MATCH(B875,Detail!$G$1:$G$1001,0),1)</f>
        <v>83</v>
      </c>
      <c r="T875" s="7" t="str">
        <f>INDEX(Detail!$E$1:$E$1001,MATCH(Main!B875,Detail!$G$1:$G$1001,0))</f>
        <v xml:space="preserve">Jalan Suryakencana No. 7
</v>
      </c>
      <c r="U875" s="7" t="str">
        <f>INDEX(Detail!$B$1:$B$1001,MATCH(B875,Detail!$G$1:$G$1001,0),1)</f>
        <v>B-</v>
      </c>
      <c r="V875" s="7" t="str" cm="1">
        <f t="array" ref="V875">INDEX(Dosen!$B$3:$E$8,MATCH(Main!C875,Dosen!$A$3:$A$8,0),IF(AND(Main!A875&gt;=1,Main!A875&lt;=250),1,IF(AND(Main!A875&gt;=251,Main!A875&lt;=500),2,IF(AND(Main!A875&gt;=501,Main!A875&lt;=750),3,4))))</f>
        <v>Pak Andi</v>
      </c>
      <c r="W875" s="7" t="str">
        <f>_xlfn.XLOOKUP(B875,Detail!$G$1:$G$1001,Detail!$B$1:$B$1001)</f>
        <v>B-</v>
      </c>
    </row>
    <row r="876" spans="1:23" ht="15.75" x14ac:dyDescent="0.25">
      <c r="A876" s="7">
        <v>219</v>
      </c>
      <c r="B876" s="33" t="str">
        <f t="shared" si="51"/>
        <v>F0219</v>
      </c>
      <c r="C876" s="7" t="s">
        <v>1011</v>
      </c>
      <c r="D876" s="33" t="str">
        <f>VLOOKUP(B876,Detail!$G$1:$H$1001,2,FALSE)</f>
        <v>Luis Sirait</v>
      </c>
      <c r="E876" s="7">
        <v>84</v>
      </c>
      <c r="F876" s="7">
        <v>58</v>
      </c>
      <c r="G876" s="57">
        <v>89</v>
      </c>
      <c r="H876" s="7">
        <v>64</v>
      </c>
      <c r="I876" s="7">
        <v>56</v>
      </c>
      <c r="J876" s="7">
        <v>94</v>
      </c>
      <c r="K876" s="7">
        <v>73</v>
      </c>
      <c r="L876" s="56" t="str">
        <f>IFERROR(VLOOKUP(B876,Absen!$A$1:$C$501,2,FALSE),"No")</f>
        <v>No</v>
      </c>
      <c r="M876" s="58">
        <f t="shared" si="48"/>
        <v>7.3000000000000007</v>
      </c>
      <c r="N876" s="57">
        <f t="shared" si="49"/>
        <v>76.649999999999991</v>
      </c>
      <c r="O876" s="7" t="str">
        <f>VLOOKUP(N876,Helper!$B$30:$C$35,2,TRUE)</f>
        <v>B</v>
      </c>
      <c r="P876" s="56">
        <f>INDEX(Detail!$A$1:$A$1001,MATCH(B876,Detail!$G$1:$G$1001,0))</f>
        <v>38185</v>
      </c>
      <c r="Q876" s="33" t="str">
        <f>INDEX(Detail!$F$1:$F$1001,MATCH(Main!B876,Detail!$G$1:$G$1001,0))</f>
        <v>Semarang</v>
      </c>
      <c r="R876" s="7">
        <f>INDEX(Detail!$C$1:$C$1001,MATCH(B876,Detail!$G$1:$G$1001,0),1)</f>
        <v>171</v>
      </c>
      <c r="S876" s="7">
        <f>INDEX(Detail!$D$1:$D$1001,MATCH(B876,Detail!$G$1:$G$1001,0),1)</f>
        <v>92</v>
      </c>
      <c r="T876" s="7" t="str">
        <f>INDEX(Detail!$E$1:$E$1001,MATCH(Main!B876,Detail!$G$1:$G$1001,0))</f>
        <v>Gg. Cikutra Barat No. 75</v>
      </c>
      <c r="U876" s="7" t="str">
        <f>INDEX(Detail!$B$1:$B$1001,MATCH(B876,Detail!$G$1:$G$1001,0),1)</f>
        <v>A-</v>
      </c>
      <c r="V876" s="7" t="str" cm="1">
        <f t="array" ref="V876">INDEX(Dosen!$B$3:$E$8,MATCH(Main!C876,Dosen!$A$3:$A$8,0),IF(AND(Main!A876&gt;=1,Main!A876&lt;=250),1,IF(AND(Main!A876&gt;=251,Main!A876&lt;=500),2,IF(AND(Main!A876&gt;=501,Main!A876&lt;=750),3,4))))</f>
        <v>Pak Andi</v>
      </c>
      <c r="W876" s="7" t="str">
        <f>_xlfn.XLOOKUP(B876,Detail!$G$1:$G$1001,Detail!$B$1:$B$1001)</f>
        <v>A-</v>
      </c>
    </row>
    <row r="877" spans="1:23" ht="15.75" x14ac:dyDescent="0.25">
      <c r="A877" s="7">
        <v>221</v>
      </c>
      <c r="B877" s="33" t="str">
        <f t="shared" si="51"/>
        <v>F0221</v>
      </c>
      <c r="C877" s="7" t="s">
        <v>1011</v>
      </c>
      <c r="D877" s="33" t="str">
        <f>VLOOKUP(B877,Detail!$G$1:$H$1001,2,FALSE)</f>
        <v>Kenari Saefullah</v>
      </c>
      <c r="E877" s="7">
        <v>72</v>
      </c>
      <c r="F877" s="7">
        <v>52</v>
      </c>
      <c r="G877" s="57">
        <v>56</v>
      </c>
      <c r="H877" s="7">
        <v>70</v>
      </c>
      <c r="I877" s="7">
        <v>50</v>
      </c>
      <c r="J877" s="7">
        <v>56</v>
      </c>
      <c r="K877" s="7">
        <v>94</v>
      </c>
      <c r="L877" s="56">
        <f>IFERROR(VLOOKUP(B877,Absen!$A$1:$C$501,2,FALSE),"No")</f>
        <v>44873</v>
      </c>
      <c r="M877" s="58">
        <f t="shared" si="48"/>
        <v>8.4</v>
      </c>
      <c r="N877" s="57">
        <f t="shared" si="49"/>
        <v>61.300000000000004</v>
      </c>
      <c r="O877" s="7" t="str">
        <f>VLOOKUP(N877,Helper!$B$30:$C$35,2,TRUE)</f>
        <v>C</v>
      </c>
      <c r="P877" s="56">
        <f>INDEX(Detail!$A$1:$A$1001,MATCH(B877,Detail!$G$1:$G$1001,0))</f>
        <v>38420</v>
      </c>
      <c r="Q877" s="33" t="str">
        <f>INDEX(Detail!$F$1:$F$1001,MATCH(Main!B877,Detail!$G$1:$G$1001,0))</f>
        <v>Pasuruan</v>
      </c>
      <c r="R877" s="7">
        <f>INDEX(Detail!$C$1:$C$1001,MATCH(B877,Detail!$G$1:$G$1001,0),1)</f>
        <v>180</v>
      </c>
      <c r="S877" s="7">
        <f>INDEX(Detail!$D$1:$D$1001,MATCH(B877,Detail!$G$1:$G$1001,0),1)</f>
        <v>55</v>
      </c>
      <c r="T877" s="7" t="str">
        <f>INDEX(Detail!$E$1:$E$1001,MATCH(Main!B877,Detail!$G$1:$G$1001,0))</f>
        <v>Jalan Dipenogoro No. 04</v>
      </c>
      <c r="U877" s="7" t="str">
        <f>INDEX(Detail!$B$1:$B$1001,MATCH(B877,Detail!$G$1:$G$1001,0),1)</f>
        <v>A-</v>
      </c>
      <c r="V877" s="7" t="str" cm="1">
        <f t="array" ref="V877">INDEX(Dosen!$B$3:$E$8,MATCH(Main!C877,Dosen!$A$3:$A$8,0),IF(AND(Main!A877&gt;=1,Main!A877&lt;=250),1,IF(AND(Main!A877&gt;=251,Main!A877&lt;=500),2,IF(AND(Main!A877&gt;=501,Main!A877&lt;=750),3,4))))</f>
        <v>Pak Andi</v>
      </c>
      <c r="W877" s="7" t="str">
        <f>_xlfn.XLOOKUP(B877,Detail!$G$1:$G$1001,Detail!$B$1:$B$1001)</f>
        <v>A-</v>
      </c>
    </row>
    <row r="878" spans="1:23" ht="15.75" x14ac:dyDescent="0.25">
      <c r="A878" s="7">
        <v>222</v>
      </c>
      <c r="B878" s="33" t="str">
        <f t="shared" si="51"/>
        <v>F0222</v>
      </c>
      <c r="C878" s="7" t="s">
        <v>1011</v>
      </c>
      <c r="D878" s="33" t="str">
        <f>VLOOKUP(B878,Detail!$G$1:$H$1001,2,FALSE)</f>
        <v>Shania Anggriawan</v>
      </c>
      <c r="E878" s="7">
        <v>57</v>
      </c>
      <c r="F878" s="7">
        <v>65</v>
      </c>
      <c r="G878" s="57">
        <v>66</v>
      </c>
      <c r="H878" s="7">
        <v>59</v>
      </c>
      <c r="I878" s="7">
        <v>77</v>
      </c>
      <c r="J878" s="7">
        <v>77</v>
      </c>
      <c r="K878" s="7">
        <v>75</v>
      </c>
      <c r="L878" s="56">
        <f>IFERROR(VLOOKUP(B878,Absen!$A$1:$C$501,2,FALSE),"No")</f>
        <v>44791</v>
      </c>
      <c r="M878" s="58">
        <f t="shared" si="48"/>
        <v>6.5</v>
      </c>
      <c r="N878" s="57">
        <f t="shared" si="49"/>
        <v>67.349999999999994</v>
      </c>
      <c r="O878" s="7" t="str">
        <f>VLOOKUP(N878,Helper!$B$30:$C$35,2,TRUE)</f>
        <v>C</v>
      </c>
      <c r="P878" s="56">
        <f>INDEX(Detail!$A$1:$A$1001,MATCH(B878,Detail!$G$1:$G$1001,0))</f>
        <v>37295</v>
      </c>
      <c r="Q878" s="33" t="str">
        <f>INDEX(Detail!$F$1:$F$1001,MATCH(Main!B878,Detail!$G$1:$G$1001,0))</f>
        <v>Padangpanjang</v>
      </c>
      <c r="R878" s="7">
        <f>INDEX(Detail!$C$1:$C$1001,MATCH(B878,Detail!$G$1:$G$1001,0),1)</f>
        <v>151</v>
      </c>
      <c r="S878" s="7">
        <f>INDEX(Detail!$D$1:$D$1001,MATCH(B878,Detail!$G$1:$G$1001,0),1)</f>
        <v>65</v>
      </c>
      <c r="T878" s="7" t="str">
        <f>INDEX(Detail!$E$1:$E$1001,MATCH(Main!B878,Detail!$G$1:$G$1001,0))</f>
        <v>Jalan Kapten Muslihat No. 07</v>
      </c>
      <c r="U878" s="7" t="str">
        <f>INDEX(Detail!$B$1:$B$1001,MATCH(B878,Detail!$G$1:$G$1001,0),1)</f>
        <v>A-</v>
      </c>
      <c r="V878" s="7" t="str" cm="1">
        <f t="array" ref="V878">INDEX(Dosen!$B$3:$E$8,MATCH(Main!C878,Dosen!$A$3:$A$8,0),IF(AND(Main!A878&gt;=1,Main!A878&lt;=250),1,IF(AND(Main!A878&gt;=251,Main!A878&lt;=500),2,IF(AND(Main!A878&gt;=501,Main!A878&lt;=750),3,4))))</f>
        <v>Pak Andi</v>
      </c>
      <c r="W878" s="7" t="str">
        <f>_xlfn.XLOOKUP(B878,Detail!$G$1:$G$1001,Detail!$B$1:$B$1001)</f>
        <v>A-</v>
      </c>
    </row>
    <row r="879" spans="1:23" ht="15.75" x14ac:dyDescent="0.25">
      <c r="A879" s="7">
        <v>225</v>
      </c>
      <c r="B879" s="33" t="str">
        <f t="shared" si="51"/>
        <v>F0225</v>
      </c>
      <c r="C879" s="7" t="s">
        <v>1011</v>
      </c>
      <c r="D879" s="33" t="str">
        <f>VLOOKUP(B879,Detail!$G$1:$H$1001,2,FALSE)</f>
        <v>Lutfan Permata</v>
      </c>
      <c r="E879" s="7">
        <v>61</v>
      </c>
      <c r="F879" s="7">
        <v>45</v>
      </c>
      <c r="G879" s="57">
        <v>30</v>
      </c>
      <c r="H879" s="7">
        <v>63</v>
      </c>
      <c r="I879" s="7">
        <v>67</v>
      </c>
      <c r="J879" s="7">
        <v>66</v>
      </c>
      <c r="K879" s="7">
        <v>89</v>
      </c>
      <c r="L879" s="56">
        <f>IFERROR(VLOOKUP(B879,Absen!$A$1:$C$501,2,FALSE),"No")</f>
        <v>44786</v>
      </c>
      <c r="M879" s="58">
        <f t="shared" si="48"/>
        <v>7.9</v>
      </c>
      <c r="N879" s="57">
        <f t="shared" si="49"/>
        <v>56.6</v>
      </c>
      <c r="O879" s="7" t="str">
        <f>VLOOKUP(N879,Helper!$B$30:$C$35,2,TRUE)</f>
        <v>D</v>
      </c>
      <c r="P879" s="56">
        <f>INDEX(Detail!$A$1:$A$1001,MATCH(B879,Detail!$G$1:$G$1001,0))</f>
        <v>38270</v>
      </c>
      <c r="Q879" s="33" t="str">
        <f>INDEX(Detail!$F$1:$F$1001,MATCH(Main!B879,Detail!$G$1:$G$1001,0))</f>
        <v>Bontang</v>
      </c>
      <c r="R879" s="7">
        <f>INDEX(Detail!$C$1:$C$1001,MATCH(B879,Detail!$G$1:$G$1001,0),1)</f>
        <v>171</v>
      </c>
      <c r="S879" s="7">
        <f>INDEX(Detail!$D$1:$D$1001,MATCH(B879,Detail!$G$1:$G$1001,0),1)</f>
        <v>76</v>
      </c>
      <c r="T879" s="7" t="str">
        <f>INDEX(Detail!$E$1:$E$1001,MATCH(Main!B879,Detail!$G$1:$G$1001,0))</f>
        <v xml:space="preserve">Jalan Gegerkalong Hilir No. 5
</v>
      </c>
      <c r="U879" s="7" t="str">
        <f>INDEX(Detail!$B$1:$B$1001,MATCH(B879,Detail!$G$1:$G$1001,0),1)</f>
        <v>A+</v>
      </c>
      <c r="V879" s="7" t="str" cm="1">
        <f t="array" ref="V879">INDEX(Dosen!$B$3:$E$8,MATCH(Main!C879,Dosen!$A$3:$A$8,0),IF(AND(Main!A879&gt;=1,Main!A879&lt;=250),1,IF(AND(Main!A879&gt;=251,Main!A879&lt;=500),2,IF(AND(Main!A879&gt;=501,Main!A879&lt;=750),3,4))))</f>
        <v>Pak Andi</v>
      </c>
      <c r="W879" s="7" t="str">
        <f>_xlfn.XLOOKUP(B879,Detail!$G$1:$G$1001,Detail!$B$1:$B$1001)</f>
        <v>A+</v>
      </c>
    </row>
    <row r="880" spans="1:23" ht="15.75" x14ac:dyDescent="0.25">
      <c r="A880" s="7">
        <v>228</v>
      </c>
      <c r="B880" s="33" t="str">
        <f t="shared" si="51"/>
        <v>F0228</v>
      </c>
      <c r="C880" s="7" t="s">
        <v>1011</v>
      </c>
      <c r="D880" s="33" t="str">
        <f>VLOOKUP(B880,Detail!$G$1:$H$1001,2,FALSE)</f>
        <v>Kariman Usamah</v>
      </c>
      <c r="E880" s="7">
        <v>80</v>
      </c>
      <c r="F880" s="7">
        <v>67</v>
      </c>
      <c r="G880" s="57">
        <v>92</v>
      </c>
      <c r="H880" s="7">
        <v>69</v>
      </c>
      <c r="I880" s="7">
        <v>67</v>
      </c>
      <c r="J880" s="7">
        <v>65</v>
      </c>
      <c r="K880" s="7">
        <v>78</v>
      </c>
      <c r="L880" s="56" t="str">
        <f>IFERROR(VLOOKUP(B880,Absen!$A$1:$C$501,2,FALSE),"No")</f>
        <v>No</v>
      </c>
      <c r="M880" s="58">
        <f t="shared" si="48"/>
        <v>7.8000000000000007</v>
      </c>
      <c r="N880" s="57">
        <f t="shared" si="49"/>
        <v>74.575000000000003</v>
      </c>
      <c r="O880" s="7" t="str">
        <f>VLOOKUP(N880,Helper!$B$30:$C$35,2,TRUE)</f>
        <v>B</v>
      </c>
      <c r="P880" s="56">
        <f>INDEX(Detail!$A$1:$A$1001,MATCH(B880,Detail!$G$1:$G$1001,0))</f>
        <v>37443</v>
      </c>
      <c r="Q880" s="33" t="str">
        <f>INDEX(Detail!$F$1:$F$1001,MATCH(Main!B880,Detail!$G$1:$G$1001,0))</f>
        <v>Yogyakarta</v>
      </c>
      <c r="R880" s="7">
        <f>INDEX(Detail!$C$1:$C$1001,MATCH(B880,Detail!$G$1:$G$1001,0),1)</f>
        <v>161</v>
      </c>
      <c r="S880" s="7">
        <f>INDEX(Detail!$D$1:$D$1001,MATCH(B880,Detail!$G$1:$G$1001,0),1)</f>
        <v>74</v>
      </c>
      <c r="T880" s="7" t="str">
        <f>INDEX(Detail!$E$1:$E$1001,MATCH(Main!B880,Detail!$G$1:$G$1001,0))</f>
        <v>Jalan Cikutra Timur No. 22</v>
      </c>
      <c r="U880" s="7" t="str">
        <f>INDEX(Detail!$B$1:$B$1001,MATCH(B880,Detail!$G$1:$G$1001,0),1)</f>
        <v>O-</v>
      </c>
      <c r="V880" s="7" t="str" cm="1">
        <f t="array" ref="V880">INDEX(Dosen!$B$3:$E$8,MATCH(Main!C880,Dosen!$A$3:$A$8,0),IF(AND(Main!A880&gt;=1,Main!A880&lt;=250),1,IF(AND(Main!A880&gt;=251,Main!A880&lt;=500),2,IF(AND(Main!A880&gt;=501,Main!A880&lt;=750),3,4))))</f>
        <v>Pak Andi</v>
      </c>
      <c r="W880" s="7" t="str">
        <f>_xlfn.XLOOKUP(B880,Detail!$G$1:$G$1001,Detail!$B$1:$B$1001)</f>
        <v>O-</v>
      </c>
    </row>
    <row r="881" spans="1:23" ht="15.75" x14ac:dyDescent="0.25">
      <c r="A881" s="7">
        <v>234</v>
      </c>
      <c r="B881" s="33" t="str">
        <f t="shared" si="51"/>
        <v>F0234</v>
      </c>
      <c r="C881" s="7" t="s">
        <v>1011</v>
      </c>
      <c r="D881" s="33" t="str">
        <f>VLOOKUP(B881,Detail!$G$1:$H$1001,2,FALSE)</f>
        <v>Edward Prasetya</v>
      </c>
      <c r="E881" s="7">
        <v>70</v>
      </c>
      <c r="F881" s="7">
        <v>58</v>
      </c>
      <c r="G881" s="57">
        <v>86</v>
      </c>
      <c r="H881" s="7">
        <v>54</v>
      </c>
      <c r="I881" s="7">
        <v>87</v>
      </c>
      <c r="J881" s="7">
        <v>45</v>
      </c>
      <c r="K881" s="7">
        <v>61</v>
      </c>
      <c r="L881" s="56" t="str">
        <f>IFERROR(VLOOKUP(B881,Absen!$A$1:$C$501,2,FALSE),"No")</f>
        <v>No</v>
      </c>
      <c r="M881" s="58">
        <f t="shared" si="48"/>
        <v>6.1000000000000005</v>
      </c>
      <c r="N881" s="57">
        <f t="shared" si="49"/>
        <v>65.924999999999997</v>
      </c>
      <c r="O881" s="7" t="str">
        <f>VLOOKUP(N881,Helper!$B$30:$C$35,2,TRUE)</f>
        <v>C</v>
      </c>
      <c r="P881" s="56">
        <f>INDEX(Detail!$A$1:$A$1001,MATCH(B881,Detail!$G$1:$G$1001,0))</f>
        <v>37118</v>
      </c>
      <c r="Q881" s="33" t="str">
        <f>INDEX(Detail!$F$1:$F$1001,MATCH(Main!B881,Detail!$G$1:$G$1001,0))</f>
        <v>Sungai Penuh</v>
      </c>
      <c r="R881" s="7">
        <f>INDEX(Detail!$C$1:$C$1001,MATCH(B881,Detail!$G$1:$G$1001,0),1)</f>
        <v>169</v>
      </c>
      <c r="S881" s="7">
        <f>INDEX(Detail!$D$1:$D$1001,MATCH(B881,Detail!$G$1:$G$1001,0),1)</f>
        <v>83</v>
      </c>
      <c r="T881" s="7" t="str">
        <f>INDEX(Detail!$E$1:$E$1001,MATCH(Main!B881,Detail!$G$1:$G$1001,0))</f>
        <v xml:space="preserve">Gg. H.J Maemunah No. 3
</v>
      </c>
      <c r="U881" s="7" t="str">
        <f>INDEX(Detail!$B$1:$B$1001,MATCH(B881,Detail!$G$1:$G$1001,0),1)</f>
        <v>B+</v>
      </c>
      <c r="V881" s="7" t="str" cm="1">
        <f t="array" ref="V881">INDEX(Dosen!$B$3:$E$8,MATCH(Main!C881,Dosen!$A$3:$A$8,0),IF(AND(Main!A881&gt;=1,Main!A881&lt;=250),1,IF(AND(Main!A881&gt;=251,Main!A881&lt;=500),2,IF(AND(Main!A881&gt;=501,Main!A881&lt;=750),3,4))))</f>
        <v>Pak Andi</v>
      </c>
      <c r="W881" s="7" t="str">
        <f>_xlfn.XLOOKUP(B881,Detail!$G$1:$G$1001,Detail!$B$1:$B$1001)</f>
        <v>B+</v>
      </c>
    </row>
    <row r="882" spans="1:23" ht="15.75" x14ac:dyDescent="0.25">
      <c r="A882" s="7">
        <v>235</v>
      </c>
      <c r="B882" s="33" t="str">
        <f t="shared" si="51"/>
        <v>F0235</v>
      </c>
      <c r="C882" s="7" t="s">
        <v>1011</v>
      </c>
      <c r="D882" s="33" t="str">
        <f>VLOOKUP(B882,Detail!$G$1:$H$1001,2,FALSE)</f>
        <v>Pranawa Prayoga</v>
      </c>
      <c r="E882" s="7">
        <v>90</v>
      </c>
      <c r="F882" s="7">
        <v>72</v>
      </c>
      <c r="G882" s="57">
        <v>83</v>
      </c>
      <c r="H882" s="7">
        <v>73</v>
      </c>
      <c r="I882" s="7">
        <v>62</v>
      </c>
      <c r="J882" s="7">
        <v>58</v>
      </c>
      <c r="K882" s="7">
        <v>96</v>
      </c>
      <c r="L882" s="56">
        <f>IFERROR(VLOOKUP(B882,Absen!$A$1:$C$501,2,FALSE),"No")</f>
        <v>44775</v>
      </c>
      <c r="M882" s="58">
        <f t="shared" si="48"/>
        <v>8.6</v>
      </c>
      <c r="N882" s="57">
        <f t="shared" si="49"/>
        <v>73.924999999999997</v>
      </c>
      <c r="O882" s="7" t="str">
        <f>VLOOKUP(N882,Helper!$B$30:$C$35,2,TRUE)</f>
        <v>B</v>
      </c>
      <c r="P882" s="56">
        <f>INDEX(Detail!$A$1:$A$1001,MATCH(B882,Detail!$G$1:$G$1001,0))</f>
        <v>38323</v>
      </c>
      <c r="Q882" s="33" t="str">
        <f>INDEX(Detail!$F$1:$F$1001,MATCH(Main!B882,Detail!$G$1:$G$1001,0))</f>
        <v>Probolinggo</v>
      </c>
      <c r="R882" s="7">
        <f>INDEX(Detail!$C$1:$C$1001,MATCH(B882,Detail!$G$1:$G$1001,0),1)</f>
        <v>150</v>
      </c>
      <c r="S882" s="7">
        <f>INDEX(Detail!$D$1:$D$1001,MATCH(B882,Detail!$G$1:$G$1001,0),1)</f>
        <v>70</v>
      </c>
      <c r="T882" s="7" t="str">
        <f>INDEX(Detail!$E$1:$E$1001,MATCH(Main!B882,Detail!$G$1:$G$1001,0))</f>
        <v>Jl. Erlangga No. 90</v>
      </c>
      <c r="U882" s="7" t="str">
        <f>INDEX(Detail!$B$1:$B$1001,MATCH(B882,Detail!$G$1:$G$1001,0),1)</f>
        <v>O+</v>
      </c>
      <c r="V882" s="7" t="str" cm="1">
        <f t="array" ref="V882">INDEX(Dosen!$B$3:$E$8,MATCH(Main!C882,Dosen!$A$3:$A$8,0),IF(AND(Main!A882&gt;=1,Main!A882&lt;=250),1,IF(AND(Main!A882&gt;=251,Main!A882&lt;=500),2,IF(AND(Main!A882&gt;=501,Main!A882&lt;=750),3,4))))</f>
        <v>Pak Andi</v>
      </c>
      <c r="W882" s="7" t="str">
        <f>_xlfn.XLOOKUP(B882,Detail!$G$1:$G$1001,Detail!$B$1:$B$1001)</f>
        <v>O+</v>
      </c>
    </row>
    <row r="883" spans="1:23" ht="15.75" x14ac:dyDescent="0.25">
      <c r="A883" s="7">
        <v>243</v>
      </c>
      <c r="B883" s="33" t="str">
        <f t="shared" si="51"/>
        <v>F0243</v>
      </c>
      <c r="C883" s="7" t="s">
        <v>1011</v>
      </c>
      <c r="D883" s="33" t="str">
        <f>VLOOKUP(B883,Detail!$G$1:$H$1001,2,FALSE)</f>
        <v>Karma Marpaung</v>
      </c>
      <c r="E883" s="7">
        <v>58</v>
      </c>
      <c r="F883" s="7">
        <v>66</v>
      </c>
      <c r="G883" s="57">
        <v>57</v>
      </c>
      <c r="H883" s="7">
        <v>67</v>
      </c>
      <c r="I883" s="7">
        <v>84</v>
      </c>
      <c r="J883" s="7">
        <v>80</v>
      </c>
      <c r="K883" s="7">
        <v>61</v>
      </c>
      <c r="L883" s="56" t="str">
        <f>IFERROR(VLOOKUP(B883,Absen!$A$1:$C$501,2,FALSE),"No")</f>
        <v>No</v>
      </c>
      <c r="M883" s="58">
        <f t="shared" si="48"/>
        <v>6.1000000000000005</v>
      </c>
      <c r="N883" s="57">
        <f t="shared" si="49"/>
        <v>67.875</v>
      </c>
      <c r="O883" s="7" t="str">
        <f>VLOOKUP(N883,Helper!$B$30:$C$35,2,TRUE)</f>
        <v>C</v>
      </c>
      <c r="P883" s="56">
        <f>INDEX(Detail!$A$1:$A$1001,MATCH(B883,Detail!$G$1:$G$1001,0))</f>
        <v>38372</v>
      </c>
      <c r="Q883" s="33" t="str">
        <f>INDEX(Detail!$F$1:$F$1001,MATCH(Main!B883,Detail!$G$1:$G$1001,0))</f>
        <v>Kendari</v>
      </c>
      <c r="R883" s="7">
        <f>INDEX(Detail!$C$1:$C$1001,MATCH(B883,Detail!$G$1:$G$1001,0),1)</f>
        <v>162</v>
      </c>
      <c r="S883" s="7">
        <f>INDEX(Detail!$D$1:$D$1001,MATCH(B883,Detail!$G$1:$G$1001,0),1)</f>
        <v>68</v>
      </c>
      <c r="T883" s="7" t="str">
        <f>INDEX(Detail!$E$1:$E$1001,MATCH(Main!B883,Detail!$G$1:$G$1001,0))</f>
        <v>Gg. Wonoayu No. 30</v>
      </c>
      <c r="U883" s="7" t="str">
        <f>INDEX(Detail!$B$1:$B$1001,MATCH(B883,Detail!$G$1:$G$1001,0),1)</f>
        <v>O+</v>
      </c>
      <c r="V883" s="7" t="str" cm="1">
        <f t="array" ref="V883">INDEX(Dosen!$B$3:$E$8,MATCH(Main!C883,Dosen!$A$3:$A$8,0),IF(AND(Main!A883&gt;=1,Main!A883&lt;=250),1,IF(AND(Main!A883&gt;=251,Main!A883&lt;=500),2,IF(AND(Main!A883&gt;=501,Main!A883&lt;=750),3,4))))</f>
        <v>Pak Andi</v>
      </c>
      <c r="W883" s="7" t="str">
        <f>_xlfn.XLOOKUP(B883,Detail!$G$1:$G$1001,Detail!$B$1:$B$1001)</f>
        <v>O+</v>
      </c>
    </row>
    <row r="884" spans="1:23" ht="15.75" x14ac:dyDescent="0.25">
      <c r="A884" s="7">
        <v>244</v>
      </c>
      <c r="B884" s="33" t="str">
        <f t="shared" si="51"/>
        <v>F0244</v>
      </c>
      <c r="C884" s="7" t="s">
        <v>1011</v>
      </c>
      <c r="D884" s="33" t="str">
        <f>VLOOKUP(B884,Detail!$G$1:$H$1001,2,FALSE)</f>
        <v>Cakrabirawa Sitompul</v>
      </c>
      <c r="E884" s="7">
        <v>55</v>
      </c>
      <c r="F884" s="7">
        <v>64</v>
      </c>
      <c r="G884" s="57">
        <v>66</v>
      </c>
      <c r="H884" s="7">
        <v>55</v>
      </c>
      <c r="I884" s="7">
        <v>83</v>
      </c>
      <c r="J884" s="7">
        <v>73</v>
      </c>
      <c r="K884" s="7">
        <v>79</v>
      </c>
      <c r="L884" s="56">
        <f>IFERROR(VLOOKUP(B884,Absen!$A$1:$C$501,2,FALSE),"No")</f>
        <v>44803</v>
      </c>
      <c r="M884" s="58">
        <f t="shared" si="48"/>
        <v>6.9</v>
      </c>
      <c r="N884" s="57">
        <f t="shared" si="49"/>
        <v>66.825000000000003</v>
      </c>
      <c r="O884" s="7" t="str">
        <f>VLOOKUP(N884,Helper!$B$30:$C$35,2,TRUE)</f>
        <v>C</v>
      </c>
      <c r="P884" s="56">
        <f>INDEX(Detail!$A$1:$A$1001,MATCH(B884,Detail!$G$1:$G$1001,0))</f>
        <v>37900</v>
      </c>
      <c r="Q884" s="33" t="str">
        <f>INDEX(Detail!$F$1:$F$1001,MATCH(Main!B884,Detail!$G$1:$G$1001,0))</f>
        <v>Tanjungbalai</v>
      </c>
      <c r="R884" s="7">
        <f>INDEX(Detail!$C$1:$C$1001,MATCH(B884,Detail!$G$1:$G$1001,0),1)</f>
        <v>166</v>
      </c>
      <c r="S884" s="7">
        <f>INDEX(Detail!$D$1:$D$1001,MATCH(B884,Detail!$G$1:$G$1001,0),1)</f>
        <v>67</v>
      </c>
      <c r="T884" s="7" t="str">
        <f>INDEX(Detail!$E$1:$E$1001,MATCH(Main!B884,Detail!$G$1:$G$1001,0))</f>
        <v xml:space="preserve">Jalan Pasir Koja No. 1
</v>
      </c>
      <c r="U884" s="7" t="str">
        <f>INDEX(Detail!$B$1:$B$1001,MATCH(B884,Detail!$G$1:$G$1001,0),1)</f>
        <v>AB-</v>
      </c>
      <c r="V884" s="7" t="str" cm="1">
        <f t="array" ref="V884">INDEX(Dosen!$B$3:$E$8,MATCH(Main!C884,Dosen!$A$3:$A$8,0),IF(AND(Main!A884&gt;=1,Main!A884&lt;=250),1,IF(AND(Main!A884&gt;=251,Main!A884&lt;=500),2,IF(AND(Main!A884&gt;=501,Main!A884&lt;=750),3,4))))</f>
        <v>Pak Andi</v>
      </c>
      <c r="W884" s="7" t="str">
        <f>_xlfn.XLOOKUP(B884,Detail!$G$1:$G$1001,Detail!$B$1:$B$1001)</f>
        <v>AB-</v>
      </c>
    </row>
    <row r="885" spans="1:23" ht="15.75" x14ac:dyDescent="0.25">
      <c r="A885" s="7">
        <v>249</v>
      </c>
      <c r="B885" s="33" t="str">
        <f t="shared" si="51"/>
        <v>F0249</v>
      </c>
      <c r="C885" s="7" t="s">
        <v>1011</v>
      </c>
      <c r="D885" s="33" t="str">
        <f>VLOOKUP(B885,Detail!$G$1:$H$1001,2,FALSE)</f>
        <v>Marsudi Rajata</v>
      </c>
      <c r="E885" s="7">
        <v>92</v>
      </c>
      <c r="F885" s="7">
        <v>62</v>
      </c>
      <c r="G885" s="57">
        <v>70</v>
      </c>
      <c r="H885" s="7">
        <v>58</v>
      </c>
      <c r="I885" s="7">
        <v>53</v>
      </c>
      <c r="J885" s="7">
        <v>89</v>
      </c>
      <c r="K885" s="7">
        <v>99</v>
      </c>
      <c r="L885" s="56">
        <f>IFERROR(VLOOKUP(B885,Absen!$A$1:$C$501,2,FALSE),"No")</f>
        <v>44782</v>
      </c>
      <c r="M885" s="58">
        <f t="shared" si="48"/>
        <v>8.9</v>
      </c>
      <c r="N885" s="57">
        <f t="shared" si="49"/>
        <v>73.825000000000003</v>
      </c>
      <c r="O885" s="7" t="str">
        <f>VLOOKUP(N885,Helper!$B$30:$C$35,2,TRUE)</f>
        <v>B</v>
      </c>
      <c r="P885" s="56">
        <f>INDEX(Detail!$A$1:$A$1001,MATCH(B885,Detail!$G$1:$G$1001,0))</f>
        <v>37499</v>
      </c>
      <c r="Q885" s="33" t="str">
        <f>INDEX(Detail!$F$1:$F$1001,MATCH(Main!B885,Detail!$G$1:$G$1001,0))</f>
        <v>Surabaya</v>
      </c>
      <c r="R885" s="7">
        <f>INDEX(Detail!$C$1:$C$1001,MATCH(B885,Detail!$G$1:$G$1001,0),1)</f>
        <v>163</v>
      </c>
      <c r="S885" s="7">
        <f>INDEX(Detail!$D$1:$D$1001,MATCH(B885,Detail!$G$1:$G$1001,0),1)</f>
        <v>57</v>
      </c>
      <c r="T885" s="7" t="str">
        <f>INDEX(Detail!$E$1:$E$1001,MATCH(Main!B885,Detail!$G$1:$G$1001,0))</f>
        <v>Jalan Bangka Raya No. 88</v>
      </c>
      <c r="U885" s="7" t="str">
        <f>INDEX(Detail!$B$1:$B$1001,MATCH(B885,Detail!$G$1:$G$1001,0),1)</f>
        <v>A+</v>
      </c>
      <c r="V885" s="7" t="str" cm="1">
        <f t="array" ref="V885">INDEX(Dosen!$B$3:$E$8,MATCH(Main!C885,Dosen!$A$3:$A$8,0),IF(AND(Main!A885&gt;=1,Main!A885&lt;=250),1,IF(AND(Main!A885&gt;=251,Main!A885&lt;=500),2,IF(AND(Main!A885&gt;=501,Main!A885&lt;=750),3,4))))</f>
        <v>Pak Andi</v>
      </c>
      <c r="W885" s="7" t="str">
        <f>_xlfn.XLOOKUP(B885,Detail!$G$1:$G$1001,Detail!$B$1:$B$1001)</f>
        <v>A+</v>
      </c>
    </row>
    <row r="886" spans="1:23" ht="15.75" x14ac:dyDescent="0.25">
      <c r="A886" s="7">
        <v>251</v>
      </c>
      <c r="B886" s="33" t="str">
        <f t="shared" si="51"/>
        <v>F0251</v>
      </c>
      <c r="C886" s="7" t="s">
        <v>1011</v>
      </c>
      <c r="D886" s="33" t="str">
        <f>VLOOKUP(B886,Detail!$G$1:$H$1001,2,FALSE)</f>
        <v>Cagak Hassanah</v>
      </c>
      <c r="E886" s="7">
        <v>82</v>
      </c>
      <c r="F886" s="7">
        <v>65</v>
      </c>
      <c r="G886" s="57">
        <v>70</v>
      </c>
      <c r="H886" s="7">
        <v>60</v>
      </c>
      <c r="I886" s="7">
        <v>69</v>
      </c>
      <c r="J886" s="7">
        <v>79</v>
      </c>
      <c r="K886" s="7">
        <v>69</v>
      </c>
      <c r="L886" s="56">
        <f>IFERROR(VLOOKUP(B886,Absen!$A$1:$C$501,2,FALSE),"No")</f>
        <v>44796</v>
      </c>
      <c r="M886" s="58">
        <f t="shared" si="48"/>
        <v>5.9</v>
      </c>
      <c r="N886" s="57">
        <f t="shared" si="49"/>
        <v>70.2</v>
      </c>
      <c r="O886" s="7" t="str">
        <f>VLOOKUP(N886,Helper!$B$30:$C$35,2,TRUE)</f>
        <v>B</v>
      </c>
      <c r="P886" s="56">
        <f>INDEX(Detail!$A$1:$A$1001,MATCH(B886,Detail!$G$1:$G$1001,0))</f>
        <v>37099</v>
      </c>
      <c r="Q886" s="33" t="str">
        <f>INDEX(Detail!$F$1:$F$1001,MATCH(Main!B886,Detail!$G$1:$G$1001,0))</f>
        <v>Cilegon</v>
      </c>
      <c r="R886" s="7">
        <f>INDEX(Detail!$C$1:$C$1001,MATCH(B886,Detail!$G$1:$G$1001,0),1)</f>
        <v>156</v>
      </c>
      <c r="S886" s="7">
        <f>INDEX(Detail!$D$1:$D$1001,MATCH(B886,Detail!$G$1:$G$1001,0),1)</f>
        <v>64</v>
      </c>
      <c r="T886" s="7" t="str">
        <f>INDEX(Detail!$E$1:$E$1001,MATCH(Main!B886,Detail!$G$1:$G$1001,0))</f>
        <v xml:space="preserve">Jalan S. Parman No. 7
</v>
      </c>
      <c r="U886" s="7" t="str">
        <f>INDEX(Detail!$B$1:$B$1001,MATCH(B886,Detail!$G$1:$G$1001,0),1)</f>
        <v>A+</v>
      </c>
      <c r="V886" s="7" t="str" cm="1">
        <f t="array" ref="V886">INDEX(Dosen!$B$3:$E$8,MATCH(Main!C886,Dosen!$A$3:$A$8,0),IF(AND(Main!A886&gt;=1,Main!A886&lt;=250),1,IF(AND(Main!A886&gt;=251,Main!A886&lt;=500),2,IF(AND(Main!A886&gt;=501,Main!A886&lt;=750),3,4))))</f>
        <v>Pak Krisna</v>
      </c>
      <c r="W886" s="7" t="str">
        <f>_xlfn.XLOOKUP(B886,Detail!$G$1:$G$1001,Detail!$B$1:$B$1001)</f>
        <v>A+</v>
      </c>
    </row>
    <row r="887" spans="1:23" ht="15.75" x14ac:dyDescent="0.25">
      <c r="A887" s="7">
        <v>255</v>
      </c>
      <c r="B887" s="33" t="str">
        <f t="shared" si="51"/>
        <v>F0255</v>
      </c>
      <c r="C887" s="7" t="s">
        <v>1011</v>
      </c>
      <c r="D887" s="33" t="str">
        <f>VLOOKUP(B887,Detail!$G$1:$H$1001,2,FALSE)</f>
        <v>Icha Utami</v>
      </c>
      <c r="E887" s="7">
        <v>55</v>
      </c>
      <c r="F887" s="7">
        <v>69</v>
      </c>
      <c r="G887" s="57">
        <v>35</v>
      </c>
      <c r="H887" s="7">
        <v>63</v>
      </c>
      <c r="I887" s="7">
        <v>83</v>
      </c>
      <c r="J887" s="7">
        <v>41</v>
      </c>
      <c r="K887" s="7">
        <v>75</v>
      </c>
      <c r="L887" s="56" t="str">
        <f>IFERROR(VLOOKUP(B887,Absen!$A$1:$C$501,2,FALSE),"No")</f>
        <v>No</v>
      </c>
      <c r="M887" s="58">
        <f t="shared" si="48"/>
        <v>7.5</v>
      </c>
      <c r="N887" s="57">
        <f t="shared" si="49"/>
        <v>56.45</v>
      </c>
      <c r="O887" s="7" t="str">
        <f>VLOOKUP(N887,Helper!$B$30:$C$35,2,TRUE)</f>
        <v>D</v>
      </c>
      <c r="P887" s="56">
        <f>INDEX(Detail!$A$1:$A$1001,MATCH(B887,Detail!$G$1:$G$1001,0))</f>
        <v>38054</v>
      </c>
      <c r="Q887" s="33" t="str">
        <f>INDEX(Detail!$F$1:$F$1001,MATCH(Main!B887,Detail!$G$1:$G$1001,0))</f>
        <v>Pariaman</v>
      </c>
      <c r="R887" s="7">
        <f>INDEX(Detail!$C$1:$C$1001,MATCH(B887,Detail!$G$1:$G$1001,0),1)</f>
        <v>157</v>
      </c>
      <c r="S887" s="7">
        <f>INDEX(Detail!$D$1:$D$1001,MATCH(B887,Detail!$G$1:$G$1001,0),1)</f>
        <v>63</v>
      </c>
      <c r="T887" s="7" t="str">
        <f>INDEX(Detail!$E$1:$E$1001,MATCH(Main!B887,Detail!$G$1:$G$1001,0))</f>
        <v xml:space="preserve">Jl. PHH. Mustofa No. 3
</v>
      </c>
      <c r="U887" s="7" t="str">
        <f>INDEX(Detail!$B$1:$B$1001,MATCH(B887,Detail!$G$1:$G$1001,0),1)</f>
        <v>AB+</v>
      </c>
      <c r="V887" s="7" t="str" cm="1">
        <f t="array" ref="V887">INDEX(Dosen!$B$3:$E$8,MATCH(Main!C887,Dosen!$A$3:$A$8,0),IF(AND(Main!A887&gt;=1,Main!A887&lt;=250),1,IF(AND(Main!A887&gt;=251,Main!A887&lt;=500),2,IF(AND(Main!A887&gt;=501,Main!A887&lt;=750),3,4))))</f>
        <v>Pak Krisna</v>
      </c>
      <c r="W887" s="7" t="str">
        <f>_xlfn.XLOOKUP(B887,Detail!$G$1:$G$1001,Detail!$B$1:$B$1001)</f>
        <v>AB+</v>
      </c>
    </row>
    <row r="888" spans="1:23" ht="15.75" x14ac:dyDescent="0.25">
      <c r="A888" s="7">
        <v>256</v>
      </c>
      <c r="B888" s="33" t="str">
        <f t="shared" si="51"/>
        <v>F0256</v>
      </c>
      <c r="C888" s="7" t="s">
        <v>1011</v>
      </c>
      <c r="D888" s="33" t="str">
        <f>VLOOKUP(B888,Detail!$G$1:$H$1001,2,FALSE)</f>
        <v>Tira Mulyani</v>
      </c>
      <c r="E888" s="7">
        <v>65</v>
      </c>
      <c r="F888" s="7">
        <v>65</v>
      </c>
      <c r="G888" s="57">
        <v>92</v>
      </c>
      <c r="H888" s="7">
        <v>72</v>
      </c>
      <c r="I888" s="7">
        <v>65</v>
      </c>
      <c r="J888" s="7">
        <v>84</v>
      </c>
      <c r="K888" s="7">
        <v>77</v>
      </c>
      <c r="L888" s="56" t="str">
        <f>IFERROR(VLOOKUP(B888,Absen!$A$1:$C$501,2,FALSE),"No")</f>
        <v>No</v>
      </c>
      <c r="M888" s="58">
        <f t="shared" si="48"/>
        <v>7.7</v>
      </c>
      <c r="N888" s="57">
        <f t="shared" si="49"/>
        <v>76.275000000000006</v>
      </c>
      <c r="O888" s="7" t="str">
        <f>VLOOKUP(N888,Helper!$B$30:$C$35,2,TRUE)</f>
        <v>B</v>
      </c>
      <c r="P888" s="56">
        <f>INDEX(Detail!$A$1:$A$1001,MATCH(B888,Detail!$G$1:$G$1001,0))</f>
        <v>37707</v>
      </c>
      <c r="Q888" s="33" t="str">
        <f>INDEX(Detail!$F$1:$F$1001,MATCH(Main!B888,Detail!$G$1:$G$1001,0))</f>
        <v>Probolinggo</v>
      </c>
      <c r="R888" s="7">
        <f>INDEX(Detail!$C$1:$C$1001,MATCH(B888,Detail!$G$1:$G$1001,0),1)</f>
        <v>178</v>
      </c>
      <c r="S888" s="7">
        <f>INDEX(Detail!$D$1:$D$1001,MATCH(B888,Detail!$G$1:$G$1001,0),1)</f>
        <v>63</v>
      </c>
      <c r="T888" s="7" t="str">
        <f>INDEX(Detail!$E$1:$E$1001,MATCH(Main!B888,Detail!$G$1:$G$1001,0))</f>
        <v>Jalan Sukajadi No. 84</v>
      </c>
      <c r="U888" s="7" t="str">
        <f>INDEX(Detail!$B$1:$B$1001,MATCH(B888,Detail!$G$1:$G$1001,0),1)</f>
        <v>AB+</v>
      </c>
      <c r="V888" s="7" t="str" cm="1">
        <f t="array" ref="V888">INDEX(Dosen!$B$3:$E$8,MATCH(Main!C888,Dosen!$A$3:$A$8,0),IF(AND(Main!A888&gt;=1,Main!A888&lt;=250),1,IF(AND(Main!A888&gt;=251,Main!A888&lt;=500),2,IF(AND(Main!A888&gt;=501,Main!A888&lt;=750),3,4))))</f>
        <v>Pak Krisna</v>
      </c>
      <c r="W888" s="7" t="str">
        <f>_xlfn.XLOOKUP(B888,Detail!$G$1:$G$1001,Detail!$B$1:$B$1001)</f>
        <v>AB+</v>
      </c>
    </row>
    <row r="889" spans="1:23" ht="15.75" x14ac:dyDescent="0.25">
      <c r="A889" s="7">
        <v>261</v>
      </c>
      <c r="B889" s="33" t="str">
        <f t="shared" si="51"/>
        <v>F0261</v>
      </c>
      <c r="C889" s="7" t="s">
        <v>1011</v>
      </c>
      <c r="D889" s="33" t="str">
        <f>VLOOKUP(B889,Detail!$G$1:$H$1001,2,FALSE)</f>
        <v>Kemal Laksita</v>
      </c>
      <c r="E889" s="7">
        <v>52</v>
      </c>
      <c r="F889" s="7">
        <v>56</v>
      </c>
      <c r="G889" s="57">
        <v>51</v>
      </c>
      <c r="H889" s="7">
        <v>71</v>
      </c>
      <c r="I889" s="7">
        <v>54</v>
      </c>
      <c r="J889" s="7">
        <v>70</v>
      </c>
      <c r="K889" s="7">
        <v>92</v>
      </c>
      <c r="L889" s="56" t="str">
        <f>IFERROR(VLOOKUP(B889,Absen!$A$1:$C$501,2,FALSE),"No")</f>
        <v>No</v>
      </c>
      <c r="M889" s="58">
        <f t="shared" si="48"/>
        <v>9.2000000000000011</v>
      </c>
      <c r="N889" s="57">
        <f t="shared" si="49"/>
        <v>62.525000000000006</v>
      </c>
      <c r="O889" s="7" t="str">
        <f>VLOOKUP(N889,Helper!$B$30:$C$35,2,TRUE)</f>
        <v>C</v>
      </c>
      <c r="P889" s="56">
        <f>INDEX(Detail!$A$1:$A$1001,MATCH(B889,Detail!$G$1:$G$1001,0))</f>
        <v>38089</v>
      </c>
      <c r="Q889" s="33" t="str">
        <f>INDEX(Detail!$F$1:$F$1001,MATCH(Main!B889,Detail!$G$1:$G$1001,0))</f>
        <v>Palembang</v>
      </c>
      <c r="R889" s="7">
        <f>INDEX(Detail!$C$1:$C$1001,MATCH(B889,Detail!$G$1:$G$1001,0),1)</f>
        <v>171</v>
      </c>
      <c r="S889" s="7">
        <f>INDEX(Detail!$D$1:$D$1001,MATCH(B889,Detail!$G$1:$G$1001,0),1)</f>
        <v>57</v>
      </c>
      <c r="T889" s="7" t="str">
        <f>INDEX(Detail!$E$1:$E$1001,MATCH(Main!B889,Detail!$G$1:$G$1001,0))</f>
        <v xml:space="preserve">Jalan Ahmad Dahlan No. 3
</v>
      </c>
      <c r="U889" s="7" t="str">
        <f>INDEX(Detail!$B$1:$B$1001,MATCH(B889,Detail!$G$1:$G$1001,0),1)</f>
        <v>O-</v>
      </c>
      <c r="V889" s="7" t="str" cm="1">
        <f t="array" ref="V889">INDEX(Dosen!$B$3:$E$8,MATCH(Main!C889,Dosen!$A$3:$A$8,0),IF(AND(Main!A889&gt;=1,Main!A889&lt;=250),1,IF(AND(Main!A889&gt;=251,Main!A889&lt;=500),2,IF(AND(Main!A889&gt;=501,Main!A889&lt;=750),3,4))))</f>
        <v>Pak Krisna</v>
      </c>
      <c r="W889" s="7" t="str">
        <f>_xlfn.XLOOKUP(B889,Detail!$G$1:$G$1001,Detail!$B$1:$B$1001)</f>
        <v>O-</v>
      </c>
    </row>
    <row r="890" spans="1:23" ht="15.75" x14ac:dyDescent="0.25">
      <c r="A890" s="7">
        <v>263</v>
      </c>
      <c r="B890" s="33" t="str">
        <f t="shared" si="51"/>
        <v>F0263</v>
      </c>
      <c r="C890" s="7" t="s">
        <v>1011</v>
      </c>
      <c r="D890" s="33" t="str">
        <f>VLOOKUP(B890,Detail!$G$1:$H$1001,2,FALSE)</f>
        <v>Raisa Pradana</v>
      </c>
      <c r="E890" s="7">
        <v>94</v>
      </c>
      <c r="F890" s="7">
        <v>75</v>
      </c>
      <c r="G890" s="57">
        <v>84</v>
      </c>
      <c r="H890" s="7">
        <v>66</v>
      </c>
      <c r="I890" s="7">
        <v>73</v>
      </c>
      <c r="J890" s="7">
        <v>45</v>
      </c>
      <c r="K890" s="7">
        <v>84</v>
      </c>
      <c r="L890" s="56">
        <f>IFERROR(VLOOKUP(B890,Absen!$A$1:$C$501,2,FALSE),"No")</f>
        <v>44902</v>
      </c>
      <c r="M890" s="58">
        <f t="shared" si="48"/>
        <v>7.4</v>
      </c>
      <c r="N890" s="57">
        <f t="shared" si="49"/>
        <v>71.7</v>
      </c>
      <c r="O890" s="7" t="str">
        <f>VLOOKUP(N890,Helper!$B$30:$C$35,2,TRUE)</f>
        <v>B</v>
      </c>
      <c r="P890" s="56">
        <f>INDEX(Detail!$A$1:$A$1001,MATCH(B890,Detail!$G$1:$G$1001,0))</f>
        <v>37743</v>
      </c>
      <c r="Q890" s="33" t="str">
        <f>INDEX(Detail!$F$1:$F$1001,MATCH(Main!B890,Detail!$G$1:$G$1001,0))</f>
        <v>Bekasi</v>
      </c>
      <c r="R890" s="7">
        <f>INDEX(Detail!$C$1:$C$1001,MATCH(B890,Detail!$G$1:$G$1001,0),1)</f>
        <v>180</v>
      </c>
      <c r="S890" s="7">
        <f>INDEX(Detail!$D$1:$D$1001,MATCH(B890,Detail!$G$1:$G$1001,0),1)</f>
        <v>84</v>
      </c>
      <c r="T890" s="7" t="str">
        <f>INDEX(Detail!$E$1:$E$1001,MATCH(Main!B890,Detail!$G$1:$G$1001,0))</f>
        <v>Jl. Raya Ujungberung No. 67</v>
      </c>
      <c r="U890" s="7" t="str">
        <f>INDEX(Detail!$B$1:$B$1001,MATCH(B890,Detail!$G$1:$G$1001,0),1)</f>
        <v>A+</v>
      </c>
      <c r="V890" s="7" t="str" cm="1">
        <f t="array" ref="V890">INDEX(Dosen!$B$3:$E$8,MATCH(Main!C890,Dosen!$A$3:$A$8,0),IF(AND(Main!A890&gt;=1,Main!A890&lt;=250),1,IF(AND(Main!A890&gt;=251,Main!A890&lt;=500),2,IF(AND(Main!A890&gt;=501,Main!A890&lt;=750),3,4))))</f>
        <v>Pak Krisna</v>
      </c>
      <c r="W890" s="7" t="str">
        <f>_xlfn.XLOOKUP(B890,Detail!$G$1:$G$1001,Detail!$B$1:$B$1001)</f>
        <v>A+</v>
      </c>
    </row>
    <row r="891" spans="1:23" ht="15.75" x14ac:dyDescent="0.25">
      <c r="A891" s="7">
        <v>277</v>
      </c>
      <c r="B891" s="33" t="str">
        <f t="shared" si="51"/>
        <v>F0277</v>
      </c>
      <c r="C891" s="7" t="s">
        <v>1011</v>
      </c>
      <c r="D891" s="33" t="str">
        <f>VLOOKUP(B891,Detail!$G$1:$H$1001,2,FALSE)</f>
        <v>Jasmin Wijayanti</v>
      </c>
      <c r="E891" s="7">
        <v>84</v>
      </c>
      <c r="F891" s="7">
        <v>57</v>
      </c>
      <c r="G891" s="57">
        <v>85</v>
      </c>
      <c r="H891" s="7">
        <v>71</v>
      </c>
      <c r="I891" s="7">
        <v>56</v>
      </c>
      <c r="J891" s="7">
        <v>57</v>
      </c>
      <c r="K891" s="7">
        <v>78</v>
      </c>
      <c r="L891" s="56" t="str">
        <f>IFERROR(VLOOKUP(B891,Absen!$A$1:$C$501,2,FALSE),"No")</f>
        <v>No</v>
      </c>
      <c r="M891" s="58">
        <f t="shared" si="48"/>
        <v>7.8000000000000007</v>
      </c>
      <c r="N891" s="57">
        <f t="shared" si="49"/>
        <v>69.7</v>
      </c>
      <c r="O891" s="7" t="str">
        <f>VLOOKUP(N891,Helper!$B$30:$C$35,2,TRUE)</f>
        <v>C</v>
      </c>
      <c r="P891" s="56">
        <f>INDEX(Detail!$A$1:$A$1001,MATCH(B891,Detail!$G$1:$G$1001,0))</f>
        <v>37626</v>
      </c>
      <c r="Q891" s="33" t="str">
        <f>INDEX(Detail!$F$1:$F$1001,MATCH(Main!B891,Detail!$G$1:$G$1001,0))</f>
        <v>Tual</v>
      </c>
      <c r="R891" s="7">
        <f>INDEX(Detail!$C$1:$C$1001,MATCH(B891,Detail!$G$1:$G$1001,0),1)</f>
        <v>153</v>
      </c>
      <c r="S891" s="7">
        <f>INDEX(Detail!$D$1:$D$1001,MATCH(B891,Detail!$G$1:$G$1001,0),1)</f>
        <v>81</v>
      </c>
      <c r="T891" s="7" t="str">
        <f>INDEX(Detail!$E$1:$E$1001,MATCH(Main!B891,Detail!$G$1:$G$1001,0))</f>
        <v>Jl. H.J Maemunah No. 90</v>
      </c>
      <c r="U891" s="7" t="str">
        <f>INDEX(Detail!$B$1:$B$1001,MATCH(B891,Detail!$G$1:$G$1001,0),1)</f>
        <v>AB-</v>
      </c>
      <c r="V891" s="7" t="str" cm="1">
        <f t="array" ref="V891">INDEX(Dosen!$B$3:$E$8,MATCH(Main!C891,Dosen!$A$3:$A$8,0),IF(AND(Main!A891&gt;=1,Main!A891&lt;=250),1,IF(AND(Main!A891&gt;=251,Main!A891&lt;=500),2,IF(AND(Main!A891&gt;=501,Main!A891&lt;=750),3,4))))</f>
        <v>Pak Krisna</v>
      </c>
      <c r="W891" s="7" t="str">
        <f>_xlfn.XLOOKUP(B891,Detail!$G$1:$G$1001,Detail!$B$1:$B$1001)</f>
        <v>AB-</v>
      </c>
    </row>
    <row r="892" spans="1:23" ht="15.75" x14ac:dyDescent="0.25">
      <c r="A892" s="7">
        <v>282</v>
      </c>
      <c r="B892" s="33" t="str">
        <f t="shared" si="51"/>
        <v>F0282</v>
      </c>
      <c r="C892" s="7" t="s">
        <v>1011</v>
      </c>
      <c r="D892" s="33" t="str">
        <f>VLOOKUP(B892,Detail!$G$1:$H$1001,2,FALSE)</f>
        <v>Bakiono Mustofa</v>
      </c>
      <c r="E892" s="7">
        <v>84</v>
      </c>
      <c r="F892" s="7">
        <v>48</v>
      </c>
      <c r="G892" s="57">
        <v>51</v>
      </c>
      <c r="H892" s="7">
        <v>54</v>
      </c>
      <c r="I892" s="7">
        <v>53</v>
      </c>
      <c r="J892" s="7">
        <v>90</v>
      </c>
      <c r="K892" s="7">
        <v>98</v>
      </c>
      <c r="L892" s="56">
        <f>IFERROR(VLOOKUP(B892,Absen!$A$1:$C$501,2,FALSE),"No")</f>
        <v>44858</v>
      </c>
      <c r="M892" s="58">
        <f t="shared" si="48"/>
        <v>8.8000000000000007</v>
      </c>
      <c r="N892" s="57">
        <f t="shared" si="49"/>
        <v>66.875</v>
      </c>
      <c r="O892" s="7" t="str">
        <f>VLOOKUP(N892,Helper!$B$30:$C$35,2,TRUE)</f>
        <v>C</v>
      </c>
      <c r="P892" s="56">
        <f>INDEX(Detail!$A$1:$A$1001,MATCH(B892,Detail!$G$1:$G$1001,0))</f>
        <v>37658</v>
      </c>
      <c r="Q892" s="33" t="str">
        <f>INDEX(Detail!$F$1:$F$1001,MATCH(Main!B892,Detail!$G$1:$G$1001,0))</f>
        <v>Kota Administrasi Jakarta Selatan</v>
      </c>
      <c r="R892" s="7">
        <f>INDEX(Detail!$C$1:$C$1001,MATCH(B892,Detail!$G$1:$G$1001,0),1)</f>
        <v>172</v>
      </c>
      <c r="S892" s="7">
        <f>INDEX(Detail!$D$1:$D$1001,MATCH(B892,Detail!$G$1:$G$1001,0),1)</f>
        <v>52</v>
      </c>
      <c r="T892" s="7" t="str">
        <f>INDEX(Detail!$E$1:$E$1001,MATCH(Main!B892,Detail!$G$1:$G$1001,0))</f>
        <v>Gg. Pasirkoja No. 98</v>
      </c>
      <c r="U892" s="7" t="str">
        <f>INDEX(Detail!$B$1:$B$1001,MATCH(B892,Detail!$G$1:$G$1001,0),1)</f>
        <v>AB-</v>
      </c>
      <c r="V892" s="7" t="str" cm="1">
        <f t="array" ref="V892">INDEX(Dosen!$B$3:$E$8,MATCH(Main!C892,Dosen!$A$3:$A$8,0),IF(AND(Main!A892&gt;=1,Main!A892&lt;=250),1,IF(AND(Main!A892&gt;=251,Main!A892&lt;=500),2,IF(AND(Main!A892&gt;=501,Main!A892&lt;=750),3,4))))</f>
        <v>Pak Krisna</v>
      </c>
      <c r="W892" s="7" t="str">
        <f>_xlfn.XLOOKUP(B892,Detail!$G$1:$G$1001,Detail!$B$1:$B$1001)</f>
        <v>AB-</v>
      </c>
    </row>
    <row r="893" spans="1:23" ht="15.75" x14ac:dyDescent="0.25">
      <c r="A893" s="7">
        <v>293</v>
      </c>
      <c r="B893" s="33" t="str">
        <f t="shared" si="51"/>
        <v>F0293</v>
      </c>
      <c r="C893" s="7" t="s">
        <v>1011</v>
      </c>
      <c r="D893" s="33" t="str">
        <f>VLOOKUP(B893,Detail!$G$1:$H$1001,2,FALSE)</f>
        <v>Michelle Permata</v>
      </c>
      <c r="E893" s="7">
        <v>85</v>
      </c>
      <c r="F893" s="7">
        <v>43</v>
      </c>
      <c r="G893" s="57">
        <v>32</v>
      </c>
      <c r="H893" s="7">
        <v>53</v>
      </c>
      <c r="I893" s="7">
        <v>61</v>
      </c>
      <c r="J893" s="7">
        <v>99</v>
      </c>
      <c r="K893" s="7">
        <v>72</v>
      </c>
      <c r="L893" s="56">
        <f>IFERROR(VLOOKUP(B893,Absen!$A$1:$C$501,2,FALSE),"No")</f>
        <v>44819</v>
      </c>
      <c r="M893" s="58">
        <f t="shared" si="48"/>
        <v>6.2</v>
      </c>
      <c r="N893" s="57">
        <f t="shared" si="49"/>
        <v>62.650000000000006</v>
      </c>
      <c r="O893" s="7" t="str">
        <f>VLOOKUP(N893,Helper!$B$30:$C$35,2,TRUE)</f>
        <v>C</v>
      </c>
      <c r="P893" s="56">
        <f>INDEX(Detail!$A$1:$A$1001,MATCH(B893,Detail!$G$1:$G$1001,0))</f>
        <v>37556</v>
      </c>
      <c r="Q893" s="33" t="str">
        <f>INDEX(Detail!$F$1:$F$1001,MATCH(Main!B893,Detail!$G$1:$G$1001,0))</f>
        <v>Batam</v>
      </c>
      <c r="R893" s="7">
        <f>INDEX(Detail!$C$1:$C$1001,MATCH(B893,Detail!$G$1:$G$1001,0),1)</f>
        <v>171</v>
      </c>
      <c r="S893" s="7">
        <f>INDEX(Detail!$D$1:$D$1001,MATCH(B893,Detail!$G$1:$G$1001,0),1)</f>
        <v>83</v>
      </c>
      <c r="T893" s="7" t="str">
        <f>INDEX(Detail!$E$1:$E$1001,MATCH(Main!B893,Detail!$G$1:$G$1001,0))</f>
        <v>Jl. Jakarta No. 43</v>
      </c>
      <c r="U893" s="7" t="str">
        <f>INDEX(Detail!$B$1:$B$1001,MATCH(B893,Detail!$G$1:$G$1001,0),1)</f>
        <v>O-</v>
      </c>
      <c r="V893" s="7" t="str" cm="1">
        <f t="array" ref="V893">INDEX(Dosen!$B$3:$E$8,MATCH(Main!C893,Dosen!$A$3:$A$8,0),IF(AND(Main!A893&gt;=1,Main!A893&lt;=250),1,IF(AND(Main!A893&gt;=251,Main!A893&lt;=500),2,IF(AND(Main!A893&gt;=501,Main!A893&lt;=750),3,4))))</f>
        <v>Pak Krisna</v>
      </c>
      <c r="W893" s="7" t="str">
        <f>_xlfn.XLOOKUP(B893,Detail!$G$1:$G$1001,Detail!$B$1:$B$1001)</f>
        <v>O-</v>
      </c>
    </row>
    <row r="894" spans="1:23" ht="15.75" x14ac:dyDescent="0.25">
      <c r="A894" s="7">
        <v>296</v>
      </c>
      <c r="B894" s="33" t="str">
        <f t="shared" si="51"/>
        <v>F0296</v>
      </c>
      <c r="C894" s="7" t="s">
        <v>1011</v>
      </c>
      <c r="D894" s="33" t="str">
        <f>VLOOKUP(B894,Detail!$G$1:$H$1001,2,FALSE)</f>
        <v>Danu Prastuti</v>
      </c>
      <c r="E894" s="7">
        <v>83</v>
      </c>
      <c r="F894" s="7">
        <v>52</v>
      </c>
      <c r="G894" s="57">
        <v>92</v>
      </c>
      <c r="H894" s="7">
        <v>55</v>
      </c>
      <c r="I894" s="7">
        <v>50</v>
      </c>
      <c r="J894" s="7">
        <v>56</v>
      </c>
      <c r="K894" s="7">
        <v>64</v>
      </c>
      <c r="L894" s="56" t="str">
        <f>IFERROR(VLOOKUP(B894,Absen!$A$1:$C$501,2,FALSE),"No")</f>
        <v>No</v>
      </c>
      <c r="M894" s="58">
        <f t="shared" si="48"/>
        <v>6.4</v>
      </c>
      <c r="N894" s="57">
        <f t="shared" si="49"/>
        <v>66.000000000000014</v>
      </c>
      <c r="O894" s="7" t="str">
        <f>VLOOKUP(N894,Helper!$B$30:$C$35,2,TRUE)</f>
        <v>C</v>
      </c>
      <c r="P894" s="56">
        <f>INDEX(Detail!$A$1:$A$1001,MATCH(B894,Detail!$G$1:$G$1001,0))</f>
        <v>38076</v>
      </c>
      <c r="Q894" s="33" t="str">
        <f>INDEX(Detail!$F$1:$F$1001,MATCH(Main!B894,Detail!$G$1:$G$1001,0))</f>
        <v>Manado</v>
      </c>
      <c r="R894" s="7">
        <f>INDEX(Detail!$C$1:$C$1001,MATCH(B894,Detail!$G$1:$G$1001,0),1)</f>
        <v>152</v>
      </c>
      <c r="S894" s="7">
        <f>INDEX(Detail!$D$1:$D$1001,MATCH(B894,Detail!$G$1:$G$1001,0),1)</f>
        <v>78</v>
      </c>
      <c r="T894" s="7" t="str">
        <f>INDEX(Detail!$E$1:$E$1001,MATCH(Main!B894,Detail!$G$1:$G$1001,0))</f>
        <v xml:space="preserve">Jl. Suryakencana No. 7
</v>
      </c>
      <c r="U894" s="7" t="str">
        <f>INDEX(Detail!$B$1:$B$1001,MATCH(B894,Detail!$G$1:$G$1001,0),1)</f>
        <v>B-</v>
      </c>
      <c r="V894" s="7" t="str" cm="1">
        <f t="array" ref="V894">INDEX(Dosen!$B$3:$E$8,MATCH(Main!C894,Dosen!$A$3:$A$8,0),IF(AND(Main!A894&gt;=1,Main!A894&lt;=250),1,IF(AND(Main!A894&gt;=251,Main!A894&lt;=500),2,IF(AND(Main!A894&gt;=501,Main!A894&lt;=750),3,4))))</f>
        <v>Pak Krisna</v>
      </c>
      <c r="W894" s="7" t="str">
        <f>_xlfn.XLOOKUP(B894,Detail!$G$1:$G$1001,Detail!$B$1:$B$1001)</f>
        <v>B-</v>
      </c>
    </row>
    <row r="895" spans="1:23" ht="15.75" x14ac:dyDescent="0.25">
      <c r="A895" s="7">
        <v>306</v>
      </c>
      <c r="B895" s="33" t="str">
        <f t="shared" si="51"/>
        <v>F0306</v>
      </c>
      <c r="C895" s="7" t="s">
        <v>1011</v>
      </c>
      <c r="D895" s="33" t="str">
        <f>VLOOKUP(B895,Detail!$G$1:$H$1001,2,FALSE)</f>
        <v>Raden Kusmawati</v>
      </c>
      <c r="E895" s="7">
        <v>90</v>
      </c>
      <c r="F895" s="7">
        <v>49</v>
      </c>
      <c r="G895" s="57">
        <v>93</v>
      </c>
      <c r="H895" s="7">
        <v>61</v>
      </c>
      <c r="I895" s="7">
        <v>50</v>
      </c>
      <c r="J895" s="7">
        <v>53</v>
      </c>
      <c r="K895" s="7">
        <v>65</v>
      </c>
      <c r="L895" s="56" t="str">
        <f>IFERROR(VLOOKUP(B895,Absen!$A$1:$C$501,2,FALSE),"No")</f>
        <v>No</v>
      </c>
      <c r="M895" s="58">
        <f t="shared" si="48"/>
        <v>6.5</v>
      </c>
      <c r="N895" s="57">
        <f t="shared" si="49"/>
        <v>66.95</v>
      </c>
      <c r="O895" s="7" t="str">
        <f>VLOOKUP(N895,Helper!$B$30:$C$35,2,TRUE)</f>
        <v>C</v>
      </c>
      <c r="P895" s="56">
        <f>INDEX(Detail!$A$1:$A$1001,MATCH(B895,Detail!$G$1:$G$1001,0))</f>
        <v>37815</v>
      </c>
      <c r="Q895" s="33" t="str">
        <f>INDEX(Detail!$F$1:$F$1001,MATCH(Main!B895,Detail!$G$1:$G$1001,0))</f>
        <v>Singkawang</v>
      </c>
      <c r="R895" s="7">
        <f>INDEX(Detail!$C$1:$C$1001,MATCH(B895,Detail!$G$1:$G$1001,0),1)</f>
        <v>154</v>
      </c>
      <c r="S895" s="7">
        <f>INDEX(Detail!$D$1:$D$1001,MATCH(B895,Detail!$G$1:$G$1001,0),1)</f>
        <v>52</v>
      </c>
      <c r="T895" s="7" t="str">
        <f>INDEX(Detail!$E$1:$E$1001,MATCH(Main!B895,Detail!$G$1:$G$1001,0))</f>
        <v xml:space="preserve">Gang Jamika No. 6
</v>
      </c>
      <c r="U895" s="7" t="str">
        <f>INDEX(Detail!$B$1:$B$1001,MATCH(B895,Detail!$G$1:$G$1001,0),1)</f>
        <v>AB-</v>
      </c>
      <c r="V895" s="7" t="str" cm="1">
        <f t="array" ref="V895">INDEX(Dosen!$B$3:$E$8,MATCH(Main!C895,Dosen!$A$3:$A$8,0),IF(AND(Main!A895&gt;=1,Main!A895&lt;=250),1,IF(AND(Main!A895&gt;=251,Main!A895&lt;=500),2,IF(AND(Main!A895&gt;=501,Main!A895&lt;=750),3,4))))</f>
        <v>Pak Krisna</v>
      </c>
      <c r="W895" s="7" t="str">
        <f>_xlfn.XLOOKUP(B895,Detail!$G$1:$G$1001,Detail!$B$1:$B$1001)</f>
        <v>AB-</v>
      </c>
    </row>
    <row r="896" spans="1:23" ht="15.75" x14ac:dyDescent="0.25">
      <c r="A896" s="7">
        <v>307</v>
      </c>
      <c r="B896" s="33" t="str">
        <f t="shared" si="51"/>
        <v>F0307</v>
      </c>
      <c r="C896" s="7" t="s">
        <v>1011</v>
      </c>
      <c r="D896" s="33" t="str">
        <f>VLOOKUP(B896,Detail!$G$1:$H$1001,2,FALSE)</f>
        <v>Sadina Hasanah</v>
      </c>
      <c r="E896" s="7">
        <v>61</v>
      </c>
      <c r="F896" s="7">
        <v>46</v>
      </c>
      <c r="G896" s="57">
        <v>91</v>
      </c>
      <c r="H896" s="7">
        <v>58</v>
      </c>
      <c r="I896" s="7">
        <v>82</v>
      </c>
      <c r="J896" s="7">
        <v>69</v>
      </c>
      <c r="K896" s="7">
        <v>69</v>
      </c>
      <c r="L896" s="56">
        <f>IFERROR(VLOOKUP(B896,Absen!$A$1:$C$501,2,FALSE),"No")</f>
        <v>44807</v>
      </c>
      <c r="M896" s="58">
        <f t="shared" si="48"/>
        <v>5.9</v>
      </c>
      <c r="N896" s="57">
        <f t="shared" si="49"/>
        <v>68.775000000000006</v>
      </c>
      <c r="O896" s="7" t="str">
        <f>VLOOKUP(N896,Helper!$B$30:$C$35,2,TRUE)</f>
        <v>C</v>
      </c>
      <c r="P896" s="56">
        <f>INDEX(Detail!$A$1:$A$1001,MATCH(B896,Detail!$G$1:$G$1001,0))</f>
        <v>37818</v>
      </c>
      <c r="Q896" s="33" t="str">
        <f>INDEX(Detail!$F$1:$F$1001,MATCH(Main!B896,Detail!$G$1:$G$1001,0))</f>
        <v>Tangerang Selatan</v>
      </c>
      <c r="R896" s="7">
        <f>INDEX(Detail!$C$1:$C$1001,MATCH(B896,Detail!$G$1:$G$1001,0),1)</f>
        <v>171</v>
      </c>
      <c r="S896" s="7">
        <f>INDEX(Detail!$D$1:$D$1001,MATCH(B896,Detail!$G$1:$G$1001,0),1)</f>
        <v>80</v>
      </c>
      <c r="T896" s="7" t="str">
        <f>INDEX(Detail!$E$1:$E$1001,MATCH(Main!B896,Detail!$G$1:$G$1001,0))</f>
        <v>Gang Astana Anyar No. 51</v>
      </c>
      <c r="U896" s="7" t="str">
        <f>INDEX(Detail!$B$1:$B$1001,MATCH(B896,Detail!$G$1:$G$1001,0),1)</f>
        <v>AB-</v>
      </c>
      <c r="V896" s="7" t="str" cm="1">
        <f t="array" ref="V896">INDEX(Dosen!$B$3:$E$8,MATCH(Main!C896,Dosen!$A$3:$A$8,0),IF(AND(Main!A896&gt;=1,Main!A896&lt;=250),1,IF(AND(Main!A896&gt;=251,Main!A896&lt;=500),2,IF(AND(Main!A896&gt;=501,Main!A896&lt;=750),3,4))))</f>
        <v>Pak Krisna</v>
      </c>
      <c r="W896" s="7" t="str">
        <f>_xlfn.XLOOKUP(B896,Detail!$G$1:$G$1001,Detail!$B$1:$B$1001)</f>
        <v>AB-</v>
      </c>
    </row>
    <row r="897" spans="1:23" ht="15.75" x14ac:dyDescent="0.25">
      <c r="A897" s="7">
        <v>325</v>
      </c>
      <c r="B897" s="33" t="str">
        <f t="shared" si="51"/>
        <v>F0325</v>
      </c>
      <c r="C897" s="7" t="s">
        <v>1011</v>
      </c>
      <c r="D897" s="33" t="str">
        <f>VLOOKUP(B897,Detail!$G$1:$H$1001,2,FALSE)</f>
        <v>Martaka Siregar</v>
      </c>
      <c r="E897" s="7">
        <v>86</v>
      </c>
      <c r="F897" s="7">
        <v>71</v>
      </c>
      <c r="G897" s="57">
        <v>49</v>
      </c>
      <c r="H897" s="7">
        <v>50</v>
      </c>
      <c r="I897" s="7">
        <v>63</v>
      </c>
      <c r="J897" s="7">
        <v>62</v>
      </c>
      <c r="K897" s="7">
        <v>67</v>
      </c>
      <c r="L897" s="56">
        <f>IFERROR(VLOOKUP(B897,Absen!$A$1:$C$501,2,FALSE),"No")</f>
        <v>44861</v>
      </c>
      <c r="M897" s="58">
        <f t="shared" si="48"/>
        <v>5.7</v>
      </c>
      <c r="N897" s="57">
        <f t="shared" si="49"/>
        <v>61.65</v>
      </c>
      <c r="O897" s="7" t="str">
        <f>VLOOKUP(N897,Helper!$B$30:$C$35,2,TRUE)</f>
        <v>C</v>
      </c>
      <c r="P897" s="56">
        <f>INDEX(Detail!$A$1:$A$1001,MATCH(B897,Detail!$G$1:$G$1001,0))</f>
        <v>37092</v>
      </c>
      <c r="Q897" s="33" t="str">
        <f>INDEX(Detail!$F$1:$F$1001,MATCH(Main!B897,Detail!$G$1:$G$1001,0))</f>
        <v>Surabaya</v>
      </c>
      <c r="R897" s="7">
        <f>INDEX(Detail!$C$1:$C$1001,MATCH(B897,Detail!$G$1:$G$1001,0),1)</f>
        <v>176</v>
      </c>
      <c r="S897" s="7">
        <f>INDEX(Detail!$D$1:$D$1001,MATCH(B897,Detail!$G$1:$G$1001,0),1)</f>
        <v>53</v>
      </c>
      <c r="T897" s="7" t="str">
        <f>INDEX(Detail!$E$1:$E$1001,MATCH(Main!B897,Detail!$G$1:$G$1001,0))</f>
        <v xml:space="preserve">Jalan Sukabumi No. 8
</v>
      </c>
      <c r="U897" s="7" t="str">
        <f>INDEX(Detail!$B$1:$B$1001,MATCH(B897,Detail!$G$1:$G$1001,0),1)</f>
        <v>A+</v>
      </c>
      <c r="V897" s="7" t="str" cm="1">
        <f t="array" ref="V897">INDEX(Dosen!$B$3:$E$8,MATCH(Main!C897,Dosen!$A$3:$A$8,0),IF(AND(Main!A897&gt;=1,Main!A897&lt;=250),1,IF(AND(Main!A897&gt;=251,Main!A897&lt;=500),2,IF(AND(Main!A897&gt;=501,Main!A897&lt;=750),3,4))))</f>
        <v>Pak Krisna</v>
      </c>
      <c r="W897" s="7" t="str">
        <f>_xlfn.XLOOKUP(B897,Detail!$G$1:$G$1001,Detail!$B$1:$B$1001)</f>
        <v>A+</v>
      </c>
    </row>
    <row r="898" spans="1:23" ht="15.75" x14ac:dyDescent="0.25">
      <c r="A898" s="7">
        <v>326</v>
      </c>
      <c r="B898" s="33" t="str">
        <f t="shared" si="51"/>
        <v>F0326</v>
      </c>
      <c r="C898" s="7" t="s">
        <v>1011</v>
      </c>
      <c r="D898" s="33" t="str">
        <f>VLOOKUP(B898,Detail!$G$1:$H$1001,2,FALSE)</f>
        <v>Viman Latupono</v>
      </c>
      <c r="E898" s="7">
        <v>59</v>
      </c>
      <c r="F898" s="7">
        <v>72</v>
      </c>
      <c r="G898" s="57">
        <v>48</v>
      </c>
      <c r="H898" s="7">
        <v>73</v>
      </c>
      <c r="I898" s="7">
        <v>76</v>
      </c>
      <c r="J898" s="7">
        <v>61</v>
      </c>
      <c r="K898" s="7">
        <v>84</v>
      </c>
      <c r="L898" s="56">
        <f>IFERROR(VLOOKUP(B898,Absen!$A$1:$C$501,2,FALSE),"No")</f>
        <v>44853</v>
      </c>
      <c r="M898" s="58">
        <f t="shared" ref="M898:M961" si="52">IF(L898="no",K898,K898-10)*10%</f>
        <v>7.4</v>
      </c>
      <c r="N898" s="57">
        <f t="shared" ref="N898:N961" si="53">SUM(E898*12.5%,F898*12.5%,H898*12.5%,I898*12.5%,G898*20%,J898*20%,M898)</f>
        <v>64.2</v>
      </c>
      <c r="O898" s="7" t="str">
        <f>VLOOKUP(N898,Helper!$B$30:$C$35,2,TRUE)</f>
        <v>C</v>
      </c>
      <c r="P898" s="56">
        <f>INDEX(Detail!$A$1:$A$1001,MATCH(B898,Detail!$G$1:$G$1001,0))</f>
        <v>38366</v>
      </c>
      <c r="Q898" s="33" t="str">
        <f>INDEX(Detail!$F$1:$F$1001,MATCH(Main!B898,Detail!$G$1:$G$1001,0))</f>
        <v>Sawahlunto</v>
      </c>
      <c r="R898" s="7">
        <f>INDEX(Detail!$C$1:$C$1001,MATCH(B898,Detail!$G$1:$G$1001,0),1)</f>
        <v>167</v>
      </c>
      <c r="S898" s="7">
        <f>INDEX(Detail!$D$1:$D$1001,MATCH(B898,Detail!$G$1:$G$1001,0),1)</f>
        <v>55</v>
      </c>
      <c r="T898" s="7" t="str">
        <f>INDEX(Detail!$E$1:$E$1001,MATCH(Main!B898,Detail!$G$1:$G$1001,0))</f>
        <v xml:space="preserve">Gg. Jend. Sudirman No. 8
</v>
      </c>
      <c r="U898" s="7" t="str">
        <f>INDEX(Detail!$B$1:$B$1001,MATCH(B898,Detail!$G$1:$G$1001,0),1)</f>
        <v>O-</v>
      </c>
      <c r="V898" s="7" t="str" cm="1">
        <f t="array" ref="V898">INDEX(Dosen!$B$3:$E$8,MATCH(Main!C898,Dosen!$A$3:$A$8,0),IF(AND(Main!A898&gt;=1,Main!A898&lt;=250),1,IF(AND(Main!A898&gt;=251,Main!A898&lt;=500),2,IF(AND(Main!A898&gt;=501,Main!A898&lt;=750),3,4))))</f>
        <v>Pak Krisna</v>
      </c>
      <c r="W898" s="7" t="str">
        <f>_xlfn.XLOOKUP(B898,Detail!$G$1:$G$1001,Detail!$B$1:$B$1001)</f>
        <v>O-</v>
      </c>
    </row>
    <row r="899" spans="1:23" ht="15.75" x14ac:dyDescent="0.25">
      <c r="A899" s="7">
        <v>329</v>
      </c>
      <c r="B899" s="33" t="str">
        <f t="shared" si="51"/>
        <v>F0329</v>
      </c>
      <c r="C899" s="7" t="s">
        <v>1011</v>
      </c>
      <c r="D899" s="33" t="str">
        <f>VLOOKUP(B899,Detail!$G$1:$H$1001,2,FALSE)</f>
        <v>Jamil Hardiansyah</v>
      </c>
      <c r="E899" s="7">
        <v>68</v>
      </c>
      <c r="F899" s="7">
        <v>55</v>
      </c>
      <c r="G899" s="57">
        <v>62</v>
      </c>
      <c r="H899" s="7">
        <v>70</v>
      </c>
      <c r="I899" s="7">
        <v>93</v>
      </c>
      <c r="J899" s="7">
        <v>83</v>
      </c>
      <c r="K899" s="7">
        <v>83</v>
      </c>
      <c r="L899" s="56">
        <f>IFERROR(VLOOKUP(B899,Absen!$A$1:$C$501,2,FALSE),"No")</f>
        <v>44883</v>
      </c>
      <c r="M899" s="58">
        <f t="shared" si="52"/>
        <v>7.3000000000000007</v>
      </c>
      <c r="N899" s="57">
        <f t="shared" si="53"/>
        <v>72.05</v>
      </c>
      <c r="O899" s="7" t="str">
        <f>VLOOKUP(N899,Helper!$B$30:$C$35,2,TRUE)</f>
        <v>B</v>
      </c>
      <c r="P899" s="56">
        <f>INDEX(Detail!$A$1:$A$1001,MATCH(B899,Detail!$G$1:$G$1001,0))</f>
        <v>37836</v>
      </c>
      <c r="Q899" s="33" t="str">
        <f>INDEX(Detail!$F$1:$F$1001,MATCH(Main!B899,Detail!$G$1:$G$1001,0))</f>
        <v>Bandar Lampung</v>
      </c>
      <c r="R899" s="7">
        <f>INDEX(Detail!$C$1:$C$1001,MATCH(B899,Detail!$G$1:$G$1001,0),1)</f>
        <v>158</v>
      </c>
      <c r="S899" s="7">
        <f>INDEX(Detail!$D$1:$D$1001,MATCH(B899,Detail!$G$1:$G$1001,0),1)</f>
        <v>65</v>
      </c>
      <c r="T899" s="7" t="str">
        <f>INDEX(Detail!$E$1:$E$1001,MATCH(Main!B899,Detail!$G$1:$G$1001,0))</f>
        <v xml:space="preserve">Jalan Jend. A. Yani No. 9
</v>
      </c>
      <c r="U899" s="7" t="str">
        <f>INDEX(Detail!$B$1:$B$1001,MATCH(B899,Detail!$G$1:$G$1001,0),1)</f>
        <v>O+</v>
      </c>
      <c r="V899" s="7" t="str" cm="1">
        <f t="array" ref="V899">INDEX(Dosen!$B$3:$E$8,MATCH(Main!C899,Dosen!$A$3:$A$8,0),IF(AND(Main!A899&gt;=1,Main!A899&lt;=250),1,IF(AND(Main!A899&gt;=251,Main!A899&lt;=500),2,IF(AND(Main!A899&gt;=501,Main!A899&lt;=750),3,4))))</f>
        <v>Pak Krisna</v>
      </c>
      <c r="W899" s="7" t="str">
        <f>_xlfn.XLOOKUP(B899,Detail!$G$1:$G$1001,Detail!$B$1:$B$1001)</f>
        <v>O+</v>
      </c>
    </row>
    <row r="900" spans="1:23" ht="15.75" x14ac:dyDescent="0.25">
      <c r="A900" s="7">
        <v>333</v>
      </c>
      <c r="B900" s="33" t="str">
        <f t="shared" si="51"/>
        <v>F0333</v>
      </c>
      <c r="C900" s="7" t="s">
        <v>1011</v>
      </c>
      <c r="D900" s="33" t="str">
        <f>VLOOKUP(B900,Detail!$G$1:$H$1001,2,FALSE)</f>
        <v>Kenari Waluyo</v>
      </c>
      <c r="E900" s="7">
        <v>64</v>
      </c>
      <c r="F900" s="7">
        <v>42</v>
      </c>
      <c r="G900" s="57">
        <v>69</v>
      </c>
      <c r="H900" s="7">
        <v>73</v>
      </c>
      <c r="I900" s="7">
        <v>64</v>
      </c>
      <c r="J900" s="7">
        <v>73</v>
      </c>
      <c r="K900" s="7">
        <v>74</v>
      </c>
      <c r="L900" s="56" t="str">
        <f>IFERROR(VLOOKUP(B900,Absen!$A$1:$C$501,2,FALSE),"No")</f>
        <v>No</v>
      </c>
      <c r="M900" s="58">
        <f t="shared" si="52"/>
        <v>7.4</v>
      </c>
      <c r="N900" s="57">
        <f t="shared" si="53"/>
        <v>66.174999999999997</v>
      </c>
      <c r="O900" s="7" t="str">
        <f>VLOOKUP(N900,Helper!$B$30:$C$35,2,TRUE)</f>
        <v>C</v>
      </c>
      <c r="P900" s="56">
        <f>INDEX(Detail!$A$1:$A$1001,MATCH(B900,Detail!$G$1:$G$1001,0))</f>
        <v>37828</v>
      </c>
      <c r="Q900" s="33" t="str">
        <f>INDEX(Detail!$F$1:$F$1001,MATCH(Main!B900,Detail!$G$1:$G$1001,0))</f>
        <v>Subulussalam</v>
      </c>
      <c r="R900" s="7">
        <f>INDEX(Detail!$C$1:$C$1001,MATCH(B900,Detail!$G$1:$G$1001,0),1)</f>
        <v>169</v>
      </c>
      <c r="S900" s="7">
        <f>INDEX(Detail!$D$1:$D$1001,MATCH(B900,Detail!$G$1:$G$1001,0),1)</f>
        <v>95</v>
      </c>
      <c r="T900" s="7" t="str">
        <f>INDEX(Detail!$E$1:$E$1001,MATCH(Main!B900,Detail!$G$1:$G$1001,0))</f>
        <v>Jl. Pacuan Kuda No. 55</v>
      </c>
      <c r="U900" s="7" t="str">
        <f>INDEX(Detail!$B$1:$B$1001,MATCH(B900,Detail!$G$1:$G$1001,0),1)</f>
        <v>B-</v>
      </c>
      <c r="V900" s="7" t="str" cm="1">
        <f t="array" ref="V900">INDEX(Dosen!$B$3:$E$8,MATCH(Main!C900,Dosen!$A$3:$A$8,0),IF(AND(Main!A900&gt;=1,Main!A900&lt;=250),1,IF(AND(Main!A900&gt;=251,Main!A900&lt;=500),2,IF(AND(Main!A900&gt;=501,Main!A900&lt;=750),3,4))))</f>
        <v>Pak Krisna</v>
      </c>
      <c r="W900" s="7" t="str">
        <f>_xlfn.XLOOKUP(B900,Detail!$G$1:$G$1001,Detail!$B$1:$B$1001)</f>
        <v>B-</v>
      </c>
    </row>
    <row r="901" spans="1:23" ht="15.75" x14ac:dyDescent="0.25">
      <c r="A901" s="7">
        <v>346</v>
      </c>
      <c r="B901" s="33" t="str">
        <f t="shared" si="51"/>
        <v>F0346</v>
      </c>
      <c r="C901" s="7" t="s">
        <v>1011</v>
      </c>
      <c r="D901" s="33" t="str">
        <f>VLOOKUP(B901,Detail!$G$1:$H$1001,2,FALSE)</f>
        <v>Tomi Pangestu</v>
      </c>
      <c r="E901" s="7">
        <v>65</v>
      </c>
      <c r="F901" s="7">
        <v>65</v>
      </c>
      <c r="G901" s="57">
        <v>91</v>
      </c>
      <c r="H901" s="7">
        <v>53</v>
      </c>
      <c r="I901" s="7">
        <v>83</v>
      </c>
      <c r="J901" s="7">
        <v>89</v>
      </c>
      <c r="K901" s="7">
        <v>94</v>
      </c>
      <c r="L901" s="56" t="str">
        <f>IFERROR(VLOOKUP(B901,Absen!$A$1:$C$501,2,FALSE),"No")</f>
        <v>No</v>
      </c>
      <c r="M901" s="58">
        <f t="shared" si="52"/>
        <v>9.4</v>
      </c>
      <c r="N901" s="57">
        <f t="shared" si="53"/>
        <v>78.650000000000006</v>
      </c>
      <c r="O901" s="7" t="str">
        <f>VLOOKUP(N901,Helper!$B$30:$C$35,2,TRUE)</f>
        <v>B</v>
      </c>
      <c r="P901" s="56">
        <f>INDEX(Detail!$A$1:$A$1001,MATCH(B901,Detail!$G$1:$G$1001,0))</f>
        <v>38156</v>
      </c>
      <c r="Q901" s="33" t="str">
        <f>INDEX(Detail!$F$1:$F$1001,MATCH(Main!B901,Detail!$G$1:$G$1001,0))</f>
        <v>Sawahlunto</v>
      </c>
      <c r="R901" s="7">
        <f>INDEX(Detail!$C$1:$C$1001,MATCH(B901,Detail!$G$1:$G$1001,0),1)</f>
        <v>161</v>
      </c>
      <c r="S901" s="7">
        <f>INDEX(Detail!$D$1:$D$1001,MATCH(B901,Detail!$G$1:$G$1001,0),1)</f>
        <v>66</v>
      </c>
      <c r="T901" s="7" t="str">
        <f>INDEX(Detail!$E$1:$E$1001,MATCH(Main!B901,Detail!$G$1:$G$1001,0))</f>
        <v>Gang S. Parman No. 79</v>
      </c>
      <c r="U901" s="7" t="str">
        <f>INDEX(Detail!$B$1:$B$1001,MATCH(B901,Detail!$G$1:$G$1001,0),1)</f>
        <v>A-</v>
      </c>
      <c r="V901" s="7" t="str" cm="1">
        <f t="array" ref="V901">INDEX(Dosen!$B$3:$E$8,MATCH(Main!C901,Dosen!$A$3:$A$8,0),IF(AND(Main!A901&gt;=1,Main!A901&lt;=250),1,IF(AND(Main!A901&gt;=251,Main!A901&lt;=500),2,IF(AND(Main!A901&gt;=501,Main!A901&lt;=750),3,4))))</f>
        <v>Pak Krisna</v>
      </c>
      <c r="W901" s="7" t="str">
        <f>_xlfn.XLOOKUP(B901,Detail!$G$1:$G$1001,Detail!$B$1:$B$1001)</f>
        <v>A-</v>
      </c>
    </row>
    <row r="902" spans="1:23" ht="15.75" x14ac:dyDescent="0.25">
      <c r="A902" s="7">
        <v>349</v>
      </c>
      <c r="B902" s="33" t="str">
        <f t="shared" ref="B902:B933" si="54">CONCATENATE("F",TEXT(A902,"0000"))</f>
        <v>F0349</v>
      </c>
      <c r="C902" s="7" t="s">
        <v>1011</v>
      </c>
      <c r="D902" s="33" t="str">
        <f>VLOOKUP(B902,Detail!$G$1:$H$1001,2,FALSE)</f>
        <v>Bala Sihotang</v>
      </c>
      <c r="E902" s="7">
        <v>68</v>
      </c>
      <c r="F902" s="7">
        <v>73</v>
      </c>
      <c r="G902" s="57">
        <v>80</v>
      </c>
      <c r="H902" s="7">
        <v>64</v>
      </c>
      <c r="I902" s="7">
        <v>53</v>
      </c>
      <c r="J902" s="7">
        <v>75</v>
      </c>
      <c r="K902" s="7">
        <v>95</v>
      </c>
      <c r="L902" s="56" t="str">
        <f>IFERROR(VLOOKUP(B902,Absen!$A$1:$C$501,2,FALSE),"No")</f>
        <v>No</v>
      </c>
      <c r="M902" s="58">
        <f t="shared" si="52"/>
        <v>9.5</v>
      </c>
      <c r="N902" s="57">
        <f t="shared" si="53"/>
        <v>72.75</v>
      </c>
      <c r="O902" s="7" t="str">
        <f>VLOOKUP(N902,Helper!$B$30:$C$35,2,TRUE)</f>
        <v>B</v>
      </c>
      <c r="P902" s="56">
        <f>INDEX(Detail!$A$1:$A$1001,MATCH(B902,Detail!$G$1:$G$1001,0))</f>
        <v>38226</v>
      </c>
      <c r="Q902" s="33" t="str">
        <f>INDEX(Detail!$F$1:$F$1001,MATCH(Main!B902,Detail!$G$1:$G$1001,0))</f>
        <v>Meulaboh</v>
      </c>
      <c r="R902" s="7">
        <f>INDEX(Detail!$C$1:$C$1001,MATCH(B902,Detail!$G$1:$G$1001,0),1)</f>
        <v>160</v>
      </c>
      <c r="S902" s="7">
        <f>INDEX(Detail!$D$1:$D$1001,MATCH(B902,Detail!$G$1:$G$1001,0),1)</f>
        <v>46</v>
      </c>
      <c r="T902" s="7" t="str">
        <f>INDEX(Detail!$E$1:$E$1001,MATCH(Main!B902,Detail!$G$1:$G$1001,0))</f>
        <v>Gg. Dipatiukur No. 07</v>
      </c>
      <c r="U902" s="7" t="str">
        <f>INDEX(Detail!$B$1:$B$1001,MATCH(B902,Detail!$G$1:$G$1001,0),1)</f>
        <v>O+</v>
      </c>
      <c r="V902" s="7" t="str" cm="1">
        <f t="array" ref="V902">INDEX(Dosen!$B$3:$E$8,MATCH(Main!C902,Dosen!$A$3:$A$8,0),IF(AND(Main!A902&gt;=1,Main!A902&lt;=250),1,IF(AND(Main!A902&gt;=251,Main!A902&lt;=500),2,IF(AND(Main!A902&gt;=501,Main!A902&lt;=750),3,4))))</f>
        <v>Pak Krisna</v>
      </c>
      <c r="W902" s="7" t="str">
        <f>_xlfn.XLOOKUP(B902,Detail!$G$1:$G$1001,Detail!$B$1:$B$1001)</f>
        <v>O+</v>
      </c>
    </row>
    <row r="903" spans="1:23" ht="15.75" x14ac:dyDescent="0.25">
      <c r="A903" s="7">
        <v>356</v>
      </c>
      <c r="B903" s="33" t="str">
        <f t="shared" si="54"/>
        <v>F0356</v>
      </c>
      <c r="C903" s="7" t="s">
        <v>1011</v>
      </c>
      <c r="D903" s="33" t="str">
        <f>VLOOKUP(B903,Detail!$G$1:$H$1001,2,FALSE)</f>
        <v>Gambira Melani</v>
      </c>
      <c r="E903" s="7">
        <v>78</v>
      </c>
      <c r="F903" s="7">
        <v>51</v>
      </c>
      <c r="G903" s="57">
        <v>39</v>
      </c>
      <c r="H903" s="7">
        <v>70</v>
      </c>
      <c r="I903" s="7">
        <v>75</v>
      </c>
      <c r="J903" s="7">
        <v>58</v>
      </c>
      <c r="K903" s="7">
        <v>84</v>
      </c>
      <c r="L903" s="56">
        <f>IFERROR(VLOOKUP(B903,Absen!$A$1:$C$501,2,FALSE),"No")</f>
        <v>44776</v>
      </c>
      <c r="M903" s="58">
        <f t="shared" si="52"/>
        <v>7.4</v>
      </c>
      <c r="N903" s="57">
        <f t="shared" si="53"/>
        <v>61.05</v>
      </c>
      <c r="O903" s="7" t="str">
        <f>VLOOKUP(N903,Helper!$B$30:$C$35,2,TRUE)</f>
        <v>C</v>
      </c>
      <c r="P903" s="56">
        <f>INDEX(Detail!$A$1:$A$1001,MATCH(B903,Detail!$G$1:$G$1001,0))</f>
        <v>37817</v>
      </c>
      <c r="Q903" s="33" t="str">
        <f>INDEX(Detail!$F$1:$F$1001,MATCH(Main!B903,Detail!$G$1:$G$1001,0))</f>
        <v>Balikpapan</v>
      </c>
      <c r="R903" s="7">
        <f>INDEX(Detail!$C$1:$C$1001,MATCH(B903,Detail!$G$1:$G$1001,0),1)</f>
        <v>163</v>
      </c>
      <c r="S903" s="7">
        <f>INDEX(Detail!$D$1:$D$1001,MATCH(B903,Detail!$G$1:$G$1001,0),1)</f>
        <v>64</v>
      </c>
      <c r="T903" s="7" t="str">
        <f>INDEX(Detail!$E$1:$E$1001,MATCH(Main!B903,Detail!$G$1:$G$1001,0))</f>
        <v>Jalan Suryakencana No. 20</v>
      </c>
      <c r="U903" s="7" t="str">
        <f>INDEX(Detail!$B$1:$B$1001,MATCH(B903,Detail!$G$1:$G$1001,0),1)</f>
        <v>O+</v>
      </c>
      <c r="V903" s="7" t="str" cm="1">
        <f t="array" ref="V903">INDEX(Dosen!$B$3:$E$8,MATCH(Main!C903,Dosen!$A$3:$A$8,0),IF(AND(Main!A903&gt;=1,Main!A903&lt;=250),1,IF(AND(Main!A903&gt;=251,Main!A903&lt;=500),2,IF(AND(Main!A903&gt;=501,Main!A903&lt;=750),3,4))))</f>
        <v>Pak Krisna</v>
      </c>
      <c r="W903" s="7" t="str">
        <f>_xlfn.XLOOKUP(B903,Detail!$G$1:$G$1001,Detail!$B$1:$B$1001)</f>
        <v>O+</v>
      </c>
    </row>
    <row r="904" spans="1:23" ht="15.75" x14ac:dyDescent="0.25">
      <c r="A904" s="7">
        <v>360</v>
      </c>
      <c r="B904" s="33" t="str">
        <f t="shared" si="54"/>
        <v>F0360</v>
      </c>
      <c r="C904" s="7" t="s">
        <v>1011</v>
      </c>
      <c r="D904" s="33" t="str">
        <f>VLOOKUP(B904,Detail!$G$1:$H$1001,2,FALSE)</f>
        <v>Capa Prakasa</v>
      </c>
      <c r="E904" s="7">
        <v>94</v>
      </c>
      <c r="F904" s="7">
        <v>52</v>
      </c>
      <c r="G904" s="57">
        <v>61</v>
      </c>
      <c r="H904" s="7">
        <v>55</v>
      </c>
      <c r="I904" s="7">
        <v>67</v>
      </c>
      <c r="J904" s="7">
        <v>77</v>
      </c>
      <c r="K904" s="7">
        <v>83</v>
      </c>
      <c r="L904" s="56" t="str">
        <f>IFERROR(VLOOKUP(B904,Absen!$A$1:$C$501,2,FALSE),"No")</f>
        <v>No</v>
      </c>
      <c r="M904" s="58">
        <f t="shared" si="52"/>
        <v>8.3000000000000007</v>
      </c>
      <c r="N904" s="57">
        <f t="shared" si="53"/>
        <v>69.400000000000006</v>
      </c>
      <c r="O904" s="7" t="str">
        <f>VLOOKUP(N904,Helper!$B$30:$C$35,2,TRUE)</f>
        <v>C</v>
      </c>
      <c r="P904" s="56">
        <f>INDEX(Detail!$A$1:$A$1001,MATCH(B904,Detail!$G$1:$G$1001,0))</f>
        <v>38087</v>
      </c>
      <c r="Q904" s="33" t="str">
        <f>INDEX(Detail!$F$1:$F$1001,MATCH(Main!B904,Detail!$G$1:$G$1001,0))</f>
        <v>Kota Administrasi Jakarta Timur</v>
      </c>
      <c r="R904" s="7">
        <f>INDEX(Detail!$C$1:$C$1001,MATCH(B904,Detail!$G$1:$G$1001,0),1)</f>
        <v>150</v>
      </c>
      <c r="S904" s="7">
        <f>INDEX(Detail!$D$1:$D$1001,MATCH(B904,Detail!$G$1:$G$1001,0),1)</f>
        <v>59</v>
      </c>
      <c r="T904" s="7" t="str">
        <f>INDEX(Detail!$E$1:$E$1001,MATCH(Main!B904,Detail!$G$1:$G$1001,0))</f>
        <v>Jalan Abdul Muis No. 50</v>
      </c>
      <c r="U904" s="7" t="str">
        <f>INDEX(Detail!$B$1:$B$1001,MATCH(B904,Detail!$G$1:$G$1001,0),1)</f>
        <v>O+</v>
      </c>
      <c r="V904" s="7" t="str" cm="1">
        <f t="array" ref="V904">INDEX(Dosen!$B$3:$E$8,MATCH(Main!C904,Dosen!$A$3:$A$8,0),IF(AND(Main!A904&gt;=1,Main!A904&lt;=250),1,IF(AND(Main!A904&gt;=251,Main!A904&lt;=500),2,IF(AND(Main!A904&gt;=501,Main!A904&lt;=750),3,4))))</f>
        <v>Pak Krisna</v>
      </c>
      <c r="W904" s="7" t="str">
        <f>_xlfn.XLOOKUP(B904,Detail!$G$1:$G$1001,Detail!$B$1:$B$1001)</f>
        <v>O+</v>
      </c>
    </row>
    <row r="905" spans="1:23" ht="15.75" x14ac:dyDescent="0.25">
      <c r="A905" s="7">
        <v>361</v>
      </c>
      <c r="B905" s="33" t="str">
        <f t="shared" si="54"/>
        <v>F0361</v>
      </c>
      <c r="C905" s="7" t="s">
        <v>1011</v>
      </c>
      <c r="D905" s="33" t="str">
        <f>VLOOKUP(B905,Detail!$G$1:$H$1001,2,FALSE)</f>
        <v>Parman Gunawan</v>
      </c>
      <c r="E905" s="7">
        <v>89</v>
      </c>
      <c r="F905" s="7">
        <v>69</v>
      </c>
      <c r="G905" s="57">
        <v>34</v>
      </c>
      <c r="H905" s="7">
        <v>69</v>
      </c>
      <c r="I905" s="7">
        <v>69</v>
      </c>
      <c r="J905" s="7">
        <v>81</v>
      </c>
      <c r="K905" s="7">
        <v>62</v>
      </c>
      <c r="L905" s="56">
        <f>IFERROR(VLOOKUP(B905,Absen!$A$1:$C$501,2,FALSE),"No")</f>
        <v>44809</v>
      </c>
      <c r="M905" s="58">
        <f t="shared" si="52"/>
        <v>5.2</v>
      </c>
      <c r="N905" s="57">
        <f t="shared" si="53"/>
        <v>65.2</v>
      </c>
      <c r="O905" s="7" t="str">
        <f>VLOOKUP(N905,Helper!$B$30:$C$35,2,TRUE)</f>
        <v>C</v>
      </c>
      <c r="P905" s="56">
        <f>INDEX(Detail!$A$1:$A$1001,MATCH(B905,Detail!$G$1:$G$1001,0))</f>
        <v>38130</v>
      </c>
      <c r="Q905" s="33" t="str">
        <f>INDEX(Detail!$F$1:$F$1001,MATCH(Main!B905,Detail!$G$1:$G$1001,0))</f>
        <v>Sibolga</v>
      </c>
      <c r="R905" s="7">
        <f>INDEX(Detail!$C$1:$C$1001,MATCH(B905,Detail!$G$1:$G$1001,0),1)</f>
        <v>163</v>
      </c>
      <c r="S905" s="7">
        <f>INDEX(Detail!$D$1:$D$1001,MATCH(B905,Detail!$G$1:$G$1001,0),1)</f>
        <v>55</v>
      </c>
      <c r="T905" s="7" t="str">
        <f>INDEX(Detail!$E$1:$E$1001,MATCH(Main!B905,Detail!$G$1:$G$1001,0))</f>
        <v xml:space="preserve">Jl. Jend. Sudirman No. 4
</v>
      </c>
      <c r="U905" s="7" t="str">
        <f>INDEX(Detail!$B$1:$B$1001,MATCH(B905,Detail!$G$1:$G$1001,0),1)</f>
        <v>AB-</v>
      </c>
      <c r="V905" s="7" t="str" cm="1">
        <f t="array" ref="V905">INDEX(Dosen!$B$3:$E$8,MATCH(Main!C905,Dosen!$A$3:$A$8,0),IF(AND(Main!A905&gt;=1,Main!A905&lt;=250),1,IF(AND(Main!A905&gt;=251,Main!A905&lt;=500),2,IF(AND(Main!A905&gt;=501,Main!A905&lt;=750),3,4))))</f>
        <v>Pak Krisna</v>
      </c>
      <c r="W905" s="7" t="str">
        <f>_xlfn.XLOOKUP(B905,Detail!$G$1:$G$1001,Detail!$B$1:$B$1001)</f>
        <v>AB-</v>
      </c>
    </row>
    <row r="906" spans="1:23" ht="15.75" x14ac:dyDescent="0.25">
      <c r="A906" s="7">
        <v>368</v>
      </c>
      <c r="B906" s="33" t="str">
        <f t="shared" si="54"/>
        <v>F0368</v>
      </c>
      <c r="C906" s="7" t="s">
        <v>1011</v>
      </c>
      <c r="D906" s="33" t="str">
        <f>VLOOKUP(B906,Detail!$G$1:$H$1001,2,FALSE)</f>
        <v>Baktiono Mandasari</v>
      </c>
      <c r="E906" s="7">
        <v>53</v>
      </c>
      <c r="F906" s="7">
        <v>58</v>
      </c>
      <c r="G906" s="57">
        <v>45</v>
      </c>
      <c r="H906" s="7">
        <v>61</v>
      </c>
      <c r="I906" s="7">
        <v>71</v>
      </c>
      <c r="J906" s="7">
        <v>96</v>
      </c>
      <c r="K906" s="7">
        <v>95</v>
      </c>
      <c r="L906" s="56">
        <f>IFERROR(VLOOKUP(B906,Absen!$A$1:$C$501,2,FALSE),"No")</f>
        <v>44803</v>
      </c>
      <c r="M906" s="58">
        <f t="shared" si="52"/>
        <v>8.5</v>
      </c>
      <c r="N906" s="57">
        <f t="shared" si="53"/>
        <v>67.075000000000003</v>
      </c>
      <c r="O906" s="7" t="str">
        <f>VLOOKUP(N906,Helper!$B$30:$C$35,2,TRUE)</f>
        <v>C</v>
      </c>
      <c r="P906" s="56">
        <f>INDEX(Detail!$A$1:$A$1001,MATCH(B906,Detail!$G$1:$G$1001,0))</f>
        <v>37170</v>
      </c>
      <c r="Q906" s="33" t="str">
        <f>INDEX(Detail!$F$1:$F$1001,MATCH(Main!B906,Detail!$G$1:$G$1001,0))</f>
        <v>Denpasar</v>
      </c>
      <c r="R906" s="7">
        <f>INDEX(Detail!$C$1:$C$1001,MATCH(B906,Detail!$G$1:$G$1001,0),1)</f>
        <v>166</v>
      </c>
      <c r="S906" s="7">
        <f>INDEX(Detail!$D$1:$D$1001,MATCH(B906,Detail!$G$1:$G$1001,0),1)</f>
        <v>85</v>
      </c>
      <c r="T906" s="7" t="str">
        <f>INDEX(Detail!$E$1:$E$1001,MATCH(Main!B906,Detail!$G$1:$G$1001,0))</f>
        <v>Gang Kapten Muslihat No. 86</v>
      </c>
      <c r="U906" s="7" t="str">
        <f>INDEX(Detail!$B$1:$B$1001,MATCH(B906,Detail!$G$1:$G$1001,0),1)</f>
        <v>B-</v>
      </c>
      <c r="V906" s="7" t="str" cm="1">
        <f t="array" ref="V906">INDEX(Dosen!$B$3:$E$8,MATCH(Main!C906,Dosen!$A$3:$A$8,0),IF(AND(Main!A906&gt;=1,Main!A906&lt;=250),1,IF(AND(Main!A906&gt;=251,Main!A906&lt;=500),2,IF(AND(Main!A906&gt;=501,Main!A906&lt;=750),3,4))))</f>
        <v>Pak Krisna</v>
      </c>
      <c r="W906" s="7" t="str">
        <f>_xlfn.XLOOKUP(B906,Detail!$G$1:$G$1001,Detail!$B$1:$B$1001)</f>
        <v>B-</v>
      </c>
    </row>
    <row r="907" spans="1:23" ht="15.75" x14ac:dyDescent="0.25">
      <c r="A907" s="7">
        <v>369</v>
      </c>
      <c r="B907" s="33" t="str">
        <f t="shared" si="54"/>
        <v>F0369</v>
      </c>
      <c r="C907" s="7" t="s">
        <v>1011</v>
      </c>
      <c r="D907" s="33" t="str">
        <f>VLOOKUP(B907,Detail!$G$1:$H$1001,2,FALSE)</f>
        <v>Jasmani Wahyudin</v>
      </c>
      <c r="E907" s="7">
        <v>61</v>
      </c>
      <c r="F907" s="7">
        <v>69</v>
      </c>
      <c r="G907" s="57">
        <v>83</v>
      </c>
      <c r="H907" s="7">
        <v>52</v>
      </c>
      <c r="I907" s="7">
        <v>69</v>
      </c>
      <c r="J907" s="7">
        <v>60</v>
      </c>
      <c r="K907" s="7">
        <v>71</v>
      </c>
      <c r="L907" s="56">
        <f>IFERROR(VLOOKUP(B907,Absen!$A$1:$C$501,2,FALSE),"No")</f>
        <v>44856</v>
      </c>
      <c r="M907" s="58">
        <f t="shared" si="52"/>
        <v>6.1000000000000005</v>
      </c>
      <c r="N907" s="57">
        <f t="shared" si="53"/>
        <v>66.075000000000003</v>
      </c>
      <c r="O907" s="7" t="str">
        <f>VLOOKUP(N907,Helper!$B$30:$C$35,2,TRUE)</f>
        <v>C</v>
      </c>
      <c r="P907" s="56">
        <f>INDEX(Detail!$A$1:$A$1001,MATCH(B907,Detail!$G$1:$G$1001,0))</f>
        <v>38433</v>
      </c>
      <c r="Q907" s="33" t="str">
        <f>INDEX(Detail!$F$1:$F$1001,MATCH(Main!B907,Detail!$G$1:$G$1001,0))</f>
        <v>Sibolga</v>
      </c>
      <c r="R907" s="7">
        <f>INDEX(Detail!$C$1:$C$1001,MATCH(B907,Detail!$G$1:$G$1001,0),1)</f>
        <v>180</v>
      </c>
      <c r="S907" s="7">
        <f>INDEX(Detail!$D$1:$D$1001,MATCH(B907,Detail!$G$1:$G$1001,0),1)</f>
        <v>73</v>
      </c>
      <c r="T907" s="7" t="str">
        <f>INDEX(Detail!$E$1:$E$1001,MATCH(Main!B907,Detail!$G$1:$G$1001,0))</f>
        <v xml:space="preserve">Jalan Wonoayu No. 1
</v>
      </c>
      <c r="U907" s="7" t="str">
        <f>INDEX(Detail!$B$1:$B$1001,MATCH(B907,Detail!$G$1:$G$1001,0),1)</f>
        <v>B-</v>
      </c>
      <c r="V907" s="7" t="str" cm="1">
        <f t="array" ref="V907">INDEX(Dosen!$B$3:$E$8,MATCH(Main!C907,Dosen!$A$3:$A$8,0),IF(AND(Main!A907&gt;=1,Main!A907&lt;=250),1,IF(AND(Main!A907&gt;=251,Main!A907&lt;=500),2,IF(AND(Main!A907&gt;=501,Main!A907&lt;=750),3,4))))</f>
        <v>Pak Krisna</v>
      </c>
      <c r="W907" s="7" t="str">
        <f>_xlfn.XLOOKUP(B907,Detail!$G$1:$G$1001,Detail!$B$1:$B$1001)</f>
        <v>B-</v>
      </c>
    </row>
    <row r="908" spans="1:23" ht="15.75" x14ac:dyDescent="0.25">
      <c r="A908" s="7">
        <v>374</v>
      </c>
      <c r="B908" s="33" t="str">
        <f t="shared" si="54"/>
        <v>F0374</v>
      </c>
      <c r="C908" s="7" t="s">
        <v>1011</v>
      </c>
      <c r="D908" s="33" t="str">
        <f>VLOOKUP(B908,Detail!$G$1:$H$1001,2,FALSE)</f>
        <v>Cengkir Hutapea</v>
      </c>
      <c r="E908" s="7">
        <v>55</v>
      </c>
      <c r="F908" s="7">
        <v>45</v>
      </c>
      <c r="G908" s="57">
        <v>84</v>
      </c>
      <c r="H908" s="7">
        <v>75</v>
      </c>
      <c r="I908" s="7">
        <v>57</v>
      </c>
      <c r="J908" s="7">
        <v>69</v>
      </c>
      <c r="K908" s="7">
        <v>91</v>
      </c>
      <c r="L908" s="56">
        <f>IFERROR(VLOOKUP(B908,Absen!$A$1:$C$501,2,FALSE),"No")</f>
        <v>44907</v>
      </c>
      <c r="M908" s="58">
        <f t="shared" si="52"/>
        <v>8.1</v>
      </c>
      <c r="N908" s="57">
        <f t="shared" si="53"/>
        <v>67.699999999999989</v>
      </c>
      <c r="O908" s="7" t="str">
        <f>VLOOKUP(N908,Helper!$B$30:$C$35,2,TRUE)</f>
        <v>C</v>
      </c>
      <c r="P908" s="56">
        <f>INDEX(Detail!$A$1:$A$1001,MATCH(B908,Detail!$G$1:$G$1001,0))</f>
        <v>37041</v>
      </c>
      <c r="Q908" s="33" t="str">
        <f>INDEX(Detail!$F$1:$F$1001,MATCH(Main!B908,Detail!$G$1:$G$1001,0))</f>
        <v>Padang</v>
      </c>
      <c r="R908" s="7">
        <f>INDEX(Detail!$C$1:$C$1001,MATCH(B908,Detail!$G$1:$G$1001,0),1)</f>
        <v>164</v>
      </c>
      <c r="S908" s="7">
        <f>INDEX(Detail!$D$1:$D$1001,MATCH(B908,Detail!$G$1:$G$1001,0),1)</f>
        <v>46</v>
      </c>
      <c r="T908" s="7" t="str">
        <f>INDEX(Detail!$E$1:$E$1001,MATCH(Main!B908,Detail!$G$1:$G$1001,0))</f>
        <v>Gang Gedebage Selatan No. 09</v>
      </c>
      <c r="U908" s="7" t="str">
        <f>INDEX(Detail!$B$1:$B$1001,MATCH(B908,Detail!$G$1:$G$1001,0),1)</f>
        <v>A+</v>
      </c>
      <c r="V908" s="7" t="str" cm="1">
        <f t="array" ref="V908">INDEX(Dosen!$B$3:$E$8,MATCH(Main!C908,Dosen!$A$3:$A$8,0),IF(AND(Main!A908&gt;=1,Main!A908&lt;=250),1,IF(AND(Main!A908&gt;=251,Main!A908&lt;=500),2,IF(AND(Main!A908&gt;=501,Main!A908&lt;=750),3,4))))</f>
        <v>Pak Krisna</v>
      </c>
      <c r="W908" s="7" t="str">
        <f>_xlfn.XLOOKUP(B908,Detail!$G$1:$G$1001,Detail!$B$1:$B$1001)</f>
        <v>A+</v>
      </c>
    </row>
    <row r="909" spans="1:23" ht="15.75" x14ac:dyDescent="0.25">
      <c r="A909" s="7">
        <v>376</v>
      </c>
      <c r="B909" s="33" t="str">
        <f t="shared" si="54"/>
        <v>F0376</v>
      </c>
      <c r="C909" s="7" t="s">
        <v>1011</v>
      </c>
      <c r="D909" s="33" t="str">
        <f>VLOOKUP(B909,Detail!$G$1:$H$1001,2,FALSE)</f>
        <v>Harsana Mandasari</v>
      </c>
      <c r="E909" s="7">
        <v>51</v>
      </c>
      <c r="F909" s="7">
        <v>40</v>
      </c>
      <c r="G909" s="57">
        <v>91</v>
      </c>
      <c r="H909" s="7">
        <v>70</v>
      </c>
      <c r="I909" s="7">
        <v>80</v>
      </c>
      <c r="J909" s="7">
        <v>61</v>
      </c>
      <c r="K909" s="7">
        <v>61</v>
      </c>
      <c r="L909" s="56">
        <f>IFERROR(VLOOKUP(B909,Absen!$A$1:$C$501,2,FALSE),"No")</f>
        <v>44806</v>
      </c>
      <c r="M909" s="58">
        <f t="shared" si="52"/>
        <v>5.1000000000000005</v>
      </c>
      <c r="N909" s="57">
        <f t="shared" si="53"/>
        <v>65.625</v>
      </c>
      <c r="O909" s="7" t="str">
        <f>VLOOKUP(N909,Helper!$B$30:$C$35,2,TRUE)</f>
        <v>C</v>
      </c>
      <c r="P909" s="56">
        <f>INDEX(Detail!$A$1:$A$1001,MATCH(B909,Detail!$G$1:$G$1001,0))</f>
        <v>38411</v>
      </c>
      <c r="Q909" s="33" t="str">
        <f>INDEX(Detail!$F$1:$F$1001,MATCH(Main!B909,Detail!$G$1:$G$1001,0))</f>
        <v>Pekalongan</v>
      </c>
      <c r="R909" s="7">
        <f>INDEX(Detail!$C$1:$C$1001,MATCH(B909,Detail!$G$1:$G$1001,0),1)</f>
        <v>173</v>
      </c>
      <c r="S909" s="7">
        <f>INDEX(Detail!$D$1:$D$1001,MATCH(B909,Detail!$G$1:$G$1001,0),1)</f>
        <v>76</v>
      </c>
      <c r="T909" s="7" t="str">
        <f>INDEX(Detail!$E$1:$E$1001,MATCH(Main!B909,Detail!$G$1:$G$1001,0))</f>
        <v>Jalan Yos Sudarso No. 57</v>
      </c>
      <c r="U909" s="7" t="str">
        <f>INDEX(Detail!$B$1:$B$1001,MATCH(B909,Detail!$G$1:$G$1001,0),1)</f>
        <v>B-</v>
      </c>
      <c r="V909" s="7" t="str" cm="1">
        <f t="array" ref="V909">INDEX(Dosen!$B$3:$E$8,MATCH(Main!C909,Dosen!$A$3:$A$8,0),IF(AND(Main!A909&gt;=1,Main!A909&lt;=250),1,IF(AND(Main!A909&gt;=251,Main!A909&lt;=500),2,IF(AND(Main!A909&gt;=501,Main!A909&lt;=750),3,4))))</f>
        <v>Pak Krisna</v>
      </c>
      <c r="W909" s="7" t="str">
        <f>_xlfn.XLOOKUP(B909,Detail!$G$1:$G$1001,Detail!$B$1:$B$1001)</f>
        <v>B-</v>
      </c>
    </row>
    <row r="910" spans="1:23" ht="15.75" x14ac:dyDescent="0.25">
      <c r="A910" s="7">
        <v>384</v>
      </c>
      <c r="B910" s="33" t="str">
        <f t="shared" si="54"/>
        <v>F0384</v>
      </c>
      <c r="C910" s="7" t="s">
        <v>1011</v>
      </c>
      <c r="D910" s="33" t="str">
        <f>VLOOKUP(B910,Detail!$G$1:$H$1001,2,FALSE)</f>
        <v>Zulfa Utami</v>
      </c>
      <c r="E910" s="7">
        <v>55</v>
      </c>
      <c r="F910" s="7">
        <v>57</v>
      </c>
      <c r="G910" s="57">
        <v>84</v>
      </c>
      <c r="H910" s="7">
        <v>50</v>
      </c>
      <c r="I910" s="7">
        <v>62</v>
      </c>
      <c r="J910" s="7">
        <v>99</v>
      </c>
      <c r="K910" s="7">
        <v>87</v>
      </c>
      <c r="L910" s="56" t="str">
        <f>IFERROR(VLOOKUP(B910,Absen!$A$1:$C$501,2,FALSE),"No")</f>
        <v>No</v>
      </c>
      <c r="M910" s="58">
        <f t="shared" si="52"/>
        <v>8.7000000000000011</v>
      </c>
      <c r="N910" s="57">
        <f t="shared" si="53"/>
        <v>73.3</v>
      </c>
      <c r="O910" s="7" t="str">
        <f>VLOOKUP(N910,Helper!$B$30:$C$35,2,TRUE)</f>
        <v>B</v>
      </c>
      <c r="P910" s="56">
        <f>INDEX(Detail!$A$1:$A$1001,MATCH(B910,Detail!$G$1:$G$1001,0))</f>
        <v>38374</v>
      </c>
      <c r="Q910" s="33" t="str">
        <f>INDEX(Detail!$F$1:$F$1001,MATCH(Main!B910,Detail!$G$1:$G$1001,0))</f>
        <v>Ternate</v>
      </c>
      <c r="R910" s="7">
        <f>INDEX(Detail!$C$1:$C$1001,MATCH(B910,Detail!$G$1:$G$1001,0),1)</f>
        <v>173</v>
      </c>
      <c r="S910" s="7">
        <f>INDEX(Detail!$D$1:$D$1001,MATCH(B910,Detail!$G$1:$G$1001,0),1)</f>
        <v>55</v>
      </c>
      <c r="T910" s="7" t="str">
        <f>INDEX(Detail!$E$1:$E$1001,MATCH(Main!B910,Detail!$G$1:$G$1001,0))</f>
        <v>Gang Pasir Koja No. 23</v>
      </c>
      <c r="U910" s="7" t="str">
        <f>INDEX(Detail!$B$1:$B$1001,MATCH(B910,Detail!$G$1:$G$1001,0),1)</f>
        <v>B-</v>
      </c>
      <c r="V910" s="7" t="str" cm="1">
        <f t="array" ref="V910">INDEX(Dosen!$B$3:$E$8,MATCH(Main!C910,Dosen!$A$3:$A$8,0),IF(AND(Main!A910&gt;=1,Main!A910&lt;=250),1,IF(AND(Main!A910&gt;=251,Main!A910&lt;=500),2,IF(AND(Main!A910&gt;=501,Main!A910&lt;=750),3,4))))</f>
        <v>Pak Krisna</v>
      </c>
      <c r="W910" s="7" t="str">
        <f>_xlfn.XLOOKUP(B910,Detail!$G$1:$G$1001,Detail!$B$1:$B$1001)</f>
        <v>B-</v>
      </c>
    </row>
    <row r="911" spans="1:23" ht="15.75" x14ac:dyDescent="0.25">
      <c r="A911" s="7">
        <v>392</v>
      </c>
      <c r="B911" s="33" t="str">
        <f t="shared" si="54"/>
        <v>F0392</v>
      </c>
      <c r="C911" s="7" t="s">
        <v>1011</v>
      </c>
      <c r="D911" s="33" t="str">
        <f>VLOOKUP(B911,Detail!$G$1:$H$1001,2,FALSE)</f>
        <v>Kusuma Andriani</v>
      </c>
      <c r="E911" s="7">
        <v>53</v>
      </c>
      <c r="F911" s="7">
        <v>58</v>
      </c>
      <c r="G911" s="57">
        <v>75</v>
      </c>
      <c r="H911" s="7">
        <v>63</v>
      </c>
      <c r="I911" s="7">
        <v>70</v>
      </c>
      <c r="J911" s="7">
        <v>51</v>
      </c>
      <c r="K911" s="7">
        <v>77</v>
      </c>
      <c r="L911" s="56">
        <f>IFERROR(VLOOKUP(B911,Absen!$A$1:$C$501,2,FALSE),"No")</f>
        <v>44869</v>
      </c>
      <c r="M911" s="58">
        <f t="shared" si="52"/>
        <v>6.7</v>
      </c>
      <c r="N911" s="57">
        <f t="shared" si="53"/>
        <v>62.400000000000006</v>
      </c>
      <c r="O911" s="7" t="str">
        <f>VLOOKUP(N911,Helper!$B$30:$C$35,2,TRUE)</f>
        <v>C</v>
      </c>
      <c r="P911" s="56">
        <f>INDEX(Detail!$A$1:$A$1001,MATCH(B911,Detail!$G$1:$G$1001,0))</f>
        <v>38258</v>
      </c>
      <c r="Q911" s="33" t="str">
        <f>INDEX(Detail!$F$1:$F$1001,MATCH(Main!B911,Detail!$G$1:$G$1001,0))</f>
        <v>Mataram</v>
      </c>
      <c r="R911" s="7">
        <f>INDEX(Detail!$C$1:$C$1001,MATCH(B911,Detail!$G$1:$G$1001,0),1)</f>
        <v>150</v>
      </c>
      <c r="S911" s="7">
        <f>INDEX(Detail!$D$1:$D$1001,MATCH(B911,Detail!$G$1:$G$1001,0),1)</f>
        <v>80</v>
      </c>
      <c r="T911" s="7" t="str">
        <f>INDEX(Detail!$E$1:$E$1001,MATCH(Main!B911,Detail!$G$1:$G$1001,0))</f>
        <v>Jl. Merdeka No. 55</v>
      </c>
      <c r="U911" s="7" t="str">
        <f>INDEX(Detail!$B$1:$B$1001,MATCH(B911,Detail!$G$1:$G$1001,0),1)</f>
        <v>A+</v>
      </c>
      <c r="V911" s="7" t="str" cm="1">
        <f t="array" ref="V911">INDEX(Dosen!$B$3:$E$8,MATCH(Main!C911,Dosen!$A$3:$A$8,0),IF(AND(Main!A911&gt;=1,Main!A911&lt;=250),1,IF(AND(Main!A911&gt;=251,Main!A911&lt;=500),2,IF(AND(Main!A911&gt;=501,Main!A911&lt;=750),3,4))))</f>
        <v>Pak Krisna</v>
      </c>
      <c r="W911" s="7" t="str">
        <f>_xlfn.XLOOKUP(B911,Detail!$G$1:$G$1001,Detail!$B$1:$B$1001)</f>
        <v>A+</v>
      </c>
    </row>
    <row r="912" spans="1:23" ht="15.75" x14ac:dyDescent="0.25">
      <c r="A912" s="7">
        <v>403</v>
      </c>
      <c r="B912" s="33" t="str">
        <f t="shared" si="54"/>
        <v>F0403</v>
      </c>
      <c r="C912" s="7" t="s">
        <v>1011</v>
      </c>
      <c r="D912" s="33" t="str">
        <f>VLOOKUP(B912,Detail!$G$1:$H$1001,2,FALSE)</f>
        <v>Edi Prasetya</v>
      </c>
      <c r="E912" s="7">
        <v>60</v>
      </c>
      <c r="F912" s="7">
        <v>72</v>
      </c>
      <c r="G912" s="57">
        <v>35</v>
      </c>
      <c r="H912" s="7">
        <v>55</v>
      </c>
      <c r="I912" s="7">
        <v>88</v>
      </c>
      <c r="J912" s="7">
        <v>55</v>
      </c>
      <c r="K912" s="7">
        <v>89</v>
      </c>
      <c r="L912" s="56" t="str">
        <f>IFERROR(VLOOKUP(B912,Absen!$A$1:$C$501,2,FALSE),"No")</f>
        <v>No</v>
      </c>
      <c r="M912" s="58">
        <f t="shared" si="52"/>
        <v>8.9</v>
      </c>
      <c r="N912" s="57">
        <f t="shared" si="53"/>
        <v>61.274999999999999</v>
      </c>
      <c r="O912" s="7" t="str">
        <f>VLOOKUP(N912,Helper!$B$30:$C$35,2,TRUE)</f>
        <v>C</v>
      </c>
      <c r="P912" s="56">
        <f>INDEX(Detail!$A$1:$A$1001,MATCH(B912,Detail!$G$1:$G$1001,0))</f>
        <v>37808</v>
      </c>
      <c r="Q912" s="33" t="str">
        <f>INDEX(Detail!$F$1:$F$1001,MATCH(Main!B912,Detail!$G$1:$G$1001,0))</f>
        <v>Tual</v>
      </c>
      <c r="R912" s="7">
        <f>INDEX(Detail!$C$1:$C$1001,MATCH(B912,Detail!$G$1:$G$1001,0),1)</f>
        <v>174</v>
      </c>
      <c r="S912" s="7">
        <f>INDEX(Detail!$D$1:$D$1001,MATCH(B912,Detail!$G$1:$G$1001,0),1)</f>
        <v>86</v>
      </c>
      <c r="T912" s="7" t="str">
        <f>INDEX(Detail!$E$1:$E$1001,MATCH(Main!B912,Detail!$G$1:$G$1001,0))</f>
        <v>Gg. Pelajar Pejuang No. 62</v>
      </c>
      <c r="U912" s="7" t="str">
        <f>INDEX(Detail!$B$1:$B$1001,MATCH(B912,Detail!$G$1:$G$1001,0),1)</f>
        <v>AB-</v>
      </c>
      <c r="V912" s="7" t="str" cm="1">
        <f t="array" ref="V912">INDEX(Dosen!$B$3:$E$8,MATCH(Main!C912,Dosen!$A$3:$A$8,0),IF(AND(Main!A912&gt;=1,Main!A912&lt;=250),1,IF(AND(Main!A912&gt;=251,Main!A912&lt;=500),2,IF(AND(Main!A912&gt;=501,Main!A912&lt;=750),3,4))))</f>
        <v>Pak Krisna</v>
      </c>
      <c r="W912" s="7" t="str">
        <f>_xlfn.XLOOKUP(B912,Detail!$G$1:$G$1001,Detail!$B$1:$B$1001)</f>
        <v>AB-</v>
      </c>
    </row>
    <row r="913" spans="1:23" ht="15.75" x14ac:dyDescent="0.25">
      <c r="A913" s="7">
        <v>408</v>
      </c>
      <c r="B913" s="33" t="str">
        <f t="shared" si="54"/>
        <v>F0408</v>
      </c>
      <c r="C913" s="7" t="s">
        <v>1011</v>
      </c>
      <c r="D913" s="33" t="str">
        <f>VLOOKUP(B913,Detail!$G$1:$H$1001,2,FALSE)</f>
        <v>Raihan Laksita</v>
      </c>
      <c r="E913" s="7">
        <v>82</v>
      </c>
      <c r="F913" s="7">
        <v>60</v>
      </c>
      <c r="G913" s="57">
        <v>47</v>
      </c>
      <c r="H913" s="7">
        <v>68</v>
      </c>
      <c r="I913" s="7">
        <v>94</v>
      </c>
      <c r="J913" s="7">
        <v>48</v>
      </c>
      <c r="K913" s="7">
        <v>99</v>
      </c>
      <c r="L913" s="56">
        <f>IFERROR(VLOOKUP(B913,Absen!$A$1:$C$501,2,FALSE),"No")</f>
        <v>44887</v>
      </c>
      <c r="M913" s="58">
        <f t="shared" si="52"/>
        <v>8.9</v>
      </c>
      <c r="N913" s="57">
        <f t="shared" si="53"/>
        <v>65.900000000000006</v>
      </c>
      <c r="O913" s="7" t="str">
        <f>VLOOKUP(N913,Helper!$B$30:$C$35,2,TRUE)</f>
        <v>C</v>
      </c>
      <c r="P913" s="56">
        <f>INDEX(Detail!$A$1:$A$1001,MATCH(B913,Detail!$G$1:$G$1001,0))</f>
        <v>37442</v>
      </c>
      <c r="Q913" s="33" t="str">
        <f>INDEX(Detail!$F$1:$F$1001,MATCH(Main!B913,Detail!$G$1:$G$1001,0))</f>
        <v>Lhokseumawe</v>
      </c>
      <c r="R913" s="7">
        <f>INDEX(Detail!$C$1:$C$1001,MATCH(B913,Detail!$G$1:$G$1001,0),1)</f>
        <v>163</v>
      </c>
      <c r="S913" s="7">
        <f>INDEX(Detail!$D$1:$D$1001,MATCH(B913,Detail!$G$1:$G$1001,0),1)</f>
        <v>45</v>
      </c>
      <c r="T913" s="7" t="str">
        <f>INDEX(Detail!$E$1:$E$1001,MATCH(Main!B913,Detail!$G$1:$G$1001,0))</f>
        <v>Gg. M.H Thamrin No. 37</v>
      </c>
      <c r="U913" s="7" t="str">
        <f>INDEX(Detail!$B$1:$B$1001,MATCH(B913,Detail!$G$1:$G$1001,0),1)</f>
        <v>A+</v>
      </c>
      <c r="V913" s="7" t="str" cm="1">
        <f t="array" ref="V913">INDEX(Dosen!$B$3:$E$8,MATCH(Main!C913,Dosen!$A$3:$A$8,0),IF(AND(Main!A913&gt;=1,Main!A913&lt;=250),1,IF(AND(Main!A913&gt;=251,Main!A913&lt;=500),2,IF(AND(Main!A913&gt;=501,Main!A913&lt;=750),3,4))))</f>
        <v>Pak Krisna</v>
      </c>
      <c r="W913" s="7" t="str">
        <f>_xlfn.XLOOKUP(B913,Detail!$G$1:$G$1001,Detail!$B$1:$B$1001)</f>
        <v>A+</v>
      </c>
    </row>
    <row r="914" spans="1:23" ht="15.75" x14ac:dyDescent="0.25">
      <c r="A914" s="7">
        <v>410</v>
      </c>
      <c r="B914" s="33" t="str">
        <f t="shared" si="54"/>
        <v>F0410</v>
      </c>
      <c r="C914" s="7" t="s">
        <v>1011</v>
      </c>
      <c r="D914" s="33" t="str">
        <f>VLOOKUP(B914,Detail!$G$1:$H$1001,2,FALSE)</f>
        <v>Elisa Irawan</v>
      </c>
      <c r="E914" s="7">
        <v>59</v>
      </c>
      <c r="F914" s="7">
        <v>50</v>
      </c>
      <c r="G914" s="57">
        <v>50</v>
      </c>
      <c r="H914" s="7">
        <v>74</v>
      </c>
      <c r="I914" s="7">
        <v>52</v>
      </c>
      <c r="J914" s="7">
        <v>97</v>
      </c>
      <c r="K914" s="7">
        <v>72</v>
      </c>
      <c r="L914" s="56">
        <f>IFERROR(VLOOKUP(B914,Absen!$A$1:$C$501,2,FALSE),"No")</f>
        <v>44878</v>
      </c>
      <c r="M914" s="58">
        <f t="shared" si="52"/>
        <v>6.2</v>
      </c>
      <c r="N914" s="57">
        <f t="shared" si="53"/>
        <v>64.975000000000009</v>
      </c>
      <c r="O914" s="7" t="str">
        <f>VLOOKUP(N914,Helper!$B$30:$C$35,2,TRUE)</f>
        <v>C</v>
      </c>
      <c r="P914" s="56">
        <f>INDEX(Detail!$A$1:$A$1001,MATCH(B914,Detail!$G$1:$G$1001,0))</f>
        <v>37459</v>
      </c>
      <c r="Q914" s="33" t="str">
        <f>INDEX(Detail!$F$1:$F$1001,MATCH(Main!B914,Detail!$G$1:$G$1001,0))</f>
        <v>Probolinggo</v>
      </c>
      <c r="R914" s="7">
        <f>INDEX(Detail!$C$1:$C$1001,MATCH(B914,Detail!$G$1:$G$1001,0),1)</f>
        <v>163</v>
      </c>
      <c r="S914" s="7">
        <f>INDEX(Detail!$D$1:$D$1001,MATCH(B914,Detail!$G$1:$G$1001,0),1)</f>
        <v>54</v>
      </c>
      <c r="T914" s="7" t="str">
        <f>INDEX(Detail!$E$1:$E$1001,MATCH(Main!B914,Detail!$G$1:$G$1001,0))</f>
        <v>Gg. Erlangga No. 85</v>
      </c>
      <c r="U914" s="7" t="str">
        <f>INDEX(Detail!$B$1:$B$1001,MATCH(B914,Detail!$G$1:$G$1001,0),1)</f>
        <v>B-</v>
      </c>
      <c r="V914" s="7" t="str" cm="1">
        <f t="array" ref="V914">INDEX(Dosen!$B$3:$E$8,MATCH(Main!C914,Dosen!$A$3:$A$8,0),IF(AND(Main!A914&gt;=1,Main!A914&lt;=250),1,IF(AND(Main!A914&gt;=251,Main!A914&lt;=500),2,IF(AND(Main!A914&gt;=501,Main!A914&lt;=750),3,4))))</f>
        <v>Pak Krisna</v>
      </c>
      <c r="W914" s="7" t="str">
        <f>_xlfn.XLOOKUP(B914,Detail!$G$1:$G$1001,Detail!$B$1:$B$1001)</f>
        <v>B-</v>
      </c>
    </row>
    <row r="915" spans="1:23" ht="15.75" x14ac:dyDescent="0.25">
      <c r="A915" s="7">
        <v>420</v>
      </c>
      <c r="B915" s="33" t="str">
        <f t="shared" si="54"/>
        <v>F0420</v>
      </c>
      <c r="C915" s="7" t="s">
        <v>1011</v>
      </c>
      <c r="D915" s="33" t="str">
        <f>VLOOKUP(B915,Detail!$G$1:$H$1001,2,FALSE)</f>
        <v>Zamira Nurdiyanti</v>
      </c>
      <c r="E915" s="7">
        <v>85</v>
      </c>
      <c r="F915" s="7">
        <v>40</v>
      </c>
      <c r="G915" s="57">
        <v>55</v>
      </c>
      <c r="H915" s="7">
        <v>50</v>
      </c>
      <c r="I915" s="7">
        <v>77</v>
      </c>
      <c r="J915" s="7">
        <v>90</v>
      </c>
      <c r="K915" s="7">
        <v>82</v>
      </c>
      <c r="L915" s="56">
        <f>IFERROR(VLOOKUP(B915,Absen!$A$1:$C$501,2,FALSE),"No")</f>
        <v>44777</v>
      </c>
      <c r="M915" s="58">
        <f t="shared" si="52"/>
        <v>7.2</v>
      </c>
      <c r="N915" s="57">
        <f t="shared" si="53"/>
        <v>67.7</v>
      </c>
      <c r="O915" s="7" t="str">
        <f>VLOOKUP(N915,Helper!$B$30:$C$35,2,TRUE)</f>
        <v>C</v>
      </c>
      <c r="P915" s="56">
        <f>INDEX(Detail!$A$1:$A$1001,MATCH(B915,Detail!$G$1:$G$1001,0))</f>
        <v>37741</v>
      </c>
      <c r="Q915" s="33" t="str">
        <f>INDEX(Detail!$F$1:$F$1001,MATCH(Main!B915,Detail!$G$1:$G$1001,0))</f>
        <v>Lhokseumawe</v>
      </c>
      <c r="R915" s="7">
        <f>INDEX(Detail!$C$1:$C$1001,MATCH(B915,Detail!$G$1:$G$1001,0),1)</f>
        <v>168</v>
      </c>
      <c r="S915" s="7">
        <f>INDEX(Detail!$D$1:$D$1001,MATCH(B915,Detail!$G$1:$G$1001,0),1)</f>
        <v>72</v>
      </c>
      <c r="T915" s="7" t="str">
        <f>INDEX(Detail!$E$1:$E$1001,MATCH(Main!B915,Detail!$G$1:$G$1001,0))</f>
        <v>Jalan Kiaracondong No. 15</v>
      </c>
      <c r="U915" s="7" t="str">
        <f>INDEX(Detail!$B$1:$B$1001,MATCH(B915,Detail!$G$1:$G$1001,0),1)</f>
        <v>A+</v>
      </c>
      <c r="V915" s="7" t="str" cm="1">
        <f t="array" ref="V915">INDEX(Dosen!$B$3:$E$8,MATCH(Main!C915,Dosen!$A$3:$A$8,0),IF(AND(Main!A915&gt;=1,Main!A915&lt;=250),1,IF(AND(Main!A915&gt;=251,Main!A915&lt;=500),2,IF(AND(Main!A915&gt;=501,Main!A915&lt;=750),3,4))))</f>
        <v>Pak Krisna</v>
      </c>
      <c r="W915" s="7" t="str">
        <f>_xlfn.XLOOKUP(B915,Detail!$G$1:$G$1001,Detail!$B$1:$B$1001)</f>
        <v>A+</v>
      </c>
    </row>
    <row r="916" spans="1:23" ht="15.75" x14ac:dyDescent="0.25">
      <c r="A916" s="7">
        <v>422</v>
      </c>
      <c r="B916" s="33" t="str">
        <f t="shared" si="54"/>
        <v>F0422</v>
      </c>
      <c r="C916" s="7" t="s">
        <v>1011</v>
      </c>
      <c r="D916" s="33" t="str">
        <f>VLOOKUP(B916,Detail!$G$1:$H$1001,2,FALSE)</f>
        <v>Anom Pratama</v>
      </c>
      <c r="E916" s="7">
        <v>93</v>
      </c>
      <c r="F916" s="7">
        <v>75</v>
      </c>
      <c r="G916" s="57">
        <v>64</v>
      </c>
      <c r="H916" s="7">
        <v>74</v>
      </c>
      <c r="I916" s="7">
        <v>71</v>
      </c>
      <c r="J916" s="7">
        <v>77</v>
      </c>
      <c r="K916" s="7">
        <v>76</v>
      </c>
      <c r="L916" s="56">
        <f>IFERROR(VLOOKUP(B916,Absen!$A$1:$C$501,2,FALSE),"No")</f>
        <v>44893</v>
      </c>
      <c r="M916" s="58">
        <f t="shared" si="52"/>
        <v>6.6000000000000005</v>
      </c>
      <c r="N916" s="57">
        <f t="shared" si="53"/>
        <v>73.924999999999997</v>
      </c>
      <c r="O916" s="7" t="str">
        <f>VLOOKUP(N916,Helper!$B$30:$C$35,2,TRUE)</f>
        <v>B</v>
      </c>
      <c r="P916" s="56">
        <f>INDEX(Detail!$A$1:$A$1001,MATCH(B916,Detail!$G$1:$G$1001,0))</f>
        <v>38456</v>
      </c>
      <c r="Q916" s="33" t="str">
        <f>INDEX(Detail!$F$1:$F$1001,MATCH(Main!B916,Detail!$G$1:$G$1001,0))</f>
        <v>Bekasi</v>
      </c>
      <c r="R916" s="7">
        <f>INDEX(Detail!$C$1:$C$1001,MATCH(B916,Detail!$G$1:$G$1001,0),1)</f>
        <v>175</v>
      </c>
      <c r="S916" s="7">
        <f>INDEX(Detail!$D$1:$D$1001,MATCH(B916,Detail!$G$1:$G$1001,0),1)</f>
        <v>60</v>
      </c>
      <c r="T916" s="7" t="str">
        <f>INDEX(Detail!$E$1:$E$1001,MATCH(Main!B916,Detail!$G$1:$G$1001,0))</f>
        <v>Gg. Erlangga No. 67</v>
      </c>
      <c r="U916" s="7" t="str">
        <f>INDEX(Detail!$B$1:$B$1001,MATCH(B916,Detail!$G$1:$G$1001,0),1)</f>
        <v>O+</v>
      </c>
      <c r="V916" s="7" t="str" cm="1">
        <f t="array" ref="V916">INDEX(Dosen!$B$3:$E$8,MATCH(Main!C916,Dosen!$A$3:$A$8,0),IF(AND(Main!A916&gt;=1,Main!A916&lt;=250),1,IF(AND(Main!A916&gt;=251,Main!A916&lt;=500),2,IF(AND(Main!A916&gt;=501,Main!A916&lt;=750),3,4))))</f>
        <v>Pak Krisna</v>
      </c>
      <c r="W916" s="7" t="str">
        <f>_xlfn.XLOOKUP(B916,Detail!$G$1:$G$1001,Detail!$B$1:$B$1001)</f>
        <v>O+</v>
      </c>
    </row>
    <row r="917" spans="1:23" ht="15.75" x14ac:dyDescent="0.25">
      <c r="A917" s="7">
        <v>428</v>
      </c>
      <c r="B917" s="33" t="str">
        <f t="shared" si="54"/>
        <v>F0428</v>
      </c>
      <c r="C917" s="7" t="s">
        <v>1011</v>
      </c>
      <c r="D917" s="33" t="str">
        <f>VLOOKUP(B917,Detail!$G$1:$H$1001,2,FALSE)</f>
        <v>Manah Siregar</v>
      </c>
      <c r="E917" s="7">
        <v>81</v>
      </c>
      <c r="F917" s="7">
        <v>63</v>
      </c>
      <c r="G917" s="57">
        <v>48</v>
      </c>
      <c r="H917" s="7">
        <v>65</v>
      </c>
      <c r="I917" s="7">
        <v>71</v>
      </c>
      <c r="J917" s="7">
        <v>86</v>
      </c>
      <c r="K917" s="7">
        <v>72</v>
      </c>
      <c r="L917" s="56">
        <f>IFERROR(VLOOKUP(B917,Absen!$A$1:$C$501,2,FALSE),"No")</f>
        <v>44788</v>
      </c>
      <c r="M917" s="58">
        <f t="shared" si="52"/>
        <v>6.2</v>
      </c>
      <c r="N917" s="57">
        <f t="shared" si="53"/>
        <v>68</v>
      </c>
      <c r="O917" s="7" t="str">
        <f>VLOOKUP(N917,Helper!$B$30:$C$35,2,TRUE)</f>
        <v>C</v>
      </c>
      <c r="P917" s="56">
        <f>INDEX(Detail!$A$1:$A$1001,MATCH(B917,Detail!$G$1:$G$1001,0))</f>
        <v>38149</v>
      </c>
      <c r="Q917" s="33" t="str">
        <f>INDEX(Detail!$F$1:$F$1001,MATCH(Main!B917,Detail!$G$1:$G$1001,0))</f>
        <v>Lhokseumawe</v>
      </c>
      <c r="R917" s="7">
        <f>INDEX(Detail!$C$1:$C$1001,MATCH(B917,Detail!$G$1:$G$1001,0),1)</f>
        <v>178</v>
      </c>
      <c r="S917" s="7">
        <f>INDEX(Detail!$D$1:$D$1001,MATCH(B917,Detail!$G$1:$G$1001,0),1)</f>
        <v>82</v>
      </c>
      <c r="T917" s="7" t="str">
        <f>INDEX(Detail!$E$1:$E$1001,MATCH(Main!B917,Detail!$G$1:$G$1001,0))</f>
        <v>Gg. Ahmad Dahlan No. 65</v>
      </c>
      <c r="U917" s="7" t="str">
        <f>INDEX(Detail!$B$1:$B$1001,MATCH(B917,Detail!$G$1:$G$1001,0),1)</f>
        <v>B+</v>
      </c>
      <c r="V917" s="7" t="str" cm="1">
        <f t="array" ref="V917">INDEX(Dosen!$B$3:$E$8,MATCH(Main!C917,Dosen!$A$3:$A$8,0),IF(AND(Main!A917&gt;=1,Main!A917&lt;=250),1,IF(AND(Main!A917&gt;=251,Main!A917&lt;=500),2,IF(AND(Main!A917&gt;=501,Main!A917&lt;=750),3,4))))</f>
        <v>Pak Krisna</v>
      </c>
      <c r="W917" s="7" t="str">
        <f>_xlfn.XLOOKUP(B917,Detail!$G$1:$G$1001,Detail!$B$1:$B$1001)</f>
        <v>B+</v>
      </c>
    </row>
    <row r="918" spans="1:23" ht="15.75" x14ac:dyDescent="0.25">
      <c r="A918" s="7">
        <v>435</v>
      </c>
      <c r="B918" s="33" t="str">
        <f t="shared" si="54"/>
        <v>F0435</v>
      </c>
      <c r="C918" s="7" t="s">
        <v>1011</v>
      </c>
      <c r="D918" s="33" t="str">
        <f>VLOOKUP(B918,Detail!$G$1:$H$1001,2,FALSE)</f>
        <v>Praba Tarihoran</v>
      </c>
      <c r="E918" s="7">
        <v>80</v>
      </c>
      <c r="F918" s="7">
        <v>68</v>
      </c>
      <c r="G918" s="57">
        <v>54</v>
      </c>
      <c r="H918" s="7">
        <v>56</v>
      </c>
      <c r="I918" s="7">
        <v>81</v>
      </c>
      <c r="J918" s="7">
        <v>84</v>
      </c>
      <c r="K918" s="7">
        <v>71</v>
      </c>
      <c r="L918" s="56" t="str">
        <f>IFERROR(VLOOKUP(B918,Absen!$A$1:$C$501,2,FALSE),"No")</f>
        <v>No</v>
      </c>
      <c r="M918" s="58">
        <f t="shared" si="52"/>
        <v>7.1000000000000005</v>
      </c>
      <c r="N918" s="57">
        <f t="shared" si="53"/>
        <v>70.324999999999989</v>
      </c>
      <c r="O918" s="7" t="str">
        <f>VLOOKUP(N918,Helper!$B$30:$C$35,2,TRUE)</f>
        <v>B</v>
      </c>
      <c r="P918" s="56">
        <f>INDEX(Detail!$A$1:$A$1001,MATCH(B918,Detail!$G$1:$G$1001,0))</f>
        <v>37515</v>
      </c>
      <c r="Q918" s="33" t="str">
        <f>INDEX(Detail!$F$1:$F$1001,MATCH(Main!B918,Detail!$G$1:$G$1001,0))</f>
        <v>Denpasar</v>
      </c>
      <c r="R918" s="7">
        <f>INDEX(Detail!$C$1:$C$1001,MATCH(B918,Detail!$G$1:$G$1001,0),1)</f>
        <v>169</v>
      </c>
      <c r="S918" s="7">
        <f>INDEX(Detail!$D$1:$D$1001,MATCH(B918,Detail!$G$1:$G$1001,0),1)</f>
        <v>86</v>
      </c>
      <c r="T918" s="7" t="str">
        <f>INDEX(Detail!$E$1:$E$1001,MATCH(Main!B918,Detail!$G$1:$G$1001,0))</f>
        <v xml:space="preserve">Gg. Ir. H. Djuanda No. 4
</v>
      </c>
      <c r="U918" s="7" t="str">
        <f>INDEX(Detail!$B$1:$B$1001,MATCH(B918,Detail!$G$1:$G$1001,0),1)</f>
        <v>B-</v>
      </c>
      <c r="V918" s="7" t="str" cm="1">
        <f t="array" ref="V918">INDEX(Dosen!$B$3:$E$8,MATCH(Main!C918,Dosen!$A$3:$A$8,0),IF(AND(Main!A918&gt;=1,Main!A918&lt;=250),1,IF(AND(Main!A918&gt;=251,Main!A918&lt;=500),2,IF(AND(Main!A918&gt;=501,Main!A918&lt;=750),3,4))))</f>
        <v>Pak Krisna</v>
      </c>
      <c r="W918" s="7" t="str">
        <f>_xlfn.XLOOKUP(B918,Detail!$G$1:$G$1001,Detail!$B$1:$B$1001)</f>
        <v>B-</v>
      </c>
    </row>
    <row r="919" spans="1:23" ht="15.75" x14ac:dyDescent="0.25">
      <c r="A919" s="7">
        <v>441</v>
      </c>
      <c r="B919" s="33" t="str">
        <f t="shared" si="54"/>
        <v>F0441</v>
      </c>
      <c r="C919" s="7" t="s">
        <v>1011</v>
      </c>
      <c r="D919" s="33" t="str">
        <f>VLOOKUP(B919,Detail!$G$1:$H$1001,2,FALSE)</f>
        <v>Safina Tamba</v>
      </c>
      <c r="E919" s="7">
        <v>54</v>
      </c>
      <c r="F919" s="7">
        <v>48</v>
      </c>
      <c r="G919" s="57">
        <v>35</v>
      </c>
      <c r="H919" s="7">
        <v>52</v>
      </c>
      <c r="I919" s="7">
        <v>70</v>
      </c>
      <c r="J919" s="7">
        <v>63</v>
      </c>
      <c r="K919" s="7">
        <v>97</v>
      </c>
      <c r="L919" s="56">
        <f>IFERROR(VLOOKUP(B919,Absen!$A$1:$C$501,2,FALSE),"No")</f>
        <v>44752</v>
      </c>
      <c r="M919" s="58">
        <f t="shared" si="52"/>
        <v>8.7000000000000011</v>
      </c>
      <c r="N919" s="57">
        <f t="shared" si="53"/>
        <v>56.300000000000004</v>
      </c>
      <c r="O919" s="7" t="str">
        <f>VLOOKUP(N919,Helper!$B$30:$C$35,2,TRUE)</f>
        <v>D</v>
      </c>
      <c r="P919" s="56">
        <f>INDEX(Detail!$A$1:$A$1001,MATCH(B919,Detail!$G$1:$G$1001,0))</f>
        <v>38328</v>
      </c>
      <c r="Q919" s="33" t="str">
        <f>INDEX(Detail!$F$1:$F$1001,MATCH(Main!B919,Detail!$G$1:$G$1001,0))</f>
        <v>Pekanbaru</v>
      </c>
      <c r="R919" s="7">
        <f>INDEX(Detail!$C$1:$C$1001,MATCH(B919,Detail!$G$1:$G$1001,0),1)</f>
        <v>178</v>
      </c>
      <c r="S919" s="7">
        <f>INDEX(Detail!$D$1:$D$1001,MATCH(B919,Detail!$G$1:$G$1001,0),1)</f>
        <v>87</v>
      </c>
      <c r="T919" s="7" t="str">
        <f>INDEX(Detail!$E$1:$E$1001,MATCH(Main!B919,Detail!$G$1:$G$1001,0))</f>
        <v xml:space="preserve">Gg. Sentot Alibasa No. 1
</v>
      </c>
      <c r="U919" s="7" t="str">
        <f>INDEX(Detail!$B$1:$B$1001,MATCH(B919,Detail!$G$1:$G$1001,0),1)</f>
        <v>A+</v>
      </c>
      <c r="V919" s="7" t="str" cm="1">
        <f t="array" ref="V919">INDEX(Dosen!$B$3:$E$8,MATCH(Main!C919,Dosen!$A$3:$A$8,0),IF(AND(Main!A919&gt;=1,Main!A919&lt;=250),1,IF(AND(Main!A919&gt;=251,Main!A919&lt;=500),2,IF(AND(Main!A919&gt;=501,Main!A919&lt;=750),3,4))))</f>
        <v>Pak Krisna</v>
      </c>
      <c r="W919" s="7" t="str">
        <f>_xlfn.XLOOKUP(B919,Detail!$G$1:$G$1001,Detail!$B$1:$B$1001)</f>
        <v>A+</v>
      </c>
    </row>
    <row r="920" spans="1:23" ht="15.75" x14ac:dyDescent="0.25">
      <c r="A920" s="7">
        <v>443</v>
      </c>
      <c r="B920" s="33" t="str">
        <f t="shared" si="54"/>
        <v>F0443</v>
      </c>
      <c r="C920" s="7" t="s">
        <v>1011</v>
      </c>
      <c r="D920" s="33" t="str">
        <f>VLOOKUP(B920,Detail!$G$1:$H$1001,2,FALSE)</f>
        <v>Umar Prastuti</v>
      </c>
      <c r="E920" s="7">
        <v>72</v>
      </c>
      <c r="F920" s="7">
        <v>46</v>
      </c>
      <c r="G920" s="57">
        <v>90</v>
      </c>
      <c r="H920" s="7">
        <v>60</v>
      </c>
      <c r="I920" s="7">
        <v>90</v>
      </c>
      <c r="J920" s="7">
        <v>54</v>
      </c>
      <c r="K920" s="7">
        <v>96</v>
      </c>
      <c r="L920" s="56" t="str">
        <f>IFERROR(VLOOKUP(B920,Absen!$A$1:$C$501,2,FALSE),"No")</f>
        <v>No</v>
      </c>
      <c r="M920" s="58">
        <f t="shared" si="52"/>
        <v>9.6000000000000014</v>
      </c>
      <c r="N920" s="57">
        <f t="shared" si="53"/>
        <v>71.900000000000006</v>
      </c>
      <c r="O920" s="7" t="str">
        <f>VLOOKUP(N920,Helper!$B$30:$C$35,2,TRUE)</f>
        <v>B</v>
      </c>
      <c r="P920" s="56">
        <f>INDEX(Detail!$A$1:$A$1001,MATCH(B920,Detail!$G$1:$G$1001,0))</f>
        <v>38267</v>
      </c>
      <c r="Q920" s="33" t="str">
        <f>INDEX(Detail!$F$1:$F$1001,MATCH(Main!B920,Detail!$G$1:$G$1001,0))</f>
        <v>Cirebon</v>
      </c>
      <c r="R920" s="7">
        <f>INDEX(Detail!$C$1:$C$1001,MATCH(B920,Detail!$G$1:$G$1001,0),1)</f>
        <v>167</v>
      </c>
      <c r="S920" s="7">
        <f>INDEX(Detail!$D$1:$D$1001,MATCH(B920,Detail!$G$1:$G$1001,0),1)</f>
        <v>49</v>
      </c>
      <c r="T920" s="7" t="str">
        <f>INDEX(Detail!$E$1:$E$1001,MATCH(Main!B920,Detail!$G$1:$G$1001,0))</f>
        <v>Gg. Cikutra Barat No. 80</v>
      </c>
      <c r="U920" s="7" t="str">
        <f>INDEX(Detail!$B$1:$B$1001,MATCH(B920,Detail!$G$1:$G$1001,0),1)</f>
        <v>A+</v>
      </c>
      <c r="V920" s="7" t="str" cm="1">
        <f t="array" ref="V920">INDEX(Dosen!$B$3:$E$8,MATCH(Main!C920,Dosen!$A$3:$A$8,0),IF(AND(Main!A920&gt;=1,Main!A920&lt;=250),1,IF(AND(Main!A920&gt;=251,Main!A920&lt;=500),2,IF(AND(Main!A920&gt;=501,Main!A920&lt;=750),3,4))))</f>
        <v>Pak Krisna</v>
      </c>
      <c r="W920" s="7" t="str">
        <f>_xlfn.XLOOKUP(B920,Detail!$G$1:$G$1001,Detail!$B$1:$B$1001)</f>
        <v>A+</v>
      </c>
    </row>
    <row r="921" spans="1:23" ht="15.75" x14ac:dyDescent="0.25">
      <c r="A921" s="7">
        <v>444</v>
      </c>
      <c r="B921" s="33" t="str">
        <f t="shared" si="54"/>
        <v>F0444</v>
      </c>
      <c r="C921" s="7" t="s">
        <v>1011</v>
      </c>
      <c r="D921" s="33" t="str">
        <f>VLOOKUP(B921,Detail!$G$1:$H$1001,2,FALSE)</f>
        <v>Julia Salahudin</v>
      </c>
      <c r="E921" s="7">
        <v>76</v>
      </c>
      <c r="F921" s="7">
        <v>73</v>
      </c>
      <c r="G921" s="57">
        <v>33</v>
      </c>
      <c r="H921" s="7">
        <v>53</v>
      </c>
      <c r="I921" s="7">
        <v>50</v>
      </c>
      <c r="J921" s="7">
        <v>45</v>
      </c>
      <c r="K921" s="7">
        <v>98</v>
      </c>
      <c r="L921" s="56">
        <f>IFERROR(VLOOKUP(B921,Absen!$A$1:$C$501,2,FALSE),"No")</f>
        <v>44765</v>
      </c>
      <c r="M921" s="58">
        <f t="shared" si="52"/>
        <v>8.8000000000000007</v>
      </c>
      <c r="N921" s="57">
        <f t="shared" si="53"/>
        <v>55.900000000000006</v>
      </c>
      <c r="O921" s="7" t="str">
        <f>VLOOKUP(N921,Helper!$B$30:$C$35,2,TRUE)</f>
        <v>D</v>
      </c>
      <c r="P921" s="56">
        <f>INDEX(Detail!$A$1:$A$1001,MATCH(B921,Detail!$G$1:$G$1001,0))</f>
        <v>38410</v>
      </c>
      <c r="Q921" s="33" t="str">
        <f>INDEX(Detail!$F$1:$F$1001,MATCH(Main!B921,Detail!$G$1:$G$1001,0))</f>
        <v>Metro</v>
      </c>
      <c r="R921" s="7">
        <f>INDEX(Detail!$C$1:$C$1001,MATCH(B921,Detail!$G$1:$G$1001,0),1)</f>
        <v>179</v>
      </c>
      <c r="S921" s="7">
        <f>INDEX(Detail!$D$1:$D$1001,MATCH(B921,Detail!$G$1:$G$1001,0),1)</f>
        <v>72</v>
      </c>
      <c r="T921" s="7" t="str">
        <f>INDEX(Detail!$E$1:$E$1001,MATCH(Main!B921,Detail!$G$1:$G$1001,0))</f>
        <v>Jalan Cikapayang No. 30</v>
      </c>
      <c r="U921" s="7" t="str">
        <f>INDEX(Detail!$B$1:$B$1001,MATCH(B921,Detail!$G$1:$G$1001,0),1)</f>
        <v>A+</v>
      </c>
      <c r="V921" s="7" t="str" cm="1">
        <f t="array" ref="V921">INDEX(Dosen!$B$3:$E$8,MATCH(Main!C921,Dosen!$A$3:$A$8,0),IF(AND(Main!A921&gt;=1,Main!A921&lt;=250),1,IF(AND(Main!A921&gt;=251,Main!A921&lt;=500),2,IF(AND(Main!A921&gt;=501,Main!A921&lt;=750),3,4))))</f>
        <v>Pak Krisna</v>
      </c>
      <c r="W921" s="7" t="str">
        <f>_xlfn.XLOOKUP(B921,Detail!$G$1:$G$1001,Detail!$B$1:$B$1001)</f>
        <v>A+</v>
      </c>
    </row>
    <row r="922" spans="1:23" ht="15.75" x14ac:dyDescent="0.25">
      <c r="A922" s="7">
        <v>446</v>
      </c>
      <c r="B922" s="33" t="str">
        <f t="shared" si="54"/>
        <v>F0446</v>
      </c>
      <c r="C922" s="7" t="s">
        <v>1011</v>
      </c>
      <c r="D922" s="33" t="str">
        <f>VLOOKUP(B922,Detail!$G$1:$H$1001,2,FALSE)</f>
        <v>Edi Narpati</v>
      </c>
      <c r="E922" s="7">
        <v>57</v>
      </c>
      <c r="F922" s="7">
        <v>72</v>
      </c>
      <c r="G922" s="57">
        <v>85</v>
      </c>
      <c r="H922" s="7">
        <v>67</v>
      </c>
      <c r="I922" s="7">
        <v>87</v>
      </c>
      <c r="J922" s="7">
        <v>60</v>
      </c>
      <c r="K922" s="7">
        <v>62</v>
      </c>
      <c r="L922" s="56" t="str">
        <f>IFERROR(VLOOKUP(B922,Absen!$A$1:$C$501,2,FALSE),"No")</f>
        <v>No</v>
      </c>
      <c r="M922" s="58">
        <f t="shared" si="52"/>
        <v>6.2</v>
      </c>
      <c r="N922" s="57">
        <f t="shared" si="53"/>
        <v>70.575000000000003</v>
      </c>
      <c r="O922" s="7" t="str">
        <f>VLOOKUP(N922,Helper!$B$30:$C$35,2,TRUE)</f>
        <v>B</v>
      </c>
      <c r="P922" s="56">
        <f>INDEX(Detail!$A$1:$A$1001,MATCH(B922,Detail!$G$1:$G$1001,0))</f>
        <v>38455</v>
      </c>
      <c r="Q922" s="33" t="str">
        <f>INDEX(Detail!$F$1:$F$1001,MATCH(Main!B922,Detail!$G$1:$G$1001,0))</f>
        <v>Bukittinggi</v>
      </c>
      <c r="R922" s="7">
        <f>INDEX(Detail!$C$1:$C$1001,MATCH(B922,Detail!$G$1:$G$1001,0),1)</f>
        <v>153</v>
      </c>
      <c r="S922" s="7">
        <f>INDEX(Detail!$D$1:$D$1001,MATCH(B922,Detail!$G$1:$G$1001,0),1)</f>
        <v>51</v>
      </c>
      <c r="T922" s="7" t="str">
        <f>INDEX(Detail!$E$1:$E$1001,MATCH(Main!B922,Detail!$G$1:$G$1001,0))</f>
        <v>Jl. Medokan Ayu No. 74</v>
      </c>
      <c r="U922" s="7" t="str">
        <f>INDEX(Detail!$B$1:$B$1001,MATCH(B922,Detail!$G$1:$G$1001,0),1)</f>
        <v>B+</v>
      </c>
      <c r="V922" s="7" t="str" cm="1">
        <f t="array" ref="V922">INDEX(Dosen!$B$3:$E$8,MATCH(Main!C922,Dosen!$A$3:$A$8,0),IF(AND(Main!A922&gt;=1,Main!A922&lt;=250),1,IF(AND(Main!A922&gt;=251,Main!A922&lt;=500),2,IF(AND(Main!A922&gt;=501,Main!A922&lt;=750),3,4))))</f>
        <v>Pak Krisna</v>
      </c>
      <c r="W922" s="7" t="str">
        <f>_xlfn.XLOOKUP(B922,Detail!$G$1:$G$1001,Detail!$B$1:$B$1001)</f>
        <v>B+</v>
      </c>
    </row>
    <row r="923" spans="1:23" ht="15.75" x14ac:dyDescent="0.25">
      <c r="A923" s="7">
        <v>463</v>
      </c>
      <c r="B923" s="33" t="str">
        <f t="shared" si="54"/>
        <v>F0463</v>
      </c>
      <c r="C923" s="7" t="s">
        <v>1011</v>
      </c>
      <c r="D923" s="33" t="str">
        <f>VLOOKUP(B923,Detail!$G$1:$H$1001,2,FALSE)</f>
        <v>Purwadi Natsir</v>
      </c>
      <c r="E923" s="7">
        <v>59</v>
      </c>
      <c r="F923" s="7">
        <v>57</v>
      </c>
      <c r="G923" s="57">
        <v>34</v>
      </c>
      <c r="H923" s="7">
        <v>52</v>
      </c>
      <c r="I923" s="7">
        <v>66</v>
      </c>
      <c r="J923" s="7">
        <v>57</v>
      </c>
      <c r="K923" s="7">
        <v>74</v>
      </c>
      <c r="L923" s="56">
        <f>IFERROR(VLOOKUP(B923,Absen!$A$1:$C$501,2,FALSE),"No")</f>
        <v>44912</v>
      </c>
      <c r="M923" s="58">
        <f t="shared" si="52"/>
        <v>6.4</v>
      </c>
      <c r="N923" s="57">
        <f t="shared" si="53"/>
        <v>53.849999999999994</v>
      </c>
      <c r="O923" s="7" t="str">
        <f>VLOOKUP(N923,Helper!$B$30:$C$35,2,TRUE)</f>
        <v>D</v>
      </c>
      <c r="P923" s="56">
        <f>INDEX(Detail!$A$1:$A$1001,MATCH(B923,Detail!$G$1:$G$1001,0))</f>
        <v>37084</v>
      </c>
      <c r="Q923" s="33" t="str">
        <f>INDEX(Detail!$F$1:$F$1001,MATCH(Main!B923,Detail!$G$1:$G$1001,0))</f>
        <v>Palembang</v>
      </c>
      <c r="R923" s="7">
        <f>INDEX(Detail!$C$1:$C$1001,MATCH(B923,Detail!$G$1:$G$1001,0),1)</f>
        <v>150</v>
      </c>
      <c r="S923" s="7">
        <f>INDEX(Detail!$D$1:$D$1001,MATCH(B923,Detail!$G$1:$G$1001,0),1)</f>
        <v>48</v>
      </c>
      <c r="T923" s="7" t="str">
        <f>INDEX(Detail!$E$1:$E$1001,MATCH(Main!B923,Detail!$G$1:$G$1001,0))</f>
        <v>Gg. Bangka Raya No. 27</v>
      </c>
      <c r="U923" s="7" t="str">
        <f>INDEX(Detail!$B$1:$B$1001,MATCH(B923,Detail!$G$1:$G$1001,0),1)</f>
        <v>O-</v>
      </c>
      <c r="V923" s="7" t="str" cm="1">
        <f t="array" ref="V923">INDEX(Dosen!$B$3:$E$8,MATCH(Main!C923,Dosen!$A$3:$A$8,0),IF(AND(Main!A923&gt;=1,Main!A923&lt;=250),1,IF(AND(Main!A923&gt;=251,Main!A923&lt;=500),2,IF(AND(Main!A923&gt;=501,Main!A923&lt;=750),3,4))))</f>
        <v>Pak Krisna</v>
      </c>
      <c r="W923" s="7" t="str">
        <f>_xlfn.XLOOKUP(B923,Detail!$G$1:$G$1001,Detail!$B$1:$B$1001)</f>
        <v>O-</v>
      </c>
    </row>
    <row r="924" spans="1:23" ht="15.75" x14ac:dyDescent="0.25">
      <c r="A924" s="7">
        <v>465</v>
      </c>
      <c r="B924" s="33" t="str">
        <f t="shared" si="54"/>
        <v>F0465</v>
      </c>
      <c r="C924" s="7" t="s">
        <v>1011</v>
      </c>
      <c r="D924" s="33" t="str">
        <f>VLOOKUP(B924,Detail!$G$1:$H$1001,2,FALSE)</f>
        <v>Nrima Pudjiastuti</v>
      </c>
      <c r="E924" s="7">
        <v>82</v>
      </c>
      <c r="F924" s="7">
        <v>73</v>
      </c>
      <c r="G924" s="57">
        <v>78</v>
      </c>
      <c r="H924" s="7">
        <v>56</v>
      </c>
      <c r="I924" s="7">
        <v>81</v>
      </c>
      <c r="J924" s="7">
        <v>95</v>
      </c>
      <c r="K924" s="7">
        <v>94</v>
      </c>
      <c r="L924" s="56" t="str">
        <f>IFERROR(VLOOKUP(B924,Absen!$A$1:$C$501,2,FALSE),"No")</f>
        <v>No</v>
      </c>
      <c r="M924" s="58">
        <f t="shared" si="52"/>
        <v>9.4</v>
      </c>
      <c r="N924" s="57">
        <f t="shared" si="53"/>
        <v>80.5</v>
      </c>
      <c r="O924" s="7" t="str">
        <f>VLOOKUP(N924,Helper!$B$30:$C$35,2,TRUE)</f>
        <v>A</v>
      </c>
      <c r="P924" s="56">
        <f>INDEX(Detail!$A$1:$A$1001,MATCH(B924,Detail!$G$1:$G$1001,0))</f>
        <v>38075</v>
      </c>
      <c r="Q924" s="33" t="str">
        <f>INDEX(Detail!$F$1:$F$1001,MATCH(Main!B924,Detail!$G$1:$G$1001,0))</f>
        <v>Mataram</v>
      </c>
      <c r="R924" s="7">
        <f>INDEX(Detail!$C$1:$C$1001,MATCH(B924,Detail!$G$1:$G$1001,0),1)</f>
        <v>161</v>
      </c>
      <c r="S924" s="7">
        <f>INDEX(Detail!$D$1:$D$1001,MATCH(B924,Detail!$G$1:$G$1001,0),1)</f>
        <v>60</v>
      </c>
      <c r="T924" s="7" t="str">
        <f>INDEX(Detail!$E$1:$E$1001,MATCH(Main!B924,Detail!$G$1:$G$1001,0))</f>
        <v xml:space="preserve">Gang Moch. Ramdan No. 6
</v>
      </c>
      <c r="U924" s="7" t="str">
        <f>INDEX(Detail!$B$1:$B$1001,MATCH(B924,Detail!$G$1:$G$1001,0),1)</f>
        <v>AB+</v>
      </c>
      <c r="V924" s="7" t="str" cm="1">
        <f t="array" ref="V924">INDEX(Dosen!$B$3:$E$8,MATCH(Main!C924,Dosen!$A$3:$A$8,0),IF(AND(Main!A924&gt;=1,Main!A924&lt;=250),1,IF(AND(Main!A924&gt;=251,Main!A924&lt;=500),2,IF(AND(Main!A924&gt;=501,Main!A924&lt;=750),3,4))))</f>
        <v>Pak Krisna</v>
      </c>
      <c r="W924" s="7" t="str">
        <f>_xlfn.XLOOKUP(B924,Detail!$G$1:$G$1001,Detail!$B$1:$B$1001)</f>
        <v>AB+</v>
      </c>
    </row>
    <row r="925" spans="1:23" ht="15.75" x14ac:dyDescent="0.25">
      <c r="A925" s="7">
        <v>471</v>
      </c>
      <c r="B925" s="33" t="str">
        <f t="shared" si="54"/>
        <v>F0471</v>
      </c>
      <c r="C925" s="7" t="s">
        <v>1011</v>
      </c>
      <c r="D925" s="33" t="str">
        <f>VLOOKUP(B925,Detail!$G$1:$H$1001,2,FALSE)</f>
        <v>Darimin Suryatmi</v>
      </c>
      <c r="E925" s="7">
        <v>50</v>
      </c>
      <c r="F925" s="7">
        <v>43</v>
      </c>
      <c r="G925" s="57">
        <v>85</v>
      </c>
      <c r="H925" s="7">
        <v>54</v>
      </c>
      <c r="I925" s="7">
        <v>64</v>
      </c>
      <c r="J925" s="7">
        <v>68</v>
      </c>
      <c r="K925" s="7">
        <v>88</v>
      </c>
      <c r="L925" s="56">
        <f>IFERROR(VLOOKUP(B925,Absen!$A$1:$C$501,2,FALSE),"No")</f>
        <v>44871</v>
      </c>
      <c r="M925" s="58">
        <f t="shared" si="52"/>
        <v>7.8000000000000007</v>
      </c>
      <c r="N925" s="57">
        <f t="shared" si="53"/>
        <v>64.775000000000006</v>
      </c>
      <c r="O925" s="7" t="str">
        <f>VLOOKUP(N925,Helper!$B$30:$C$35,2,TRUE)</f>
        <v>C</v>
      </c>
      <c r="P925" s="56">
        <f>INDEX(Detail!$A$1:$A$1001,MATCH(B925,Detail!$G$1:$G$1001,0))</f>
        <v>37920</v>
      </c>
      <c r="Q925" s="33" t="str">
        <f>INDEX(Detail!$F$1:$F$1001,MATCH(Main!B925,Detail!$G$1:$G$1001,0))</f>
        <v>Prabumulih</v>
      </c>
      <c r="R925" s="7">
        <f>INDEX(Detail!$C$1:$C$1001,MATCH(B925,Detail!$G$1:$G$1001,0),1)</f>
        <v>164</v>
      </c>
      <c r="S925" s="7">
        <f>INDEX(Detail!$D$1:$D$1001,MATCH(B925,Detail!$G$1:$G$1001,0),1)</f>
        <v>80</v>
      </c>
      <c r="T925" s="7" t="str">
        <f>INDEX(Detail!$E$1:$E$1001,MATCH(Main!B925,Detail!$G$1:$G$1001,0))</f>
        <v xml:space="preserve">Gg. Joyoboyo No. 1
</v>
      </c>
      <c r="U925" s="7" t="str">
        <f>INDEX(Detail!$B$1:$B$1001,MATCH(B925,Detail!$G$1:$G$1001,0),1)</f>
        <v>O+</v>
      </c>
      <c r="V925" s="7" t="str" cm="1">
        <f t="array" ref="V925">INDEX(Dosen!$B$3:$E$8,MATCH(Main!C925,Dosen!$A$3:$A$8,0),IF(AND(Main!A925&gt;=1,Main!A925&lt;=250),1,IF(AND(Main!A925&gt;=251,Main!A925&lt;=500),2,IF(AND(Main!A925&gt;=501,Main!A925&lt;=750),3,4))))</f>
        <v>Pak Krisna</v>
      </c>
      <c r="W925" s="7" t="str">
        <f>_xlfn.XLOOKUP(B925,Detail!$G$1:$G$1001,Detail!$B$1:$B$1001)</f>
        <v>O+</v>
      </c>
    </row>
    <row r="926" spans="1:23" ht="15.75" x14ac:dyDescent="0.25">
      <c r="A926" s="7">
        <v>473</v>
      </c>
      <c r="B926" s="33" t="str">
        <f t="shared" si="54"/>
        <v>F0473</v>
      </c>
      <c r="C926" s="7" t="s">
        <v>1011</v>
      </c>
      <c r="D926" s="33" t="str">
        <f>VLOOKUP(B926,Detail!$G$1:$H$1001,2,FALSE)</f>
        <v>Dalima Widodo</v>
      </c>
      <c r="E926" s="7">
        <v>59</v>
      </c>
      <c r="F926" s="7">
        <v>45</v>
      </c>
      <c r="G926" s="57">
        <v>37</v>
      </c>
      <c r="H926" s="7">
        <v>70</v>
      </c>
      <c r="I926" s="7">
        <v>93</v>
      </c>
      <c r="J926" s="7">
        <v>94</v>
      </c>
      <c r="K926" s="7">
        <v>90</v>
      </c>
      <c r="L926" s="56" t="str">
        <f>IFERROR(VLOOKUP(B926,Absen!$A$1:$C$501,2,FALSE),"No")</f>
        <v>No</v>
      </c>
      <c r="M926" s="58">
        <f t="shared" si="52"/>
        <v>9</v>
      </c>
      <c r="N926" s="57">
        <f t="shared" si="53"/>
        <v>68.575000000000003</v>
      </c>
      <c r="O926" s="7" t="str">
        <f>VLOOKUP(N926,Helper!$B$30:$C$35,2,TRUE)</f>
        <v>C</v>
      </c>
      <c r="P926" s="56">
        <f>INDEX(Detail!$A$1:$A$1001,MATCH(B926,Detail!$G$1:$G$1001,0))</f>
        <v>37538</v>
      </c>
      <c r="Q926" s="33" t="str">
        <f>INDEX(Detail!$F$1:$F$1001,MATCH(Main!B926,Detail!$G$1:$G$1001,0))</f>
        <v>Probolinggo</v>
      </c>
      <c r="R926" s="7">
        <f>INDEX(Detail!$C$1:$C$1001,MATCH(B926,Detail!$G$1:$G$1001,0),1)</f>
        <v>155</v>
      </c>
      <c r="S926" s="7">
        <f>INDEX(Detail!$D$1:$D$1001,MATCH(B926,Detail!$G$1:$G$1001,0),1)</f>
        <v>68</v>
      </c>
      <c r="T926" s="7" t="str">
        <f>INDEX(Detail!$E$1:$E$1001,MATCH(Main!B926,Detail!$G$1:$G$1001,0))</f>
        <v xml:space="preserve">Jl. Jend. Sudirman No. 9
</v>
      </c>
      <c r="U926" s="7" t="str">
        <f>INDEX(Detail!$B$1:$B$1001,MATCH(B926,Detail!$G$1:$G$1001,0),1)</f>
        <v>O-</v>
      </c>
      <c r="V926" s="7" t="str" cm="1">
        <f t="array" ref="V926">INDEX(Dosen!$B$3:$E$8,MATCH(Main!C926,Dosen!$A$3:$A$8,0),IF(AND(Main!A926&gt;=1,Main!A926&lt;=250),1,IF(AND(Main!A926&gt;=251,Main!A926&lt;=500),2,IF(AND(Main!A926&gt;=501,Main!A926&lt;=750),3,4))))</f>
        <v>Pak Krisna</v>
      </c>
      <c r="W926" s="7" t="str">
        <f>_xlfn.XLOOKUP(B926,Detail!$G$1:$G$1001,Detail!$B$1:$B$1001)</f>
        <v>O-</v>
      </c>
    </row>
    <row r="927" spans="1:23" ht="15.75" x14ac:dyDescent="0.25">
      <c r="A927" s="7">
        <v>484</v>
      </c>
      <c r="B927" s="33" t="str">
        <f t="shared" si="54"/>
        <v>F0484</v>
      </c>
      <c r="C927" s="7" t="s">
        <v>1011</v>
      </c>
      <c r="D927" s="33" t="str">
        <f>VLOOKUP(B927,Detail!$G$1:$H$1001,2,FALSE)</f>
        <v>Dian Hidayanto</v>
      </c>
      <c r="E927" s="7">
        <v>61</v>
      </c>
      <c r="F927" s="7">
        <v>69</v>
      </c>
      <c r="G927" s="57">
        <v>70</v>
      </c>
      <c r="H927" s="7">
        <v>69</v>
      </c>
      <c r="I927" s="7">
        <v>80</v>
      </c>
      <c r="J927" s="7">
        <v>47</v>
      </c>
      <c r="K927" s="7">
        <v>71</v>
      </c>
      <c r="L927" s="56" t="str">
        <f>IFERROR(VLOOKUP(B927,Absen!$A$1:$C$501,2,FALSE),"No")</f>
        <v>No</v>
      </c>
      <c r="M927" s="58">
        <f t="shared" si="52"/>
        <v>7.1000000000000005</v>
      </c>
      <c r="N927" s="57">
        <f t="shared" si="53"/>
        <v>65.375</v>
      </c>
      <c r="O927" s="7" t="str">
        <f>VLOOKUP(N927,Helper!$B$30:$C$35,2,TRUE)</f>
        <v>C</v>
      </c>
      <c r="P927" s="56">
        <f>INDEX(Detail!$A$1:$A$1001,MATCH(B927,Detail!$G$1:$G$1001,0))</f>
        <v>38007</v>
      </c>
      <c r="Q927" s="33" t="str">
        <f>INDEX(Detail!$F$1:$F$1001,MATCH(Main!B927,Detail!$G$1:$G$1001,0))</f>
        <v>Bekasi</v>
      </c>
      <c r="R927" s="7">
        <f>INDEX(Detail!$C$1:$C$1001,MATCH(B927,Detail!$G$1:$G$1001,0),1)</f>
        <v>174</v>
      </c>
      <c r="S927" s="7">
        <f>INDEX(Detail!$D$1:$D$1001,MATCH(B927,Detail!$G$1:$G$1001,0),1)</f>
        <v>95</v>
      </c>
      <c r="T927" s="7" t="str">
        <f>INDEX(Detail!$E$1:$E$1001,MATCH(Main!B927,Detail!$G$1:$G$1001,0))</f>
        <v>Jalan Soekarno Hatta No. 91</v>
      </c>
      <c r="U927" s="7" t="str">
        <f>INDEX(Detail!$B$1:$B$1001,MATCH(B927,Detail!$G$1:$G$1001,0),1)</f>
        <v>A+</v>
      </c>
      <c r="V927" s="7" t="str" cm="1">
        <f t="array" ref="V927">INDEX(Dosen!$B$3:$E$8,MATCH(Main!C927,Dosen!$A$3:$A$8,0),IF(AND(Main!A927&gt;=1,Main!A927&lt;=250),1,IF(AND(Main!A927&gt;=251,Main!A927&lt;=500),2,IF(AND(Main!A927&gt;=501,Main!A927&lt;=750),3,4))))</f>
        <v>Pak Krisna</v>
      </c>
      <c r="W927" s="7" t="str">
        <f>_xlfn.XLOOKUP(B927,Detail!$G$1:$G$1001,Detail!$B$1:$B$1001)</f>
        <v>A+</v>
      </c>
    </row>
    <row r="928" spans="1:23" ht="15.75" x14ac:dyDescent="0.25">
      <c r="A928" s="7">
        <v>496</v>
      </c>
      <c r="B928" s="33" t="str">
        <f t="shared" si="54"/>
        <v>F0496</v>
      </c>
      <c r="C928" s="7" t="s">
        <v>1011</v>
      </c>
      <c r="D928" s="33" t="str">
        <f>VLOOKUP(B928,Detail!$G$1:$H$1001,2,FALSE)</f>
        <v>Kasusra Nurdiyanti</v>
      </c>
      <c r="E928" s="7">
        <v>78</v>
      </c>
      <c r="F928" s="7">
        <v>62</v>
      </c>
      <c r="G928" s="57">
        <v>84</v>
      </c>
      <c r="H928" s="7">
        <v>68</v>
      </c>
      <c r="I928" s="7">
        <v>90</v>
      </c>
      <c r="J928" s="7">
        <v>46</v>
      </c>
      <c r="K928" s="7">
        <v>66</v>
      </c>
      <c r="L928" s="56" t="str">
        <f>IFERROR(VLOOKUP(B928,Absen!$A$1:$C$501,2,FALSE),"No")</f>
        <v>No</v>
      </c>
      <c r="M928" s="58">
        <f t="shared" si="52"/>
        <v>6.6000000000000005</v>
      </c>
      <c r="N928" s="57">
        <f t="shared" si="53"/>
        <v>69.849999999999994</v>
      </c>
      <c r="O928" s="7" t="str">
        <f>VLOOKUP(N928,Helper!$B$30:$C$35,2,TRUE)</f>
        <v>C</v>
      </c>
      <c r="P928" s="56">
        <f>INDEX(Detail!$A$1:$A$1001,MATCH(B928,Detail!$G$1:$G$1001,0))</f>
        <v>37043</v>
      </c>
      <c r="Q928" s="33" t="str">
        <f>INDEX(Detail!$F$1:$F$1001,MATCH(Main!B928,Detail!$G$1:$G$1001,0))</f>
        <v>Tanjungbalai</v>
      </c>
      <c r="R928" s="7">
        <f>INDEX(Detail!$C$1:$C$1001,MATCH(B928,Detail!$G$1:$G$1001,0),1)</f>
        <v>153</v>
      </c>
      <c r="S928" s="7">
        <f>INDEX(Detail!$D$1:$D$1001,MATCH(B928,Detail!$G$1:$G$1001,0),1)</f>
        <v>81</v>
      </c>
      <c r="T928" s="7" t="str">
        <f>INDEX(Detail!$E$1:$E$1001,MATCH(Main!B928,Detail!$G$1:$G$1001,0))</f>
        <v>Jalan Asia Afrika No. 94</v>
      </c>
      <c r="U928" s="7" t="str">
        <f>INDEX(Detail!$B$1:$B$1001,MATCH(B928,Detail!$G$1:$G$1001,0),1)</f>
        <v>A+</v>
      </c>
      <c r="V928" s="7" t="str" cm="1">
        <f t="array" ref="V928">INDEX(Dosen!$B$3:$E$8,MATCH(Main!C928,Dosen!$A$3:$A$8,0),IF(AND(Main!A928&gt;=1,Main!A928&lt;=250),1,IF(AND(Main!A928&gt;=251,Main!A928&lt;=500),2,IF(AND(Main!A928&gt;=501,Main!A928&lt;=750),3,4))))</f>
        <v>Pak Krisna</v>
      </c>
      <c r="W928" s="7" t="str">
        <f>_xlfn.XLOOKUP(B928,Detail!$G$1:$G$1001,Detail!$B$1:$B$1001)</f>
        <v>A+</v>
      </c>
    </row>
    <row r="929" spans="1:23" ht="15.75" x14ac:dyDescent="0.25">
      <c r="A929" s="7">
        <v>498</v>
      </c>
      <c r="B929" s="33" t="str">
        <f t="shared" si="54"/>
        <v>F0498</v>
      </c>
      <c r="C929" s="7" t="s">
        <v>1011</v>
      </c>
      <c r="D929" s="33" t="str">
        <f>VLOOKUP(B929,Detail!$G$1:$H$1001,2,FALSE)</f>
        <v>Setya Permadi</v>
      </c>
      <c r="E929" s="7">
        <v>67</v>
      </c>
      <c r="F929" s="7">
        <v>40</v>
      </c>
      <c r="G929" s="57">
        <v>89</v>
      </c>
      <c r="H929" s="7">
        <v>67</v>
      </c>
      <c r="I929" s="7">
        <v>86</v>
      </c>
      <c r="J929" s="7">
        <v>83</v>
      </c>
      <c r="K929" s="7">
        <v>71</v>
      </c>
      <c r="L929" s="56" t="str">
        <f>IFERROR(VLOOKUP(B929,Absen!$A$1:$C$501,2,FALSE),"No")</f>
        <v>No</v>
      </c>
      <c r="M929" s="58">
        <f t="shared" si="52"/>
        <v>7.1000000000000005</v>
      </c>
      <c r="N929" s="57">
        <f t="shared" si="53"/>
        <v>74</v>
      </c>
      <c r="O929" s="7" t="str">
        <f>VLOOKUP(N929,Helper!$B$30:$C$35,2,TRUE)</f>
        <v>B</v>
      </c>
      <c r="P929" s="56">
        <f>INDEX(Detail!$A$1:$A$1001,MATCH(B929,Detail!$G$1:$G$1001,0))</f>
        <v>37321</v>
      </c>
      <c r="Q929" s="33" t="str">
        <f>INDEX(Detail!$F$1:$F$1001,MATCH(Main!B929,Detail!$G$1:$G$1001,0))</f>
        <v>Palembang</v>
      </c>
      <c r="R929" s="7">
        <f>INDEX(Detail!$C$1:$C$1001,MATCH(B929,Detail!$G$1:$G$1001,0),1)</f>
        <v>177</v>
      </c>
      <c r="S929" s="7">
        <f>INDEX(Detail!$D$1:$D$1001,MATCH(B929,Detail!$G$1:$G$1001,0),1)</f>
        <v>66</v>
      </c>
      <c r="T929" s="7" t="str">
        <f>INDEX(Detail!$E$1:$E$1001,MATCH(Main!B929,Detail!$G$1:$G$1001,0))</f>
        <v xml:space="preserve">Jl. Gedebage Selatan No. 9
</v>
      </c>
      <c r="U929" s="7" t="str">
        <f>INDEX(Detail!$B$1:$B$1001,MATCH(B929,Detail!$G$1:$G$1001,0),1)</f>
        <v>B+</v>
      </c>
      <c r="V929" s="7" t="str" cm="1">
        <f t="array" ref="V929">INDEX(Dosen!$B$3:$E$8,MATCH(Main!C929,Dosen!$A$3:$A$8,0),IF(AND(Main!A929&gt;=1,Main!A929&lt;=250),1,IF(AND(Main!A929&gt;=251,Main!A929&lt;=500),2,IF(AND(Main!A929&gt;=501,Main!A929&lt;=750),3,4))))</f>
        <v>Pak Krisna</v>
      </c>
      <c r="W929" s="7" t="str">
        <f>_xlfn.XLOOKUP(B929,Detail!$G$1:$G$1001,Detail!$B$1:$B$1001)</f>
        <v>B+</v>
      </c>
    </row>
    <row r="930" spans="1:23" ht="15.75" x14ac:dyDescent="0.25">
      <c r="A930" s="7">
        <v>505</v>
      </c>
      <c r="B930" s="33" t="str">
        <f t="shared" si="54"/>
        <v>F0505</v>
      </c>
      <c r="C930" s="7" t="s">
        <v>1011</v>
      </c>
      <c r="D930" s="33" t="str">
        <f>VLOOKUP(B930,Detail!$G$1:$H$1001,2,FALSE)</f>
        <v>Bakiman Rahimah</v>
      </c>
      <c r="E930" s="7">
        <v>84</v>
      </c>
      <c r="F930" s="7">
        <v>52</v>
      </c>
      <c r="G930" s="57">
        <v>50</v>
      </c>
      <c r="H930" s="7">
        <v>63</v>
      </c>
      <c r="I930" s="7">
        <v>63</v>
      </c>
      <c r="J930" s="7">
        <v>46</v>
      </c>
      <c r="K930" s="7">
        <v>75</v>
      </c>
      <c r="L930" s="56">
        <f>IFERROR(VLOOKUP(B930,Absen!$A$1:$C$501,2,FALSE),"No")</f>
        <v>44907</v>
      </c>
      <c r="M930" s="58">
        <f t="shared" si="52"/>
        <v>6.5</v>
      </c>
      <c r="N930" s="57">
        <f t="shared" si="53"/>
        <v>58.45</v>
      </c>
      <c r="O930" s="7" t="str">
        <f>VLOOKUP(N930,Helper!$B$30:$C$35,2,TRUE)</f>
        <v>D</v>
      </c>
      <c r="P930" s="56">
        <f>INDEX(Detail!$A$1:$A$1001,MATCH(B930,Detail!$G$1:$G$1001,0))</f>
        <v>38072</v>
      </c>
      <c r="Q930" s="33" t="str">
        <f>INDEX(Detail!$F$1:$F$1001,MATCH(Main!B930,Detail!$G$1:$G$1001,0))</f>
        <v>Samarinda</v>
      </c>
      <c r="R930" s="7">
        <f>INDEX(Detail!$C$1:$C$1001,MATCH(B930,Detail!$G$1:$G$1001,0),1)</f>
        <v>179</v>
      </c>
      <c r="S930" s="7">
        <f>INDEX(Detail!$D$1:$D$1001,MATCH(B930,Detail!$G$1:$G$1001,0),1)</f>
        <v>95</v>
      </c>
      <c r="T930" s="7" t="str">
        <f>INDEX(Detail!$E$1:$E$1001,MATCH(Main!B930,Detail!$G$1:$G$1001,0))</f>
        <v>Jalan Stasiun Wonokromo No. 03</v>
      </c>
      <c r="U930" s="7" t="str">
        <f>INDEX(Detail!$B$1:$B$1001,MATCH(B930,Detail!$G$1:$G$1001,0),1)</f>
        <v>B-</v>
      </c>
      <c r="V930" s="7" t="str" cm="1">
        <f t="array" ref="V930">INDEX(Dosen!$B$3:$E$8,MATCH(Main!C930,Dosen!$A$3:$A$8,0),IF(AND(Main!A930&gt;=1,Main!A930&lt;=250),1,IF(AND(Main!A930&gt;=251,Main!A930&lt;=500),2,IF(AND(Main!A930&gt;=501,Main!A930&lt;=750),3,4))))</f>
        <v>Bu Ratna</v>
      </c>
      <c r="W930" s="7" t="str">
        <f>_xlfn.XLOOKUP(B930,Detail!$G$1:$G$1001,Detail!$B$1:$B$1001)</f>
        <v>B-</v>
      </c>
    </row>
    <row r="931" spans="1:23" ht="15.75" x14ac:dyDescent="0.25">
      <c r="A931" s="7">
        <v>506</v>
      </c>
      <c r="B931" s="33" t="str">
        <f t="shared" si="54"/>
        <v>F0506</v>
      </c>
      <c r="C931" s="7" t="s">
        <v>1011</v>
      </c>
      <c r="D931" s="33" t="str">
        <f>VLOOKUP(B931,Detail!$G$1:$H$1001,2,FALSE)</f>
        <v>Mustika Budiman</v>
      </c>
      <c r="E931" s="7">
        <v>70</v>
      </c>
      <c r="F931" s="7">
        <v>59</v>
      </c>
      <c r="G931" s="57">
        <v>41</v>
      </c>
      <c r="H931" s="7">
        <v>70</v>
      </c>
      <c r="I931" s="7">
        <v>92</v>
      </c>
      <c r="J931" s="7">
        <v>59</v>
      </c>
      <c r="K931" s="7">
        <v>68</v>
      </c>
      <c r="L931" s="56" t="str">
        <f>IFERROR(VLOOKUP(B931,Absen!$A$1:$C$501,2,FALSE),"No")</f>
        <v>No</v>
      </c>
      <c r="M931" s="58">
        <f t="shared" si="52"/>
        <v>6.8000000000000007</v>
      </c>
      <c r="N931" s="57">
        <f t="shared" si="53"/>
        <v>63.174999999999997</v>
      </c>
      <c r="O931" s="7" t="str">
        <f>VLOOKUP(N931,Helper!$B$30:$C$35,2,TRUE)</f>
        <v>C</v>
      </c>
      <c r="P931" s="56">
        <f>INDEX(Detail!$A$1:$A$1001,MATCH(B931,Detail!$G$1:$G$1001,0))</f>
        <v>37539</v>
      </c>
      <c r="Q931" s="33" t="str">
        <f>INDEX(Detail!$F$1:$F$1001,MATCH(Main!B931,Detail!$G$1:$G$1001,0))</f>
        <v>Ternate</v>
      </c>
      <c r="R931" s="7">
        <f>INDEX(Detail!$C$1:$C$1001,MATCH(B931,Detail!$G$1:$G$1001,0),1)</f>
        <v>155</v>
      </c>
      <c r="S931" s="7">
        <f>INDEX(Detail!$D$1:$D$1001,MATCH(B931,Detail!$G$1:$G$1001,0),1)</f>
        <v>79</v>
      </c>
      <c r="T931" s="7" t="str">
        <f>INDEX(Detail!$E$1:$E$1001,MATCH(Main!B931,Detail!$G$1:$G$1001,0))</f>
        <v>Jalan Rumah Sakit No. 92</v>
      </c>
      <c r="U931" s="7" t="str">
        <f>INDEX(Detail!$B$1:$B$1001,MATCH(B931,Detail!$G$1:$G$1001,0),1)</f>
        <v>AB+</v>
      </c>
      <c r="V931" s="7" t="str" cm="1">
        <f t="array" ref="V931">INDEX(Dosen!$B$3:$E$8,MATCH(Main!C931,Dosen!$A$3:$A$8,0),IF(AND(Main!A931&gt;=1,Main!A931&lt;=250),1,IF(AND(Main!A931&gt;=251,Main!A931&lt;=500),2,IF(AND(Main!A931&gt;=501,Main!A931&lt;=750),3,4))))</f>
        <v>Bu Ratna</v>
      </c>
      <c r="W931" s="7" t="str">
        <f>_xlfn.XLOOKUP(B931,Detail!$G$1:$G$1001,Detail!$B$1:$B$1001)</f>
        <v>AB+</v>
      </c>
    </row>
    <row r="932" spans="1:23" ht="15.75" x14ac:dyDescent="0.25">
      <c r="A932" s="7">
        <v>524</v>
      </c>
      <c r="B932" s="33" t="str">
        <f t="shared" si="54"/>
        <v>F0524</v>
      </c>
      <c r="C932" s="7" t="s">
        <v>1011</v>
      </c>
      <c r="D932" s="33" t="str">
        <f>VLOOKUP(B932,Detail!$G$1:$H$1001,2,FALSE)</f>
        <v>Hilda Permadi</v>
      </c>
      <c r="E932" s="7">
        <v>68</v>
      </c>
      <c r="F932" s="7">
        <v>58</v>
      </c>
      <c r="G932" s="57">
        <v>65</v>
      </c>
      <c r="H932" s="7">
        <v>59</v>
      </c>
      <c r="I932" s="7">
        <v>74</v>
      </c>
      <c r="J932" s="7">
        <v>69</v>
      </c>
      <c r="K932" s="7">
        <v>97</v>
      </c>
      <c r="L932" s="56" t="str">
        <f>IFERROR(VLOOKUP(B932,Absen!$A$1:$C$501,2,FALSE),"No")</f>
        <v>No</v>
      </c>
      <c r="M932" s="58">
        <f t="shared" si="52"/>
        <v>9.7000000000000011</v>
      </c>
      <c r="N932" s="57">
        <f t="shared" si="53"/>
        <v>68.875</v>
      </c>
      <c r="O932" s="7" t="str">
        <f>VLOOKUP(N932,Helper!$B$30:$C$35,2,TRUE)</f>
        <v>C</v>
      </c>
      <c r="P932" s="56">
        <f>INDEX(Detail!$A$1:$A$1001,MATCH(B932,Detail!$G$1:$G$1001,0))</f>
        <v>37931</v>
      </c>
      <c r="Q932" s="33" t="str">
        <f>INDEX(Detail!$F$1:$F$1001,MATCH(Main!B932,Detail!$G$1:$G$1001,0))</f>
        <v>Padangpanjang</v>
      </c>
      <c r="R932" s="7">
        <f>INDEX(Detail!$C$1:$C$1001,MATCH(B932,Detail!$G$1:$G$1001,0),1)</f>
        <v>166</v>
      </c>
      <c r="S932" s="7">
        <f>INDEX(Detail!$D$1:$D$1001,MATCH(B932,Detail!$G$1:$G$1001,0),1)</f>
        <v>70</v>
      </c>
      <c r="T932" s="7" t="str">
        <f>INDEX(Detail!$E$1:$E$1001,MATCH(Main!B932,Detail!$G$1:$G$1001,0))</f>
        <v>Gang Merdeka No. 60</v>
      </c>
      <c r="U932" s="7" t="str">
        <f>INDEX(Detail!$B$1:$B$1001,MATCH(B932,Detail!$G$1:$G$1001,0),1)</f>
        <v>AB+</v>
      </c>
      <c r="V932" s="7" t="str" cm="1">
        <f t="array" ref="V932">INDEX(Dosen!$B$3:$E$8,MATCH(Main!C932,Dosen!$A$3:$A$8,0),IF(AND(Main!A932&gt;=1,Main!A932&lt;=250),1,IF(AND(Main!A932&gt;=251,Main!A932&lt;=500),2,IF(AND(Main!A932&gt;=501,Main!A932&lt;=750),3,4))))</f>
        <v>Bu Ratna</v>
      </c>
      <c r="W932" s="7" t="str">
        <f>_xlfn.XLOOKUP(B932,Detail!$G$1:$G$1001,Detail!$B$1:$B$1001)</f>
        <v>AB+</v>
      </c>
    </row>
    <row r="933" spans="1:23" ht="15.75" x14ac:dyDescent="0.25">
      <c r="A933" s="7">
        <v>538</v>
      </c>
      <c r="B933" s="33" t="str">
        <f t="shared" si="54"/>
        <v>F0538</v>
      </c>
      <c r="C933" s="7" t="s">
        <v>1011</v>
      </c>
      <c r="D933" s="33" t="str">
        <f>VLOOKUP(B933,Detail!$G$1:$H$1001,2,FALSE)</f>
        <v>Kasusra Sudiati</v>
      </c>
      <c r="E933" s="7">
        <v>70</v>
      </c>
      <c r="F933" s="7">
        <v>56</v>
      </c>
      <c r="G933" s="57">
        <v>53</v>
      </c>
      <c r="H933" s="7">
        <v>68</v>
      </c>
      <c r="I933" s="7">
        <v>56</v>
      </c>
      <c r="J933" s="7">
        <v>47</v>
      </c>
      <c r="K933" s="7">
        <v>87</v>
      </c>
      <c r="L933" s="56">
        <f>IFERROR(VLOOKUP(B933,Absen!$A$1:$C$501,2,FALSE),"No")</f>
        <v>44810</v>
      </c>
      <c r="M933" s="58">
        <f t="shared" si="52"/>
        <v>7.7</v>
      </c>
      <c r="N933" s="57">
        <f t="shared" si="53"/>
        <v>58.95</v>
      </c>
      <c r="O933" s="7" t="str">
        <f>VLOOKUP(N933,Helper!$B$30:$C$35,2,TRUE)</f>
        <v>D</v>
      </c>
      <c r="P933" s="56">
        <f>INDEX(Detail!$A$1:$A$1001,MATCH(B933,Detail!$G$1:$G$1001,0))</f>
        <v>37982</v>
      </c>
      <c r="Q933" s="33" t="str">
        <f>INDEX(Detail!$F$1:$F$1001,MATCH(Main!B933,Detail!$G$1:$G$1001,0))</f>
        <v>Bengkulu</v>
      </c>
      <c r="R933" s="7">
        <f>INDEX(Detail!$C$1:$C$1001,MATCH(B933,Detail!$G$1:$G$1001,0),1)</f>
        <v>161</v>
      </c>
      <c r="S933" s="7">
        <f>INDEX(Detail!$D$1:$D$1001,MATCH(B933,Detail!$G$1:$G$1001,0),1)</f>
        <v>77</v>
      </c>
      <c r="T933" s="7" t="str">
        <f>INDEX(Detail!$E$1:$E$1001,MATCH(Main!B933,Detail!$G$1:$G$1001,0))</f>
        <v xml:space="preserve">Jalan Lembong No. 0
</v>
      </c>
      <c r="U933" s="7" t="str">
        <f>INDEX(Detail!$B$1:$B$1001,MATCH(B933,Detail!$G$1:$G$1001,0),1)</f>
        <v>B-</v>
      </c>
      <c r="V933" s="7" t="str" cm="1">
        <f t="array" ref="V933">INDEX(Dosen!$B$3:$E$8,MATCH(Main!C933,Dosen!$A$3:$A$8,0),IF(AND(Main!A933&gt;=1,Main!A933&lt;=250),1,IF(AND(Main!A933&gt;=251,Main!A933&lt;=500),2,IF(AND(Main!A933&gt;=501,Main!A933&lt;=750),3,4))))</f>
        <v>Bu Ratna</v>
      </c>
      <c r="W933" s="7" t="str">
        <f>_xlfn.XLOOKUP(B933,Detail!$G$1:$G$1001,Detail!$B$1:$B$1001)</f>
        <v>B-</v>
      </c>
    </row>
    <row r="934" spans="1:23" ht="15.75" x14ac:dyDescent="0.25">
      <c r="A934" s="7">
        <v>539</v>
      </c>
      <c r="B934" s="33" t="str">
        <f t="shared" ref="B934:B965" si="55">CONCATENATE("F",TEXT(A934,"0000"))</f>
        <v>F0539</v>
      </c>
      <c r="C934" s="7" t="s">
        <v>1011</v>
      </c>
      <c r="D934" s="33" t="str">
        <f>VLOOKUP(B934,Detail!$G$1:$H$1001,2,FALSE)</f>
        <v>Putri Pertiwi</v>
      </c>
      <c r="E934" s="7">
        <v>60</v>
      </c>
      <c r="F934" s="7">
        <v>46</v>
      </c>
      <c r="G934" s="57">
        <v>48</v>
      </c>
      <c r="H934" s="7">
        <v>50</v>
      </c>
      <c r="I934" s="7">
        <v>51</v>
      </c>
      <c r="J934" s="7">
        <v>87</v>
      </c>
      <c r="K934" s="7">
        <v>83</v>
      </c>
      <c r="L934" s="56" t="str">
        <f>IFERROR(VLOOKUP(B934,Absen!$A$1:$C$501,2,FALSE),"No")</f>
        <v>No</v>
      </c>
      <c r="M934" s="58">
        <f t="shared" si="52"/>
        <v>8.3000000000000007</v>
      </c>
      <c r="N934" s="57">
        <f t="shared" si="53"/>
        <v>61.174999999999997</v>
      </c>
      <c r="O934" s="7" t="str">
        <f>VLOOKUP(N934,Helper!$B$30:$C$35,2,TRUE)</f>
        <v>C</v>
      </c>
      <c r="P934" s="56">
        <f>INDEX(Detail!$A$1:$A$1001,MATCH(B934,Detail!$G$1:$G$1001,0))</f>
        <v>38086</v>
      </c>
      <c r="Q934" s="33" t="str">
        <f>INDEX(Detail!$F$1:$F$1001,MATCH(Main!B934,Detail!$G$1:$G$1001,0))</f>
        <v>Bima</v>
      </c>
      <c r="R934" s="7">
        <f>INDEX(Detail!$C$1:$C$1001,MATCH(B934,Detail!$G$1:$G$1001,0),1)</f>
        <v>162</v>
      </c>
      <c r="S934" s="7">
        <f>INDEX(Detail!$D$1:$D$1001,MATCH(B934,Detail!$G$1:$G$1001,0),1)</f>
        <v>79</v>
      </c>
      <c r="T934" s="7" t="str">
        <f>INDEX(Detail!$E$1:$E$1001,MATCH(Main!B934,Detail!$G$1:$G$1001,0))</f>
        <v>Gang Erlangga No. 11</v>
      </c>
      <c r="U934" s="7" t="str">
        <f>INDEX(Detail!$B$1:$B$1001,MATCH(B934,Detail!$G$1:$G$1001,0),1)</f>
        <v>B-</v>
      </c>
      <c r="V934" s="7" t="str" cm="1">
        <f t="array" ref="V934">INDEX(Dosen!$B$3:$E$8,MATCH(Main!C934,Dosen!$A$3:$A$8,0),IF(AND(Main!A934&gt;=1,Main!A934&lt;=250),1,IF(AND(Main!A934&gt;=251,Main!A934&lt;=500),2,IF(AND(Main!A934&gt;=501,Main!A934&lt;=750),3,4))))</f>
        <v>Bu Ratna</v>
      </c>
      <c r="W934" s="7" t="str">
        <f>_xlfn.XLOOKUP(B934,Detail!$G$1:$G$1001,Detail!$B$1:$B$1001)</f>
        <v>B-</v>
      </c>
    </row>
    <row r="935" spans="1:23" ht="15.75" x14ac:dyDescent="0.25">
      <c r="A935" s="7">
        <v>579</v>
      </c>
      <c r="B935" s="33" t="str">
        <f t="shared" si="55"/>
        <v>F0579</v>
      </c>
      <c r="C935" s="7" t="s">
        <v>1011</v>
      </c>
      <c r="D935" s="33" t="str">
        <f>VLOOKUP(B935,Detail!$G$1:$H$1001,2,FALSE)</f>
        <v>Jamalia Waluyo</v>
      </c>
      <c r="E935" s="7">
        <v>89</v>
      </c>
      <c r="F935" s="7">
        <v>68</v>
      </c>
      <c r="G935" s="57">
        <v>62</v>
      </c>
      <c r="H935" s="7">
        <v>69</v>
      </c>
      <c r="I935" s="7">
        <v>54</v>
      </c>
      <c r="J935" s="7">
        <v>41</v>
      </c>
      <c r="K935" s="7">
        <v>92</v>
      </c>
      <c r="L935" s="56">
        <f>IFERROR(VLOOKUP(B935,Absen!$A$1:$C$501,2,FALSE),"No")</f>
        <v>44773</v>
      </c>
      <c r="M935" s="58">
        <f t="shared" si="52"/>
        <v>8.2000000000000011</v>
      </c>
      <c r="N935" s="57">
        <f t="shared" si="53"/>
        <v>63.800000000000004</v>
      </c>
      <c r="O935" s="7" t="str">
        <f>VLOOKUP(N935,Helper!$B$30:$C$35,2,TRUE)</f>
        <v>C</v>
      </c>
      <c r="P935" s="56">
        <f>INDEX(Detail!$A$1:$A$1001,MATCH(B935,Detail!$G$1:$G$1001,0))</f>
        <v>37611</v>
      </c>
      <c r="Q935" s="33" t="str">
        <f>INDEX(Detail!$F$1:$F$1001,MATCH(Main!B935,Detail!$G$1:$G$1001,0))</f>
        <v>Tual</v>
      </c>
      <c r="R935" s="7">
        <f>INDEX(Detail!$C$1:$C$1001,MATCH(B935,Detail!$G$1:$G$1001,0),1)</f>
        <v>166</v>
      </c>
      <c r="S935" s="7">
        <f>INDEX(Detail!$D$1:$D$1001,MATCH(B935,Detail!$G$1:$G$1001,0),1)</f>
        <v>57</v>
      </c>
      <c r="T935" s="7" t="str">
        <f>INDEX(Detail!$E$1:$E$1001,MATCH(Main!B935,Detail!$G$1:$G$1001,0))</f>
        <v>Jalan Erlangga No. 58</v>
      </c>
      <c r="U935" s="7" t="str">
        <f>INDEX(Detail!$B$1:$B$1001,MATCH(B935,Detail!$G$1:$G$1001,0),1)</f>
        <v>A-</v>
      </c>
      <c r="V935" s="7" t="str" cm="1">
        <f t="array" ref="V935">INDEX(Dosen!$B$3:$E$8,MATCH(Main!C935,Dosen!$A$3:$A$8,0),IF(AND(Main!A935&gt;=1,Main!A935&lt;=250),1,IF(AND(Main!A935&gt;=251,Main!A935&lt;=500),2,IF(AND(Main!A935&gt;=501,Main!A935&lt;=750),3,4))))</f>
        <v>Bu Ratna</v>
      </c>
      <c r="W935" s="7" t="str">
        <f>_xlfn.XLOOKUP(B935,Detail!$G$1:$G$1001,Detail!$B$1:$B$1001)</f>
        <v>A-</v>
      </c>
    </row>
    <row r="936" spans="1:23" ht="15.75" x14ac:dyDescent="0.25">
      <c r="A936" s="7">
        <v>585</v>
      </c>
      <c r="B936" s="33" t="str">
        <f t="shared" si="55"/>
        <v>F0585</v>
      </c>
      <c r="C936" s="7" t="s">
        <v>1011</v>
      </c>
      <c r="D936" s="33" t="str">
        <f>VLOOKUP(B936,Detail!$G$1:$H$1001,2,FALSE)</f>
        <v>Pandu Sihotang</v>
      </c>
      <c r="E936" s="7">
        <v>86</v>
      </c>
      <c r="F936" s="7">
        <v>49</v>
      </c>
      <c r="G936" s="57">
        <v>30</v>
      </c>
      <c r="H936" s="7">
        <v>57</v>
      </c>
      <c r="I936" s="7">
        <v>58</v>
      </c>
      <c r="J936" s="7">
        <v>54</v>
      </c>
      <c r="K936" s="7">
        <v>63</v>
      </c>
      <c r="L936" s="56" t="str">
        <f>IFERROR(VLOOKUP(B936,Absen!$A$1:$C$501,2,FALSE),"No")</f>
        <v>No</v>
      </c>
      <c r="M936" s="58">
        <f t="shared" si="52"/>
        <v>6.3000000000000007</v>
      </c>
      <c r="N936" s="57">
        <f t="shared" si="53"/>
        <v>54.349999999999994</v>
      </c>
      <c r="O936" s="7" t="str">
        <f>VLOOKUP(N936,Helper!$B$30:$C$35,2,TRUE)</f>
        <v>D</v>
      </c>
      <c r="P936" s="56">
        <f>INDEX(Detail!$A$1:$A$1001,MATCH(B936,Detail!$G$1:$G$1001,0))</f>
        <v>37637</v>
      </c>
      <c r="Q936" s="33" t="str">
        <f>INDEX(Detail!$F$1:$F$1001,MATCH(Main!B936,Detail!$G$1:$G$1001,0))</f>
        <v>Blitar</v>
      </c>
      <c r="R936" s="7">
        <f>INDEX(Detail!$C$1:$C$1001,MATCH(B936,Detail!$G$1:$G$1001,0),1)</f>
        <v>173</v>
      </c>
      <c r="S936" s="7">
        <f>INDEX(Detail!$D$1:$D$1001,MATCH(B936,Detail!$G$1:$G$1001,0),1)</f>
        <v>64</v>
      </c>
      <c r="T936" s="7" t="str">
        <f>INDEX(Detail!$E$1:$E$1001,MATCH(Main!B936,Detail!$G$1:$G$1001,0))</f>
        <v>Jl. Ciumbuleuit No. 10</v>
      </c>
      <c r="U936" s="7" t="str">
        <f>INDEX(Detail!$B$1:$B$1001,MATCH(B936,Detail!$G$1:$G$1001,0),1)</f>
        <v>B+</v>
      </c>
      <c r="V936" s="7" t="str" cm="1">
        <f t="array" ref="V936">INDEX(Dosen!$B$3:$E$8,MATCH(Main!C936,Dosen!$A$3:$A$8,0),IF(AND(Main!A936&gt;=1,Main!A936&lt;=250),1,IF(AND(Main!A936&gt;=251,Main!A936&lt;=500),2,IF(AND(Main!A936&gt;=501,Main!A936&lt;=750),3,4))))</f>
        <v>Bu Ratna</v>
      </c>
      <c r="W936" s="7" t="str">
        <f>_xlfn.XLOOKUP(B936,Detail!$G$1:$G$1001,Detail!$B$1:$B$1001)</f>
        <v>B+</v>
      </c>
    </row>
    <row r="937" spans="1:23" ht="15.75" x14ac:dyDescent="0.25">
      <c r="A937" s="7">
        <v>592</v>
      </c>
      <c r="B937" s="33" t="str">
        <f t="shared" si="55"/>
        <v>F0592</v>
      </c>
      <c r="C937" s="7" t="s">
        <v>1011</v>
      </c>
      <c r="D937" s="33" t="str">
        <f>VLOOKUP(B937,Detail!$G$1:$H$1001,2,FALSE)</f>
        <v>Vivi Suwarno</v>
      </c>
      <c r="E937" s="7">
        <v>79</v>
      </c>
      <c r="F937" s="7">
        <v>58</v>
      </c>
      <c r="G937" s="57">
        <v>79</v>
      </c>
      <c r="H937" s="7">
        <v>65</v>
      </c>
      <c r="I937" s="7">
        <v>67</v>
      </c>
      <c r="J937" s="7">
        <v>45</v>
      </c>
      <c r="K937" s="7">
        <v>89</v>
      </c>
      <c r="L937" s="56">
        <f>IFERROR(VLOOKUP(B937,Absen!$A$1:$C$501,2,FALSE),"No")</f>
        <v>44770</v>
      </c>
      <c r="M937" s="58">
        <f t="shared" si="52"/>
        <v>7.9</v>
      </c>
      <c r="N937" s="57">
        <f t="shared" si="53"/>
        <v>66.325000000000003</v>
      </c>
      <c r="O937" s="7" t="str">
        <f>VLOOKUP(N937,Helper!$B$30:$C$35,2,TRUE)</f>
        <v>C</v>
      </c>
      <c r="P937" s="56">
        <f>INDEX(Detail!$A$1:$A$1001,MATCH(B937,Detail!$G$1:$G$1001,0))</f>
        <v>37323</v>
      </c>
      <c r="Q937" s="33" t="str">
        <f>INDEX(Detail!$F$1:$F$1001,MATCH(Main!B937,Detail!$G$1:$G$1001,0))</f>
        <v>Bekasi</v>
      </c>
      <c r="R937" s="7">
        <f>INDEX(Detail!$C$1:$C$1001,MATCH(B937,Detail!$G$1:$G$1001,0),1)</f>
        <v>156</v>
      </c>
      <c r="S937" s="7">
        <f>INDEX(Detail!$D$1:$D$1001,MATCH(B937,Detail!$G$1:$G$1001,0),1)</f>
        <v>95</v>
      </c>
      <c r="T937" s="7" t="str">
        <f>INDEX(Detail!$E$1:$E$1001,MATCH(Main!B937,Detail!$G$1:$G$1001,0))</f>
        <v>Jl. Moch. Toha No. 26</v>
      </c>
      <c r="U937" s="7" t="str">
        <f>INDEX(Detail!$B$1:$B$1001,MATCH(B937,Detail!$G$1:$G$1001,0),1)</f>
        <v>A+</v>
      </c>
      <c r="V937" s="7" t="str" cm="1">
        <f t="array" ref="V937">INDEX(Dosen!$B$3:$E$8,MATCH(Main!C937,Dosen!$A$3:$A$8,0),IF(AND(Main!A937&gt;=1,Main!A937&lt;=250),1,IF(AND(Main!A937&gt;=251,Main!A937&lt;=500),2,IF(AND(Main!A937&gt;=501,Main!A937&lt;=750),3,4))))</f>
        <v>Bu Ratna</v>
      </c>
      <c r="W937" s="7" t="str">
        <f>_xlfn.XLOOKUP(B937,Detail!$G$1:$G$1001,Detail!$B$1:$B$1001)</f>
        <v>A+</v>
      </c>
    </row>
    <row r="938" spans="1:23" ht="15.75" x14ac:dyDescent="0.25">
      <c r="A938" s="7">
        <v>593</v>
      </c>
      <c r="B938" s="33" t="str">
        <f t="shared" si="55"/>
        <v>F0593</v>
      </c>
      <c r="C938" s="7" t="s">
        <v>1011</v>
      </c>
      <c r="D938" s="33" t="str">
        <f>VLOOKUP(B938,Detail!$G$1:$H$1001,2,FALSE)</f>
        <v>Kamidin Wacana</v>
      </c>
      <c r="E938" s="7">
        <v>60</v>
      </c>
      <c r="F938" s="7">
        <v>70</v>
      </c>
      <c r="G938" s="57">
        <v>33</v>
      </c>
      <c r="H938" s="7">
        <v>57</v>
      </c>
      <c r="I938" s="7">
        <v>81</v>
      </c>
      <c r="J938" s="7">
        <v>43</v>
      </c>
      <c r="K938" s="7">
        <v>66</v>
      </c>
      <c r="L938" s="56" t="str">
        <f>IFERROR(VLOOKUP(B938,Absen!$A$1:$C$501,2,FALSE),"No")</f>
        <v>No</v>
      </c>
      <c r="M938" s="58">
        <f t="shared" si="52"/>
        <v>6.6000000000000005</v>
      </c>
      <c r="N938" s="57">
        <f t="shared" si="53"/>
        <v>55.300000000000004</v>
      </c>
      <c r="O938" s="7" t="str">
        <f>VLOOKUP(N938,Helper!$B$30:$C$35,2,TRUE)</f>
        <v>D</v>
      </c>
      <c r="P938" s="56">
        <f>INDEX(Detail!$A$1:$A$1001,MATCH(B938,Detail!$G$1:$G$1001,0))</f>
        <v>37741</v>
      </c>
      <c r="Q938" s="33" t="str">
        <f>INDEX(Detail!$F$1:$F$1001,MATCH(Main!B938,Detail!$G$1:$G$1001,0))</f>
        <v>Medan</v>
      </c>
      <c r="R938" s="7">
        <f>INDEX(Detail!$C$1:$C$1001,MATCH(B938,Detail!$G$1:$G$1001,0),1)</f>
        <v>177</v>
      </c>
      <c r="S938" s="7">
        <f>INDEX(Detail!$D$1:$D$1001,MATCH(B938,Detail!$G$1:$G$1001,0),1)</f>
        <v>57</v>
      </c>
      <c r="T938" s="7" t="str">
        <f>INDEX(Detail!$E$1:$E$1001,MATCH(Main!B938,Detail!$G$1:$G$1001,0))</f>
        <v xml:space="preserve">Jalan Gedebage Selatan No. 8
</v>
      </c>
      <c r="U938" s="7" t="str">
        <f>INDEX(Detail!$B$1:$B$1001,MATCH(B938,Detail!$G$1:$G$1001,0),1)</f>
        <v>AB-</v>
      </c>
      <c r="V938" s="7" t="str" cm="1">
        <f t="array" ref="V938">INDEX(Dosen!$B$3:$E$8,MATCH(Main!C938,Dosen!$A$3:$A$8,0),IF(AND(Main!A938&gt;=1,Main!A938&lt;=250),1,IF(AND(Main!A938&gt;=251,Main!A938&lt;=500),2,IF(AND(Main!A938&gt;=501,Main!A938&lt;=750),3,4))))</f>
        <v>Bu Ratna</v>
      </c>
      <c r="W938" s="7" t="str">
        <f>_xlfn.XLOOKUP(B938,Detail!$G$1:$G$1001,Detail!$B$1:$B$1001)</f>
        <v>AB-</v>
      </c>
    </row>
    <row r="939" spans="1:23" ht="15.75" x14ac:dyDescent="0.25">
      <c r="A939" s="7">
        <v>597</v>
      </c>
      <c r="B939" s="33" t="str">
        <f t="shared" si="55"/>
        <v>F0597</v>
      </c>
      <c r="C939" s="7" t="s">
        <v>1011</v>
      </c>
      <c r="D939" s="33" t="str">
        <f>VLOOKUP(B939,Detail!$G$1:$H$1001,2,FALSE)</f>
        <v>Vicky Pratama</v>
      </c>
      <c r="E939" s="7">
        <v>95</v>
      </c>
      <c r="F939" s="7">
        <v>64</v>
      </c>
      <c r="G939" s="57">
        <v>67</v>
      </c>
      <c r="H939" s="7">
        <v>70</v>
      </c>
      <c r="I939" s="7">
        <v>62</v>
      </c>
      <c r="J939" s="7">
        <v>97</v>
      </c>
      <c r="K939" s="7">
        <v>88</v>
      </c>
      <c r="L939" s="56">
        <f>IFERROR(VLOOKUP(B939,Absen!$A$1:$C$501,2,FALSE),"No")</f>
        <v>44874</v>
      </c>
      <c r="M939" s="58">
        <f t="shared" si="52"/>
        <v>7.8000000000000007</v>
      </c>
      <c r="N939" s="57">
        <f t="shared" si="53"/>
        <v>76.974999999999994</v>
      </c>
      <c r="O939" s="7" t="str">
        <f>VLOOKUP(N939,Helper!$B$30:$C$35,2,TRUE)</f>
        <v>B</v>
      </c>
      <c r="P939" s="56">
        <f>INDEX(Detail!$A$1:$A$1001,MATCH(B939,Detail!$G$1:$G$1001,0))</f>
        <v>37050</v>
      </c>
      <c r="Q939" s="33" t="str">
        <f>INDEX(Detail!$F$1:$F$1001,MATCH(Main!B939,Detail!$G$1:$G$1001,0))</f>
        <v>Sorong</v>
      </c>
      <c r="R939" s="7">
        <f>INDEX(Detail!$C$1:$C$1001,MATCH(B939,Detail!$G$1:$G$1001,0),1)</f>
        <v>168</v>
      </c>
      <c r="S939" s="7">
        <f>INDEX(Detail!$D$1:$D$1001,MATCH(B939,Detail!$G$1:$G$1001,0),1)</f>
        <v>73</v>
      </c>
      <c r="T939" s="7" t="str">
        <f>INDEX(Detail!$E$1:$E$1001,MATCH(Main!B939,Detail!$G$1:$G$1001,0))</f>
        <v xml:space="preserve">Jl. S. Parman No. 2
</v>
      </c>
      <c r="U939" s="7" t="str">
        <f>INDEX(Detail!$B$1:$B$1001,MATCH(B939,Detail!$G$1:$G$1001,0),1)</f>
        <v>AB+</v>
      </c>
      <c r="V939" s="7" t="str" cm="1">
        <f t="array" ref="V939">INDEX(Dosen!$B$3:$E$8,MATCH(Main!C939,Dosen!$A$3:$A$8,0),IF(AND(Main!A939&gt;=1,Main!A939&lt;=250),1,IF(AND(Main!A939&gt;=251,Main!A939&lt;=500),2,IF(AND(Main!A939&gt;=501,Main!A939&lt;=750),3,4))))</f>
        <v>Bu Ratna</v>
      </c>
      <c r="W939" s="7" t="str">
        <f>_xlfn.XLOOKUP(B939,Detail!$G$1:$G$1001,Detail!$B$1:$B$1001)</f>
        <v>AB+</v>
      </c>
    </row>
    <row r="940" spans="1:23" ht="15.75" x14ac:dyDescent="0.25">
      <c r="A940" s="7">
        <v>598</v>
      </c>
      <c r="B940" s="33" t="str">
        <f t="shared" si="55"/>
        <v>F0598</v>
      </c>
      <c r="C940" s="7" t="s">
        <v>1011</v>
      </c>
      <c r="D940" s="33" t="str">
        <f>VLOOKUP(B940,Detail!$G$1:$H$1001,2,FALSE)</f>
        <v>Dipa Setiawan</v>
      </c>
      <c r="E940" s="7">
        <v>74</v>
      </c>
      <c r="F940" s="7">
        <v>61</v>
      </c>
      <c r="G940" s="57">
        <v>65</v>
      </c>
      <c r="H940" s="7">
        <v>51</v>
      </c>
      <c r="I940" s="7">
        <v>79</v>
      </c>
      <c r="J940" s="7">
        <v>74</v>
      </c>
      <c r="K940" s="7">
        <v>70</v>
      </c>
      <c r="L940" s="56" t="str">
        <f>IFERROR(VLOOKUP(B940,Absen!$A$1:$C$501,2,FALSE),"No")</f>
        <v>No</v>
      </c>
      <c r="M940" s="58">
        <f t="shared" si="52"/>
        <v>7</v>
      </c>
      <c r="N940" s="57">
        <f t="shared" si="53"/>
        <v>67.924999999999997</v>
      </c>
      <c r="O940" s="7" t="str">
        <f>VLOOKUP(N940,Helper!$B$30:$C$35,2,TRUE)</f>
        <v>C</v>
      </c>
      <c r="P940" s="56">
        <f>INDEX(Detail!$A$1:$A$1001,MATCH(B940,Detail!$G$1:$G$1001,0))</f>
        <v>38226</v>
      </c>
      <c r="Q940" s="33" t="str">
        <f>INDEX(Detail!$F$1:$F$1001,MATCH(Main!B940,Detail!$G$1:$G$1001,0))</f>
        <v>Sorong</v>
      </c>
      <c r="R940" s="7">
        <f>INDEX(Detail!$C$1:$C$1001,MATCH(B940,Detail!$G$1:$G$1001,0),1)</f>
        <v>158</v>
      </c>
      <c r="S940" s="7">
        <f>INDEX(Detail!$D$1:$D$1001,MATCH(B940,Detail!$G$1:$G$1001,0),1)</f>
        <v>84</v>
      </c>
      <c r="T940" s="7" t="str">
        <f>INDEX(Detail!$E$1:$E$1001,MATCH(Main!B940,Detail!$G$1:$G$1001,0))</f>
        <v>Jl. Sukabumi No. 07</v>
      </c>
      <c r="U940" s="7" t="str">
        <f>INDEX(Detail!$B$1:$B$1001,MATCH(B940,Detail!$G$1:$G$1001,0),1)</f>
        <v>A-</v>
      </c>
      <c r="V940" s="7" t="str" cm="1">
        <f t="array" ref="V940">INDEX(Dosen!$B$3:$E$8,MATCH(Main!C940,Dosen!$A$3:$A$8,0),IF(AND(Main!A940&gt;=1,Main!A940&lt;=250),1,IF(AND(Main!A940&gt;=251,Main!A940&lt;=500),2,IF(AND(Main!A940&gt;=501,Main!A940&lt;=750),3,4))))</f>
        <v>Bu Ratna</v>
      </c>
      <c r="W940" s="7" t="str">
        <f>_xlfn.XLOOKUP(B940,Detail!$G$1:$G$1001,Detail!$B$1:$B$1001)</f>
        <v>A-</v>
      </c>
    </row>
    <row r="941" spans="1:23" ht="15.75" x14ac:dyDescent="0.25">
      <c r="A941" s="7">
        <v>599</v>
      </c>
      <c r="B941" s="33" t="str">
        <f t="shared" si="55"/>
        <v>F0599</v>
      </c>
      <c r="C941" s="7" t="s">
        <v>1011</v>
      </c>
      <c r="D941" s="33" t="str">
        <f>VLOOKUP(B941,Detail!$G$1:$H$1001,2,FALSE)</f>
        <v>Lili Widiastuti</v>
      </c>
      <c r="E941" s="7">
        <v>56</v>
      </c>
      <c r="F941" s="7">
        <v>44</v>
      </c>
      <c r="G941" s="57">
        <v>37</v>
      </c>
      <c r="H941" s="7">
        <v>75</v>
      </c>
      <c r="I941" s="7">
        <v>50</v>
      </c>
      <c r="J941" s="7">
        <v>66</v>
      </c>
      <c r="K941" s="7">
        <v>83</v>
      </c>
      <c r="L941" s="56" t="str">
        <f>IFERROR(VLOOKUP(B941,Absen!$A$1:$C$501,2,FALSE),"No")</f>
        <v>No</v>
      </c>
      <c r="M941" s="58">
        <f t="shared" si="52"/>
        <v>8.3000000000000007</v>
      </c>
      <c r="N941" s="57">
        <f t="shared" si="53"/>
        <v>57.025000000000006</v>
      </c>
      <c r="O941" s="7" t="str">
        <f>VLOOKUP(N941,Helper!$B$30:$C$35,2,TRUE)</f>
        <v>D</v>
      </c>
      <c r="P941" s="56">
        <f>INDEX(Detail!$A$1:$A$1001,MATCH(B941,Detail!$G$1:$G$1001,0))</f>
        <v>37827</v>
      </c>
      <c r="Q941" s="33" t="str">
        <f>INDEX(Detail!$F$1:$F$1001,MATCH(Main!B941,Detail!$G$1:$G$1001,0))</f>
        <v>Pekalongan</v>
      </c>
      <c r="R941" s="7">
        <f>INDEX(Detail!$C$1:$C$1001,MATCH(B941,Detail!$G$1:$G$1001,0),1)</f>
        <v>180</v>
      </c>
      <c r="S941" s="7">
        <f>INDEX(Detail!$D$1:$D$1001,MATCH(B941,Detail!$G$1:$G$1001,0),1)</f>
        <v>68</v>
      </c>
      <c r="T941" s="7" t="str">
        <f>INDEX(Detail!$E$1:$E$1001,MATCH(Main!B941,Detail!$G$1:$G$1001,0))</f>
        <v xml:space="preserve">Gang Ir. H. Djuanda No. 0
</v>
      </c>
      <c r="U941" s="7" t="str">
        <f>INDEX(Detail!$B$1:$B$1001,MATCH(B941,Detail!$G$1:$G$1001,0),1)</f>
        <v>B-</v>
      </c>
      <c r="V941" s="7" t="str" cm="1">
        <f t="array" ref="V941">INDEX(Dosen!$B$3:$E$8,MATCH(Main!C941,Dosen!$A$3:$A$8,0),IF(AND(Main!A941&gt;=1,Main!A941&lt;=250),1,IF(AND(Main!A941&gt;=251,Main!A941&lt;=500),2,IF(AND(Main!A941&gt;=501,Main!A941&lt;=750),3,4))))</f>
        <v>Bu Ratna</v>
      </c>
      <c r="W941" s="7" t="str">
        <f>_xlfn.XLOOKUP(B941,Detail!$G$1:$G$1001,Detail!$B$1:$B$1001)</f>
        <v>B-</v>
      </c>
    </row>
    <row r="942" spans="1:23" ht="15.75" x14ac:dyDescent="0.25">
      <c r="A942" s="7">
        <v>611</v>
      </c>
      <c r="B942" s="33" t="str">
        <f t="shared" si="55"/>
        <v>F0611</v>
      </c>
      <c r="C942" s="7" t="s">
        <v>1011</v>
      </c>
      <c r="D942" s="33" t="str">
        <f>VLOOKUP(B942,Detail!$G$1:$H$1001,2,FALSE)</f>
        <v>Ellis Rajata</v>
      </c>
      <c r="E942" s="7">
        <v>91</v>
      </c>
      <c r="F942" s="7">
        <v>62</v>
      </c>
      <c r="G942" s="57">
        <v>40</v>
      </c>
      <c r="H942" s="7">
        <v>72</v>
      </c>
      <c r="I942" s="7">
        <v>63</v>
      </c>
      <c r="J942" s="7">
        <v>64</v>
      </c>
      <c r="K942" s="7">
        <v>93</v>
      </c>
      <c r="L942" s="56" t="str">
        <f>IFERROR(VLOOKUP(B942,Absen!$A$1:$C$501,2,FALSE),"No")</f>
        <v>No</v>
      </c>
      <c r="M942" s="58">
        <f t="shared" si="52"/>
        <v>9.3000000000000007</v>
      </c>
      <c r="N942" s="57">
        <f t="shared" si="53"/>
        <v>66.099999999999994</v>
      </c>
      <c r="O942" s="7" t="str">
        <f>VLOOKUP(N942,Helper!$B$30:$C$35,2,TRUE)</f>
        <v>C</v>
      </c>
      <c r="P942" s="56">
        <f>INDEX(Detail!$A$1:$A$1001,MATCH(B942,Detail!$G$1:$G$1001,0))</f>
        <v>38002</v>
      </c>
      <c r="Q942" s="33" t="str">
        <f>INDEX(Detail!$F$1:$F$1001,MATCH(Main!B942,Detail!$G$1:$G$1001,0))</f>
        <v>Malang</v>
      </c>
      <c r="R942" s="7">
        <f>INDEX(Detail!$C$1:$C$1001,MATCH(B942,Detail!$G$1:$G$1001,0),1)</f>
        <v>165</v>
      </c>
      <c r="S942" s="7">
        <f>INDEX(Detail!$D$1:$D$1001,MATCH(B942,Detail!$G$1:$G$1001,0),1)</f>
        <v>93</v>
      </c>
      <c r="T942" s="7" t="str">
        <f>INDEX(Detail!$E$1:$E$1001,MATCH(Main!B942,Detail!$G$1:$G$1001,0))</f>
        <v>Gg. Astana Anyar No. 05</v>
      </c>
      <c r="U942" s="7" t="str">
        <f>INDEX(Detail!$B$1:$B$1001,MATCH(B942,Detail!$G$1:$G$1001,0),1)</f>
        <v>O-</v>
      </c>
      <c r="V942" s="7" t="str" cm="1">
        <f t="array" ref="V942">INDEX(Dosen!$B$3:$E$8,MATCH(Main!C942,Dosen!$A$3:$A$8,0),IF(AND(Main!A942&gt;=1,Main!A942&lt;=250),1,IF(AND(Main!A942&gt;=251,Main!A942&lt;=500),2,IF(AND(Main!A942&gt;=501,Main!A942&lt;=750),3,4))))</f>
        <v>Bu Ratna</v>
      </c>
      <c r="W942" s="7" t="str">
        <f>_xlfn.XLOOKUP(B942,Detail!$G$1:$G$1001,Detail!$B$1:$B$1001)</f>
        <v>O-</v>
      </c>
    </row>
    <row r="943" spans="1:23" ht="15.75" x14ac:dyDescent="0.25">
      <c r="A943" s="7">
        <v>615</v>
      </c>
      <c r="B943" s="33" t="str">
        <f t="shared" si="55"/>
        <v>F0615</v>
      </c>
      <c r="C943" s="7" t="s">
        <v>1011</v>
      </c>
      <c r="D943" s="33" t="str">
        <f>VLOOKUP(B943,Detail!$G$1:$H$1001,2,FALSE)</f>
        <v>Prabu Halim</v>
      </c>
      <c r="E943" s="7">
        <v>91</v>
      </c>
      <c r="F943" s="7">
        <v>63</v>
      </c>
      <c r="G943" s="57">
        <v>46</v>
      </c>
      <c r="H943" s="7">
        <v>51</v>
      </c>
      <c r="I943" s="7">
        <v>87</v>
      </c>
      <c r="J943" s="7">
        <v>49</v>
      </c>
      <c r="K943" s="7">
        <v>76</v>
      </c>
      <c r="L943" s="56">
        <f>IFERROR(VLOOKUP(B943,Absen!$A$1:$C$501,2,FALSE),"No")</f>
        <v>44807</v>
      </c>
      <c r="M943" s="58">
        <f t="shared" si="52"/>
        <v>6.6000000000000005</v>
      </c>
      <c r="N943" s="57">
        <f t="shared" si="53"/>
        <v>62.1</v>
      </c>
      <c r="O943" s="7" t="str">
        <f>VLOOKUP(N943,Helper!$B$30:$C$35,2,TRUE)</f>
        <v>C</v>
      </c>
      <c r="P943" s="56">
        <f>INDEX(Detail!$A$1:$A$1001,MATCH(B943,Detail!$G$1:$G$1001,0))</f>
        <v>37325</v>
      </c>
      <c r="Q943" s="33" t="str">
        <f>INDEX(Detail!$F$1:$F$1001,MATCH(Main!B943,Detail!$G$1:$G$1001,0))</f>
        <v>Makassar</v>
      </c>
      <c r="R943" s="7">
        <f>INDEX(Detail!$C$1:$C$1001,MATCH(B943,Detail!$G$1:$G$1001,0),1)</f>
        <v>171</v>
      </c>
      <c r="S943" s="7">
        <f>INDEX(Detail!$D$1:$D$1001,MATCH(B943,Detail!$G$1:$G$1001,0),1)</f>
        <v>58</v>
      </c>
      <c r="T943" s="7" t="str">
        <f>INDEX(Detail!$E$1:$E$1001,MATCH(Main!B943,Detail!$G$1:$G$1001,0))</f>
        <v xml:space="preserve">Gang Jayawijaya No. 7
</v>
      </c>
      <c r="U943" s="7" t="str">
        <f>INDEX(Detail!$B$1:$B$1001,MATCH(B943,Detail!$G$1:$G$1001,0),1)</f>
        <v>B-</v>
      </c>
      <c r="V943" s="7" t="str" cm="1">
        <f t="array" ref="V943">INDEX(Dosen!$B$3:$E$8,MATCH(Main!C943,Dosen!$A$3:$A$8,0),IF(AND(Main!A943&gt;=1,Main!A943&lt;=250),1,IF(AND(Main!A943&gt;=251,Main!A943&lt;=500),2,IF(AND(Main!A943&gt;=501,Main!A943&lt;=750),3,4))))</f>
        <v>Bu Ratna</v>
      </c>
      <c r="W943" s="7" t="str">
        <f>_xlfn.XLOOKUP(B943,Detail!$G$1:$G$1001,Detail!$B$1:$B$1001)</f>
        <v>B-</v>
      </c>
    </row>
    <row r="944" spans="1:23" ht="15.75" x14ac:dyDescent="0.25">
      <c r="A944" s="7">
        <v>627</v>
      </c>
      <c r="B944" s="33" t="str">
        <f t="shared" si="55"/>
        <v>F0627</v>
      </c>
      <c r="C944" s="7" t="s">
        <v>1011</v>
      </c>
      <c r="D944" s="33" t="str">
        <f>VLOOKUP(B944,Detail!$G$1:$H$1001,2,FALSE)</f>
        <v>Jaswadi Jailani</v>
      </c>
      <c r="E944" s="7">
        <v>81</v>
      </c>
      <c r="F944" s="7">
        <v>53</v>
      </c>
      <c r="G944" s="57">
        <v>58</v>
      </c>
      <c r="H944" s="7">
        <v>50</v>
      </c>
      <c r="I944" s="7">
        <v>81</v>
      </c>
      <c r="J944" s="7">
        <v>60</v>
      </c>
      <c r="K944" s="7">
        <v>81</v>
      </c>
      <c r="L944" s="56" t="str">
        <f>IFERROR(VLOOKUP(B944,Absen!$A$1:$C$501,2,FALSE),"No")</f>
        <v>No</v>
      </c>
      <c r="M944" s="58">
        <f t="shared" si="52"/>
        <v>8.1</v>
      </c>
      <c r="N944" s="57">
        <f t="shared" si="53"/>
        <v>64.825000000000003</v>
      </c>
      <c r="O944" s="7" t="str">
        <f>VLOOKUP(N944,Helper!$B$30:$C$35,2,TRUE)</f>
        <v>C</v>
      </c>
      <c r="P944" s="56">
        <f>INDEX(Detail!$A$1:$A$1001,MATCH(B944,Detail!$G$1:$G$1001,0))</f>
        <v>37290</v>
      </c>
      <c r="Q944" s="33" t="str">
        <f>INDEX(Detail!$F$1:$F$1001,MATCH(Main!B944,Detail!$G$1:$G$1001,0))</f>
        <v>Solok</v>
      </c>
      <c r="R944" s="7">
        <f>INDEX(Detail!$C$1:$C$1001,MATCH(B944,Detail!$G$1:$G$1001,0),1)</f>
        <v>156</v>
      </c>
      <c r="S944" s="7">
        <f>INDEX(Detail!$D$1:$D$1001,MATCH(B944,Detail!$G$1:$G$1001,0),1)</f>
        <v>76</v>
      </c>
      <c r="T944" s="7" t="str">
        <f>INDEX(Detail!$E$1:$E$1001,MATCH(Main!B944,Detail!$G$1:$G$1001,0))</f>
        <v xml:space="preserve">Jl. Pasir Koja No. 6
</v>
      </c>
      <c r="U944" s="7" t="str">
        <f>INDEX(Detail!$B$1:$B$1001,MATCH(B944,Detail!$G$1:$G$1001,0),1)</f>
        <v>AB-</v>
      </c>
      <c r="V944" s="7" t="str" cm="1">
        <f t="array" ref="V944">INDEX(Dosen!$B$3:$E$8,MATCH(Main!C944,Dosen!$A$3:$A$8,0),IF(AND(Main!A944&gt;=1,Main!A944&lt;=250),1,IF(AND(Main!A944&gt;=251,Main!A944&lt;=500),2,IF(AND(Main!A944&gt;=501,Main!A944&lt;=750),3,4))))</f>
        <v>Bu Ratna</v>
      </c>
      <c r="W944" s="7" t="str">
        <f>_xlfn.XLOOKUP(B944,Detail!$G$1:$G$1001,Detail!$B$1:$B$1001)</f>
        <v>AB-</v>
      </c>
    </row>
    <row r="945" spans="1:23" ht="15.75" x14ac:dyDescent="0.25">
      <c r="A945" s="7">
        <v>640</v>
      </c>
      <c r="B945" s="33" t="str">
        <f t="shared" si="55"/>
        <v>F0640</v>
      </c>
      <c r="C945" s="7" t="s">
        <v>1011</v>
      </c>
      <c r="D945" s="33" t="str">
        <f>VLOOKUP(B945,Detail!$G$1:$H$1001,2,FALSE)</f>
        <v>Bagas Laksmiwati</v>
      </c>
      <c r="E945" s="7">
        <v>68</v>
      </c>
      <c r="F945" s="7">
        <v>64</v>
      </c>
      <c r="G945" s="57">
        <v>51</v>
      </c>
      <c r="H945" s="7">
        <v>62</v>
      </c>
      <c r="I945" s="7">
        <v>78</v>
      </c>
      <c r="J945" s="7">
        <v>58</v>
      </c>
      <c r="K945" s="7">
        <v>81</v>
      </c>
      <c r="L945" s="56">
        <f>IFERROR(VLOOKUP(B945,Absen!$A$1:$C$501,2,FALSE),"No")</f>
        <v>44915</v>
      </c>
      <c r="M945" s="58">
        <f t="shared" si="52"/>
        <v>7.1000000000000005</v>
      </c>
      <c r="N945" s="57">
        <f t="shared" si="53"/>
        <v>62.900000000000006</v>
      </c>
      <c r="O945" s="7" t="str">
        <f>VLOOKUP(N945,Helper!$B$30:$C$35,2,TRUE)</f>
        <v>C</v>
      </c>
      <c r="P945" s="56">
        <f>INDEX(Detail!$A$1:$A$1001,MATCH(B945,Detail!$G$1:$G$1001,0))</f>
        <v>37459</v>
      </c>
      <c r="Q945" s="33" t="str">
        <f>INDEX(Detail!$F$1:$F$1001,MATCH(Main!B945,Detail!$G$1:$G$1001,0))</f>
        <v>Yogyakarta</v>
      </c>
      <c r="R945" s="7">
        <f>INDEX(Detail!$C$1:$C$1001,MATCH(B945,Detail!$G$1:$G$1001,0),1)</f>
        <v>155</v>
      </c>
      <c r="S945" s="7">
        <f>INDEX(Detail!$D$1:$D$1001,MATCH(B945,Detail!$G$1:$G$1001,0),1)</f>
        <v>67</v>
      </c>
      <c r="T945" s="7" t="str">
        <f>INDEX(Detail!$E$1:$E$1001,MATCH(Main!B945,Detail!$G$1:$G$1001,0))</f>
        <v xml:space="preserve">Gang Otto Iskandardinata No. 9
</v>
      </c>
      <c r="U945" s="7" t="str">
        <f>INDEX(Detail!$B$1:$B$1001,MATCH(B945,Detail!$G$1:$G$1001,0),1)</f>
        <v>B-</v>
      </c>
      <c r="V945" s="7" t="str" cm="1">
        <f t="array" ref="V945">INDEX(Dosen!$B$3:$E$8,MATCH(Main!C945,Dosen!$A$3:$A$8,0),IF(AND(Main!A945&gt;=1,Main!A945&lt;=250),1,IF(AND(Main!A945&gt;=251,Main!A945&lt;=500),2,IF(AND(Main!A945&gt;=501,Main!A945&lt;=750),3,4))))</f>
        <v>Bu Ratna</v>
      </c>
      <c r="W945" s="7" t="str">
        <f>_xlfn.XLOOKUP(B945,Detail!$G$1:$G$1001,Detail!$B$1:$B$1001)</f>
        <v>B-</v>
      </c>
    </row>
    <row r="946" spans="1:23" ht="15.75" x14ac:dyDescent="0.25">
      <c r="A946" s="7">
        <v>642</v>
      </c>
      <c r="B946" s="33" t="str">
        <f t="shared" si="55"/>
        <v>F0642</v>
      </c>
      <c r="C946" s="7" t="s">
        <v>1011</v>
      </c>
      <c r="D946" s="33" t="str">
        <f>VLOOKUP(B946,Detail!$G$1:$H$1001,2,FALSE)</f>
        <v>Jaeman Safitri</v>
      </c>
      <c r="E946" s="7">
        <v>65</v>
      </c>
      <c r="F946" s="7">
        <v>73</v>
      </c>
      <c r="G946" s="57">
        <v>85</v>
      </c>
      <c r="H946" s="7">
        <v>57</v>
      </c>
      <c r="I946" s="7">
        <v>59</v>
      </c>
      <c r="J946" s="7">
        <v>53</v>
      </c>
      <c r="K946" s="7">
        <v>94</v>
      </c>
      <c r="L946" s="56" t="str">
        <f>IFERROR(VLOOKUP(B946,Absen!$A$1:$C$501,2,FALSE),"No")</f>
        <v>No</v>
      </c>
      <c r="M946" s="58">
        <f t="shared" si="52"/>
        <v>9.4</v>
      </c>
      <c r="N946" s="57">
        <f t="shared" si="53"/>
        <v>68.75</v>
      </c>
      <c r="O946" s="7" t="str">
        <f>VLOOKUP(N946,Helper!$B$30:$C$35,2,TRUE)</f>
        <v>C</v>
      </c>
      <c r="P946" s="56">
        <f>INDEX(Detail!$A$1:$A$1001,MATCH(B946,Detail!$G$1:$G$1001,0))</f>
        <v>37312</v>
      </c>
      <c r="Q946" s="33" t="str">
        <f>INDEX(Detail!$F$1:$F$1001,MATCH(Main!B946,Detail!$G$1:$G$1001,0))</f>
        <v>Palu</v>
      </c>
      <c r="R946" s="7">
        <f>INDEX(Detail!$C$1:$C$1001,MATCH(B946,Detail!$G$1:$G$1001,0),1)</f>
        <v>171</v>
      </c>
      <c r="S946" s="7">
        <f>INDEX(Detail!$D$1:$D$1001,MATCH(B946,Detail!$G$1:$G$1001,0),1)</f>
        <v>66</v>
      </c>
      <c r="T946" s="7" t="str">
        <f>INDEX(Detail!$E$1:$E$1001,MATCH(Main!B946,Detail!$G$1:$G$1001,0))</f>
        <v>Gang Medokan Ayu No. 60</v>
      </c>
      <c r="U946" s="7" t="str">
        <f>INDEX(Detail!$B$1:$B$1001,MATCH(B946,Detail!$G$1:$G$1001,0),1)</f>
        <v>AB+</v>
      </c>
      <c r="V946" s="7" t="str" cm="1">
        <f t="array" ref="V946">INDEX(Dosen!$B$3:$E$8,MATCH(Main!C946,Dosen!$A$3:$A$8,0),IF(AND(Main!A946&gt;=1,Main!A946&lt;=250),1,IF(AND(Main!A946&gt;=251,Main!A946&lt;=500),2,IF(AND(Main!A946&gt;=501,Main!A946&lt;=750),3,4))))</f>
        <v>Bu Ratna</v>
      </c>
      <c r="W946" s="7" t="str">
        <f>_xlfn.XLOOKUP(B946,Detail!$G$1:$G$1001,Detail!$B$1:$B$1001)</f>
        <v>AB+</v>
      </c>
    </row>
    <row r="947" spans="1:23" ht="15.75" x14ac:dyDescent="0.25">
      <c r="A947" s="7">
        <v>657</v>
      </c>
      <c r="B947" s="33" t="str">
        <f t="shared" si="55"/>
        <v>F0657</v>
      </c>
      <c r="C947" s="7" t="s">
        <v>1011</v>
      </c>
      <c r="D947" s="33" t="str">
        <f>VLOOKUP(B947,Detail!$G$1:$H$1001,2,FALSE)</f>
        <v>Asmianto Farida</v>
      </c>
      <c r="E947" s="7">
        <v>94</v>
      </c>
      <c r="F947" s="7">
        <v>75</v>
      </c>
      <c r="G947" s="57">
        <v>65</v>
      </c>
      <c r="H947" s="7">
        <v>52</v>
      </c>
      <c r="I947" s="7">
        <v>88</v>
      </c>
      <c r="J947" s="7">
        <v>51</v>
      </c>
      <c r="K947" s="7">
        <v>85</v>
      </c>
      <c r="L947" s="56" t="str">
        <f>IFERROR(VLOOKUP(B947,Absen!$A$1:$C$501,2,FALSE),"No")</f>
        <v>No</v>
      </c>
      <c r="M947" s="58">
        <f t="shared" si="52"/>
        <v>8.5</v>
      </c>
      <c r="N947" s="57">
        <f t="shared" si="53"/>
        <v>70.325000000000003</v>
      </c>
      <c r="O947" s="7" t="str">
        <f>VLOOKUP(N947,Helper!$B$30:$C$35,2,TRUE)</f>
        <v>B</v>
      </c>
      <c r="P947" s="56">
        <f>INDEX(Detail!$A$1:$A$1001,MATCH(B947,Detail!$G$1:$G$1001,0))</f>
        <v>38171</v>
      </c>
      <c r="Q947" s="33" t="str">
        <f>INDEX(Detail!$F$1:$F$1001,MATCH(Main!B947,Detail!$G$1:$G$1001,0))</f>
        <v>Banjarbaru</v>
      </c>
      <c r="R947" s="7">
        <f>INDEX(Detail!$C$1:$C$1001,MATCH(B947,Detail!$G$1:$G$1001,0),1)</f>
        <v>177</v>
      </c>
      <c r="S947" s="7">
        <f>INDEX(Detail!$D$1:$D$1001,MATCH(B947,Detail!$G$1:$G$1001,0),1)</f>
        <v>74</v>
      </c>
      <c r="T947" s="7" t="str">
        <f>INDEX(Detail!$E$1:$E$1001,MATCH(Main!B947,Detail!$G$1:$G$1001,0))</f>
        <v xml:space="preserve">Gg. Rajiman No. 2
</v>
      </c>
      <c r="U947" s="7" t="str">
        <f>INDEX(Detail!$B$1:$B$1001,MATCH(B947,Detail!$G$1:$G$1001,0),1)</f>
        <v>B-</v>
      </c>
      <c r="V947" s="7" t="str" cm="1">
        <f t="array" ref="V947">INDEX(Dosen!$B$3:$E$8,MATCH(Main!C947,Dosen!$A$3:$A$8,0),IF(AND(Main!A947&gt;=1,Main!A947&lt;=250),1,IF(AND(Main!A947&gt;=251,Main!A947&lt;=500),2,IF(AND(Main!A947&gt;=501,Main!A947&lt;=750),3,4))))</f>
        <v>Bu Ratna</v>
      </c>
      <c r="W947" s="7" t="str">
        <f>_xlfn.XLOOKUP(B947,Detail!$G$1:$G$1001,Detail!$B$1:$B$1001)</f>
        <v>B-</v>
      </c>
    </row>
    <row r="948" spans="1:23" ht="15.75" x14ac:dyDescent="0.25">
      <c r="A948" s="7">
        <v>670</v>
      </c>
      <c r="B948" s="33" t="str">
        <f t="shared" si="55"/>
        <v>F0670</v>
      </c>
      <c r="C948" s="7" t="s">
        <v>1011</v>
      </c>
      <c r="D948" s="33" t="str">
        <f>VLOOKUP(B948,Detail!$G$1:$H$1001,2,FALSE)</f>
        <v>Irnanto Irawan</v>
      </c>
      <c r="E948" s="7">
        <v>81</v>
      </c>
      <c r="F948" s="7">
        <v>40</v>
      </c>
      <c r="G948" s="57">
        <v>85</v>
      </c>
      <c r="H948" s="7">
        <v>71</v>
      </c>
      <c r="I948" s="7">
        <v>65</v>
      </c>
      <c r="J948" s="7">
        <v>44</v>
      </c>
      <c r="K948" s="7">
        <v>90</v>
      </c>
      <c r="L948" s="56">
        <f>IFERROR(VLOOKUP(B948,Absen!$A$1:$C$501,2,FALSE),"No")</f>
        <v>44835</v>
      </c>
      <c r="M948" s="58">
        <f t="shared" si="52"/>
        <v>8</v>
      </c>
      <c r="N948" s="57">
        <f t="shared" si="53"/>
        <v>65.924999999999997</v>
      </c>
      <c r="O948" s="7" t="str">
        <f>VLOOKUP(N948,Helper!$B$30:$C$35,2,TRUE)</f>
        <v>C</v>
      </c>
      <c r="P948" s="56">
        <f>INDEX(Detail!$A$1:$A$1001,MATCH(B948,Detail!$G$1:$G$1001,0))</f>
        <v>37018</v>
      </c>
      <c r="Q948" s="33" t="str">
        <f>INDEX(Detail!$F$1:$F$1001,MATCH(Main!B948,Detail!$G$1:$G$1001,0))</f>
        <v>Ambon</v>
      </c>
      <c r="R948" s="7">
        <f>INDEX(Detail!$C$1:$C$1001,MATCH(B948,Detail!$G$1:$G$1001,0),1)</f>
        <v>178</v>
      </c>
      <c r="S948" s="7">
        <f>INDEX(Detail!$D$1:$D$1001,MATCH(B948,Detail!$G$1:$G$1001,0),1)</f>
        <v>82</v>
      </c>
      <c r="T948" s="7" t="str">
        <f>INDEX(Detail!$E$1:$E$1001,MATCH(Main!B948,Detail!$G$1:$G$1001,0))</f>
        <v xml:space="preserve">Jl. Sukajadi No. 6
</v>
      </c>
      <c r="U948" s="7" t="str">
        <f>INDEX(Detail!$B$1:$B$1001,MATCH(B948,Detail!$G$1:$G$1001,0),1)</f>
        <v>O-</v>
      </c>
      <c r="V948" s="7" t="str" cm="1">
        <f t="array" ref="V948">INDEX(Dosen!$B$3:$E$8,MATCH(Main!C948,Dosen!$A$3:$A$8,0),IF(AND(Main!A948&gt;=1,Main!A948&lt;=250),1,IF(AND(Main!A948&gt;=251,Main!A948&lt;=500),2,IF(AND(Main!A948&gt;=501,Main!A948&lt;=750),3,4))))</f>
        <v>Bu Ratna</v>
      </c>
      <c r="W948" s="7" t="str">
        <f>_xlfn.XLOOKUP(B948,Detail!$G$1:$G$1001,Detail!$B$1:$B$1001)</f>
        <v>O-</v>
      </c>
    </row>
    <row r="949" spans="1:23" ht="15.75" x14ac:dyDescent="0.25">
      <c r="A949" s="7">
        <v>673</v>
      </c>
      <c r="B949" s="33" t="str">
        <f t="shared" si="55"/>
        <v>F0673</v>
      </c>
      <c r="C949" s="7" t="s">
        <v>1011</v>
      </c>
      <c r="D949" s="33" t="str">
        <f>VLOOKUP(B949,Detail!$G$1:$H$1001,2,FALSE)</f>
        <v>Lantar Puspita</v>
      </c>
      <c r="E949" s="7">
        <v>52</v>
      </c>
      <c r="F949" s="7">
        <v>44</v>
      </c>
      <c r="G949" s="57">
        <v>31</v>
      </c>
      <c r="H949" s="7">
        <v>55</v>
      </c>
      <c r="I949" s="7">
        <v>63</v>
      </c>
      <c r="J949" s="7">
        <v>54</v>
      </c>
      <c r="K949" s="7">
        <v>84</v>
      </c>
      <c r="L949" s="56" t="str">
        <f>IFERROR(VLOOKUP(B949,Absen!$A$1:$C$501,2,FALSE),"No")</f>
        <v>No</v>
      </c>
      <c r="M949" s="58">
        <f t="shared" si="52"/>
        <v>8.4</v>
      </c>
      <c r="N949" s="57">
        <f t="shared" si="53"/>
        <v>52.15</v>
      </c>
      <c r="O949" s="7" t="str">
        <f>VLOOKUP(N949,Helper!$B$30:$C$35,2,TRUE)</f>
        <v>D</v>
      </c>
      <c r="P949" s="56">
        <f>INDEX(Detail!$A$1:$A$1001,MATCH(B949,Detail!$G$1:$G$1001,0))</f>
        <v>37726</v>
      </c>
      <c r="Q949" s="33" t="str">
        <f>INDEX(Detail!$F$1:$F$1001,MATCH(Main!B949,Detail!$G$1:$G$1001,0))</f>
        <v>Lubuklinggau</v>
      </c>
      <c r="R949" s="7">
        <f>INDEX(Detail!$C$1:$C$1001,MATCH(B949,Detail!$G$1:$G$1001,0),1)</f>
        <v>179</v>
      </c>
      <c r="S949" s="7">
        <f>INDEX(Detail!$D$1:$D$1001,MATCH(B949,Detail!$G$1:$G$1001,0),1)</f>
        <v>45</v>
      </c>
      <c r="T949" s="7" t="str">
        <f>INDEX(Detail!$E$1:$E$1001,MATCH(Main!B949,Detail!$G$1:$G$1001,0))</f>
        <v>Jl. Rajiman No. 46</v>
      </c>
      <c r="U949" s="7" t="str">
        <f>INDEX(Detail!$B$1:$B$1001,MATCH(B949,Detail!$G$1:$G$1001,0),1)</f>
        <v>O+</v>
      </c>
      <c r="V949" s="7" t="str" cm="1">
        <f t="array" ref="V949">INDEX(Dosen!$B$3:$E$8,MATCH(Main!C949,Dosen!$A$3:$A$8,0),IF(AND(Main!A949&gt;=1,Main!A949&lt;=250),1,IF(AND(Main!A949&gt;=251,Main!A949&lt;=500),2,IF(AND(Main!A949&gt;=501,Main!A949&lt;=750),3,4))))</f>
        <v>Bu Ratna</v>
      </c>
      <c r="W949" s="7" t="str">
        <f>_xlfn.XLOOKUP(B949,Detail!$G$1:$G$1001,Detail!$B$1:$B$1001)</f>
        <v>O+</v>
      </c>
    </row>
    <row r="950" spans="1:23" ht="15.75" x14ac:dyDescent="0.25">
      <c r="A950" s="7">
        <v>679</v>
      </c>
      <c r="B950" s="33" t="str">
        <f t="shared" si="55"/>
        <v>F0679</v>
      </c>
      <c r="C950" s="7" t="s">
        <v>1011</v>
      </c>
      <c r="D950" s="33" t="str">
        <f>VLOOKUP(B950,Detail!$G$1:$H$1001,2,FALSE)</f>
        <v>Raisa Situmorang</v>
      </c>
      <c r="E950" s="7">
        <v>72</v>
      </c>
      <c r="F950" s="7">
        <v>53</v>
      </c>
      <c r="G950" s="57">
        <v>88</v>
      </c>
      <c r="H950" s="7">
        <v>51</v>
      </c>
      <c r="I950" s="7">
        <v>75</v>
      </c>
      <c r="J950" s="7">
        <v>95</v>
      </c>
      <c r="K950" s="7">
        <v>82</v>
      </c>
      <c r="L950" s="56">
        <f>IFERROR(VLOOKUP(B950,Absen!$A$1:$C$501,2,FALSE),"No")</f>
        <v>44780</v>
      </c>
      <c r="M950" s="58">
        <f t="shared" si="52"/>
        <v>7.2</v>
      </c>
      <c r="N950" s="57">
        <f t="shared" si="53"/>
        <v>75.174999999999997</v>
      </c>
      <c r="O950" s="7" t="str">
        <f>VLOOKUP(N950,Helper!$B$30:$C$35,2,TRUE)</f>
        <v>B</v>
      </c>
      <c r="P950" s="56">
        <f>INDEX(Detail!$A$1:$A$1001,MATCH(B950,Detail!$G$1:$G$1001,0))</f>
        <v>37986</v>
      </c>
      <c r="Q950" s="33" t="str">
        <f>INDEX(Detail!$F$1:$F$1001,MATCH(Main!B950,Detail!$G$1:$G$1001,0))</f>
        <v>Malang</v>
      </c>
      <c r="R950" s="7">
        <f>INDEX(Detail!$C$1:$C$1001,MATCH(B950,Detail!$G$1:$G$1001,0),1)</f>
        <v>176</v>
      </c>
      <c r="S950" s="7">
        <f>INDEX(Detail!$D$1:$D$1001,MATCH(B950,Detail!$G$1:$G$1001,0),1)</f>
        <v>49</v>
      </c>
      <c r="T950" s="7" t="str">
        <f>INDEX(Detail!$E$1:$E$1001,MATCH(Main!B950,Detail!$G$1:$G$1001,0))</f>
        <v>Jl. Raya Setiabudhi No. 98</v>
      </c>
      <c r="U950" s="7" t="str">
        <f>INDEX(Detail!$B$1:$B$1001,MATCH(B950,Detail!$G$1:$G$1001,0),1)</f>
        <v>O+</v>
      </c>
      <c r="V950" s="7" t="str" cm="1">
        <f t="array" ref="V950">INDEX(Dosen!$B$3:$E$8,MATCH(Main!C950,Dosen!$A$3:$A$8,0),IF(AND(Main!A950&gt;=1,Main!A950&lt;=250),1,IF(AND(Main!A950&gt;=251,Main!A950&lt;=500),2,IF(AND(Main!A950&gt;=501,Main!A950&lt;=750),3,4))))</f>
        <v>Bu Ratna</v>
      </c>
      <c r="W950" s="7" t="str">
        <f>_xlfn.XLOOKUP(B950,Detail!$G$1:$G$1001,Detail!$B$1:$B$1001)</f>
        <v>O+</v>
      </c>
    </row>
    <row r="951" spans="1:23" ht="15.75" x14ac:dyDescent="0.25">
      <c r="A951" s="7">
        <v>689</v>
      </c>
      <c r="B951" s="33" t="str">
        <f t="shared" si="55"/>
        <v>F0689</v>
      </c>
      <c r="C951" s="7" t="s">
        <v>1011</v>
      </c>
      <c r="D951" s="33" t="str">
        <f>VLOOKUP(B951,Detail!$G$1:$H$1001,2,FALSE)</f>
        <v>Dadi Manullang</v>
      </c>
      <c r="E951" s="7">
        <v>72</v>
      </c>
      <c r="F951" s="7">
        <v>67</v>
      </c>
      <c r="G951" s="57">
        <v>48</v>
      </c>
      <c r="H951" s="7">
        <v>52</v>
      </c>
      <c r="I951" s="7">
        <v>57</v>
      </c>
      <c r="J951" s="7">
        <v>52</v>
      </c>
      <c r="K951" s="7">
        <v>60</v>
      </c>
      <c r="L951" s="56">
        <f>IFERROR(VLOOKUP(B951,Absen!$A$1:$C$501,2,FALSE),"No")</f>
        <v>44822</v>
      </c>
      <c r="M951" s="58">
        <f t="shared" si="52"/>
        <v>5</v>
      </c>
      <c r="N951" s="57">
        <f t="shared" si="53"/>
        <v>56</v>
      </c>
      <c r="O951" s="7" t="str">
        <f>VLOOKUP(N951,Helper!$B$30:$C$35,2,TRUE)</f>
        <v>D</v>
      </c>
      <c r="P951" s="56">
        <f>INDEX(Detail!$A$1:$A$1001,MATCH(B951,Detail!$G$1:$G$1001,0))</f>
        <v>38389</v>
      </c>
      <c r="Q951" s="33" t="str">
        <f>INDEX(Detail!$F$1:$F$1001,MATCH(Main!B951,Detail!$G$1:$G$1001,0))</f>
        <v>Langsa</v>
      </c>
      <c r="R951" s="7">
        <f>INDEX(Detail!$C$1:$C$1001,MATCH(B951,Detail!$G$1:$G$1001,0),1)</f>
        <v>154</v>
      </c>
      <c r="S951" s="7">
        <f>INDEX(Detail!$D$1:$D$1001,MATCH(B951,Detail!$G$1:$G$1001,0),1)</f>
        <v>69</v>
      </c>
      <c r="T951" s="7" t="str">
        <f>INDEX(Detail!$E$1:$E$1001,MATCH(Main!B951,Detail!$G$1:$G$1001,0))</f>
        <v>Gang Moch. Toha No. 86</v>
      </c>
      <c r="U951" s="7" t="str">
        <f>INDEX(Detail!$B$1:$B$1001,MATCH(B951,Detail!$G$1:$G$1001,0),1)</f>
        <v>A+</v>
      </c>
      <c r="V951" s="7" t="str" cm="1">
        <f t="array" ref="V951">INDEX(Dosen!$B$3:$E$8,MATCH(Main!C951,Dosen!$A$3:$A$8,0),IF(AND(Main!A951&gt;=1,Main!A951&lt;=250),1,IF(AND(Main!A951&gt;=251,Main!A951&lt;=500),2,IF(AND(Main!A951&gt;=501,Main!A951&lt;=750),3,4))))</f>
        <v>Bu Ratna</v>
      </c>
      <c r="W951" s="7" t="str">
        <f>_xlfn.XLOOKUP(B951,Detail!$G$1:$G$1001,Detail!$B$1:$B$1001)</f>
        <v>A+</v>
      </c>
    </row>
    <row r="952" spans="1:23" ht="15.75" x14ac:dyDescent="0.25">
      <c r="A952" s="7">
        <v>699</v>
      </c>
      <c r="B952" s="33" t="str">
        <f t="shared" si="55"/>
        <v>F0699</v>
      </c>
      <c r="C952" s="7" t="s">
        <v>1011</v>
      </c>
      <c r="D952" s="33" t="str">
        <f>VLOOKUP(B952,Detail!$G$1:$H$1001,2,FALSE)</f>
        <v>Abyasa Hastuti</v>
      </c>
      <c r="E952" s="7">
        <v>92</v>
      </c>
      <c r="F952" s="7">
        <v>60</v>
      </c>
      <c r="G952" s="57">
        <v>42</v>
      </c>
      <c r="H952" s="7">
        <v>69</v>
      </c>
      <c r="I952" s="7">
        <v>91</v>
      </c>
      <c r="J952" s="7">
        <v>67</v>
      </c>
      <c r="K952" s="7">
        <v>68</v>
      </c>
      <c r="L952" s="56">
        <f>IFERROR(VLOOKUP(B952,Absen!$A$1:$C$501,2,FALSE),"No")</f>
        <v>44782</v>
      </c>
      <c r="M952" s="58">
        <f t="shared" si="52"/>
        <v>5.8000000000000007</v>
      </c>
      <c r="N952" s="57">
        <f t="shared" si="53"/>
        <v>66.599999999999994</v>
      </c>
      <c r="O952" s="7" t="str">
        <f>VLOOKUP(N952,Helper!$B$30:$C$35,2,TRUE)</f>
        <v>C</v>
      </c>
      <c r="P952" s="56">
        <f>INDEX(Detail!$A$1:$A$1001,MATCH(B952,Detail!$G$1:$G$1001,0))</f>
        <v>37493</v>
      </c>
      <c r="Q952" s="33" t="str">
        <f>INDEX(Detail!$F$1:$F$1001,MATCH(Main!B952,Detail!$G$1:$G$1001,0))</f>
        <v>Tarakan</v>
      </c>
      <c r="R952" s="7">
        <f>INDEX(Detail!$C$1:$C$1001,MATCH(B952,Detail!$G$1:$G$1001,0),1)</f>
        <v>155</v>
      </c>
      <c r="S952" s="7">
        <f>INDEX(Detail!$D$1:$D$1001,MATCH(B952,Detail!$G$1:$G$1001,0),1)</f>
        <v>45</v>
      </c>
      <c r="T952" s="7" t="str">
        <f>INDEX(Detail!$E$1:$E$1001,MATCH(Main!B952,Detail!$G$1:$G$1001,0))</f>
        <v>Gg. Erlangga No. 43</v>
      </c>
      <c r="U952" s="7" t="str">
        <f>INDEX(Detail!$B$1:$B$1001,MATCH(B952,Detail!$G$1:$G$1001,0),1)</f>
        <v>A+</v>
      </c>
      <c r="V952" s="7" t="str" cm="1">
        <f t="array" ref="V952">INDEX(Dosen!$B$3:$E$8,MATCH(Main!C952,Dosen!$A$3:$A$8,0),IF(AND(Main!A952&gt;=1,Main!A952&lt;=250),1,IF(AND(Main!A952&gt;=251,Main!A952&lt;=500),2,IF(AND(Main!A952&gt;=501,Main!A952&lt;=750),3,4))))</f>
        <v>Bu Ratna</v>
      </c>
      <c r="W952" s="7" t="str">
        <f>_xlfn.XLOOKUP(B952,Detail!$G$1:$G$1001,Detail!$B$1:$B$1001)</f>
        <v>A+</v>
      </c>
    </row>
    <row r="953" spans="1:23" ht="15.75" x14ac:dyDescent="0.25">
      <c r="A953" s="7">
        <v>701</v>
      </c>
      <c r="B953" s="33" t="str">
        <f t="shared" si="55"/>
        <v>F0701</v>
      </c>
      <c r="C953" s="7" t="s">
        <v>1011</v>
      </c>
      <c r="D953" s="33" t="str">
        <f>VLOOKUP(B953,Detail!$G$1:$H$1001,2,FALSE)</f>
        <v>Emas Tampubolon</v>
      </c>
      <c r="E953" s="7">
        <v>66</v>
      </c>
      <c r="F953" s="7">
        <v>49</v>
      </c>
      <c r="G953" s="57">
        <v>86</v>
      </c>
      <c r="H953" s="7">
        <v>60</v>
      </c>
      <c r="I953" s="7">
        <v>72</v>
      </c>
      <c r="J953" s="7">
        <v>87</v>
      </c>
      <c r="K953" s="7">
        <v>90</v>
      </c>
      <c r="L953" s="56">
        <f>IFERROR(VLOOKUP(B953,Absen!$A$1:$C$501,2,FALSE),"No")</f>
        <v>44873</v>
      </c>
      <c r="M953" s="58">
        <f t="shared" si="52"/>
        <v>8</v>
      </c>
      <c r="N953" s="57">
        <f t="shared" si="53"/>
        <v>73.475000000000009</v>
      </c>
      <c r="O953" s="7" t="str">
        <f>VLOOKUP(N953,Helper!$B$30:$C$35,2,TRUE)</f>
        <v>B</v>
      </c>
      <c r="P953" s="56">
        <f>INDEX(Detail!$A$1:$A$1001,MATCH(B953,Detail!$G$1:$G$1001,0))</f>
        <v>37102</v>
      </c>
      <c r="Q953" s="33" t="str">
        <f>INDEX(Detail!$F$1:$F$1001,MATCH(Main!B953,Detail!$G$1:$G$1001,0))</f>
        <v>Denpasar</v>
      </c>
      <c r="R953" s="7">
        <f>INDEX(Detail!$C$1:$C$1001,MATCH(B953,Detail!$G$1:$G$1001,0),1)</f>
        <v>157</v>
      </c>
      <c r="S953" s="7">
        <f>INDEX(Detail!$D$1:$D$1001,MATCH(B953,Detail!$G$1:$G$1001,0),1)</f>
        <v>90</v>
      </c>
      <c r="T953" s="7" t="str">
        <f>INDEX(Detail!$E$1:$E$1001,MATCH(Main!B953,Detail!$G$1:$G$1001,0))</f>
        <v xml:space="preserve">Gang Sentot Alibasa No. 4
</v>
      </c>
      <c r="U953" s="7" t="str">
        <f>INDEX(Detail!$B$1:$B$1001,MATCH(B953,Detail!$G$1:$G$1001,0),1)</f>
        <v>AB-</v>
      </c>
      <c r="V953" s="7" t="str" cm="1">
        <f t="array" ref="V953">INDEX(Dosen!$B$3:$E$8,MATCH(Main!C953,Dosen!$A$3:$A$8,0),IF(AND(Main!A953&gt;=1,Main!A953&lt;=250),1,IF(AND(Main!A953&gt;=251,Main!A953&lt;=500),2,IF(AND(Main!A953&gt;=501,Main!A953&lt;=750),3,4))))</f>
        <v>Bu Ratna</v>
      </c>
      <c r="W953" s="7" t="str">
        <f>_xlfn.XLOOKUP(B953,Detail!$G$1:$G$1001,Detail!$B$1:$B$1001)</f>
        <v>AB-</v>
      </c>
    </row>
    <row r="954" spans="1:23" ht="15.75" x14ac:dyDescent="0.25">
      <c r="A954" s="7">
        <v>719</v>
      </c>
      <c r="B954" s="33" t="str">
        <f t="shared" si="55"/>
        <v>F0719</v>
      </c>
      <c r="C954" s="7" t="s">
        <v>1011</v>
      </c>
      <c r="D954" s="33" t="str">
        <f>VLOOKUP(B954,Detail!$G$1:$H$1001,2,FALSE)</f>
        <v>Warsa Sudiati</v>
      </c>
      <c r="E954" s="7">
        <v>68</v>
      </c>
      <c r="F954" s="7">
        <v>58</v>
      </c>
      <c r="G954" s="57">
        <v>52</v>
      </c>
      <c r="H954" s="7">
        <v>64</v>
      </c>
      <c r="I954" s="7">
        <v>87</v>
      </c>
      <c r="J954" s="7">
        <v>53</v>
      </c>
      <c r="K954" s="7">
        <v>63</v>
      </c>
      <c r="L954" s="56">
        <f>IFERROR(VLOOKUP(B954,Absen!$A$1:$C$501,2,FALSE),"No")</f>
        <v>44842</v>
      </c>
      <c r="M954" s="58">
        <f t="shared" si="52"/>
        <v>5.3000000000000007</v>
      </c>
      <c r="N954" s="57">
        <f t="shared" si="53"/>
        <v>60.924999999999997</v>
      </c>
      <c r="O954" s="7" t="str">
        <f>VLOOKUP(N954,Helper!$B$30:$C$35,2,TRUE)</f>
        <v>C</v>
      </c>
      <c r="P954" s="56">
        <f>INDEX(Detail!$A$1:$A$1001,MATCH(B954,Detail!$G$1:$G$1001,0))</f>
        <v>37653</v>
      </c>
      <c r="Q954" s="33" t="str">
        <f>INDEX(Detail!$F$1:$F$1001,MATCH(Main!B954,Detail!$G$1:$G$1001,0))</f>
        <v>Bau-Bau</v>
      </c>
      <c r="R954" s="7">
        <f>INDEX(Detail!$C$1:$C$1001,MATCH(B954,Detail!$G$1:$G$1001,0),1)</f>
        <v>163</v>
      </c>
      <c r="S954" s="7">
        <f>INDEX(Detail!$D$1:$D$1001,MATCH(B954,Detail!$G$1:$G$1001,0),1)</f>
        <v>56</v>
      </c>
      <c r="T954" s="7" t="str">
        <f>INDEX(Detail!$E$1:$E$1001,MATCH(Main!B954,Detail!$G$1:$G$1001,0))</f>
        <v>Jalan Moch. Ramdan No. 07</v>
      </c>
      <c r="U954" s="7" t="str">
        <f>INDEX(Detail!$B$1:$B$1001,MATCH(B954,Detail!$G$1:$G$1001,0),1)</f>
        <v>O-</v>
      </c>
      <c r="V954" s="7" t="str" cm="1">
        <f t="array" ref="V954">INDEX(Dosen!$B$3:$E$8,MATCH(Main!C954,Dosen!$A$3:$A$8,0),IF(AND(Main!A954&gt;=1,Main!A954&lt;=250),1,IF(AND(Main!A954&gt;=251,Main!A954&lt;=500),2,IF(AND(Main!A954&gt;=501,Main!A954&lt;=750),3,4))))</f>
        <v>Bu Ratna</v>
      </c>
      <c r="W954" s="7" t="str">
        <f>_xlfn.XLOOKUP(B954,Detail!$G$1:$G$1001,Detail!$B$1:$B$1001)</f>
        <v>O-</v>
      </c>
    </row>
    <row r="955" spans="1:23" ht="15.75" x14ac:dyDescent="0.25">
      <c r="A955" s="7">
        <v>723</v>
      </c>
      <c r="B955" s="33" t="str">
        <f t="shared" si="55"/>
        <v>F0723</v>
      </c>
      <c r="C955" s="7" t="s">
        <v>1011</v>
      </c>
      <c r="D955" s="33" t="str">
        <f>VLOOKUP(B955,Detail!$G$1:$H$1001,2,FALSE)</f>
        <v>Kajen Prabowo</v>
      </c>
      <c r="E955" s="7">
        <v>85</v>
      </c>
      <c r="F955" s="7">
        <v>56</v>
      </c>
      <c r="G955" s="57">
        <v>51</v>
      </c>
      <c r="H955" s="7">
        <v>56</v>
      </c>
      <c r="I955" s="7">
        <v>88</v>
      </c>
      <c r="J955" s="7">
        <v>94</v>
      </c>
      <c r="K955" s="7">
        <v>97</v>
      </c>
      <c r="L955" s="56" t="str">
        <f>IFERROR(VLOOKUP(B955,Absen!$A$1:$C$501,2,FALSE),"No")</f>
        <v>No</v>
      </c>
      <c r="M955" s="58">
        <f t="shared" si="52"/>
        <v>9.7000000000000011</v>
      </c>
      <c r="N955" s="57">
        <f t="shared" si="53"/>
        <v>74.325000000000003</v>
      </c>
      <c r="O955" s="7" t="str">
        <f>VLOOKUP(N955,Helper!$B$30:$C$35,2,TRUE)</f>
        <v>B</v>
      </c>
      <c r="P955" s="56">
        <f>INDEX(Detail!$A$1:$A$1001,MATCH(B955,Detail!$G$1:$G$1001,0))</f>
        <v>38302</v>
      </c>
      <c r="Q955" s="33" t="str">
        <f>INDEX(Detail!$F$1:$F$1001,MATCH(Main!B955,Detail!$G$1:$G$1001,0))</f>
        <v>Mojokerto</v>
      </c>
      <c r="R955" s="7">
        <f>INDEX(Detail!$C$1:$C$1001,MATCH(B955,Detail!$G$1:$G$1001,0),1)</f>
        <v>179</v>
      </c>
      <c r="S955" s="7">
        <f>INDEX(Detail!$D$1:$D$1001,MATCH(B955,Detail!$G$1:$G$1001,0),1)</f>
        <v>66</v>
      </c>
      <c r="T955" s="7" t="str">
        <f>INDEX(Detail!$E$1:$E$1001,MATCH(Main!B955,Detail!$G$1:$G$1001,0))</f>
        <v>Jalan Sukajadi No. 92</v>
      </c>
      <c r="U955" s="7" t="str">
        <f>INDEX(Detail!$B$1:$B$1001,MATCH(B955,Detail!$G$1:$G$1001,0),1)</f>
        <v>B-</v>
      </c>
      <c r="V955" s="7" t="str" cm="1">
        <f t="array" ref="V955">INDEX(Dosen!$B$3:$E$8,MATCH(Main!C955,Dosen!$A$3:$A$8,0),IF(AND(Main!A955&gt;=1,Main!A955&lt;=250),1,IF(AND(Main!A955&gt;=251,Main!A955&lt;=500),2,IF(AND(Main!A955&gt;=501,Main!A955&lt;=750),3,4))))</f>
        <v>Bu Ratna</v>
      </c>
      <c r="W955" s="7" t="str">
        <f>_xlfn.XLOOKUP(B955,Detail!$G$1:$G$1001,Detail!$B$1:$B$1001)</f>
        <v>B-</v>
      </c>
    </row>
    <row r="956" spans="1:23" ht="15.75" x14ac:dyDescent="0.25">
      <c r="A956" s="7">
        <v>727</v>
      </c>
      <c r="B956" s="33" t="str">
        <f t="shared" si="55"/>
        <v>F0727</v>
      </c>
      <c r="C956" s="7" t="s">
        <v>1011</v>
      </c>
      <c r="D956" s="33" t="str">
        <f>VLOOKUP(B956,Detail!$G$1:$H$1001,2,FALSE)</f>
        <v>Yoga Hartati</v>
      </c>
      <c r="E956" s="7">
        <v>91</v>
      </c>
      <c r="F956" s="7">
        <v>71</v>
      </c>
      <c r="G956" s="57">
        <v>50</v>
      </c>
      <c r="H956" s="7">
        <v>53</v>
      </c>
      <c r="I956" s="7">
        <v>79</v>
      </c>
      <c r="J956" s="7">
        <v>96</v>
      </c>
      <c r="K956" s="7">
        <v>85</v>
      </c>
      <c r="L956" s="56" t="str">
        <f>IFERROR(VLOOKUP(B956,Absen!$A$1:$C$501,2,FALSE),"No")</f>
        <v>No</v>
      </c>
      <c r="M956" s="58">
        <f t="shared" si="52"/>
        <v>8.5</v>
      </c>
      <c r="N956" s="57">
        <f t="shared" si="53"/>
        <v>74.45</v>
      </c>
      <c r="O956" s="7" t="str">
        <f>VLOOKUP(N956,Helper!$B$30:$C$35,2,TRUE)</f>
        <v>B</v>
      </c>
      <c r="P956" s="56">
        <f>INDEX(Detail!$A$1:$A$1001,MATCH(B956,Detail!$G$1:$G$1001,0))</f>
        <v>37641</v>
      </c>
      <c r="Q956" s="33" t="str">
        <f>INDEX(Detail!$F$1:$F$1001,MATCH(Main!B956,Detail!$G$1:$G$1001,0))</f>
        <v>Sorong</v>
      </c>
      <c r="R956" s="7">
        <f>INDEX(Detail!$C$1:$C$1001,MATCH(B956,Detail!$G$1:$G$1001,0),1)</f>
        <v>159</v>
      </c>
      <c r="S956" s="7">
        <f>INDEX(Detail!$D$1:$D$1001,MATCH(B956,Detail!$G$1:$G$1001,0),1)</f>
        <v>73</v>
      </c>
      <c r="T956" s="7" t="str">
        <f>INDEX(Detail!$E$1:$E$1001,MATCH(Main!B956,Detail!$G$1:$G$1001,0))</f>
        <v>Jl. Monginsidi No. 07</v>
      </c>
      <c r="U956" s="7" t="str">
        <f>INDEX(Detail!$B$1:$B$1001,MATCH(B956,Detail!$G$1:$G$1001,0),1)</f>
        <v>AB+</v>
      </c>
      <c r="V956" s="7" t="str" cm="1">
        <f t="array" ref="V956">INDEX(Dosen!$B$3:$E$8,MATCH(Main!C956,Dosen!$A$3:$A$8,0),IF(AND(Main!A956&gt;=1,Main!A956&lt;=250),1,IF(AND(Main!A956&gt;=251,Main!A956&lt;=500),2,IF(AND(Main!A956&gt;=501,Main!A956&lt;=750),3,4))))</f>
        <v>Bu Ratna</v>
      </c>
      <c r="W956" s="7" t="str">
        <f>_xlfn.XLOOKUP(B956,Detail!$G$1:$G$1001,Detail!$B$1:$B$1001)</f>
        <v>AB+</v>
      </c>
    </row>
    <row r="957" spans="1:23" ht="15.75" x14ac:dyDescent="0.25">
      <c r="A957" s="7">
        <v>732</v>
      </c>
      <c r="B957" s="33" t="str">
        <f t="shared" si="55"/>
        <v>F0732</v>
      </c>
      <c r="C957" s="7" t="s">
        <v>1011</v>
      </c>
      <c r="D957" s="33" t="str">
        <f>VLOOKUP(B957,Detail!$G$1:$H$1001,2,FALSE)</f>
        <v>Aris Anggraini</v>
      </c>
      <c r="E957" s="7">
        <v>66</v>
      </c>
      <c r="F957" s="7">
        <v>59</v>
      </c>
      <c r="G957" s="57">
        <v>46</v>
      </c>
      <c r="H957" s="7">
        <v>63</v>
      </c>
      <c r="I957" s="7">
        <v>85</v>
      </c>
      <c r="J957" s="7">
        <v>44</v>
      </c>
      <c r="K957" s="7">
        <v>90</v>
      </c>
      <c r="L957" s="56">
        <f>IFERROR(VLOOKUP(B957,Absen!$A$1:$C$501,2,FALSE),"No")</f>
        <v>44832</v>
      </c>
      <c r="M957" s="58">
        <f t="shared" si="52"/>
        <v>8</v>
      </c>
      <c r="N957" s="57">
        <f t="shared" si="53"/>
        <v>60.125</v>
      </c>
      <c r="O957" s="7" t="str">
        <f>VLOOKUP(N957,Helper!$B$30:$C$35,2,TRUE)</f>
        <v>C</v>
      </c>
      <c r="P957" s="56">
        <f>INDEX(Detail!$A$1:$A$1001,MATCH(B957,Detail!$G$1:$G$1001,0))</f>
        <v>37728</v>
      </c>
      <c r="Q957" s="33" t="str">
        <f>INDEX(Detail!$F$1:$F$1001,MATCH(Main!B957,Detail!$G$1:$G$1001,0))</f>
        <v>Surakarta</v>
      </c>
      <c r="R957" s="7">
        <f>INDEX(Detail!$C$1:$C$1001,MATCH(B957,Detail!$G$1:$G$1001,0),1)</f>
        <v>175</v>
      </c>
      <c r="S957" s="7">
        <f>INDEX(Detail!$D$1:$D$1001,MATCH(B957,Detail!$G$1:$G$1001,0),1)</f>
        <v>77</v>
      </c>
      <c r="T957" s="7" t="str">
        <f>INDEX(Detail!$E$1:$E$1001,MATCH(Main!B957,Detail!$G$1:$G$1001,0))</f>
        <v xml:space="preserve">Jalan Wonoayu No. 2
</v>
      </c>
      <c r="U957" s="7" t="str">
        <f>INDEX(Detail!$B$1:$B$1001,MATCH(B957,Detail!$G$1:$G$1001,0),1)</f>
        <v>B+</v>
      </c>
      <c r="V957" s="7" t="str" cm="1">
        <f t="array" ref="V957">INDEX(Dosen!$B$3:$E$8,MATCH(Main!C957,Dosen!$A$3:$A$8,0),IF(AND(Main!A957&gt;=1,Main!A957&lt;=250),1,IF(AND(Main!A957&gt;=251,Main!A957&lt;=500),2,IF(AND(Main!A957&gt;=501,Main!A957&lt;=750),3,4))))</f>
        <v>Bu Ratna</v>
      </c>
      <c r="W957" s="7" t="str">
        <f>_xlfn.XLOOKUP(B957,Detail!$G$1:$G$1001,Detail!$B$1:$B$1001)</f>
        <v>B+</v>
      </c>
    </row>
    <row r="958" spans="1:23" ht="15.75" x14ac:dyDescent="0.25">
      <c r="A958" s="7">
        <v>735</v>
      </c>
      <c r="B958" s="33" t="str">
        <f t="shared" si="55"/>
        <v>F0735</v>
      </c>
      <c r="C958" s="7" t="s">
        <v>1011</v>
      </c>
      <c r="D958" s="33" t="str">
        <f>VLOOKUP(B958,Detail!$G$1:$H$1001,2,FALSE)</f>
        <v>Rafi Namaga</v>
      </c>
      <c r="E958" s="7">
        <v>55</v>
      </c>
      <c r="F958" s="7">
        <v>56</v>
      </c>
      <c r="G958" s="57">
        <v>85</v>
      </c>
      <c r="H958" s="7">
        <v>50</v>
      </c>
      <c r="I958" s="7">
        <v>57</v>
      </c>
      <c r="J958" s="7">
        <v>70</v>
      </c>
      <c r="K958" s="7">
        <v>80</v>
      </c>
      <c r="L958" s="56">
        <f>IFERROR(VLOOKUP(B958,Absen!$A$1:$C$501,2,FALSE),"No")</f>
        <v>44750</v>
      </c>
      <c r="M958" s="58">
        <f t="shared" si="52"/>
        <v>7</v>
      </c>
      <c r="N958" s="57">
        <f t="shared" si="53"/>
        <v>65.25</v>
      </c>
      <c r="O958" s="7" t="str">
        <f>VLOOKUP(N958,Helper!$B$30:$C$35,2,TRUE)</f>
        <v>C</v>
      </c>
      <c r="P958" s="56">
        <f>INDEX(Detail!$A$1:$A$1001,MATCH(B958,Detail!$G$1:$G$1001,0))</f>
        <v>37936</v>
      </c>
      <c r="Q958" s="33" t="str">
        <f>INDEX(Detail!$F$1:$F$1001,MATCH(Main!B958,Detail!$G$1:$G$1001,0))</f>
        <v>Batu</v>
      </c>
      <c r="R958" s="7">
        <f>INDEX(Detail!$C$1:$C$1001,MATCH(B958,Detail!$G$1:$G$1001,0),1)</f>
        <v>174</v>
      </c>
      <c r="S958" s="7">
        <f>INDEX(Detail!$D$1:$D$1001,MATCH(B958,Detail!$G$1:$G$1001,0),1)</f>
        <v>89</v>
      </c>
      <c r="T958" s="7" t="str">
        <f>INDEX(Detail!$E$1:$E$1001,MATCH(Main!B958,Detail!$G$1:$G$1001,0))</f>
        <v>Gang Cikutra Timur No. 64</v>
      </c>
      <c r="U958" s="7" t="str">
        <f>INDEX(Detail!$B$1:$B$1001,MATCH(B958,Detail!$G$1:$G$1001,0),1)</f>
        <v>AB+</v>
      </c>
      <c r="V958" s="7" t="str" cm="1">
        <f t="array" ref="V958">INDEX(Dosen!$B$3:$E$8,MATCH(Main!C958,Dosen!$A$3:$A$8,0),IF(AND(Main!A958&gt;=1,Main!A958&lt;=250),1,IF(AND(Main!A958&gt;=251,Main!A958&lt;=500),2,IF(AND(Main!A958&gt;=501,Main!A958&lt;=750),3,4))))</f>
        <v>Bu Ratna</v>
      </c>
      <c r="W958" s="7" t="str">
        <f>_xlfn.XLOOKUP(B958,Detail!$G$1:$G$1001,Detail!$B$1:$B$1001)</f>
        <v>AB+</v>
      </c>
    </row>
    <row r="959" spans="1:23" ht="15.75" x14ac:dyDescent="0.25">
      <c r="A959" s="7">
        <v>736</v>
      </c>
      <c r="B959" s="33" t="str">
        <f t="shared" si="55"/>
        <v>F0736</v>
      </c>
      <c r="C959" s="7" t="s">
        <v>1011</v>
      </c>
      <c r="D959" s="33" t="str">
        <f>VLOOKUP(B959,Detail!$G$1:$H$1001,2,FALSE)</f>
        <v>Martani Pudjiastuti</v>
      </c>
      <c r="E959" s="7">
        <v>59</v>
      </c>
      <c r="F959" s="7">
        <v>53</v>
      </c>
      <c r="G959" s="57">
        <v>95</v>
      </c>
      <c r="H959" s="7">
        <v>64</v>
      </c>
      <c r="I959" s="7">
        <v>81</v>
      </c>
      <c r="J959" s="7">
        <v>55</v>
      </c>
      <c r="K959" s="7">
        <v>79</v>
      </c>
      <c r="L959" s="56">
        <f>IFERROR(VLOOKUP(B959,Absen!$A$1:$C$501,2,FALSE),"No")</f>
        <v>44897</v>
      </c>
      <c r="M959" s="58">
        <f t="shared" si="52"/>
        <v>6.9</v>
      </c>
      <c r="N959" s="57">
        <f t="shared" si="53"/>
        <v>69.025000000000006</v>
      </c>
      <c r="O959" s="7" t="str">
        <f>VLOOKUP(N959,Helper!$B$30:$C$35,2,TRUE)</f>
        <v>C</v>
      </c>
      <c r="P959" s="56">
        <f>INDEX(Detail!$A$1:$A$1001,MATCH(B959,Detail!$G$1:$G$1001,0))</f>
        <v>37719</v>
      </c>
      <c r="Q959" s="33" t="str">
        <f>INDEX(Detail!$F$1:$F$1001,MATCH(Main!B959,Detail!$G$1:$G$1001,0))</f>
        <v>Prabumulih</v>
      </c>
      <c r="R959" s="7">
        <f>INDEX(Detail!$C$1:$C$1001,MATCH(B959,Detail!$G$1:$G$1001,0),1)</f>
        <v>179</v>
      </c>
      <c r="S959" s="7">
        <f>INDEX(Detail!$D$1:$D$1001,MATCH(B959,Detail!$G$1:$G$1001,0),1)</f>
        <v>47</v>
      </c>
      <c r="T959" s="7" t="str">
        <f>INDEX(Detail!$E$1:$E$1001,MATCH(Main!B959,Detail!$G$1:$G$1001,0))</f>
        <v>Gang Rawamangun No. 30</v>
      </c>
      <c r="U959" s="7" t="str">
        <f>INDEX(Detail!$B$1:$B$1001,MATCH(B959,Detail!$G$1:$G$1001,0),1)</f>
        <v>A+</v>
      </c>
      <c r="V959" s="7" t="str" cm="1">
        <f t="array" ref="V959">INDEX(Dosen!$B$3:$E$8,MATCH(Main!C959,Dosen!$A$3:$A$8,0),IF(AND(Main!A959&gt;=1,Main!A959&lt;=250),1,IF(AND(Main!A959&gt;=251,Main!A959&lt;=500),2,IF(AND(Main!A959&gt;=501,Main!A959&lt;=750),3,4))))</f>
        <v>Bu Ratna</v>
      </c>
      <c r="W959" s="7" t="str">
        <f>_xlfn.XLOOKUP(B959,Detail!$G$1:$G$1001,Detail!$B$1:$B$1001)</f>
        <v>A+</v>
      </c>
    </row>
    <row r="960" spans="1:23" ht="15.75" x14ac:dyDescent="0.25">
      <c r="A960" s="7">
        <v>738</v>
      </c>
      <c r="B960" s="33" t="str">
        <f t="shared" si="55"/>
        <v>F0738</v>
      </c>
      <c r="C960" s="7" t="s">
        <v>1011</v>
      </c>
      <c r="D960" s="33" t="str">
        <f>VLOOKUP(B960,Detail!$G$1:$H$1001,2,FALSE)</f>
        <v>Ciaobella Wibisono</v>
      </c>
      <c r="E960" s="7">
        <v>69</v>
      </c>
      <c r="F960" s="7">
        <v>68</v>
      </c>
      <c r="G960" s="57">
        <v>73</v>
      </c>
      <c r="H960" s="7">
        <v>72</v>
      </c>
      <c r="I960" s="7">
        <v>78</v>
      </c>
      <c r="J960" s="7">
        <v>99</v>
      </c>
      <c r="K960" s="7">
        <v>72</v>
      </c>
      <c r="L960" s="56" t="str">
        <f>IFERROR(VLOOKUP(B960,Absen!$A$1:$C$501,2,FALSE),"No")</f>
        <v>No</v>
      </c>
      <c r="M960" s="58">
        <f t="shared" si="52"/>
        <v>7.2</v>
      </c>
      <c r="N960" s="57">
        <f t="shared" si="53"/>
        <v>77.475000000000009</v>
      </c>
      <c r="O960" s="7" t="str">
        <f>VLOOKUP(N960,Helper!$B$30:$C$35,2,TRUE)</f>
        <v>B</v>
      </c>
      <c r="P960" s="56">
        <f>INDEX(Detail!$A$1:$A$1001,MATCH(B960,Detail!$G$1:$G$1001,0))</f>
        <v>37867</v>
      </c>
      <c r="Q960" s="33" t="str">
        <f>INDEX(Detail!$F$1:$F$1001,MATCH(Main!B960,Detail!$G$1:$G$1001,0))</f>
        <v>Pariaman</v>
      </c>
      <c r="R960" s="7">
        <f>INDEX(Detail!$C$1:$C$1001,MATCH(B960,Detail!$G$1:$G$1001,0),1)</f>
        <v>174</v>
      </c>
      <c r="S960" s="7">
        <f>INDEX(Detail!$D$1:$D$1001,MATCH(B960,Detail!$G$1:$G$1001,0),1)</f>
        <v>86</v>
      </c>
      <c r="T960" s="7" t="str">
        <f>INDEX(Detail!$E$1:$E$1001,MATCH(Main!B960,Detail!$G$1:$G$1001,0))</f>
        <v>Gang Wonoayu No. 62</v>
      </c>
      <c r="U960" s="7" t="str">
        <f>INDEX(Detail!$B$1:$B$1001,MATCH(B960,Detail!$G$1:$G$1001,0),1)</f>
        <v>AB+</v>
      </c>
      <c r="V960" s="7" t="str" cm="1">
        <f t="array" ref="V960">INDEX(Dosen!$B$3:$E$8,MATCH(Main!C960,Dosen!$A$3:$A$8,0),IF(AND(Main!A960&gt;=1,Main!A960&lt;=250),1,IF(AND(Main!A960&gt;=251,Main!A960&lt;=500),2,IF(AND(Main!A960&gt;=501,Main!A960&lt;=750),3,4))))</f>
        <v>Bu Ratna</v>
      </c>
      <c r="W960" s="7" t="str">
        <f>_xlfn.XLOOKUP(B960,Detail!$G$1:$G$1001,Detail!$B$1:$B$1001)</f>
        <v>AB+</v>
      </c>
    </row>
    <row r="961" spans="1:23" ht="15.75" x14ac:dyDescent="0.25">
      <c r="A961" s="7">
        <v>742</v>
      </c>
      <c r="B961" s="33" t="str">
        <f t="shared" si="55"/>
        <v>F0742</v>
      </c>
      <c r="C961" s="7" t="s">
        <v>1011</v>
      </c>
      <c r="D961" s="33" t="str">
        <f>VLOOKUP(B961,Detail!$G$1:$H$1001,2,FALSE)</f>
        <v>Salman Irawan</v>
      </c>
      <c r="E961" s="7">
        <v>75</v>
      </c>
      <c r="F961" s="7">
        <v>44</v>
      </c>
      <c r="G961" s="57">
        <v>40</v>
      </c>
      <c r="H961" s="7">
        <v>52</v>
      </c>
      <c r="I961" s="7">
        <v>59</v>
      </c>
      <c r="J961" s="7">
        <v>65</v>
      </c>
      <c r="K961" s="7">
        <v>86</v>
      </c>
      <c r="L961" s="56">
        <f>IFERROR(VLOOKUP(B961,Absen!$A$1:$C$501,2,FALSE),"No")</f>
        <v>44902</v>
      </c>
      <c r="M961" s="58">
        <f t="shared" si="52"/>
        <v>7.6000000000000005</v>
      </c>
      <c r="N961" s="57">
        <f t="shared" si="53"/>
        <v>57.35</v>
      </c>
      <c r="O961" s="7" t="str">
        <f>VLOOKUP(N961,Helper!$B$30:$C$35,2,TRUE)</f>
        <v>D</v>
      </c>
      <c r="P961" s="56">
        <f>INDEX(Detail!$A$1:$A$1001,MATCH(B961,Detail!$G$1:$G$1001,0))</f>
        <v>37711</v>
      </c>
      <c r="Q961" s="33" t="str">
        <f>INDEX(Detail!$F$1:$F$1001,MATCH(Main!B961,Detail!$G$1:$G$1001,0))</f>
        <v>Langsa</v>
      </c>
      <c r="R961" s="7">
        <f>INDEX(Detail!$C$1:$C$1001,MATCH(B961,Detail!$G$1:$G$1001,0),1)</f>
        <v>175</v>
      </c>
      <c r="S961" s="7">
        <f>INDEX(Detail!$D$1:$D$1001,MATCH(B961,Detail!$G$1:$G$1001,0),1)</f>
        <v>84</v>
      </c>
      <c r="T961" s="7" t="str">
        <f>INDEX(Detail!$E$1:$E$1001,MATCH(Main!B961,Detail!$G$1:$G$1001,0))</f>
        <v xml:space="preserve">Jl. KH Amin Jasuta No. 9
</v>
      </c>
      <c r="U961" s="7" t="str">
        <f>INDEX(Detail!$B$1:$B$1001,MATCH(B961,Detail!$G$1:$G$1001,0),1)</f>
        <v>O-</v>
      </c>
      <c r="V961" s="7" t="str" cm="1">
        <f t="array" ref="V961">INDEX(Dosen!$B$3:$E$8,MATCH(Main!C961,Dosen!$A$3:$A$8,0),IF(AND(Main!A961&gt;=1,Main!A961&lt;=250),1,IF(AND(Main!A961&gt;=251,Main!A961&lt;=500),2,IF(AND(Main!A961&gt;=501,Main!A961&lt;=750),3,4))))</f>
        <v>Bu Ratna</v>
      </c>
      <c r="W961" s="7" t="str">
        <f>_xlfn.XLOOKUP(B961,Detail!$G$1:$G$1001,Detail!$B$1:$B$1001)</f>
        <v>O-</v>
      </c>
    </row>
    <row r="962" spans="1:23" ht="15.75" x14ac:dyDescent="0.25">
      <c r="A962" s="7">
        <v>750</v>
      </c>
      <c r="B962" s="33" t="str">
        <f t="shared" si="55"/>
        <v>F0750</v>
      </c>
      <c r="C962" s="7" t="s">
        <v>1011</v>
      </c>
      <c r="D962" s="33" t="str">
        <f>VLOOKUP(B962,Detail!$G$1:$H$1001,2,FALSE)</f>
        <v>Mahdi Permadi</v>
      </c>
      <c r="E962" s="7">
        <v>88</v>
      </c>
      <c r="F962" s="7">
        <v>68</v>
      </c>
      <c r="G962" s="57">
        <v>88</v>
      </c>
      <c r="H962" s="7">
        <v>58</v>
      </c>
      <c r="I962" s="7">
        <v>94</v>
      </c>
      <c r="J962" s="7">
        <v>56</v>
      </c>
      <c r="K962" s="7">
        <v>83</v>
      </c>
      <c r="L962" s="56" t="str">
        <f>IFERROR(VLOOKUP(B962,Absen!$A$1:$C$501,2,FALSE),"No")</f>
        <v>No</v>
      </c>
      <c r="M962" s="58">
        <f t="shared" ref="M962:M1001" si="56">IF(L962="no",K962,K962-10)*10%</f>
        <v>8.3000000000000007</v>
      </c>
      <c r="N962" s="57">
        <f t="shared" ref="N962:N1001" si="57">SUM(E962*12.5%,F962*12.5%,H962*12.5%,I962*12.5%,G962*20%,J962*20%,M962)</f>
        <v>75.599999999999994</v>
      </c>
      <c r="O962" s="7" t="str">
        <f>VLOOKUP(N962,Helper!$B$30:$C$35,2,TRUE)</f>
        <v>B</v>
      </c>
      <c r="P962" s="56">
        <f>INDEX(Detail!$A$1:$A$1001,MATCH(B962,Detail!$G$1:$G$1001,0))</f>
        <v>38292</v>
      </c>
      <c r="Q962" s="33" t="str">
        <f>INDEX(Detail!$F$1:$F$1001,MATCH(Main!B962,Detail!$G$1:$G$1001,0))</f>
        <v>Mojokerto</v>
      </c>
      <c r="R962" s="7">
        <f>INDEX(Detail!$C$1:$C$1001,MATCH(B962,Detail!$G$1:$G$1001,0),1)</f>
        <v>150</v>
      </c>
      <c r="S962" s="7">
        <f>INDEX(Detail!$D$1:$D$1001,MATCH(B962,Detail!$G$1:$G$1001,0),1)</f>
        <v>83</v>
      </c>
      <c r="T962" s="7" t="str">
        <f>INDEX(Detail!$E$1:$E$1001,MATCH(Main!B962,Detail!$G$1:$G$1001,0))</f>
        <v>Jalan Abdul Muis No. 75</v>
      </c>
      <c r="U962" s="7" t="str">
        <f>INDEX(Detail!$B$1:$B$1001,MATCH(B962,Detail!$G$1:$G$1001,0),1)</f>
        <v>AB-</v>
      </c>
      <c r="V962" s="7" t="str" cm="1">
        <f t="array" ref="V962">INDEX(Dosen!$B$3:$E$8,MATCH(Main!C962,Dosen!$A$3:$A$8,0),IF(AND(Main!A962&gt;=1,Main!A962&lt;=250),1,IF(AND(Main!A962&gt;=251,Main!A962&lt;=500),2,IF(AND(Main!A962&gt;=501,Main!A962&lt;=750),3,4))))</f>
        <v>Bu Ratna</v>
      </c>
      <c r="W962" s="7" t="str">
        <f>_xlfn.XLOOKUP(B962,Detail!$G$1:$G$1001,Detail!$B$1:$B$1001)</f>
        <v>AB-</v>
      </c>
    </row>
    <row r="963" spans="1:23" ht="15.75" x14ac:dyDescent="0.25">
      <c r="A963" s="7">
        <v>755</v>
      </c>
      <c r="B963" s="33" t="str">
        <f t="shared" si="55"/>
        <v>F0755</v>
      </c>
      <c r="C963" s="7" t="s">
        <v>1011</v>
      </c>
      <c r="D963" s="33" t="str">
        <f>VLOOKUP(B963,Detail!$G$1:$H$1001,2,FALSE)</f>
        <v>Perkasa Wahyuni</v>
      </c>
      <c r="E963" s="7">
        <v>81</v>
      </c>
      <c r="F963" s="7">
        <v>53</v>
      </c>
      <c r="G963" s="57">
        <v>77</v>
      </c>
      <c r="H963" s="7">
        <v>54</v>
      </c>
      <c r="I963" s="7">
        <v>87</v>
      </c>
      <c r="J963" s="7">
        <v>43</v>
      </c>
      <c r="K963" s="7">
        <v>69</v>
      </c>
      <c r="L963" s="56">
        <f>IFERROR(VLOOKUP(B963,Absen!$A$1:$C$501,2,FALSE),"No")</f>
        <v>44789</v>
      </c>
      <c r="M963" s="58">
        <f t="shared" si="56"/>
        <v>5.9</v>
      </c>
      <c r="N963" s="57">
        <f t="shared" si="57"/>
        <v>64.275000000000006</v>
      </c>
      <c r="O963" s="7" t="str">
        <f>VLOOKUP(N963,Helper!$B$30:$C$35,2,TRUE)</f>
        <v>C</v>
      </c>
      <c r="P963" s="56">
        <f>INDEX(Detail!$A$1:$A$1001,MATCH(B963,Detail!$G$1:$G$1001,0))</f>
        <v>38454</v>
      </c>
      <c r="Q963" s="33" t="str">
        <f>INDEX(Detail!$F$1:$F$1001,MATCH(Main!B963,Detail!$G$1:$G$1001,0))</f>
        <v>Ambon</v>
      </c>
      <c r="R963" s="7">
        <f>INDEX(Detail!$C$1:$C$1001,MATCH(B963,Detail!$G$1:$G$1001,0),1)</f>
        <v>180</v>
      </c>
      <c r="S963" s="7">
        <f>INDEX(Detail!$D$1:$D$1001,MATCH(B963,Detail!$G$1:$G$1001,0),1)</f>
        <v>58</v>
      </c>
      <c r="T963" s="7" t="str">
        <f>INDEX(Detail!$E$1:$E$1001,MATCH(Main!B963,Detail!$G$1:$G$1001,0))</f>
        <v>Gg. Antapani Lama No. 68</v>
      </c>
      <c r="U963" s="7" t="str">
        <f>INDEX(Detail!$B$1:$B$1001,MATCH(B963,Detail!$G$1:$G$1001,0),1)</f>
        <v>AB-</v>
      </c>
      <c r="V963" s="7" t="str" cm="1">
        <f t="array" ref="V963">INDEX(Dosen!$B$3:$E$8,MATCH(Main!C963,Dosen!$A$3:$A$8,0),IF(AND(Main!A963&gt;=1,Main!A963&lt;=250),1,IF(AND(Main!A963&gt;=251,Main!A963&lt;=500),2,IF(AND(Main!A963&gt;=501,Main!A963&lt;=750),3,4))))</f>
        <v>Bu Dwi</v>
      </c>
      <c r="W963" s="7" t="str">
        <f>_xlfn.XLOOKUP(B963,Detail!$G$1:$G$1001,Detail!$B$1:$B$1001)</f>
        <v>AB-</v>
      </c>
    </row>
    <row r="964" spans="1:23" ht="15.75" x14ac:dyDescent="0.25">
      <c r="A964" s="7">
        <v>760</v>
      </c>
      <c r="B964" s="33" t="str">
        <f t="shared" si="55"/>
        <v>F0760</v>
      </c>
      <c r="C964" s="7" t="s">
        <v>1011</v>
      </c>
      <c r="D964" s="33" t="str">
        <f>VLOOKUP(B964,Detail!$G$1:$H$1001,2,FALSE)</f>
        <v>Amelia Nasyiah</v>
      </c>
      <c r="E964" s="7">
        <v>89</v>
      </c>
      <c r="F964" s="7">
        <v>60</v>
      </c>
      <c r="G964" s="57">
        <v>71</v>
      </c>
      <c r="H964" s="7">
        <v>58</v>
      </c>
      <c r="I964" s="7">
        <v>92</v>
      </c>
      <c r="J964" s="7">
        <v>57</v>
      </c>
      <c r="K964" s="7">
        <v>90</v>
      </c>
      <c r="L964" s="56" t="str">
        <f>IFERROR(VLOOKUP(B964,Absen!$A$1:$C$501,2,FALSE),"No")</f>
        <v>No</v>
      </c>
      <c r="M964" s="58">
        <f t="shared" si="56"/>
        <v>9</v>
      </c>
      <c r="N964" s="57">
        <f t="shared" si="57"/>
        <v>71.974999999999994</v>
      </c>
      <c r="O964" s="7" t="str">
        <f>VLOOKUP(N964,Helper!$B$30:$C$35,2,TRUE)</f>
        <v>B</v>
      </c>
      <c r="P964" s="56">
        <f>INDEX(Detail!$A$1:$A$1001,MATCH(B964,Detail!$G$1:$G$1001,0))</f>
        <v>37682</v>
      </c>
      <c r="Q964" s="33" t="str">
        <f>INDEX(Detail!$F$1:$F$1001,MATCH(Main!B964,Detail!$G$1:$G$1001,0))</f>
        <v>Singkawang</v>
      </c>
      <c r="R964" s="7">
        <f>INDEX(Detail!$C$1:$C$1001,MATCH(B964,Detail!$G$1:$G$1001,0),1)</f>
        <v>180</v>
      </c>
      <c r="S964" s="7">
        <f>INDEX(Detail!$D$1:$D$1001,MATCH(B964,Detail!$G$1:$G$1001,0),1)</f>
        <v>74</v>
      </c>
      <c r="T964" s="7" t="str">
        <f>INDEX(Detail!$E$1:$E$1001,MATCH(Main!B964,Detail!$G$1:$G$1001,0))</f>
        <v>Gang Ronggowarsito No. 18</v>
      </c>
      <c r="U964" s="7" t="str">
        <f>INDEX(Detail!$B$1:$B$1001,MATCH(B964,Detail!$G$1:$G$1001,0),1)</f>
        <v>B+</v>
      </c>
      <c r="V964" s="7" t="str" cm="1">
        <f t="array" ref="V964">INDEX(Dosen!$B$3:$E$8,MATCH(Main!C964,Dosen!$A$3:$A$8,0),IF(AND(Main!A964&gt;=1,Main!A964&lt;=250),1,IF(AND(Main!A964&gt;=251,Main!A964&lt;=500),2,IF(AND(Main!A964&gt;=501,Main!A964&lt;=750),3,4))))</f>
        <v>Bu Dwi</v>
      </c>
      <c r="W964" s="7" t="str">
        <f>_xlfn.XLOOKUP(B964,Detail!$G$1:$G$1001,Detail!$B$1:$B$1001)</f>
        <v>B+</v>
      </c>
    </row>
    <row r="965" spans="1:23" ht="15.75" x14ac:dyDescent="0.25">
      <c r="A965" s="7">
        <v>769</v>
      </c>
      <c r="B965" s="33" t="str">
        <f t="shared" si="55"/>
        <v>F0769</v>
      </c>
      <c r="C965" s="7" t="s">
        <v>1011</v>
      </c>
      <c r="D965" s="33" t="str">
        <f>VLOOKUP(B965,Detail!$G$1:$H$1001,2,FALSE)</f>
        <v>Lalita Wibisono</v>
      </c>
      <c r="E965" s="7">
        <v>91</v>
      </c>
      <c r="F965" s="7">
        <v>52</v>
      </c>
      <c r="G965" s="57">
        <v>69</v>
      </c>
      <c r="H965" s="7">
        <v>59</v>
      </c>
      <c r="I965" s="7">
        <v>89</v>
      </c>
      <c r="J965" s="7">
        <v>99</v>
      </c>
      <c r="K965" s="7">
        <v>100</v>
      </c>
      <c r="L965" s="56" t="str">
        <f>IFERROR(VLOOKUP(B965,Absen!$A$1:$C$501,2,FALSE),"No")</f>
        <v>No</v>
      </c>
      <c r="M965" s="58">
        <f t="shared" si="56"/>
        <v>10</v>
      </c>
      <c r="N965" s="57">
        <f t="shared" si="57"/>
        <v>79.974999999999994</v>
      </c>
      <c r="O965" s="7" t="str">
        <f>VLOOKUP(N965,Helper!$B$30:$C$35,2,TRUE)</f>
        <v>B</v>
      </c>
      <c r="P965" s="56">
        <f>INDEX(Detail!$A$1:$A$1001,MATCH(B965,Detail!$G$1:$G$1001,0))</f>
        <v>38118</v>
      </c>
      <c r="Q965" s="33" t="str">
        <f>INDEX(Detail!$F$1:$F$1001,MATCH(Main!B965,Detail!$G$1:$G$1001,0))</f>
        <v>Surabaya</v>
      </c>
      <c r="R965" s="7">
        <f>INDEX(Detail!$C$1:$C$1001,MATCH(B965,Detail!$G$1:$G$1001,0),1)</f>
        <v>167</v>
      </c>
      <c r="S965" s="7">
        <f>INDEX(Detail!$D$1:$D$1001,MATCH(B965,Detail!$G$1:$G$1001,0),1)</f>
        <v>46</v>
      </c>
      <c r="T965" s="7" t="str">
        <f>INDEX(Detail!$E$1:$E$1001,MATCH(Main!B965,Detail!$G$1:$G$1001,0))</f>
        <v>Jl. Rawamangun No. 82</v>
      </c>
      <c r="U965" s="7" t="str">
        <f>INDEX(Detail!$B$1:$B$1001,MATCH(B965,Detail!$G$1:$G$1001,0),1)</f>
        <v>AB+</v>
      </c>
      <c r="V965" s="7" t="str" cm="1">
        <f t="array" ref="V965">INDEX(Dosen!$B$3:$E$8,MATCH(Main!C965,Dosen!$A$3:$A$8,0),IF(AND(Main!A965&gt;=1,Main!A965&lt;=250),1,IF(AND(Main!A965&gt;=251,Main!A965&lt;=500),2,IF(AND(Main!A965&gt;=501,Main!A965&lt;=750),3,4))))</f>
        <v>Bu Dwi</v>
      </c>
      <c r="W965" s="7" t="str">
        <f>_xlfn.XLOOKUP(B965,Detail!$G$1:$G$1001,Detail!$B$1:$B$1001)</f>
        <v>AB+</v>
      </c>
    </row>
    <row r="966" spans="1:23" ht="15.75" x14ac:dyDescent="0.25">
      <c r="A966" s="7">
        <v>785</v>
      </c>
      <c r="B966" s="33" t="str">
        <f t="shared" ref="B966:B997" si="58">CONCATENATE("F",TEXT(A966,"0000"))</f>
        <v>F0785</v>
      </c>
      <c r="C966" s="7" t="s">
        <v>1011</v>
      </c>
      <c r="D966" s="33" t="str">
        <f>VLOOKUP(B966,Detail!$G$1:$H$1001,2,FALSE)</f>
        <v>Gangsa Yuniar</v>
      </c>
      <c r="E966" s="7">
        <v>78</v>
      </c>
      <c r="F966" s="7">
        <v>61</v>
      </c>
      <c r="G966" s="57">
        <v>43</v>
      </c>
      <c r="H966" s="7">
        <v>54</v>
      </c>
      <c r="I966" s="7">
        <v>69</v>
      </c>
      <c r="J966" s="7">
        <v>85</v>
      </c>
      <c r="K966" s="7">
        <v>64</v>
      </c>
      <c r="L966" s="56" t="str">
        <f>IFERROR(VLOOKUP(B966,Absen!$A$1:$C$501,2,FALSE),"No")</f>
        <v>No</v>
      </c>
      <c r="M966" s="58">
        <f t="shared" si="56"/>
        <v>6.4</v>
      </c>
      <c r="N966" s="57">
        <f t="shared" si="57"/>
        <v>64.75</v>
      </c>
      <c r="O966" s="7" t="str">
        <f>VLOOKUP(N966,Helper!$B$30:$C$35,2,TRUE)</f>
        <v>C</v>
      </c>
      <c r="P966" s="56">
        <f>INDEX(Detail!$A$1:$A$1001,MATCH(B966,Detail!$G$1:$G$1001,0))</f>
        <v>37131</v>
      </c>
      <c r="Q966" s="33" t="str">
        <f>INDEX(Detail!$F$1:$F$1001,MATCH(Main!B966,Detail!$G$1:$G$1001,0))</f>
        <v>Cimahi</v>
      </c>
      <c r="R966" s="7">
        <f>INDEX(Detail!$C$1:$C$1001,MATCH(B966,Detail!$G$1:$G$1001,0),1)</f>
        <v>172</v>
      </c>
      <c r="S966" s="7">
        <f>INDEX(Detail!$D$1:$D$1001,MATCH(B966,Detail!$G$1:$G$1001,0),1)</f>
        <v>95</v>
      </c>
      <c r="T966" s="7" t="str">
        <f>INDEX(Detail!$E$1:$E$1001,MATCH(Main!B966,Detail!$G$1:$G$1001,0))</f>
        <v>Gang Gegerkalong Hilir No. 40</v>
      </c>
      <c r="U966" s="7" t="str">
        <f>INDEX(Detail!$B$1:$B$1001,MATCH(B966,Detail!$G$1:$G$1001,0),1)</f>
        <v>O-</v>
      </c>
      <c r="V966" s="7" t="str" cm="1">
        <f t="array" ref="V966">INDEX(Dosen!$B$3:$E$8,MATCH(Main!C966,Dosen!$A$3:$A$8,0),IF(AND(Main!A966&gt;=1,Main!A966&lt;=250),1,IF(AND(Main!A966&gt;=251,Main!A966&lt;=500),2,IF(AND(Main!A966&gt;=501,Main!A966&lt;=750),3,4))))</f>
        <v>Bu Dwi</v>
      </c>
      <c r="W966" s="7" t="str">
        <f>_xlfn.XLOOKUP(B966,Detail!$G$1:$G$1001,Detail!$B$1:$B$1001)</f>
        <v>O-</v>
      </c>
    </row>
    <row r="967" spans="1:23" ht="15.75" x14ac:dyDescent="0.25">
      <c r="A967" s="7">
        <v>802</v>
      </c>
      <c r="B967" s="33" t="str">
        <f t="shared" si="58"/>
        <v>F0802</v>
      </c>
      <c r="C967" s="7" t="s">
        <v>1011</v>
      </c>
      <c r="D967" s="33" t="str">
        <f>VLOOKUP(B967,Detail!$G$1:$H$1001,2,FALSE)</f>
        <v>Sabar Pratiwi</v>
      </c>
      <c r="E967" s="7">
        <v>67</v>
      </c>
      <c r="F967" s="7">
        <v>54</v>
      </c>
      <c r="G967" s="57">
        <v>85</v>
      </c>
      <c r="H967" s="7">
        <v>58</v>
      </c>
      <c r="I967" s="7">
        <v>87</v>
      </c>
      <c r="J967" s="7">
        <v>68</v>
      </c>
      <c r="K967" s="7">
        <v>89</v>
      </c>
      <c r="L967" s="56">
        <f>IFERROR(VLOOKUP(B967,Absen!$A$1:$C$501,2,FALSE),"No")</f>
        <v>44871</v>
      </c>
      <c r="M967" s="58">
        <f t="shared" si="56"/>
        <v>7.9</v>
      </c>
      <c r="N967" s="57">
        <f t="shared" si="57"/>
        <v>71.75</v>
      </c>
      <c r="O967" s="7" t="str">
        <f>VLOOKUP(N967,Helper!$B$30:$C$35,2,TRUE)</f>
        <v>B</v>
      </c>
      <c r="P967" s="56">
        <f>INDEX(Detail!$A$1:$A$1001,MATCH(B967,Detail!$G$1:$G$1001,0))</f>
        <v>38034</v>
      </c>
      <c r="Q967" s="33" t="str">
        <f>INDEX(Detail!$F$1:$F$1001,MATCH(Main!B967,Detail!$G$1:$G$1001,0))</f>
        <v>Malang</v>
      </c>
      <c r="R967" s="7">
        <f>INDEX(Detail!$C$1:$C$1001,MATCH(B967,Detail!$G$1:$G$1001,0),1)</f>
        <v>165</v>
      </c>
      <c r="S967" s="7">
        <f>INDEX(Detail!$D$1:$D$1001,MATCH(B967,Detail!$G$1:$G$1001,0),1)</f>
        <v>92</v>
      </c>
      <c r="T967" s="7" t="str">
        <f>INDEX(Detail!$E$1:$E$1001,MATCH(Main!B967,Detail!$G$1:$G$1001,0))</f>
        <v>Gang Asia Afrika No. 97</v>
      </c>
      <c r="U967" s="7" t="str">
        <f>INDEX(Detail!$B$1:$B$1001,MATCH(B967,Detail!$G$1:$G$1001,0),1)</f>
        <v>AB+</v>
      </c>
      <c r="V967" s="7" t="str" cm="1">
        <f t="array" ref="V967">INDEX(Dosen!$B$3:$E$8,MATCH(Main!C967,Dosen!$A$3:$A$8,0),IF(AND(Main!A967&gt;=1,Main!A967&lt;=250),1,IF(AND(Main!A967&gt;=251,Main!A967&lt;=500),2,IF(AND(Main!A967&gt;=501,Main!A967&lt;=750),3,4))))</f>
        <v>Bu Dwi</v>
      </c>
      <c r="W967" s="7" t="str">
        <f>_xlfn.XLOOKUP(B967,Detail!$G$1:$G$1001,Detail!$B$1:$B$1001)</f>
        <v>AB+</v>
      </c>
    </row>
    <row r="968" spans="1:23" ht="15.75" x14ac:dyDescent="0.25">
      <c r="A968" s="7">
        <v>811</v>
      </c>
      <c r="B968" s="33" t="str">
        <f t="shared" si="58"/>
        <v>F0811</v>
      </c>
      <c r="C968" s="7" t="s">
        <v>1011</v>
      </c>
      <c r="D968" s="33" t="str">
        <f>VLOOKUP(B968,Detail!$G$1:$H$1001,2,FALSE)</f>
        <v>Ifa Namaga</v>
      </c>
      <c r="E968" s="7">
        <v>93</v>
      </c>
      <c r="F968" s="7">
        <v>58</v>
      </c>
      <c r="G968" s="57">
        <v>55</v>
      </c>
      <c r="H968" s="7">
        <v>65</v>
      </c>
      <c r="I968" s="7">
        <v>50</v>
      </c>
      <c r="J968" s="7">
        <v>99</v>
      </c>
      <c r="K968" s="7">
        <v>61</v>
      </c>
      <c r="L968" s="56">
        <f>IFERROR(VLOOKUP(B968,Absen!$A$1:$C$501,2,FALSE),"No")</f>
        <v>44905</v>
      </c>
      <c r="M968" s="58">
        <f t="shared" si="56"/>
        <v>5.1000000000000005</v>
      </c>
      <c r="N968" s="57">
        <f t="shared" si="57"/>
        <v>69.149999999999991</v>
      </c>
      <c r="O968" s="7" t="str">
        <f>VLOOKUP(N968,Helper!$B$30:$C$35,2,TRUE)</f>
        <v>C</v>
      </c>
      <c r="P968" s="56">
        <f>INDEX(Detail!$A$1:$A$1001,MATCH(B968,Detail!$G$1:$G$1001,0))</f>
        <v>37118</v>
      </c>
      <c r="Q968" s="33" t="str">
        <f>INDEX(Detail!$F$1:$F$1001,MATCH(Main!B968,Detail!$G$1:$G$1001,0))</f>
        <v>Magelang</v>
      </c>
      <c r="R968" s="7">
        <f>INDEX(Detail!$C$1:$C$1001,MATCH(B968,Detail!$G$1:$G$1001,0),1)</f>
        <v>154</v>
      </c>
      <c r="S968" s="7">
        <f>INDEX(Detail!$D$1:$D$1001,MATCH(B968,Detail!$G$1:$G$1001,0),1)</f>
        <v>72</v>
      </c>
      <c r="T968" s="7" t="str">
        <f>INDEX(Detail!$E$1:$E$1001,MATCH(Main!B968,Detail!$G$1:$G$1001,0))</f>
        <v>Gg. Kiaracondong No. 19</v>
      </c>
      <c r="U968" s="7" t="str">
        <f>INDEX(Detail!$B$1:$B$1001,MATCH(B968,Detail!$G$1:$G$1001,0),1)</f>
        <v>AB+</v>
      </c>
      <c r="V968" s="7" t="str" cm="1">
        <f t="array" ref="V968">INDEX(Dosen!$B$3:$E$8,MATCH(Main!C968,Dosen!$A$3:$A$8,0),IF(AND(Main!A968&gt;=1,Main!A968&lt;=250),1,IF(AND(Main!A968&gt;=251,Main!A968&lt;=500),2,IF(AND(Main!A968&gt;=501,Main!A968&lt;=750),3,4))))</f>
        <v>Bu Dwi</v>
      </c>
      <c r="W968" s="7" t="str">
        <f>_xlfn.XLOOKUP(B968,Detail!$G$1:$G$1001,Detail!$B$1:$B$1001)</f>
        <v>AB+</v>
      </c>
    </row>
    <row r="969" spans="1:23" ht="15.75" x14ac:dyDescent="0.25">
      <c r="A969" s="7">
        <v>823</v>
      </c>
      <c r="B969" s="33" t="str">
        <f t="shared" si="58"/>
        <v>F0823</v>
      </c>
      <c r="C969" s="7" t="s">
        <v>1011</v>
      </c>
      <c r="D969" s="33" t="str">
        <f>VLOOKUP(B969,Detail!$G$1:$H$1001,2,FALSE)</f>
        <v>Tiara Palastri</v>
      </c>
      <c r="E969" s="7">
        <v>60</v>
      </c>
      <c r="F969" s="7">
        <v>47</v>
      </c>
      <c r="G969" s="57">
        <v>55</v>
      </c>
      <c r="H969" s="7">
        <v>60</v>
      </c>
      <c r="I969" s="7">
        <v>52</v>
      </c>
      <c r="J969" s="7">
        <v>44</v>
      </c>
      <c r="K969" s="7">
        <v>82</v>
      </c>
      <c r="L969" s="56">
        <f>IFERROR(VLOOKUP(B969,Absen!$A$1:$C$501,2,FALSE),"No")</f>
        <v>44804</v>
      </c>
      <c r="M969" s="58">
        <f t="shared" si="56"/>
        <v>7.2</v>
      </c>
      <c r="N969" s="57">
        <f t="shared" si="57"/>
        <v>54.375</v>
      </c>
      <c r="O969" s="7" t="str">
        <f>VLOOKUP(N969,Helper!$B$30:$C$35,2,TRUE)</f>
        <v>D</v>
      </c>
      <c r="P969" s="56">
        <f>INDEX(Detail!$A$1:$A$1001,MATCH(B969,Detail!$G$1:$G$1001,0))</f>
        <v>38168</v>
      </c>
      <c r="Q969" s="33" t="str">
        <f>INDEX(Detail!$F$1:$F$1001,MATCH(Main!B969,Detail!$G$1:$G$1001,0))</f>
        <v>Pasuruan</v>
      </c>
      <c r="R969" s="7">
        <f>INDEX(Detail!$C$1:$C$1001,MATCH(B969,Detail!$G$1:$G$1001,0),1)</f>
        <v>162</v>
      </c>
      <c r="S969" s="7">
        <f>INDEX(Detail!$D$1:$D$1001,MATCH(B969,Detail!$G$1:$G$1001,0),1)</f>
        <v>47</v>
      </c>
      <c r="T969" s="7" t="str">
        <f>INDEX(Detail!$E$1:$E$1001,MATCH(Main!B969,Detail!$G$1:$G$1001,0))</f>
        <v>Jl. H.J Maemunah No. 30</v>
      </c>
      <c r="U969" s="7" t="str">
        <f>INDEX(Detail!$B$1:$B$1001,MATCH(B969,Detail!$G$1:$G$1001,0),1)</f>
        <v>AB+</v>
      </c>
      <c r="V969" s="7" t="str" cm="1">
        <f t="array" ref="V969">INDEX(Dosen!$B$3:$E$8,MATCH(Main!C969,Dosen!$A$3:$A$8,0),IF(AND(Main!A969&gt;=1,Main!A969&lt;=250),1,IF(AND(Main!A969&gt;=251,Main!A969&lt;=500),2,IF(AND(Main!A969&gt;=501,Main!A969&lt;=750),3,4))))</f>
        <v>Bu Dwi</v>
      </c>
      <c r="W969" s="7" t="str">
        <f>_xlfn.XLOOKUP(B969,Detail!$G$1:$G$1001,Detail!$B$1:$B$1001)</f>
        <v>AB+</v>
      </c>
    </row>
    <row r="970" spans="1:23" ht="15.75" x14ac:dyDescent="0.25">
      <c r="A970" s="7">
        <v>828</v>
      </c>
      <c r="B970" s="33" t="str">
        <f t="shared" si="58"/>
        <v>F0828</v>
      </c>
      <c r="C970" s="7" t="s">
        <v>1011</v>
      </c>
      <c r="D970" s="33" t="str">
        <f>VLOOKUP(B970,Detail!$G$1:$H$1001,2,FALSE)</f>
        <v>Teguh Uyainah</v>
      </c>
      <c r="E970" s="7">
        <v>70</v>
      </c>
      <c r="F970" s="7">
        <v>71</v>
      </c>
      <c r="G970" s="57">
        <v>58</v>
      </c>
      <c r="H970" s="7">
        <v>73</v>
      </c>
      <c r="I970" s="7">
        <v>67</v>
      </c>
      <c r="J970" s="7">
        <v>93</v>
      </c>
      <c r="K970" s="7">
        <v>82</v>
      </c>
      <c r="L970" s="56" t="str">
        <f>IFERROR(VLOOKUP(B970,Absen!$A$1:$C$501,2,FALSE),"No")</f>
        <v>No</v>
      </c>
      <c r="M970" s="58">
        <f t="shared" si="56"/>
        <v>8.2000000000000011</v>
      </c>
      <c r="N970" s="57">
        <f t="shared" si="57"/>
        <v>73.525000000000006</v>
      </c>
      <c r="O970" s="7" t="str">
        <f>VLOOKUP(N970,Helper!$B$30:$C$35,2,TRUE)</f>
        <v>B</v>
      </c>
      <c r="P970" s="56">
        <f>INDEX(Detail!$A$1:$A$1001,MATCH(B970,Detail!$G$1:$G$1001,0))</f>
        <v>37274</v>
      </c>
      <c r="Q970" s="33" t="str">
        <f>INDEX(Detail!$F$1:$F$1001,MATCH(Main!B970,Detail!$G$1:$G$1001,0))</f>
        <v>Parepare</v>
      </c>
      <c r="R970" s="7">
        <f>INDEX(Detail!$C$1:$C$1001,MATCH(B970,Detail!$G$1:$G$1001,0),1)</f>
        <v>164</v>
      </c>
      <c r="S970" s="7">
        <f>INDEX(Detail!$D$1:$D$1001,MATCH(B970,Detail!$G$1:$G$1001,0),1)</f>
        <v>75</v>
      </c>
      <c r="T970" s="7" t="str">
        <f>INDEX(Detail!$E$1:$E$1001,MATCH(Main!B970,Detail!$G$1:$G$1001,0))</f>
        <v>Jl. Sukajadi No. 73</v>
      </c>
      <c r="U970" s="7" t="str">
        <f>INDEX(Detail!$B$1:$B$1001,MATCH(B970,Detail!$G$1:$G$1001,0),1)</f>
        <v>AB+</v>
      </c>
      <c r="V970" s="7" t="str" cm="1">
        <f t="array" ref="V970">INDEX(Dosen!$B$3:$E$8,MATCH(Main!C970,Dosen!$A$3:$A$8,0),IF(AND(Main!A970&gt;=1,Main!A970&lt;=250),1,IF(AND(Main!A970&gt;=251,Main!A970&lt;=500),2,IF(AND(Main!A970&gt;=501,Main!A970&lt;=750),3,4))))</f>
        <v>Bu Dwi</v>
      </c>
      <c r="W970" s="7" t="str">
        <f>_xlfn.XLOOKUP(B970,Detail!$G$1:$G$1001,Detail!$B$1:$B$1001)</f>
        <v>AB+</v>
      </c>
    </row>
    <row r="971" spans="1:23" ht="15.75" x14ac:dyDescent="0.25">
      <c r="A971" s="7">
        <v>838</v>
      </c>
      <c r="B971" s="33" t="str">
        <f t="shared" si="58"/>
        <v>F0838</v>
      </c>
      <c r="C971" s="7" t="s">
        <v>1011</v>
      </c>
      <c r="D971" s="33" t="str">
        <f>VLOOKUP(B971,Detail!$G$1:$H$1001,2,FALSE)</f>
        <v>Raditya Mangunsong</v>
      </c>
      <c r="E971" s="7">
        <v>82</v>
      </c>
      <c r="F971" s="7">
        <v>64</v>
      </c>
      <c r="G971" s="57">
        <v>69</v>
      </c>
      <c r="H971" s="7">
        <v>72</v>
      </c>
      <c r="I971" s="7">
        <v>64</v>
      </c>
      <c r="J971" s="7">
        <v>53</v>
      </c>
      <c r="K971" s="7">
        <v>92</v>
      </c>
      <c r="L971" s="56">
        <f>IFERROR(VLOOKUP(B971,Absen!$A$1:$C$501,2,FALSE),"No")</f>
        <v>44863</v>
      </c>
      <c r="M971" s="58">
        <f t="shared" si="56"/>
        <v>8.2000000000000011</v>
      </c>
      <c r="N971" s="57">
        <f t="shared" si="57"/>
        <v>67.849999999999994</v>
      </c>
      <c r="O971" s="7" t="str">
        <f>VLOOKUP(N971,Helper!$B$30:$C$35,2,TRUE)</f>
        <v>C</v>
      </c>
      <c r="P971" s="56">
        <f>INDEX(Detail!$A$1:$A$1001,MATCH(B971,Detail!$G$1:$G$1001,0))</f>
        <v>37424</v>
      </c>
      <c r="Q971" s="33" t="str">
        <f>INDEX(Detail!$F$1:$F$1001,MATCH(Main!B971,Detail!$G$1:$G$1001,0))</f>
        <v>Solok</v>
      </c>
      <c r="R971" s="7">
        <f>INDEX(Detail!$C$1:$C$1001,MATCH(B971,Detail!$G$1:$G$1001,0),1)</f>
        <v>180</v>
      </c>
      <c r="S971" s="7">
        <f>INDEX(Detail!$D$1:$D$1001,MATCH(B971,Detail!$G$1:$G$1001,0),1)</f>
        <v>81</v>
      </c>
      <c r="T971" s="7" t="str">
        <f>INDEX(Detail!$E$1:$E$1001,MATCH(Main!B971,Detail!$G$1:$G$1001,0))</f>
        <v xml:space="preserve">Gg. Abdul Muis No. 4
</v>
      </c>
      <c r="U971" s="7" t="str">
        <f>INDEX(Detail!$B$1:$B$1001,MATCH(B971,Detail!$G$1:$G$1001,0),1)</f>
        <v>O-</v>
      </c>
      <c r="V971" s="7" t="str" cm="1">
        <f t="array" ref="V971">INDEX(Dosen!$B$3:$E$8,MATCH(Main!C971,Dosen!$A$3:$A$8,0),IF(AND(Main!A971&gt;=1,Main!A971&lt;=250),1,IF(AND(Main!A971&gt;=251,Main!A971&lt;=500),2,IF(AND(Main!A971&gt;=501,Main!A971&lt;=750),3,4))))</f>
        <v>Bu Dwi</v>
      </c>
      <c r="W971" s="7" t="str">
        <f>_xlfn.XLOOKUP(B971,Detail!$G$1:$G$1001,Detail!$B$1:$B$1001)</f>
        <v>O-</v>
      </c>
    </row>
    <row r="972" spans="1:23" ht="15.75" x14ac:dyDescent="0.25">
      <c r="A972" s="7">
        <v>845</v>
      </c>
      <c r="B972" s="33" t="str">
        <f t="shared" si="58"/>
        <v>F0845</v>
      </c>
      <c r="C972" s="7" t="s">
        <v>1011</v>
      </c>
      <c r="D972" s="33" t="str">
        <f>VLOOKUP(B972,Detail!$G$1:$H$1001,2,FALSE)</f>
        <v>Imam Palastri</v>
      </c>
      <c r="E972" s="7">
        <v>57</v>
      </c>
      <c r="F972" s="7">
        <v>71</v>
      </c>
      <c r="G972" s="57">
        <v>92</v>
      </c>
      <c r="H972" s="7">
        <v>55</v>
      </c>
      <c r="I972" s="7">
        <v>77</v>
      </c>
      <c r="J972" s="7">
        <v>73</v>
      </c>
      <c r="K972" s="7">
        <v>99</v>
      </c>
      <c r="L972" s="56">
        <f>IFERROR(VLOOKUP(B972,Absen!$A$1:$C$501,2,FALSE),"No")</f>
        <v>44847</v>
      </c>
      <c r="M972" s="58">
        <f t="shared" si="56"/>
        <v>8.9</v>
      </c>
      <c r="N972" s="57">
        <f t="shared" si="57"/>
        <v>74.400000000000006</v>
      </c>
      <c r="O972" s="7" t="str">
        <f>VLOOKUP(N972,Helper!$B$30:$C$35,2,TRUE)</f>
        <v>B</v>
      </c>
      <c r="P972" s="56">
        <f>INDEX(Detail!$A$1:$A$1001,MATCH(B972,Detail!$G$1:$G$1001,0))</f>
        <v>38285</v>
      </c>
      <c r="Q972" s="33" t="str">
        <f>INDEX(Detail!$F$1:$F$1001,MATCH(Main!B972,Detail!$G$1:$G$1001,0))</f>
        <v>Yogyakarta</v>
      </c>
      <c r="R972" s="7">
        <f>INDEX(Detail!$C$1:$C$1001,MATCH(B972,Detail!$G$1:$G$1001,0),1)</f>
        <v>155</v>
      </c>
      <c r="S972" s="7">
        <f>INDEX(Detail!$D$1:$D$1001,MATCH(B972,Detail!$G$1:$G$1001,0),1)</f>
        <v>61</v>
      </c>
      <c r="T972" s="7" t="str">
        <f>INDEX(Detail!$E$1:$E$1001,MATCH(Main!B972,Detail!$G$1:$G$1001,0))</f>
        <v>Gg. Rungkut Industri No. 00</v>
      </c>
      <c r="U972" s="7" t="str">
        <f>INDEX(Detail!$B$1:$B$1001,MATCH(B972,Detail!$G$1:$G$1001,0),1)</f>
        <v>A-</v>
      </c>
      <c r="V972" s="7" t="str" cm="1">
        <f t="array" ref="V972">INDEX(Dosen!$B$3:$E$8,MATCH(Main!C972,Dosen!$A$3:$A$8,0),IF(AND(Main!A972&gt;=1,Main!A972&lt;=250),1,IF(AND(Main!A972&gt;=251,Main!A972&lt;=500),2,IF(AND(Main!A972&gt;=501,Main!A972&lt;=750),3,4))))</f>
        <v>Bu Dwi</v>
      </c>
      <c r="W972" s="7" t="str">
        <f>_xlfn.XLOOKUP(B972,Detail!$G$1:$G$1001,Detail!$B$1:$B$1001)</f>
        <v>A-</v>
      </c>
    </row>
    <row r="973" spans="1:23" ht="15.75" x14ac:dyDescent="0.25">
      <c r="A973" s="7">
        <v>853</v>
      </c>
      <c r="B973" s="33" t="str">
        <f t="shared" si="58"/>
        <v>F0853</v>
      </c>
      <c r="C973" s="7" t="s">
        <v>1011</v>
      </c>
      <c r="D973" s="33" t="str">
        <f>VLOOKUP(B973,Detail!$G$1:$H$1001,2,FALSE)</f>
        <v>Leo Halim</v>
      </c>
      <c r="E973" s="7">
        <v>80</v>
      </c>
      <c r="F973" s="7">
        <v>74</v>
      </c>
      <c r="G973" s="57">
        <v>95</v>
      </c>
      <c r="H973" s="7">
        <v>54</v>
      </c>
      <c r="I973" s="7">
        <v>88</v>
      </c>
      <c r="J973" s="7">
        <v>94</v>
      </c>
      <c r="K973" s="7">
        <v>61</v>
      </c>
      <c r="L973" s="56">
        <f>IFERROR(VLOOKUP(B973,Absen!$A$1:$C$501,2,FALSE),"No")</f>
        <v>44783</v>
      </c>
      <c r="M973" s="58">
        <f t="shared" si="56"/>
        <v>5.1000000000000005</v>
      </c>
      <c r="N973" s="57">
        <f t="shared" si="57"/>
        <v>79.899999999999991</v>
      </c>
      <c r="O973" s="7" t="str">
        <f>VLOOKUP(N973,Helper!$B$30:$C$35,2,TRUE)</f>
        <v>B</v>
      </c>
      <c r="P973" s="56">
        <f>INDEX(Detail!$A$1:$A$1001,MATCH(B973,Detail!$G$1:$G$1001,0))</f>
        <v>37886</v>
      </c>
      <c r="Q973" s="33" t="str">
        <f>INDEX(Detail!$F$1:$F$1001,MATCH(Main!B973,Detail!$G$1:$G$1001,0))</f>
        <v>Palopo</v>
      </c>
      <c r="R973" s="7">
        <f>INDEX(Detail!$C$1:$C$1001,MATCH(B973,Detail!$G$1:$G$1001,0),1)</f>
        <v>174</v>
      </c>
      <c r="S973" s="7">
        <f>INDEX(Detail!$D$1:$D$1001,MATCH(B973,Detail!$G$1:$G$1001,0),1)</f>
        <v>53</v>
      </c>
      <c r="T973" s="7" t="str">
        <f>INDEX(Detail!$E$1:$E$1001,MATCH(Main!B973,Detail!$G$1:$G$1001,0))</f>
        <v>Jalan Sukajadi No. 48</v>
      </c>
      <c r="U973" s="7" t="str">
        <f>INDEX(Detail!$B$1:$B$1001,MATCH(B973,Detail!$G$1:$G$1001,0),1)</f>
        <v>A+</v>
      </c>
      <c r="V973" s="7" t="str" cm="1">
        <f t="array" ref="V973">INDEX(Dosen!$B$3:$E$8,MATCH(Main!C973,Dosen!$A$3:$A$8,0),IF(AND(Main!A973&gt;=1,Main!A973&lt;=250),1,IF(AND(Main!A973&gt;=251,Main!A973&lt;=500),2,IF(AND(Main!A973&gt;=501,Main!A973&lt;=750),3,4))))</f>
        <v>Bu Dwi</v>
      </c>
      <c r="W973" s="7" t="str">
        <f>_xlfn.XLOOKUP(B973,Detail!$G$1:$G$1001,Detail!$B$1:$B$1001)</f>
        <v>A+</v>
      </c>
    </row>
    <row r="974" spans="1:23" ht="15.75" x14ac:dyDescent="0.25">
      <c r="A974" s="7">
        <v>856</v>
      </c>
      <c r="B974" s="33" t="str">
        <f t="shared" si="58"/>
        <v>F0856</v>
      </c>
      <c r="C974" s="7" t="s">
        <v>1011</v>
      </c>
      <c r="D974" s="33" t="str">
        <f>VLOOKUP(B974,Detail!$G$1:$H$1001,2,FALSE)</f>
        <v>Maryadi Natsir</v>
      </c>
      <c r="E974" s="7">
        <v>76</v>
      </c>
      <c r="F974" s="7">
        <v>62</v>
      </c>
      <c r="G974" s="57">
        <v>79</v>
      </c>
      <c r="H974" s="7">
        <v>64</v>
      </c>
      <c r="I974" s="7">
        <v>95</v>
      </c>
      <c r="J974" s="7">
        <v>71</v>
      </c>
      <c r="K974" s="7">
        <v>91</v>
      </c>
      <c r="L974" s="56">
        <f>IFERROR(VLOOKUP(B974,Absen!$A$1:$C$501,2,FALSE),"No")</f>
        <v>44832</v>
      </c>
      <c r="M974" s="58">
        <f t="shared" si="56"/>
        <v>8.1</v>
      </c>
      <c r="N974" s="57">
        <f t="shared" si="57"/>
        <v>75.224999999999994</v>
      </c>
      <c r="O974" s="7" t="str">
        <f>VLOOKUP(N974,Helper!$B$30:$C$35,2,TRUE)</f>
        <v>B</v>
      </c>
      <c r="P974" s="56">
        <f>INDEX(Detail!$A$1:$A$1001,MATCH(B974,Detail!$G$1:$G$1001,0))</f>
        <v>37912</v>
      </c>
      <c r="Q974" s="33" t="str">
        <f>INDEX(Detail!$F$1:$F$1001,MATCH(Main!B974,Detail!$G$1:$G$1001,0))</f>
        <v>Pematangsiantar</v>
      </c>
      <c r="R974" s="7">
        <f>INDEX(Detail!$C$1:$C$1001,MATCH(B974,Detail!$G$1:$G$1001,0),1)</f>
        <v>178</v>
      </c>
      <c r="S974" s="7">
        <f>INDEX(Detail!$D$1:$D$1001,MATCH(B974,Detail!$G$1:$G$1001,0),1)</f>
        <v>81</v>
      </c>
      <c r="T974" s="7" t="str">
        <f>INDEX(Detail!$E$1:$E$1001,MATCH(Main!B974,Detail!$G$1:$G$1001,0))</f>
        <v xml:space="preserve">Jl. Merdeka No. 4
</v>
      </c>
      <c r="U974" s="7" t="str">
        <f>INDEX(Detail!$B$1:$B$1001,MATCH(B974,Detail!$G$1:$G$1001,0),1)</f>
        <v>O+</v>
      </c>
      <c r="V974" s="7" t="str" cm="1">
        <f t="array" ref="V974">INDEX(Dosen!$B$3:$E$8,MATCH(Main!C974,Dosen!$A$3:$A$8,0),IF(AND(Main!A974&gt;=1,Main!A974&lt;=250),1,IF(AND(Main!A974&gt;=251,Main!A974&lt;=500),2,IF(AND(Main!A974&gt;=501,Main!A974&lt;=750),3,4))))</f>
        <v>Bu Dwi</v>
      </c>
      <c r="W974" s="7" t="str">
        <f>_xlfn.XLOOKUP(B974,Detail!$G$1:$G$1001,Detail!$B$1:$B$1001)</f>
        <v>O+</v>
      </c>
    </row>
    <row r="975" spans="1:23" ht="15.75" x14ac:dyDescent="0.25">
      <c r="A975" s="7">
        <v>866</v>
      </c>
      <c r="B975" s="33" t="str">
        <f t="shared" si="58"/>
        <v>F0866</v>
      </c>
      <c r="C975" s="7" t="s">
        <v>1011</v>
      </c>
      <c r="D975" s="33" t="str">
        <f>VLOOKUP(B975,Detail!$G$1:$H$1001,2,FALSE)</f>
        <v>Hesti Saptono</v>
      </c>
      <c r="E975" s="7">
        <v>70</v>
      </c>
      <c r="F975" s="7">
        <v>58</v>
      </c>
      <c r="G975" s="57">
        <v>48</v>
      </c>
      <c r="H975" s="7">
        <v>58</v>
      </c>
      <c r="I975" s="7">
        <v>79</v>
      </c>
      <c r="J975" s="7">
        <v>55</v>
      </c>
      <c r="K975" s="7">
        <v>88</v>
      </c>
      <c r="L975" s="56">
        <f>IFERROR(VLOOKUP(B975,Absen!$A$1:$C$501,2,FALSE),"No")</f>
        <v>44754</v>
      </c>
      <c r="M975" s="58">
        <f t="shared" si="56"/>
        <v>7.8000000000000007</v>
      </c>
      <c r="N975" s="57">
        <f t="shared" si="57"/>
        <v>61.525000000000006</v>
      </c>
      <c r="O975" s="7" t="str">
        <f>VLOOKUP(N975,Helper!$B$30:$C$35,2,TRUE)</f>
        <v>C</v>
      </c>
      <c r="P975" s="56">
        <f>INDEX(Detail!$A$1:$A$1001,MATCH(B975,Detail!$G$1:$G$1001,0))</f>
        <v>38461</v>
      </c>
      <c r="Q975" s="33" t="str">
        <f>INDEX(Detail!$F$1:$F$1001,MATCH(Main!B975,Detail!$G$1:$G$1001,0))</f>
        <v>Gorontalo</v>
      </c>
      <c r="R975" s="7">
        <f>INDEX(Detail!$C$1:$C$1001,MATCH(B975,Detail!$G$1:$G$1001,0),1)</f>
        <v>168</v>
      </c>
      <c r="S975" s="7">
        <f>INDEX(Detail!$D$1:$D$1001,MATCH(B975,Detail!$G$1:$G$1001,0),1)</f>
        <v>74</v>
      </c>
      <c r="T975" s="7" t="str">
        <f>INDEX(Detail!$E$1:$E$1001,MATCH(Main!B975,Detail!$G$1:$G$1001,0))</f>
        <v>Jalan Ahmad Dahlan No. 26</v>
      </c>
      <c r="U975" s="7" t="str">
        <f>INDEX(Detail!$B$1:$B$1001,MATCH(B975,Detail!$G$1:$G$1001,0),1)</f>
        <v>AB-</v>
      </c>
      <c r="V975" s="7" t="str" cm="1">
        <f t="array" ref="V975">INDEX(Dosen!$B$3:$E$8,MATCH(Main!C975,Dosen!$A$3:$A$8,0),IF(AND(Main!A975&gt;=1,Main!A975&lt;=250),1,IF(AND(Main!A975&gt;=251,Main!A975&lt;=500),2,IF(AND(Main!A975&gt;=501,Main!A975&lt;=750),3,4))))</f>
        <v>Bu Dwi</v>
      </c>
      <c r="W975" s="7" t="str">
        <f>_xlfn.XLOOKUP(B975,Detail!$G$1:$G$1001,Detail!$B$1:$B$1001)</f>
        <v>AB-</v>
      </c>
    </row>
    <row r="976" spans="1:23" ht="15.75" x14ac:dyDescent="0.25">
      <c r="A976" s="7">
        <v>867</v>
      </c>
      <c r="B976" s="33" t="str">
        <f t="shared" si="58"/>
        <v>F0867</v>
      </c>
      <c r="C976" s="7" t="s">
        <v>1011</v>
      </c>
      <c r="D976" s="33" t="str">
        <f>VLOOKUP(B976,Detail!$G$1:$H$1001,2,FALSE)</f>
        <v>Aditya Pangestu</v>
      </c>
      <c r="E976" s="7">
        <v>69</v>
      </c>
      <c r="F976" s="7">
        <v>67</v>
      </c>
      <c r="G976" s="57">
        <v>51</v>
      </c>
      <c r="H976" s="7">
        <v>71</v>
      </c>
      <c r="I976" s="7">
        <v>64</v>
      </c>
      <c r="J976" s="7">
        <v>53</v>
      </c>
      <c r="K976" s="7">
        <v>86</v>
      </c>
      <c r="L976" s="56" t="str">
        <f>IFERROR(VLOOKUP(B976,Absen!$A$1:$C$501,2,FALSE),"No")</f>
        <v>No</v>
      </c>
      <c r="M976" s="58">
        <f t="shared" si="56"/>
        <v>8.6</v>
      </c>
      <c r="N976" s="57">
        <f t="shared" si="57"/>
        <v>63.275000000000006</v>
      </c>
      <c r="O976" s="7" t="str">
        <f>VLOOKUP(N976,Helper!$B$30:$C$35,2,TRUE)</f>
        <v>C</v>
      </c>
      <c r="P976" s="56">
        <f>INDEX(Detail!$A$1:$A$1001,MATCH(B976,Detail!$G$1:$G$1001,0))</f>
        <v>37596</v>
      </c>
      <c r="Q976" s="33" t="str">
        <f>INDEX(Detail!$F$1:$F$1001,MATCH(Main!B976,Detail!$G$1:$G$1001,0))</f>
        <v>Salatiga</v>
      </c>
      <c r="R976" s="7">
        <f>INDEX(Detail!$C$1:$C$1001,MATCH(B976,Detail!$G$1:$G$1001,0),1)</f>
        <v>176</v>
      </c>
      <c r="S976" s="7">
        <f>INDEX(Detail!$D$1:$D$1001,MATCH(B976,Detail!$G$1:$G$1001,0),1)</f>
        <v>90</v>
      </c>
      <c r="T976" s="7" t="str">
        <f>INDEX(Detail!$E$1:$E$1001,MATCH(Main!B976,Detail!$G$1:$G$1001,0))</f>
        <v>Jl. Sadang Serang No. 14</v>
      </c>
      <c r="U976" s="7" t="str">
        <f>INDEX(Detail!$B$1:$B$1001,MATCH(B976,Detail!$G$1:$G$1001,0),1)</f>
        <v>A-</v>
      </c>
      <c r="V976" s="7" t="str" cm="1">
        <f t="array" ref="V976">INDEX(Dosen!$B$3:$E$8,MATCH(Main!C976,Dosen!$A$3:$A$8,0),IF(AND(Main!A976&gt;=1,Main!A976&lt;=250),1,IF(AND(Main!A976&gt;=251,Main!A976&lt;=500),2,IF(AND(Main!A976&gt;=501,Main!A976&lt;=750),3,4))))</f>
        <v>Bu Dwi</v>
      </c>
      <c r="W976" s="7" t="str">
        <f>_xlfn.XLOOKUP(B976,Detail!$G$1:$G$1001,Detail!$B$1:$B$1001)</f>
        <v>A-</v>
      </c>
    </row>
    <row r="977" spans="1:23" ht="15.75" x14ac:dyDescent="0.25">
      <c r="A977" s="7">
        <v>878</v>
      </c>
      <c r="B977" s="33" t="str">
        <f t="shared" si="58"/>
        <v>F0878</v>
      </c>
      <c r="C977" s="7" t="s">
        <v>1011</v>
      </c>
      <c r="D977" s="33" t="str">
        <f>VLOOKUP(B977,Detail!$G$1:$H$1001,2,FALSE)</f>
        <v>Salimah Wijaya</v>
      </c>
      <c r="E977" s="7">
        <v>55</v>
      </c>
      <c r="F977" s="7">
        <v>43</v>
      </c>
      <c r="G977" s="57">
        <v>60</v>
      </c>
      <c r="H977" s="7">
        <v>72</v>
      </c>
      <c r="I977" s="7">
        <v>67</v>
      </c>
      <c r="J977" s="7">
        <v>41</v>
      </c>
      <c r="K977" s="7">
        <v>75</v>
      </c>
      <c r="L977" s="56">
        <f>IFERROR(VLOOKUP(B977,Absen!$A$1:$C$501,2,FALSE),"No")</f>
        <v>44791</v>
      </c>
      <c r="M977" s="58">
        <f t="shared" si="56"/>
        <v>6.5</v>
      </c>
      <c r="N977" s="57">
        <f t="shared" si="57"/>
        <v>56.325000000000003</v>
      </c>
      <c r="O977" s="7" t="str">
        <f>VLOOKUP(N977,Helper!$B$30:$C$35,2,TRUE)</f>
        <v>D</v>
      </c>
      <c r="P977" s="56">
        <f>INDEX(Detail!$A$1:$A$1001,MATCH(B977,Detail!$G$1:$G$1001,0))</f>
        <v>38299</v>
      </c>
      <c r="Q977" s="33" t="str">
        <f>INDEX(Detail!$F$1:$F$1001,MATCH(Main!B977,Detail!$G$1:$G$1001,0))</f>
        <v>Denpasar</v>
      </c>
      <c r="R977" s="7">
        <f>INDEX(Detail!$C$1:$C$1001,MATCH(B977,Detail!$G$1:$G$1001,0),1)</f>
        <v>172</v>
      </c>
      <c r="S977" s="7">
        <f>INDEX(Detail!$D$1:$D$1001,MATCH(B977,Detail!$G$1:$G$1001,0),1)</f>
        <v>51</v>
      </c>
      <c r="T977" s="7" t="str">
        <f>INDEX(Detail!$E$1:$E$1001,MATCH(Main!B977,Detail!$G$1:$G$1001,0))</f>
        <v>Gang Moch. Toha No. 06</v>
      </c>
      <c r="U977" s="7" t="str">
        <f>INDEX(Detail!$B$1:$B$1001,MATCH(B977,Detail!$G$1:$G$1001,0),1)</f>
        <v>A+</v>
      </c>
      <c r="V977" s="7" t="str" cm="1">
        <f t="array" ref="V977">INDEX(Dosen!$B$3:$E$8,MATCH(Main!C977,Dosen!$A$3:$A$8,0),IF(AND(Main!A977&gt;=1,Main!A977&lt;=250),1,IF(AND(Main!A977&gt;=251,Main!A977&lt;=500),2,IF(AND(Main!A977&gt;=501,Main!A977&lt;=750),3,4))))</f>
        <v>Bu Dwi</v>
      </c>
      <c r="W977" s="7" t="str">
        <f>_xlfn.XLOOKUP(B977,Detail!$G$1:$G$1001,Detail!$B$1:$B$1001)</f>
        <v>A+</v>
      </c>
    </row>
    <row r="978" spans="1:23" ht="15.75" x14ac:dyDescent="0.25">
      <c r="A978" s="7">
        <v>888</v>
      </c>
      <c r="B978" s="33" t="str">
        <f t="shared" si="58"/>
        <v>F0888</v>
      </c>
      <c r="C978" s="7" t="s">
        <v>1011</v>
      </c>
      <c r="D978" s="33" t="str">
        <f>VLOOKUP(B978,Detail!$G$1:$H$1001,2,FALSE)</f>
        <v>Hartaka Utami</v>
      </c>
      <c r="E978" s="7">
        <v>83</v>
      </c>
      <c r="F978" s="7">
        <v>74</v>
      </c>
      <c r="G978" s="57">
        <v>39</v>
      </c>
      <c r="H978" s="7">
        <v>75</v>
      </c>
      <c r="I978" s="7">
        <v>92</v>
      </c>
      <c r="J978" s="7">
        <v>44</v>
      </c>
      <c r="K978" s="7">
        <v>78</v>
      </c>
      <c r="L978" s="56" t="str">
        <f>IFERROR(VLOOKUP(B978,Absen!$A$1:$C$501,2,FALSE),"No")</f>
        <v>No</v>
      </c>
      <c r="M978" s="58">
        <f t="shared" si="56"/>
        <v>7.8000000000000007</v>
      </c>
      <c r="N978" s="57">
        <f t="shared" si="57"/>
        <v>64.899999999999991</v>
      </c>
      <c r="O978" s="7" t="str">
        <f>VLOOKUP(N978,Helper!$B$30:$C$35,2,TRUE)</f>
        <v>C</v>
      </c>
      <c r="P978" s="56">
        <f>INDEX(Detail!$A$1:$A$1001,MATCH(B978,Detail!$G$1:$G$1001,0))</f>
        <v>37530</v>
      </c>
      <c r="Q978" s="33" t="str">
        <f>INDEX(Detail!$F$1:$F$1001,MATCH(Main!B978,Detail!$G$1:$G$1001,0))</f>
        <v>Bontang</v>
      </c>
      <c r="R978" s="7">
        <f>INDEX(Detail!$C$1:$C$1001,MATCH(B978,Detail!$G$1:$G$1001,0),1)</f>
        <v>174</v>
      </c>
      <c r="S978" s="7">
        <f>INDEX(Detail!$D$1:$D$1001,MATCH(B978,Detail!$G$1:$G$1001,0),1)</f>
        <v>59</v>
      </c>
      <c r="T978" s="7" t="str">
        <f>INDEX(Detail!$E$1:$E$1001,MATCH(Main!B978,Detail!$G$1:$G$1001,0))</f>
        <v>Jalan Monginsidi No. 10</v>
      </c>
      <c r="U978" s="7" t="str">
        <f>INDEX(Detail!$B$1:$B$1001,MATCH(B978,Detail!$G$1:$G$1001,0),1)</f>
        <v>B+</v>
      </c>
      <c r="V978" s="7" t="str" cm="1">
        <f t="array" ref="V978">INDEX(Dosen!$B$3:$E$8,MATCH(Main!C978,Dosen!$A$3:$A$8,0),IF(AND(Main!A978&gt;=1,Main!A978&lt;=250),1,IF(AND(Main!A978&gt;=251,Main!A978&lt;=500),2,IF(AND(Main!A978&gt;=501,Main!A978&lt;=750),3,4))))</f>
        <v>Bu Dwi</v>
      </c>
      <c r="W978" s="7" t="str">
        <f>_xlfn.XLOOKUP(B978,Detail!$G$1:$G$1001,Detail!$B$1:$B$1001)</f>
        <v>B+</v>
      </c>
    </row>
    <row r="979" spans="1:23" ht="15.75" x14ac:dyDescent="0.25">
      <c r="A979" s="7">
        <v>889</v>
      </c>
      <c r="B979" s="33" t="str">
        <f t="shared" si="58"/>
        <v>F0889</v>
      </c>
      <c r="C979" s="7" t="s">
        <v>1011</v>
      </c>
      <c r="D979" s="33" t="str">
        <f>VLOOKUP(B979,Detail!$G$1:$H$1001,2,FALSE)</f>
        <v>Radit Kuswandari</v>
      </c>
      <c r="E979" s="7">
        <v>94</v>
      </c>
      <c r="F979" s="7">
        <v>54</v>
      </c>
      <c r="G979" s="57">
        <v>45</v>
      </c>
      <c r="H979" s="7">
        <v>67</v>
      </c>
      <c r="I979" s="7">
        <v>62</v>
      </c>
      <c r="J979" s="7">
        <v>72</v>
      </c>
      <c r="K979" s="7">
        <v>70</v>
      </c>
      <c r="L979" s="56" t="str">
        <f>IFERROR(VLOOKUP(B979,Absen!$A$1:$C$501,2,FALSE),"No")</f>
        <v>No</v>
      </c>
      <c r="M979" s="58">
        <f t="shared" si="56"/>
        <v>7</v>
      </c>
      <c r="N979" s="57">
        <f t="shared" si="57"/>
        <v>65.025000000000006</v>
      </c>
      <c r="O979" s="7" t="str">
        <f>VLOOKUP(N979,Helper!$B$30:$C$35,2,TRUE)</f>
        <v>C</v>
      </c>
      <c r="P979" s="56">
        <f>INDEX(Detail!$A$1:$A$1001,MATCH(B979,Detail!$G$1:$G$1001,0))</f>
        <v>37273</v>
      </c>
      <c r="Q979" s="33" t="str">
        <f>INDEX(Detail!$F$1:$F$1001,MATCH(Main!B979,Detail!$G$1:$G$1001,0))</f>
        <v>Ambon</v>
      </c>
      <c r="R979" s="7">
        <f>INDEX(Detail!$C$1:$C$1001,MATCH(B979,Detail!$G$1:$G$1001,0),1)</f>
        <v>159</v>
      </c>
      <c r="S979" s="7">
        <f>INDEX(Detail!$D$1:$D$1001,MATCH(B979,Detail!$G$1:$G$1001,0),1)</f>
        <v>53</v>
      </c>
      <c r="T979" s="7" t="str">
        <f>INDEX(Detail!$E$1:$E$1001,MATCH(Main!B979,Detail!$G$1:$G$1001,0))</f>
        <v xml:space="preserve">Gg. Stasiun Wonokromo No. 8
</v>
      </c>
      <c r="U979" s="7" t="str">
        <f>INDEX(Detail!$B$1:$B$1001,MATCH(B979,Detail!$G$1:$G$1001,0),1)</f>
        <v>AB-</v>
      </c>
      <c r="V979" s="7" t="str" cm="1">
        <f t="array" ref="V979">INDEX(Dosen!$B$3:$E$8,MATCH(Main!C979,Dosen!$A$3:$A$8,0),IF(AND(Main!A979&gt;=1,Main!A979&lt;=250),1,IF(AND(Main!A979&gt;=251,Main!A979&lt;=500),2,IF(AND(Main!A979&gt;=501,Main!A979&lt;=750),3,4))))</f>
        <v>Bu Dwi</v>
      </c>
      <c r="W979" s="7" t="str">
        <f>_xlfn.XLOOKUP(B979,Detail!$G$1:$G$1001,Detail!$B$1:$B$1001)</f>
        <v>AB-</v>
      </c>
    </row>
    <row r="980" spans="1:23" ht="15.75" x14ac:dyDescent="0.25">
      <c r="A980" s="7">
        <v>890</v>
      </c>
      <c r="B980" s="33" t="str">
        <f t="shared" si="58"/>
        <v>F0890</v>
      </c>
      <c r="C980" s="7" t="s">
        <v>1011</v>
      </c>
      <c r="D980" s="33" t="str">
        <f>VLOOKUP(B980,Detail!$G$1:$H$1001,2,FALSE)</f>
        <v>Asmadi Prabowo</v>
      </c>
      <c r="E980" s="7">
        <v>64</v>
      </c>
      <c r="F980" s="7">
        <v>66</v>
      </c>
      <c r="G980" s="57">
        <v>87</v>
      </c>
      <c r="H980" s="7">
        <v>65</v>
      </c>
      <c r="I980" s="7">
        <v>94</v>
      </c>
      <c r="J980" s="7">
        <v>78</v>
      </c>
      <c r="K980" s="7">
        <v>77</v>
      </c>
      <c r="L980" s="56" t="str">
        <f>IFERROR(VLOOKUP(B980,Absen!$A$1:$C$501,2,FALSE),"No")</f>
        <v>No</v>
      </c>
      <c r="M980" s="58">
        <f t="shared" si="56"/>
        <v>7.7</v>
      </c>
      <c r="N980" s="57">
        <f t="shared" si="57"/>
        <v>76.825000000000003</v>
      </c>
      <c r="O980" s="7" t="str">
        <f>VLOOKUP(N980,Helper!$B$30:$C$35,2,TRUE)</f>
        <v>B</v>
      </c>
      <c r="P980" s="56">
        <f>INDEX(Detail!$A$1:$A$1001,MATCH(B980,Detail!$G$1:$G$1001,0))</f>
        <v>37222</v>
      </c>
      <c r="Q980" s="33" t="str">
        <f>INDEX(Detail!$F$1:$F$1001,MATCH(Main!B980,Detail!$G$1:$G$1001,0))</f>
        <v>Lubuklinggau</v>
      </c>
      <c r="R980" s="7">
        <f>INDEX(Detail!$C$1:$C$1001,MATCH(B980,Detail!$G$1:$G$1001,0),1)</f>
        <v>178</v>
      </c>
      <c r="S980" s="7">
        <f>INDEX(Detail!$D$1:$D$1001,MATCH(B980,Detail!$G$1:$G$1001,0),1)</f>
        <v>91</v>
      </c>
      <c r="T980" s="7" t="str">
        <f>INDEX(Detail!$E$1:$E$1001,MATCH(Main!B980,Detail!$G$1:$G$1001,0))</f>
        <v>Gang Raya Setiabudhi No. 60</v>
      </c>
      <c r="U980" s="7" t="str">
        <f>INDEX(Detail!$B$1:$B$1001,MATCH(B980,Detail!$G$1:$G$1001,0),1)</f>
        <v>B+</v>
      </c>
      <c r="V980" s="7" t="str" cm="1">
        <f t="array" ref="V980">INDEX(Dosen!$B$3:$E$8,MATCH(Main!C980,Dosen!$A$3:$A$8,0),IF(AND(Main!A980&gt;=1,Main!A980&lt;=250),1,IF(AND(Main!A980&gt;=251,Main!A980&lt;=500),2,IF(AND(Main!A980&gt;=501,Main!A980&lt;=750),3,4))))</f>
        <v>Bu Dwi</v>
      </c>
      <c r="W980" s="7" t="str">
        <f>_xlfn.XLOOKUP(B980,Detail!$G$1:$G$1001,Detail!$B$1:$B$1001)</f>
        <v>B+</v>
      </c>
    </row>
    <row r="981" spans="1:23" ht="15.75" x14ac:dyDescent="0.25">
      <c r="A981" s="7">
        <v>895</v>
      </c>
      <c r="B981" s="33" t="str">
        <f t="shared" si="58"/>
        <v>F0895</v>
      </c>
      <c r="C981" s="7" t="s">
        <v>1011</v>
      </c>
      <c r="D981" s="33" t="str">
        <f>VLOOKUP(B981,Detail!$G$1:$H$1001,2,FALSE)</f>
        <v>Ian Prasetya</v>
      </c>
      <c r="E981" s="7">
        <v>54</v>
      </c>
      <c r="F981" s="7">
        <v>58</v>
      </c>
      <c r="G981" s="57">
        <v>76</v>
      </c>
      <c r="H981" s="7">
        <v>59</v>
      </c>
      <c r="I981" s="7">
        <v>51</v>
      </c>
      <c r="J981" s="7">
        <v>66</v>
      </c>
      <c r="K981" s="7">
        <v>73</v>
      </c>
      <c r="L981" s="56">
        <f>IFERROR(VLOOKUP(B981,Absen!$A$1:$C$501,2,FALSE),"No")</f>
        <v>44842</v>
      </c>
      <c r="M981" s="58">
        <f t="shared" si="56"/>
        <v>6.3000000000000007</v>
      </c>
      <c r="N981" s="57">
        <f t="shared" si="57"/>
        <v>62.45</v>
      </c>
      <c r="O981" s="7" t="str">
        <f>VLOOKUP(N981,Helper!$B$30:$C$35,2,TRUE)</f>
        <v>C</v>
      </c>
      <c r="P981" s="56">
        <f>INDEX(Detail!$A$1:$A$1001,MATCH(B981,Detail!$G$1:$G$1001,0))</f>
        <v>38419</v>
      </c>
      <c r="Q981" s="33" t="str">
        <f>INDEX(Detail!$F$1:$F$1001,MATCH(Main!B981,Detail!$G$1:$G$1001,0))</f>
        <v>Cimahi</v>
      </c>
      <c r="R981" s="7">
        <f>INDEX(Detail!$C$1:$C$1001,MATCH(B981,Detail!$G$1:$G$1001,0),1)</f>
        <v>158</v>
      </c>
      <c r="S981" s="7">
        <f>INDEX(Detail!$D$1:$D$1001,MATCH(B981,Detail!$G$1:$G$1001,0),1)</f>
        <v>56</v>
      </c>
      <c r="T981" s="7" t="str">
        <f>INDEX(Detail!$E$1:$E$1001,MATCH(Main!B981,Detail!$G$1:$G$1001,0))</f>
        <v>Gg. Kiaracondong No. 32</v>
      </c>
      <c r="U981" s="7" t="str">
        <f>INDEX(Detail!$B$1:$B$1001,MATCH(B981,Detail!$G$1:$G$1001,0),1)</f>
        <v>A-</v>
      </c>
      <c r="V981" s="7" t="str" cm="1">
        <f t="array" ref="V981">INDEX(Dosen!$B$3:$E$8,MATCH(Main!C981,Dosen!$A$3:$A$8,0),IF(AND(Main!A981&gt;=1,Main!A981&lt;=250),1,IF(AND(Main!A981&gt;=251,Main!A981&lt;=500),2,IF(AND(Main!A981&gt;=501,Main!A981&lt;=750),3,4))))</f>
        <v>Bu Dwi</v>
      </c>
      <c r="W981" s="7" t="str">
        <f>_xlfn.XLOOKUP(B981,Detail!$G$1:$G$1001,Detail!$B$1:$B$1001)</f>
        <v>A-</v>
      </c>
    </row>
    <row r="982" spans="1:23" ht="15.75" x14ac:dyDescent="0.25">
      <c r="A982" s="7">
        <v>901</v>
      </c>
      <c r="B982" s="33" t="str">
        <f t="shared" si="58"/>
        <v>F0901</v>
      </c>
      <c r="C982" s="7" t="s">
        <v>1011</v>
      </c>
      <c r="D982" s="33" t="str">
        <f>VLOOKUP(B982,Detail!$G$1:$H$1001,2,FALSE)</f>
        <v>Adika Prastuti</v>
      </c>
      <c r="E982" s="7">
        <v>91</v>
      </c>
      <c r="F982" s="7">
        <v>68</v>
      </c>
      <c r="G982" s="57">
        <v>53</v>
      </c>
      <c r="H982" s="7">
        <v>65</v>
      </c>
      <c r="I982" s="7">
        <v>80</v>
      </c>
      <c r="J982" s="7">
        <v>76</v>
      </c>
      <c r="K982" s="7">
        <v>93</v>
      </c>
      <c r="L982" s="56" t="str">
        <f>IFERROR(VLOOKUP(B982,Absen!$A$1:$C$501,2,FALSE),"No")</f>
        <v>No</v>
      </c>
      <c r="M982" s="58">
        <f t="shared" si="56"/>
        <v>9.3000000000000007</v>
      </c>
      <c r="N982" s="57">
        <f t="shared" si="57"/>
        <v>73.100000000000009</v>
      </c>
      <c r="O982" s="7" t="str">
        <f>VLOOKUP(N982,Helper!$B$30:$C$35,2,TRUE)</f>
        <v>B</v>
      </c>
      <c r="P982" s="56">
        <f>INDEX(Detail!$A$1:$A$1001,MATCH(B982,Detail!$G$1:$G$1001,0))</f>
        <v>37684</v>
      </c>
      <c r="Q982" s="33" t="str">
        <f>INDEX(Detail!$F$1:$F$1001,MATCH(Main!B982,Detail!$G$1:$G$1001,0))</f>
        <v>Padang</v>
      </c>
      <c r="R982" s="7">
        <f>INDEX(Detail!$C$1:$C$1001,MATCH(B982,Detail!$G$1:$G$1001,0),1)</f>
        <v>150</v>
      </c>
      <c r="S982" s="7">
        <f>INDEX(Detail!$D$1:$D$1001,MATCH(B982,Detail!$G$1:$G$1001,0),1)</f>
        <v>47</v>
      </c>
      <c r="T982" s="7" t="str">
        <f>INDEX(Detail!$E$1:$E$1001,MATCH(Main!B982,Detail!$G$1:$G$1001,0))</f>
        <v>Gang Rajawali Timur No. 36</v>
      </c>
      <c r="U982" s="7" t="str">
        <f>INDEX(Detail!$B$1:$B$1001,MATCH(B982,Detail!$G$1:$G$1001,0),1)</f>
        <v>A-</v>
      </c>
      <c r="V982" s="7" t="str" cm="1">
        <f t="array" ref="V982">INDEX(Dosen!$B$3:$E$8,MATCH(Main!C982,Dosen!$A$3:$A$8,0),IF(AND(Main!A982&gt;=1,Main!A982&lt;=250),1,IF(AND(Main!A982&gt;=251,Main!A982&lt;=500),2,IF(AND(Main!A982&gt;=501,Main!A982&lt;=750),3,4))))</f>
        <v>Bu Dwi</v>
      </c>
      <c r="W982" s="7" t="str">
        <f>_xlfn.XLOOKUP(B982,Detail!$G$1:$G$1001,Detail!$B$1:$B$1001)</f>
        <v>A-</v>
      </c>
    </row>
    <row r="983" spans="1:23" ht="15.75" x14ac:dyDescent="0.25">
      <c r="A983" s="7">
        <v>912</v>
      </c>
      <c r="B983" s="33" t="str">
        <f t="shared" si="58"/>
        <v>F0912</v>
      </c>
      <c r="C983" s="7" t="s">
        <v>1011</v>
      </c>
      <c r="D983" s="33" t="str">
        <f>VLOOKUP(B983,Detail!$G$1:$H$1001,2,FALSE)</f>
        <v>Kayla Rajata</v>
      </c>
      <c r="E983" s="7">
        <v>92</v>
      </c>
      <c r="F983" s="7">
        <v>75</v>
      </c>
      <c r="G983" s="57">
        <v>69</v>
      </c>
      <c r="H983" s="7">
        <v>53</v>
      </c>
      <c r="I983" s="7">
        <v>52</v>
      </c>
      <c r="J983" s="7">
        <v>54</v>
      </c>
      <c r="K983" s="7">
        <v>97</v>
      </c>
      <c r="L983" s="56">
        <f>IFERROR(VLOOKUP(B983,Absen!$A$1:$C$501,2,FALSE),"No")</f>
        <v>44816</v>
      </c>
      <c r="M983" s="58">
        <f t="shared" si="56"/>
        <v>8.7000000000000011</v>
      </c>
      <c r="N983" s="57">
        <f t="shared" si="57"/>
        <v>67.3</v>
      </c>
      <c r="O983" s="7" t="str">
        <f>VLOOKUP(N983,Helper!$B$30:$C$35,2,TRUE)</f>
        <v>C</v>
      </c>
      <c r="P983" s="56">
        <f>INDEX(Detail!$A$1:$A$1001,MATCH(B983,Detail!$G$1:$G$1001,0))</f>
        <v>37671</v>
      </c>
      <c r="Q983" s="33" t="str">
        <f>INDEX(Detail!$F$1:$F$1001,MATCH(Main!B983,Detail!$G$1:$G$1001,0))</f>
        <v>Batu</v>
      </c>
      <c r="R983" s="7">
        <f>INDEX(Detail!$C$1:$C$1001,MATCH(B983,Detail!$G$1:$G$1001,0),1)</f>
        <v>178</v>
      </c>
      <c r="S983" s="7">
        <f>INDEX(Detail!$D$1:$D$1001,MATCH(B983,Detail!$G$1:$G$1001,0),1)</f>
        <v>47</v>
      </c>
      <c r="T983" s="7" t="str">
        <f>INDEX(Detail!$E$1:$E$1001,MATCH(Main!B983,Detail!$G$1:$G$1001,0))</f>
        <v>Gang Dipenogoro No. 04</v>
      </c>
      <c r="U983" s="7" t="str">
        <f>INDEX(Detail!$B$1:$B$1001,MATCH(B983,Detail!$G$1:$G$1001,0),1)</f>
        <v>A+</v>
      </c>
      <c r="V983" s="7" t="str" cm="1">
        <f t="array" ref="V983">INDEX(Dosen!$B$3:$E$8,MATCH(Main!C983,Dosen!$A$3:$A$8,0),IF(AND(Main!A983&gt;=1,Main!A983&lt;=250),1,IF(AND(Main!A983&gt;=251,Main!A983&lt;=500),2,IF(AND(Main!A983&gt;=501,Main!A983&lt;=750),3,4))))</f>
        <v>Bu Dwi</v>
      </c>
      <c r="W983" s="7" t="str">
        <f>_xlfn.XLOOKUP(B983,Detail!$G$1:$G$1001,Detail!$B$1:$B$1001)</f>
        <v>A+</v>
      </c>
    </row>
    <row r="984" spans="1:23" ht="15.75" x14ac:dyDescent="0.25">
      <c r="A984" s="7">
        <v>913</v>
      </c>
      <c r="B984" s="33" t="str">
        <f t="shared" si="58"/>
        <v>F0913</v>
      </c>
      <c r="C984" s="7" t="s">
        <v>1011</v>
      </c>
      <c r="D984" s="33" t="str">
        <f>VLOOKUP(B984,Detail!$G$1:$H$1001,2,FALSE)</f>
        <v>Jatmiko Uwais</v>
      </c>
      <c r="E984" s="7">
        <v>57</v>
      </c>
      <c r="F984" s="7">
        <v>71</v>
      </c>
      <c r="G984" s="57">
        <v>77</v>
      </c>
      <c r="H984" s="7">
        <v>71</v>
      </c>
      <c r="I984" s="7">
        <v>59</v>
      </c>
      <c r="J984" s="7">
        <v>94</v>
      </c>
      <c r="K984" s="7">
        <v>77</v>
      </c>
      <c r="L984" s="56">
        <f>IFERROR(VLOOKUP(B984,Absen!$A$1:$C$501,2,FALSE),"No")</f>
        <v>44761</v>
      </c>
      <c r="M984" s="58">
        <f t="shared" si="56"/>
        <v>6.7</v>
      </c>
      <c r="N984" s="57">
        <f t="shared" si="57"/>
        <v>73.150000000000006</v>
      </c>
      <c r="O984" s="7" t="str">
        <f>VLOOKUP(N984,Helper!$B$30:$C$35,2,TRUE)</f>
        <v>B</v>
      </c>
      <c r="P984" s="56">
        <f>INDEX(Detail!$A$1:$A$1001,MATCH(B984,Detail!$G$1:$G$1001,0))</f>
        <v>38373</v>
      </c>
      <c r="Q984" s="33" t="str">
        <f>INDEX(Detail!$F$1:$F$1001,MATCH(Main!B984,Detail!$G$1:$G$1001,0))</f>
        <v>Malang</v>
      </c>
      <c r="R984" s="7">
        <f>INDEX(Detail!$C$1:$C$1001,MATCH(B984,Detail!$G$1:$G$1001,0),1)</f>
        <v>151</v>
      </c>
      <c r="S984" s="7">
        <f>INDEX(Detail!$D$1:$D$1001,MATCH(B984,Detail!$G$1:$G$1001,0),1)</f>
        <v>78</v>
      </c>
      <c r="T984" s="7" t="str">
        <f>INDEX(Detail!$E$1:$E$1001,MATCH(Main!B984,Detail!$G$1:$G$1001,0))</f>
        <v>Gg. Kutai No. 84</v>
      </c>
      <c r="U984" s="7" t="str">
        <f>INDEX(Detail!$B$1:$B$1001,MATCH(B984,Detail!$G$1:$G$1001,0),1)</f>
        <v>B-</v>
      </c>
      <c r="V984" s="7" t="str" cm="1">
        <f t="array" ref="V984">INDEX(Dosen!$B$3:$E$8,MATCH(Main!C984,Dosen!$A$3:$A$8,0),IF(AND(Main!A984&gt;=1,Main!A984&lt;=250),1,IF(AND(Main!A984&gt;=251,Main!A984&lt;=500),2,IF(AND(Main!A984&gt;=501,Main!A984&lt;=750),3,4))))</f>
        <v>Bu Dwi</v>
      </c>
      <c r="W984" s="7" t="str">
        <f>_xlfn.XLOOKUP(B984,Detail!$G$1:$G$1001,Detail!$B$1:$B$1001)</f>
        <v>B-</v>
      </c>
    </row>
    <row r="985" spans="1:23" ht="15.75" x14ac:dyDescent="0.25">
      <c r="A985" s="7">
        <v>914</v>
      </c>
      <c r="B985" s="33" t="str">
        <f t="shared" si="58"/>
        <v>F0914</v>
      </c>
      <c r="C985" s="7" t="s">
        <v>1011</v>
      </c>
      <c r="D985" s="33" t="str">
        <f>VLOOKUP(B985,Detail!$G$1:$H$1001,2,FALSE)</f>
        <v>Eja Yulianti</v>
      </c>
      <c r="E985" s="7">
        <v>84</v>
      </c>
      <c r="F985" s="7">
        <v>46</v>
      </c>
      <c r="G985" s="57">
        <v>47</v>
      </c>
      <c r="H985" s="7">
        <v>60</v>
      </c>
      <c r="I985" s="7">
        <v>70</v>
      </c>
      <c r="J985" s="7">
        <v>59</v>
      </c>
      <c r="K985" s="7">
        <v>60</v>
      </c>
      <c r="L985" s="56">
        <f>IFERROR(VLOOKUP(B985,Absen!$A$1:$C$501,2,FALSE),"No")</f>
        <v>44788</v>
      </c>
      <c r="M985" s="58">
        <f t="shared" si="56"/>
        <v>5</v>
      </c>
      <c r="N985" s="57">
        <f t="shared" si="57"/>
        <v>58.7</v>
      </c>
      <c r="O985" s="7" t="str">
        <f>VLOOKUP(N985,Helper!$B$30:$C$35,2,TRUE)</f>
        <v>D</v>
      </c>
      <c r="P985" s="56">
        <f>INDEX(Detail!$A$1:$A$1001,MATCH(B985,Detail!$G$1:$G$1001,0))</f>
        <v>37125</v>
      </c>
      <c r="Q985" s="33" t="str">
        <f>INDEX(Detail!$F$1:$F$1001,MATCH(Main!B985,Detail!$G$1:$G$1001,0))</f>
        <v>Tual</v>
      </c>
      <c r="R985" s="7">
        <f>INDEX(Detail!$C$1:$C$1001,MATCH(B985,Detail!$G$1:$G$1001,0),1)</f>
        <v>164</v>
      </c>
      <c r="S985" s="7">
        <f>INDEX(Detail!$D$1:$D$1001,MATCH(B985,Detail!$G$1:$G$1001,0),1)</f>
        <v>76</v>
      </c>
      <c r="T985" s="7" t="str">
        <f>INDEX(Detail!$E$1:$E$1001,MATCH(Main!B985,Detail!$G$1:$G$1001,0))</f>
        <v>Gg. K.H. Wahid Hasyim No. 78</v>
      </c>
      <c r="U985" s="7" t="str">
        <f>INDEX(Detail!$B$1:$B$1001,MATCH(B985,Detail!$G$1:$G$1001,0),1)</f>
        <v>O-</v>
      </c>
      <c r="V985" s="7" t="str" cm="1">
        <f t="array" ref="V985">INDEX(Dosen!$B$3:$E$8,MATCH(Main!C985,Dosen!$A$3:$A$8,0),IF(AND(Main!A985&gt;=1,Main!A985&lt;=250),1,IF(AND(Main!A985&gt;=251,Main!A985&lt;=500),2,IF(AND(Main!A985&gt;=501,Main!A985&lt;=750),3,4))))</f>
        <v>Bu Dwi</v>
      </c>
      <c r="W985" s="7" t="str">
        <f>_xlfn.XLOOKUP(B985,Detail!$G$1:$G$1001,Detail!$B$1:$B$1001)</f>
        <v>O-</v>
      </c>
    </row>
    <row r="986" spans="1:23" ht="15.75" x14ac:dyDescent="0.25">
      <c r="A986" s="7">
        <v>917</v>
      </c>
      <c r="B986" s="33" t="str">
        <f t="shared" si="58"/>
        <v>F0917</v>
      </c>
      <c r="C986" s="7" t="s">
        <v>1011</v>
      </c>
      <c r="D986" s="33" t="str">
        <f>VLOOKUP(B986,Detail!$G$1:$H$1001,2,FALSE)</f>
        <v>Marsudi Haryanti</v>
      </c>
      <c r="E986" s="7">
        <v>82</v>
      </c>
      <c r="F986" s="7">
        <v>46</v>
      </c>
      <c r="G986" s="57">
        <v>94</v>
      </c>
      <c r="H986" s="7">
        <v>71</v>
      </c>
      <c r="I986" s="7">
        <v>76</v>
      </c>
      <c r="J986" s="7">
        <v>88</v>
      </c>
      <c r="K986" s="7">
        <v>62</v>
      </c>
      <c r="L986" s="56">
        <f>IFERROR(VLOOKUP(B986,Absen!$A$1:$C$501,2,FALSE),"No")</f>
        <v>44879</v>
      </c>
      <c r="M986" s="58">
        <f t="shared" si="56"/>
        <v>5.2</v>
      </c>
      <c r="N986" s="57">
        <f t="shared" si="57"/>
        <v>75.975000000000009</v>
      </c>
      <c r="O986" s="7" t="str">
        <f>VLOOKUP(N986,Helper!$B$30:$C$35,2,TRUE)</f>
        <v>B</v>
      </c>
      <c r="P986" s="56">
        <f>INDEX(Detail!$A$1:$A$1001,MATCH(B986,Detail!$G$1:$G$1001,0))</f>
        <v>37341</v>
      </c>
      <c r="Q986" s="33" t="str">
        <f>INDEX(Detail!$F$1:$F$1001,MATCH(Main!B986,Detail!$G$1:$G$1001,0))</f>
        <v>Mojokerto</v>
      </c>
      <c r="R986" s="7">
        <f>INDEX(Detail!$C$1:$C$1001,MATCH(B986,Detail!$G$1:$G$1001,0),1)</f>
        <v>159</v>
      </c>
      <c r="S986" s="7">
        <f>INDEX(Detail!$D$1:$D$1001,MATCH(B986,Detail!$G$1:$G$1001,0),1)</f>
        <v>47</v>
      </c>
      <c r="T986" s="7" t="str">
        <f>INDEX(Detail!$E$1:$E$1001,MATCH(Main!B986,Detail!$G$1:$G$1001,0))</f>
        <v>Jalan Dipenogoro No. 30</v>
      </c>
      <c r="U986" s="7" t="str">
        <f>INDEX(Detail!$B$1:$B$1001,MATCH(B986,Detail!$G$1:$G$1001,0),1)</f>
        <v>AB+</v>
      </c>
      <c r="V986" s="7" t="str" cm="1">
        <f t="array" ref="V986">INDEX(Dosen!$B$3:$E$8,MATCH(Main!C986,Dosen!$A$3:$A$8,0),IF(AND(Main!A986&gt;=1,Main!A986&lt;=250),1,IF(AND(Main!A986&gt;=251,Main!A986&lt;=500),2,IF(AND(Main!A986&gt;=501,Main!A986&lt;=750),3,4))))</f>
        <v>Bu Dwi</v>
      </c>
      <c r="W986" s="7" t="str">
        <f>_xlfn.XLOOKUP(B986,Detail!$G$1:$G$1001,Detail!$B$1:$B$1001)</f>
        <v>AB+</v>
      </c>
    </row>
    <row r="987" spans="1:23" ht="15.75" x14ac:dyDescent="0.25">
      <c r="A987" s="7">
        <v>930</v>
      </c>
      <c r="B987" s="33" t="str">
        <f t="shared" si="58"/>
        <v>F0930</v>
      </c>
      <c r="C987" s="7" t="s">
        <v>1011</v>
      </c>
      <c r="D987" s="33" t="str">
        <f>VLOOKUP(B987,Detail!$G$1:$H$1001,2,FALSE)</f>
        <v>Irfan Usamah</v>
      </c>
      <c r="E987" s="7">
        <v>66</v>
      </c>
      <c r="F987" s="7">
        <v>74</v>
      </c>
      <c r="G987" s="57">
        <v>81</v>
      </c>
      <c r="H987" s="7">
        <v>71</v>
      </c>
      <c r="I987" s="7">
        <v>67</v>
      </c>
      <c r="J987" s="7">
        <v>50</v>
      </c>
      <c r="K987" s="7">
        <v>83</v>
      </c>
      <c r="L987" s="56" t="str">
        <f>IFERROR(VLOOKUP(B987,Absen!$A$1:$C$501,2,FALSE),"No")</f>
        <v>No</v>
      </c>
      <c r="M987" s="58">
        <f t="shared" si="56"/>
        <v>8.3000000000000007</v>
      </c>
      <c r="N987" s="57">
        <f t="shared" si="57"/>
        <v>69.25</v>
      </c>
      <c r="O987" s="7" t="str">
        <f>VLOOKUP(N987,Helper!$B$30:$C$35,2,TRUE)</f>
        <v>C</v>
      </c>
      <c r="P987" s="56">
        <f>INDEX(Detail!$A$1:$A$1001,MATCH(B987,Detail!$G$1:$G$1001,0))</f>
        <v>37517</v>
      </c>
      <c r="Q987" s="33" t="str">
        <f>INDEX(Detail!$F$1:$F$1001,MATCH(Main!B987,Detail!$G$1:$G$1001,0))</f>
        <v>Solok</v>
      </c>
      <c r="R987" s="7">
        <f>INDEX(Detail!$C$1:$C$1001,MATCH(B987,Detail!$G$1:$G$1001,0),1)</f>
        <v>172</v>
      </c>
      <c r="S987" s="7">
        <f>INDEX(Detail!$D$1:$D$1001,MATCH(B987,Detail!$G$1:$G$1001,0),1)</f>
        <v>55</v>
      </c>
      <c r="T987" s="7" t="str">
        <f>INDEX(Detail!$E$1:$E$1001,MATCH(Main!B987,Detail!$G$1:$G$1001,0))</f>
        <v xml:space="preserve">Gg. Rajawali Barat No. 5
</v>
      </c>
      <c r="U987" s="7" t="str">
        <f>INDEX(Detail!$B$1:$B$1001,MATCH(B987,Detail!$G$1:$G$1001,0),1)</f>
        <v>O+</v>
      </c>
      <c r="V987" s="7" t="str" cm="1">
        <f t="array" ref="V987">INDEX(Dosen!$B$3:$E$8,MATCH(Main!C987,Dosen!$A$3:$A$8,0),IF(AND(Main!A987&gt;=1,Main!A987&lt;=250),1,IF(AND(Main!A987&gt;=251,Main!A987&lt;=500),2,IF(AND(Main!A987&gt;=501,Main!A987&lt;=750),3,4))))</f>
        <v>Bu Dwi</v>
      </c>
      <c r="W987" s="7" t="str">
        <f>_xlfn.XLOOKUP(B987,Detail!$G$1:$G$1001,Detail!$B$1:$B$1001)</f>
        <v>O+</v>
      </c>
    </row>
    <row r="988" spans="1:23" ht="15.75" x14ac:dyDescent="0.25">
      <c r="A988" s="7">
        <v>936</v>
      </c>
      <c r="B988" s="33" t="str">
        <f t="shared" si="58"/>
        <v>F0936</v>
      </c>
      <c r="C988" s="7" t="s">
        <v>1011</v>
      </c>
      <c r="D988" s="33" t="str">
        <f>VLOOKUP(B988,Detail!$G$1:$H$1001,2,FALSE)</f>
        <v>Vicky Widiastuti</v>
      </c>
      <c r="E988" s="7">
        <v>85</v>
      </c>
      <c r="F988" s="7">
        <v>62</v>
      </c>
      <c r="G988" s="57">
        <v>92</v>
      </c>
      <c r="H988" s="7">
        <v>72</v>
      </c>
      <c r="I988" s="7">
        <v>88</v>
      </c>
      <c r="J988" s="7">
        <v>86</v>
      </c>
      <c r="K988" s="7">
        <v>64</v>
      </c>
      <c r="L988" s="56">
        <f>IFERROR(VLOOKUP(B988,Absen!$A$1:$C$501,2,FALSE),"No")</f>
        <v>44814</v>
      </c>
      <c r="M988" s="58">
        <f t="shared" si="56"/>
        <v>5.4</v>
      </c>
      <c r="N988" s="57">
        <f t="shared" si="57"/>
        <v>79.375000000000014</v>
      </c>
      <c r="O988" s="7" t="str">
        <f>VLOOKUP(N988,Helper!$B$30:$C$35,2,TRUE)</f>
        <v>B</v>
      </c>
      <c r="P988" s="56">
        <f>INDEX(Detail!$A$1:$A$1001,MATCH(B988,Detail!$G$1:$G$1001,0))</f>
        <v>37455</v>
      </c>
      <c r="Q988" s="33" t="str">
        <f>INDEX(Detail!$F$1:$F$1001,MATCH(Main!B988,Detail!$G$1:$G$1001,0))</f>
        <v>Ambon</v>
      </c>
      <c r="R988" s="7">
        <f>INDEX(Detail!$C$1:$C$1001,MATCH(B988,Detail!$G$1:$G$1001,0),1)</f>
        <v>172</v>
      </c>
      <c r="S988" s="7">
        <f>INDEX(Detail!$D$1:$D$1001,MATCH(B988,Detail!$G$1:$G$1001,0),1)</f>
        <v>77</v>
      </c>
      <c r="T988" s="7" t="str">
        <f>INDEX(Detail!$E$1:$E$1001,MATCH(Main!B988,Detail!$G$1:$G$1001,0))</f>
        <v xml:space="preserve">Gang Joyoboyo No. 8
</v>
      </c>
      <c r="U988" s="7" t="str">
        <f>INDEX(Detail!$B$1:$B$1001,MATCH(B988,Detail!$G$1:$G$1001,0),1)</f>
        <v>B+</v>
      </c>
      <c r="V988" s="7" t="str" cm="1">
        <f t="array" ref="V988">INDEX(Dosen!$B$3:$E$8,MATCH(Main!C988,Dosen!$A$3:$A$8,0),IF(AND(Main!A988&gt;=1,Main!A988&lt;=250),1,IF(AND(Main!A988&gt;=251,Main!A988&lt;=500),2,IF(AND(Main!A988&gt;=501,Main!A988&lt;=750),3,4))))</f>
        <v>Bu Dwi</v>
      </c>
      <c r="W988" s="7" t="str">
        <f>_xlfn.XLOOKUP(B988,Detail!$G$1:$G$1001,Detail!$B$1:$B$1001)</f>
        <v>B+</v>
      </c>
    </row>
    <row r="989" spans="1:23" ht="15.75" x14ac:dyDescent="0.25">
      <c r="A989" s="7">
        <v>937</v>
      </c>
      <c r="B989" s="33" t="str">
        <f t="shared" si="58"/>
        <v>F0937</v>
      </c>
      <c r="C989" s="7" t="s">
        <v>1011</v>
      </c>
      <c r="D989" s="33" t="str">
        <f>VLOOKUP(B989,Detail!$G$1:$H$1001,2,FALSE)</f>
        <v>Hasan Laksmiwati</v>
      </c>
      <c r="E989" s="7">
        <v>70</v>
      </c>
      <c r="F989" s="7">
        <v>46</v>
      </c>
      <c r="G989" s="57">
        <v>87</v>
      </c>
      <c r="H989" s="7">
        <v>72</v>
      </c>
      <c r="I989" s="7">
        <v>93</v>
      </c>
      <c r="J989" s="7">
        <v>61</v>
      </c>
      <c r="K989" s="7">
        <v>74</v>
      </c>
      <c r="L989" s="56" t="str">
        <f>IFERROR(VLOOKUP(B989,Absen!$A$1:$C$501,2,FALSE),"No")</f>
        <v>No</v>
      </c>
      <c r="M989" s="58">
        <f t="shared" si="56"/>
        <v>7.4</v>
      </c>
      <c r="N989" s="57">
        <f t="shared" si="57"/>
        <v>72.125000000000014</v>
      </c>
      <c r="O989" s="7" t="str">
        <f>VLOOKUP(N989,Helper!$B$30:$C$35,2,TRUE)</f>
        <v>B</v>
      </c>
      <c r="P989" s="56">
        <f>INDEX(Detail!$A$1:$A$1001,MATCH(B989,Detail!$G$1:$G$1001,0))</f>
        <v>38325</v>
      </c>
      <c r="Q989" s="33" t="str">
        <f>INDEX(Detail!$F$1:$F$1001,MATCH(Main!B989,Detail!$G$1:$G$1001,0))</f>
        <v>Pasuruan</v>
      </c>
      <c r="R989" s="7">
        <f>INDEX(Detail!$C$1:$C$1001,MATCH(B989,Detail!$G$1:$G$1001,0),1)</f>
        <v>169</v>
      </c>
      <c r="S989" s="7">
        <f>INDEX(Detail!$D$1:$D$1001,MATCH(B989,Detail!$G$1:$G$1001,0),1)</f>
        <v>53</v>
      </c>
      <c r="T989" s="7" t="str">
        <f>INDEX(Detail!$E$1:$E$1001,MATCH(Main!B989,Detail!$G$1:$G$1001,0))</f>
        <v>Jl. Tubagus Ismail No. 55</v>
      </c>
      <c r="U989" s="7" t="str">
        <f>INDEX(Detail!$B$1:$B$1001,MATCH(B989,Detail!$G$1:$G$1001,0),1)</f>
        <v>B-</v>
      </c>
      <c r="V989" s="7" t="str" cm="1">
        <f t="array" ref="V989">INDEX(Dosen!$B$3:$E$8,MATCH(Main!C989,Dosen!$A$3:$A$8,0),IF(AND(Main!A989&gt;=1,Main!A989&lt;=250),1,IF(AND(Main!A989&gt;=251,Main!A989&lt;=500),2,IF(AND(Main!A989&gt;=501,Main!A989&lt;=750),3,4))))</f>
        <v>Bu Dwi</v>
      </c>
      <c r="W989" s="7" t="str">
        <f>_xlfn.XLOOKUP(B989,Detail!$G$1:$G$1001,Detail!$B$1:$B$1001)</f>
        <v>B-</v>
      </c>
    </row>
    <row r="990" spans="1:23" ht="15.75" x14ac:dyDescent="0.25">
      <c r="A990" s="7">
        <v>946</v>
      </c>
      <c r="B990" s="33" t="str">
        <f t="shared" si="58"/>
        <v>F0946</v>
      </c>
      <c r="C990" s="7" t="s">
        <v>1011</v>
      </c>
      <c r="D990" s="33" t="str">
        <f>VLOOKUP(B990,Detail!$G$1:$H$1001,2,FALSE)</f>
        <v>Gandewa Sihombing</v>
      </c>
      <c r="E990" s="7">
        <v>56</v>
      </c>
      <c r="F990" s="7">
        <v>47</v>
      </c>
      <c r="G990" s="57">
        <v>88</v>
      </c>
      <c r="H990" s="7">
        <v>70</v>
      </c>
      <c r="I990" s="7">
        <v>84</v>
      </c>
      <c r="J990" s="7">
        <v>75</v>
      </c>
      <c r="K990" s="7">
        <v>95</v>
      </c>
      <c r="L990" s="56" t="str">
        <f>IFERROR(VLOOKUP(B990,Absen!$A$1:$C$501,2,FALSE),"No")</f>
        <v>No</v>
      </c>
      <c r="M990" s="58">
        <f t="shared" si="56"/>
        <v>9.5</v>
      </c>
      <c r="N990" s="57">
        <f t="shared" si="57"/>
        <v>74.224999999999994</v>
      </c>
      <c r="O990" s="7" t="str">
        <f>VLOOKUP(N990,Helper!$B$30:$C$35,2,TRUE)</f>
        <v>B</v>
      </c>
      <c r="P990" s="56">
        <f>INDEX(Detail!$A$1:$A$1001,MATCH(B990,Detail!$G$1:$G$1001,0))</f>
        <v>37800</v>
      </c>
      <c r="Q990" s="33" t="str">
        <f>INDEX(Detail!$F$1:$F$1001,MATCH(Main!B990,Detail!$G$1:$G$1001,0))</f>
        <v>Batam</v>
      </c>
      <c r="R990" s="7">
        <f>INDEX(Detail!$C$1:$C$1001,MATCH(B990,Detail!$G$1:$G$1001,0),1)</f>
        <v>175</v>
      </c>
      <c r="S990" s="7">
        <f>INDEX(Detail!$D$1:$D$1001,MATCH(B990,Detail!$G$1:$G$1001,0),1)</f>
        <v>70</v>
      </c>
      <c r="T990" s="7" t="str">
        <f>INDEX(Detail!$E$1:$E$1001,MATCH(Main!B990,Detail!$G$1:$G$1001,0))</f>
        <v xml:space="preserve">Gg. Ahmad Yani No. 8
</v>
      </c>
      <c r="U990" s="7" t="str">
        <f>INDEX(Detail!$B$1:$B$1001,MATCH(B990,Detail!$G$1:$G$1001,0),1)</f>
        <v>B+</v>
      </c>
      <c r="V990" s="7" t="str" cm="1">
        <f t="array" ref="V990">INDEX(Dosen!$B$3:$E$8,MATCH(Main!C990,Dosen!$A$3:$A$8,0),IF(AND(Main!A990&gt;=1,Main!A990&lt;=250),1,IF(AND(Main!A990&gt;=251,Main!A990&lt;=500),2,IF(AND(Main!A990&gt;=501,Main!A990&lt;=750),3,4))))</f>
        <v>Bu Dwi</v>
      </c>
      <c r="W990" s="7" t="str">
        <f>_xlfn.XLOOKUP(B990,Detail!$G$1:$G$1001,Detail!$B$1:$B$1001)</f>
        <v>B+</v>
      </c>
    </row>
    <row r="991" spans="1:23" ht="15.75" x14ac:dyDescent="0.25">
      <c r="A991" s="7">
        <v>953</v>
      </c>
      <c r="B991" s="33" t="str">
        <f t="shared" si="58"/>
        <v>F0953</v>
      </c>
      <c r="C991" s="7" t="s">
        <v>1011</v>
      </c>
      <c r="D991" s="33" t="str">
        <f>VLOOKUP(B991,Detail!$G$1:$H$1001,2,FALSE)</f>
        <v>Sakti Prasetya</v>
      </c>
      <c r="E991" s="7">
        <v>52</v>
      </c>
      <c r="F991" s="7">
        <v>41</v>
      </c>
      <c r="G991" s="57">
        <v>57</v>
      </c>
      <c r="H991" s="7">
        <v>65</v>
      </c>
      <c r="I991" s="7">
        <v>85</v>
      </c>
      <c r="J991" s="7">
        <v>92</v>
      </c>
      <c r="K991" s="7">
        <v>97</v>
      </c>
      <c r="L991" s="56" t="str">
        <f>IFERROR(VLOOKUP(B991,Absen!$A$1:$C$501,2,FALSE),"No")</f>
        <v>No</v>
      </c>
      <c r="M991" s="58">
        <f t="shared" si="56"/>
        <v>9.7000000000000011</v>
      </c>
      <c r="N991" s="57">
        <f t="shared" si="57"/>
        <v>69.875</v>
      </c>
      <c r="O991" s="7" t="str">
        <f>VLOOKUP(N991,Helper!$B$30:$C$35,2,TRUE)</f>
        <v>C</v>
      </c>
      <c r="P991" s="56">
        <f>INDEX(Detail!$A$1:$A$1001,MATCH(B991,Detail!$G$1:$G$1001,0))</f>
        <v>38408</v>
      </c>
      <c r="Q991" s="33" t="str">
        <f>INDEX(Detail!$F$1:$F$1001,MATCH(Main!B991,Detail!$G$1:$G$1001,0))</f>
        <v>Tanjungbalai</v>
      </c>
      <c r="R991" s="7">
        <f>INDEX(Detail!$C$1:$C$1001,MATCH(B991,Detail!$G$1:$G$1001,0),1)</f>
        <v>157</v>
      </c>
      <c r="S991" s="7">
        <f>INDEX(Detail!$D$1:$D$1001,MATCH(B991,Detail!$G$1:$G$1001,0),1)</f>
        <v>65</v>
      </c>
      <c r="T991" s="7" t="str">
        <f>INDEX(Detail!$E$1:$E$1001,MATCH(Main!B991,Detail!$G$1:$G$1001,0))</f>
        <v>Jalan Asia Afrika No. 36</v>
      </c>
      <c r="U991" s="7" t="str">
        <f>INDEX(Detail!$B$1:$B$1001,MATCH(B991,Detail!$G$1:$G$1001,0),1)</f>
        <v>O+</v>
      </c>
      <c r="V991" s="7" t="str" cm="1">
        <f t="array" ref="V991">INDEX(Dosen!$B$3:$E$8,MATCH(Main!C991,Dosen!$A$3:$A$8,0),IF(AND(Main!A991&gt;=1,Main!A991&lt;=250),1,IF(AND(Main!A991&gt;=251,Main!A991&lt;=500),2,IF(AND(Main!A991&gt;=501,Main!A991&lt;=750),3,4))))</f>
        <v>Bu Dwi</v>
      </c>
      <c r="W991" s="7" t="str">
        <f>_xlfn.XLOOKUP(B991,Detail!$G$1:$G$1001,Detail!$B$1:$B$1001)</f>
        <v>O+</v>
      </c>
    </row>
    <row r="992" spans="1:23" ht="15.75" x14ac:dyDescent="0.25">
      <c r="A992" s="7">
        <v>957</v>
      </c>
      <c r="B992" s="33" t="str">
        <f t="shared" si="58"/>
        <v>F0957</v>
      </c>
      <c r="C992" s="7" t="s">
        <v>1011</v>
      </c>
      <c r="D992" s="33" t="str">
        <f>VLOOKUP(B992,Detail!$G$1:$H$1001,2,FALSE)</f>
        <v>Taufan Widiastuti</v>
      </c>
      <c r="E992" s="7">
        <v>86</v>
      </c>
      <c r="F992" s="7">
        <v>61</v>
      </c>
      <c r="G992" s="57">
        <v>36</v>
      </c>
      <c r="H992" s="7">
        <v>53</v>
      </c>
      <c r="I992" s="7">
        <v>58</v>
      </c>
      <c r="J992" s="7">
        <v>53</v>
      </c>
      <c r="K992" s="7">
        <v>93</v>
      </c>
      <c r="L992" s="56">
        <f>IFERROR(VLOOKUP(B992,Absen!$A$1:$C$501,2,FALSE),"No")</f>
        <v>44864</v>
      </c>
      <c r="M992" s="58">
        <f t="shared" si="56"/>
        <v>8.3000000000000007</v>
      </c>
      <c r="N992" s="57">
        <f t="shared" si="57"/>
        <v>58.350000000000009</v>
      </c>
      <c r="O992" s="7" t="str">
        <f>VLOOKUP(N992,Helper!$B$30:$C$35,2,TRUE)</f>
        <v>D</v>
      </c>
      <c r="P992" s="56">
        <f>INDEX(Detail!$A$1:$A$1001,MATCH(B992,Detail!$G$1:$G$1001,0))</f>
        <v>38176</v>
      </c>
      <c r="Q992" s="33" t="str">
        <f>INDEX(Detail!$F$1:$F$1001,MATCH(Main!B992,Detail!$G$1:$G$1001,0))</f>
        <v>Bontang</v>
      </c>
      <c r="R992" s="7">
        <f>INDEX(Detail!$C$1:$C$1001,MATCH(B992,Detail!$G$1:$G$1001,0),1)</f>
        <v>154</v>
      </c>
      <c r="S992" s="7">
        <f>INDEX(Detail!$D$1:$D$1001,MATCH(B992,Detail!$G$1:$G$1001,0),1)</f>
        <v>47</v>
      </c>
      <c r="T992" s="7" t="str">
        <f>INDEX(Detail!$E$1:$E$1001,MATCH(Main!B992,Detail!$G$1:$G$1001,0))</f>
        <v xml:space="preserve">Jalan Kutisari Selatan No. 3
</v>
      </c>
      <c r="U992" s="7" t="str">
        <f>INDEX(Detail!$B$1:$B$1001,MATCH(B992,Detail!$G$1:$G$1001,0),1)</f>
        <v>B-</v>
      </c>
      <c r="V992" s="7" t="str" cm="1">
        <f t="array" ref="V992">INDEX(Dosen!$B$3:$E$8,MATCH(Main!C992,Dosen!$A$3:$A$8,0),IF(AND(Main!A992&gt;=1,Main!A992&lt;=250),1,IF(AND(Main!A992&gt;=251,Main!A992&lt;=500),2,IF(AND(Main!A992&gt;=501,Main!A992&lt;=750),3,4))))</f>
        <v>Bu Dwi</v>
      </c>
      <c r="W992" s="7" t="str">
        <f>_xlfn.XLOOKUP(B992,Detail!$G$1:$G$1001,Detail!$B$1:$B$1001)</f>
        <v>B-</v>
      </c>
    </row>
    <row r="993" spans="1:23" ht="15.75" x14ac:dyDescent="0.25">
      <c r="A993" s="7">
        <v>958</v>
      </c>
      <c r="B993" s="33" t="str">
        <f t="shared" si="58"/>
        <v>F0958</v>
      </c>
      <c r="C993" s="7" t="s">
        <v>1011</v>
      </c>
      <c r="D993" s="33" t="str">
        <f>VLOOKUP(B993,Detail!$G$1:$H$1001,2,FALSE)</f>
        <v>Warsita Putra</v>
      </c>
      <c r="E993" s="7">
        <v>67</v>
      </c>
      <c r="F993" s="7">
        <v>58</v>
      </c>
      <c r="G993" s="57">
        <v>86</v>
      </c>
      <c r="H993" s="7">
        <v>71</v>
      </c>
      <c r="I993" s="7">
        <v>83</v>
      </c>
      <c r="J993" s="7">
        <v>95</v>
      </c>
      <c r="K993" s="7">
        <v>61</v>
      </c>
      <c r="L993" s="56">
        <f>IFERROR(VLOOKUP(B993,Absen!$A$1:$C$501,2,FALSE),"No")</f>
        <v>44839</v>
      </c>
      <c r="M993" s="58">
        <f t="shared" si="56"/>
        <v>5.1000000000000005</v>
      </c>
      <c r="N993" s="57">
        <f t="shared" si="57"/>
        <v>76.174999999999997</v>
      </c>
      <c r="O993" s="7" t="str">
        <f>VLOOKUP(N993,Helper!$B$30:$C$35,2,TRUE)</f>
        <v>B</v>
      </c>
      <c r="P993" s="56">
        <f>INDEX(Detail!$A$1:$A$1001,MATCH(B993,Detail!$G$1:$G$1001,0))</f>
        <v>37153</v>
      </c>
      <c r="Q993" s="33" t="str">
        <f>INDEX(Detail!$F$1:$F$1001,MATCH(Main!B993,Detail!$G$1:$G$1001,0))</f>
        <v>Sukabumi</v>
      </c>
      <c r="R993" s="7">
        <f>INDEX(Detail!$C$1:$C$1001,MATCH(B993,Detail!$G$1:$G$1001,0),1)</f>
        <v>180</v>
      </c>
      <c r="S993" s="7">
        <f>INDEX(Detail!$D$1:$D$1001,MATCH(B993,Detail!$G$1:$G$1001,0),1)</f>
        <v>73</v>
      </c>
      <c r="T993" s="7" t="str">
        <f>INDEX(Detail!$E$1:$E$1001,MATCH(Main!B993,Detail!$G$1:$G$1001,0))</f>
        <v>Jalan Jamika No. 37</v>
      </c>
      <c r="U993" s="7" t="str">
        <f>INDEX(Detail!$B$1:$B$1001,MATCH(B993,Detail!$G$1:$G$1001,0),1)</f>
        <v>B+</v>
      </c>
      <c r="V993" s="7" t="str" cm="1">
        <f t="array" ref="V993">INDEX(Dosen!$B$3:$E$8,MATCH(Main!C993,Dosen!$A$3:$A$8,0),IF(AND(Main!A993&gt;=1,Main!A993&lt;=250),1,IF(AND(Main!A993&gt;=251,Main!A993&lt;=500),2,IF(AND(Main!A993&gt;=501,Main!A993&lt;=750),3,4))))</f>
        <v>Bu Dwi</v>
      </c>
      <c r="W993" s="7" t="str">
        <f>_xlfn.XLOOKUP(B993,Detail!$G$1:$G$1001,Detail!$B$1:$B$1001)</f>
        <v>B+</v>
      </c>
    </row>
    <row r="994" spans="1:23" ht="15.75" x14ac:dyDescent="0.25">
      <c r="A994" s="7">
        <v>971</v>
      </c>
      <c r="B994" s="33" t="str">
        <f t="shared" si="58"/>
        <v>F0971</v>
      </c>
      <c r="C994" s="7" t="s">
        <v>1011</v>
      </c>
      <c r="D994" s="33" t="str">
        <f>VLOOKUP(B994,Detail!$G$1:$H$1001,2,FALSE)</f>
        <v>Dimas Rajasa</v>
      </c>
      <c r="E994" s="7">
        <v>94</v>
      </c>
      <c r="F994" s="7">
        <v>46</v>
      </c>
      <c r="G994" s="57">
        <v>93</v>
      </c>
      <c r="H994" s="7">
        <v>66</v>
      </c>
      <c r="I994" s="7">
        <v>57</v>
      </c>
      <c r="J994" s="7">
        <v>86</v>
      </c>
      <c r="K994" s="7">
        <v>69</v>
      </c>
      <c r="L994" s="56" t="str">
        <f>IFERROR(VLOOKUP(B994,Absen!$A$1:$C$501,2,FALSE),"No")</f>
        <v>No</v>
      </c>
      <c r="M994" s="58">
        <f t="shared" si="56"/>
        <v>6.9</v>
      </c>
      <c r="N994" s="57">
        <f t="shared" si="57"/>
        <v>75.575000000000003</v>
      </c>
      <c r="O994" s="7" t="str">
        <f>VLOOKUP(N994,Helper!$B$30:$C$35,2,TRUE)</f>
        <v>B</v>
      </c>
      <c r="P994" s="56">
        <f>INDEX(Detail!$A$1:$A$1001,MATCH(B994,Detail!$G$1:$G$1001,0))</f>
        <v>37802</v>
      </c>
      <c r="Q994" s="33" t="str">
        <f>INDEX(Detail!$F$1:$F$1001,MATCH(Main!B994,Detail!$G$1:$G$1001,0))</f>
        <v>Manado</v>
      </c>
      <c r="R994" s="7">
        <f>INDEX(Detail!$C$1:$C$1001,MATCH(B994,Detail!$G$1:$G$1001,0),1)</f>
        <v>154</v>
      </c>
      <c r="S994" s="7">
        <f>INDEX(Detail!$D$1:$D$1001,MATCH(B994,Detail!$G$1:$G$1001,0),1)</f>
        <v>60</v>
      </c>
      <c r="T994" s="7" t="str">
        <f>INDEX(Detail!$E$1:$E$1001,MATCH(Main!B994,Detail!$G$1:$G$1001,0))</f>
        <v>Jl. Peta No. 76</v>
      </c>
      <c r="U994" s="7" t="str">
        <f>INDEX(Detail!$B$1:$B$1001,MATCH(B994,Detail!$G$1:$G$1001,0),1)</f>
        <v>B-</v>
      </c>
      <c r="V994" s="7" t="str" cm="1">
        <f t="array" ref="V994">INDEX(Dosen!$B$3:$E$8,MATCH(Main!C994,Dosen!$A$3:$A$8,0),IF(AND(Main!A994&gt;=1,Main!A994&lt;=250),1,IF(AND(Main!A994&gt;=251,Main!A994&lt;=500),2,IF(AND(Main!A994&gt;=501,Main!A994&lt;=750),3,4))))</f>
        <v>Bu Dwi</v>
      </c>
      <c r="W994" s="7" t="str">
        <f>_xlfn.XLOOKUP(B994,Detail!$G$1:$G$1001,Detail!$B$1:$B$1001)</f>
        <v>B-</v>
      </c>
    </row>
    <row r="995" spans="1:23" ht="15.75" x14ac:dyDescent="0.25">
      <c r="A995" s="7">
        <v>974</v>
      </c>
      <c r="B995" s="33" t="str">
        <f t="shared" si="58"/>
        <v>F0974</v>
      </c>
      <c r="C995" s="7" t="s">
        <v>1011</v>
      </c>
      <c r="D995" s="33" t="str">
        <f>VLOOKUP(B995,Detail!$G$1:$H$1001,2,FALSE)</f>
        <v>Bakianto Marpaung</v>
      </c>
      <c r="E995" s="7">
        <v>70</v>
      </c>
      <c r="F995" s="7">
        <v>68</v>
      </c>
      <c r="G995" s="57">
        <v>42</v>
      </c>
      <c r="H995" s="7">
        <v>59</v>
      </c>
      <c r="I995" s="7">
        <v>93</v>
      </c>
      <c r="J995" s="7">
        <v>61</v>
      </c>
      <c r="K995" s="7">
        <v>60</v>
      </c>
      <c r="L995" s="56" t="str">
        <f>IFERROR(VLOOKUP(B995,Absen!$A$1:$C$501,2,FALSE),"No")</f>
        <v>No</v>
      </c>
      <c r="M995" s="58">
        <f t="shared" si="56"/>
        <v>6</v>
      </c>
      <c r="N995" s="57">
        <f t="shared" si="57"/>
        <v>62.85</v>
      </c>
      <c r="O995" s="7" t="str">
        <f>VLOOKUP(N995,Helper!$B$30:$C$35,2,TRUE)</f>
        <v>C</v>
      </c>
      <c r="P995" s="56">
        <f>INDEX(Detail!$A$1:$A$1001,MATCH(B995,Detail!$G$1:$G$1001,0))</f>
        <v>37195</v>
      </c>
      <c r="Q995" s="33" t="str">
        <f>INDEX(Detail!$F$1:$F$1001,MATCH(Main!B995,Detail!$G$1:$G$1001,0))</f>
        <v>Bontang</v>
      </c>
      <c r="R995" s="7">
        <f>INDEX(Detail!$C$1:$C$1001,MATCH(B995,Detail!$G$1:$G$1001,0),1)</f>
        <v>153</v>
      </c>
      <c r="S995" s="7">
        <f>INDEX(Detail!$D$1:$D$1001,MATCH(B995,Detail!$G$1:$G$1001,0),1)</f>
        <v>91</v>
      </c>
      <c r="T995" s="7" t="str">
        <f>INDEX(Detail!$E$1:$E$1001,MATCH(Main!B995,Detail!$G$1:$G$1001,0))</f>
        <v>Gang Kutai No. 21</v>
      </c>
      <c r="U995" s="7" t="str">
        <f>INDEX(Detail!$B$1:$B$1001,MATCH(B995,Detail!$G$1:$G$1001,0),1)</f>
        <v>AB-</v>
      </c>
      <c r="V995" s="7" t="str" cm="1">
        <f t="array" ref="V995">INDEX(Dosen!$B$3:$E$8,MATCH(Main!C995,Dosen!$A$3:$A$8,0),IF(AND(Main!A995&gt;=1,Main!A995&lt;=250),1,IF(AND(Main!A995&gt;=251,Main!A995&lt;=500),2,IF(AND(Main!A995&gt;=501,Main!A995&lt;=750),3,4))))</f>
        <v>Bu Dwi</v>
      </c>
      <c r="W995" s="7" t="str">
        <f>_xlfn.XLOOKUP(B995,Detail!$G$1:$G$1001,Detail!$B$1:$B$1001)</f>
        <v>AB-</v>
      </c>
    </row>
    <row r="996" spans="1:23" ht="15.75" x14ac:dyDescent="0.25">
      <c r="A996" s="7">
        <v>976</v>
      </c>
      <c r="B996" s="33" t="str">
        <f t="shared" si="58"/>
        <v>F0976</v>
      </c>
      <c r="C996" s="7" t="s">
        <v>1011</v>
      </c>
      <c r="D996" s="33" t="str">
        <f>VLOOKUP(B996,Detail!$G$1:$H$1001,2,FALSE)</f>
        <v>Jono Lazuardi</v>
      </c>
      <c r="E996" s="7">
        <v>92</v>
      </c>
      <c r="F996" s="7">
        <v>43</v>
      </c>
      <c r="G996" s="57">
        <v>34</v>
      </c>
      <c r="H996" s="7">
        <v>64</v>
      </c>
      <c r="I996" s="7">
        <v>92</v>
      </c>
      <c r="J996" s="7">
        <v>69</v>
      </c>
      <c r="K996" s="7">
        <v>83</v>
      </c>
      <c r="L996" s="56">
        <f>IFERROR(VLOOKUP(B996,Absen!$A$1:$C$501,2,FALSE),"No")</f>
        <v>44912</v>
      </c>
      <c r="M996" s="58">
        <f t="shared" si="56"/>
        <v>7.3000000000000007</v>
      </c>
      <c r="N996" s="57">
        <f t="shared" si="57"/>
        <v>64.274999999999991</v>
      </c>
      <c r="O996" s="7" t="str">
        <f>VLOOKUP(N996,Helper!$B$30:$C$35,2,TRUE)</f>
        <v>C</v>
      </c>
      <c r="P996" s="56">
        <f>INDEX(Detail!$A$1:$A$1001,MATCH(B996,Detail!$G$1:$G$1001,0))</f>
        <v>37545</v>
      </c>
      <c r="Q996" s="33" t="str">
        <f>INDEX(Detail!$F$1:$F$1001,MATCH(Main!B996,Detail!$G$1:$G$1001,0))</f>
        <v>Banda Aceh</v>
      </c>
      <c r="R996" s="7">
        <f>INDEX(Detail!$C$1:$C$1001,MATCH(B996,Detail!$G$1:$G$1001,0),1)</f>
        <v>152</v>
      </c>
      <c r="S996" s="7">
        <f>INDEX(Detail!$D$1:$D$1001,MATCH(B996,Detail!$G$1:$G$1001,0),1)</f>
        <v>55</v>
      </c>
      <c r="T996" s="7" t="str">
        <f>INDEX(Detail!$E$1:$E$1001,MATCH(Main!B996,Detail!$G$1:$G$1001,0))</f>
        <v>Jl. Cikapayang No. 81</v>
      </c>
      <c r="U996" s="7" t="str">
        <f>INDEX(Detail!$B$1:$B$1001,MATCH(B996,Detail!$G$1:$G$1001,0),1)</f>
        <v>AB+</v>
      </c>
      <c r="V996" s="7" t="str" cm="1">
        <f t="array" ref="V996">INDEX(Dosen!$B$3:$E$8,MATCH(Main!C996,Dosen!$A$3:$A$8,0),IF(AND(Main!A996&gt;=1,Main!A996&lt;=250),1,IF(AND(Main!A996&gt;=251,Main!A996&lt;=500),2,IF(AND(Main!A996&gt;=501,Main!A996&lt;=750),3,4))))</f>
        <v>Bu Dwi</v>
      </c>
      <c r="W996" s="7" t="str">
        <f>_xlfn.XLOOKUP(B996,Detail!$G$1:$G$1001,Detail!$B$1:$B$1001)</f>
        <v>AB+</v>
      </c>
    </row>
    <row r="997" spans="1:23" ht="15.75" x14ac:dyDescent="0.25">
      <c r="A997" s="7">
        <v>986</v>
      </c>
      <c r="B997" s="33" t="str">
        <f t="shared" si="58"/>
        <v>F0986</v>
      </c>
      <c r="C997" s="7" t="s">
        <v>1011</v>
      </c>
      <c r="D997" s="33" t="str">
        <f>VLOOKUP(B997,Detail!$G$1:$H$1001,2,FALSE)</f>
        <v>Hasta Usada</v>
      </c>
      <c r="E997" s="7">
        <v>82</v>
      </c>
      <c r="F997" s="7">
        <v>61</v>
      </c>
      <c r="G997" s="57">
        <v>54</v>
      </c>
      <c r="H997" s="7">
        <v>68</v>
      </c>
      <c r="I997" s="7">
        <v>73</v>
      </c>
      <c r="J997" s="7">
        <v>92</v>
      </c>
      <c r="K997" s="7">
        <v>86</v>
      </c>
      <c r="L997" s="56">
        <f>IFERROR(VLOOKUP(B997,Absen!$A$1:$C$501,2,FALSE),"No")</f>
        <v>44781</v>
      </c>
      <c r="M997" s="58">
        <f t="shared" si="56"/>
        <v>7.6000000000000005</v>
      </c>
      <c r="N997" s="57">
        <f t="shared" si="57"/>
        <v>72.3</v>
      </c>
      <c r="O997" s="7" t="str">
        <f>VLOOKUP(N997,Helper!$B$30:$C$35,2,TRUE)</f>
        <v>B</v>
      </c>
      <c r="P997" s="56">
        <f>INDEX(Detail!$A$1:$A$1001,MATCH(B997,Detail!$G$1:$G$1001,0))</f>
        <v>37222</v>
      </c>
      <c r="Q997" s="33" t="str">
        <f>INDEX(Detail!$F$1:$F$1001,MATCH(Main!B997,Detail!$G$1:$G$1001,0))</f>
        <v>Samarinda</v>
      </c>
      <c r="R997" s="7">
        <f>INDEX(Detail!$C$1:$C$1001,MATCH(B997,Detail!$G$1:$G$1001,0),1)</f>
        <v>153</v>
      </c>
      <c r="S997" s="7">
        <f>INDEX(Detail!$D$1:$D$1001,MATCH(B997,Detail!$G$1:$G$1001,0),1)</f>
        <v>58</v>
      </c>
      <c r="T997" s="7" t="str">
        <f>INDEX(Detail!$E$1:$E$1001,MATCH(Main!B997,Detail!$G$1:$G$1001,0))</f>
        <v xml:space="preserve">Jalan Astana Anyar No. 5
</v>
      </c>
      <c r="U997" s="7" t="str">
        <f>INDEX(Detail!$B$1:$B$1001,MATCH(B997,Detail!$G$1:$G$1001,0),1)</f>
        <v>AB+</v>
      </c>
      <c r="V997" s="7" t="str" cm="1">
        <f t="array" ref="V997">INDEX(Dosen!$B$3:$E$8,MATCH(Main!C997,Dosen!$A$3:$A$8,0),IF(AND(Main!A997&gt;=1,Main!A997&lt;=250),1,IF(AND(Main!A997&gt;=251,Main!A997&lt;=500),2,IF(AND(Main!A997&gt;=501,Main!A997&lt;=750),3,4))))</f>
        <v>Bu Dwi</v>
      </c>
      <c r="W997" s="7" t="str">
        <f>_xlfn.XLOOKUP(B997,Detail!$G$1:$G$1001,Detail!$B$1:$B$1001)</f>
        <v>AB+</v>
      </c>
    </row>
    <row r="998" spans="1:23" ht="15.75" x14ac:dyDescent="0.25">
      <c r="A998" s="7">
        <v>990</v>
      </c>
      <c r="B998" s="33" t="str">
        <f t="shared" ref="B998:B1000" si="59">CONCATENATE("F",TEXT(A998,"0000"))</f>
        <v>F0990</v>
      </c>
      <c r="C998" s="7" t="s">
        <v>1011</v>
      </c>
      <c r="D998" s="33" t="str">
        <f>VLOOKUP(B998,Detail!$G$1:$H$1001,2,FALSE)</f>
        <v>Karen Budiyanto</v>
      </c>
      <c r="E998" s="7">
        <v>75</v>
      </c>
      <c r="F998" s="7">
        <v>70</v>
      </c>
      <c r="G998" s="57">
        <v>62</v>
      </c>
      <c r="H998" s="7">
        <v>62</v>
      </c>
      <c r="I998" s="7">
        <v>57</v>
      </c>
      <c r="J998" s="7">
        <v>51</v>
      </c>
      <c r="K998" s="7">
        <v>72</v>
      </c>
      <c r="L998" s="56" t="str">
        <f>IFERROR(VLOOKUP(B998,Absen!$A$1:$C$501,2,FALSE),"No")</f>
        <v>No</v>
      </c>
      <c r="M998" s="58">
        <f t="shared" si="56"/>
        <v>7.2</v>
      </c>
      <c r="N998" s="57">
        <f t="shared" si="57"/>
        <v>62.800000000000004</v>
      </c>
      <c r="O998" s="7" t="str">
        <f>VLOOKUP(N998,Helper!$B$30:$C$35,2,TRUE)</f>
        <v>C</v>
      </c>
      <c r="P998" s="56">
        <f>INDEX(Detail!$A$1:$A$1001,MATCH(B998,Detail!$G$1:$G$1001,0))</f>
        <v>37467</v>
      </c>
      <c r="Q998" s="33" t="str">
        <f>INDEX(Detail!$F$1:$F$1001,MATCH(Main!B998,Detail!$G$1:$G$1001,0))</f>
        <v>Tangerang Selatan</v>
      </c>
      <c r="R998" s="7">
        <f>INDEX(Detail!$C$1:$C$1001,MATCH(B998,Detail!$G$1:$G$1001,0),1)</f>
        <v>180</v>
      </c>
      <c r="S998" s="7">
        <f>INDEX(Detail!$D$1:$D$1001,MATCH(B998,Detail!$G$1:$G$1001,0),1)</f>
        <v>90</v>
      </c>
      <c r="T998" s="7" t="str">
        <f>INDEX(Detail!$E$1:$E$1001,MATCH(Main!B998,Detail!$G$1:$G$1001,0))</f>
        <v>Gang Tubagus Ismail No. 27</v>
      </c>
      <c r="U998" s="7" t="str">
        <f>INDEX(Detail!$B$1:$B$1001,MATCH(B998,Detail!$G$1:$G$1001,0),1)</f>
        <v>B-</v>
      </c>
      <c r="V998" s="7" t="str" cm="1">
        <f t="array" ref="V998">INDEX(Dosen!$B$3:$E$8,MATCH(Main!C998,Dosen!$A$3:$A$8,0),IF(AND(Main!A998&gt;=1,Main!A998&lt;=250),1,IF(AND(Main!A998&gt;=251,Main!A998&lt;=500),2,IF(AND(Main!A998&gt;=501,Main!A998&lt;=750),3,4))))</f>
        <v>Bu Dwi</v>
      </c>
      <c r="W998" s="7" t="str">
        <f>_xlfn.XLOOKUP(B998,Detail!$G$1:$G$1001,Detail!$B$1:$B$1001)</f>
        <v>B-</v>
      </c>
    </row>
    <row r="999" spans="1:23" ht="15.75" x14ac:dyDescent="0.25">
      <c r="A999" s="7">
        <v>996</v>
      </c>
      <c r="B999" s="33" t="str">
        <f t="shared" si="59"/>
        <v>F0996</v>
      </c>
      <c r="C999" s="7" t="s">
        <v>1011</v>
      </c>
      <c r="D999" s="33" t="str">
        <f>VLOOKUP(B999,Detail!$G$1:$H$1001,2,FALSE)</f>
        <v>Kasim Nasyidah</v>
      </c>
      <c r="E999" s="7">
        <v>52</v>
      </c>
      <c r="F999" s="7">
        <v>54</v>
      </c>
      <c r="G999" s="57">
        <v>72</v>
      </c>
      <c r="H999" s="7">
        <v>58</v>
      </c>
      <c r="I999" s="7">
        <v>81</v>
      </c>
      <c r="J999" s="7">
        <v>63</v>
      </c>
      <c r="K999" s="7">
        <v>73</v>
      </c>
      <c r="L999" s="56" t="str">
        <f>IFERROR(VLOOKUP(B999,Absen!$A$1:$C$501,2,FALSE),"No")</f>
        <v>No</v>
      </c>
      <c r="M999" s="58">
        <f t="shared" si="56"/>
        <v>7.3000000000000007</v>
      </c>
      <c r="N999" s="57">
        <f t="shared" si="57"/>
        <v>64.924999999999997</v>
      </c>
      <c r="O999" s="7" t="str">
        <f>VLOOKUP(N999,Helper!$B$30:$C$35,2,TRUE)</f>
        <v>C</v>
      </c>
      <c r="P999" s="56">
        <f>INDEX(Detail!$A$1:$A$1001,MATCH(B999,Detail!$G$1:$G$1001,0))</f>
        <v>37589</v>
      </c>
      <c r="Q999" s="33" t="str">
        <f>INDEX(Detail!$F$1:$F$1001,MATCH(Main!B999,Detail!$G$1:$G$1001,0))</f>
        <v>Medan</v>
      </c>
      <c r="R999" s="7">
        <f>INDEX(Detail!$C$1:$C$1001,MATCH(B999,Detail!$G$1:$G$1001,0),1)</f>
        <v>150</v>
      </c>
      <c r="S999" s="7">
        <f>INDEX(Detail!$D$1:$D$1001,MATCH(B999,Detail!$G$1:$G$1001,0),1)</f>
        <v>67</v>
      </c>
      <c r="T999" s="7" t="str">
        <f>INDEX(Detail!$E$1:$E$1001,MATCH(Main!B999,Detail!$G$1:$G$1001,0))</f>
        <v>Gang HOS. Cokroaminoto No. 57</v>
      </c>
      <c r="U999" s="7" t="str">
        <f>INDEX(Detail!$B$1:$B$1001,MATCH(B999,Detail!$G$1:$G$1001,0),1)</f>
        <v>A+</v>
      </c>
      <c r="V999" s="7" t="str" cm="1">
        <f t="array" ref="V999">INDEX(Dosen!$B$3:$E$8,MATCH(Main!C999,Dosen!$A$3:$A$8,0),IF(AND(Main!A999&gt;=1,Main!A999&lt;=250),1,IF(AND(Main!A999&gt;=251,Main!A999&lt;=500),2,IF(AND(Main!A999&gt;=501,Main!A999&lt;=750),3,4))))</f>
        <v>Bu Dwi</v>
      </c>
      <c r="W999" s="7" t="str">
        <f>_xlfn.XLOOKUP(B999,Detail!$G$1:$G$1001,Detail!$B$1:$B$1001)</f>
        <v>A+</v>
      </c>
    </row>
    <row r="1000" spans="1:23" ht="15.75" x14ac:dyDescent="0.25">
      <c r="A1000" s="7">
        <v>999</v>
      </c>
      <c r="B1000" s="33" t="str">
        <f t="shared" si="59"/>
        <v>F0999</v>
      </c>
      <c r="C1000" s="7" t="s">
        <v>1011</v>
      </c>
      <c r="D1000" s="33" t="str">
        <f>VLOOKUP(B1000,Detail!$G$1:$H$1001,2,FALSE)</f>
        <v>Michelle Nuraini</v>
      </c>
      <c r="E1000" s="7">
        <v>63</v>
      </c>
      <c r="F1000" s="7">
        <v>46</v>
      </c>
      <c r="G1000" s="57">
        <v>89</v>
      </c>
      <c r="H1000" s="7">
        <v>69</v>
      </c>
      <c r="I1000" s="7">
        <v>86</v>
      </c>
      <c r="J1000" s="7">
        <v>50</v>
      </c>
      <c r="K1000" s="7">
        <v>71</v>
      </c>
      <c r="L1000" s="56">
        <f>IFERROR(VLOOKUP(B1000,Absen!$A$1:$C$501,2,FALSE),"No")</f>
        <v>44746</v>
      </c>
      <c r="M1000" s="58">
        <f t="shared" si="56"/>
        <v>6.1000000000000005</v>
      </c>
      <c r="N1000" s="57">
        <f t="shared" si="57"/>
        <v>66.899999999999991</v>
      </c>
      <c r="O1000" s="7" t="str">
        <f>VLOOKUP(N1000,Helper!$B$30:$C$35,2,TRUE)</f>
        <v>C</v>
      </c>
      <c r="P1000" s="56">
        <f>INDEX(Detail!$A$1:$A$1001,MATCH(B1000,Detail!$G$1:$G$1001,0))</f>
        <v>37574</v>
      </c>
      <c r="Q1000" s="33" t="str">
        <f>INDEX(Detail!$F$1:$F$1001,MATCH(Main!B1000,Detail!$G$1:$G$1001,0))</f>
        <v>Tidore Kepulauan</v>
      </c>
      <c r="R1000" s="7">
        <f>INDEX(Detail!$C$1:$C$1001,MATCH(B1000,Detail!$G$1:$G$1001,0),1)</f>
        <v>165</v>
      </c>
      <c r="S1000" s="7">
        <f>INDEX(Detail!$D$1:$D$1001,MATCH(B1000,Detail!$G$1:$G$1001,0),1)</f>
        <v>57</v>
      </c>
      <c r="T1000" s="7" t="str">
        <f>INDEX(Detail!$E$1:$E$1001,MATCH(Main!B1000,Detail!$G$1:$G$1001,0))</f>
        <v>Jl. Dipatiukur No. 23</v>
      </c>
      <c r="U1000" s="7" t="str">
        <f>INDEX(Detail!$B$1:$B$1001,MATCH(B1000,Detail!$G$1:$G$1001,0),1)</f>
        <v>AB+</v>
      </c>
      <c r="V1000" s="7" t="str" cm="1">
        <f t="array" ref="V1000">INDEX(Dosen!$B$3:$E$8,MATCH(Main!C1000,Dosen!$A$3:$A$8,0),IF(AND(Main!A1000&gt;=1,Main!A1000&lt;=250),1,IF(AND(Main!A1000&gt;=251,Main!A1000&lt;=500),2,IF(AND(Main!A1000&gt;=501,Main!A1000&lt;=750),3,4))))</f>
        <v>Bu Dwi</v>
      </c>
      <c r="W1000" s="7" t="str">
        <f>_xlfn.XLOOKUP(B1000,Detail!$G$1:$G$1001,Detail!$B$1:$B$1001)</f>
        <v>AB+</v>
      </c>
    </row>
    <row r="1001" spans="1:23" ht="15.75" x14ac:dyDescent="0.25">
      <c r="A1001" s="7">
        <v>1000</v>
      </c>
      <c r="B1001" s="33" t="str">
        <f>CONCATENATE("E",TEXT(A1001,"0000"))</f>
        <v>E1000</v>
      </c>
      <c r="C1001" s="7" t="s">
        <v>1010</v>
      </c>
      <c r="D1001" s="33" t="str">
        <f>VLOOKUP(B1001,Detail!G1:H1001,2,FALSE)</f>
        <v>Omar Sihombing</v>
      </c>
      <c r="E1001" s="7">
        <v>60</v>
      </c>
      <c r="F1001" s="7">
        <v>55</v>
      </c>
      <c r="G1001" s="57">
        <v>67</v>
      </c>
      <c r="H1001" s="7">
        <v>61</v>
      </c>
      <c r="I1001" s="7">
        <v>63</v>
      </c>
      <c r="J1001" s="7">
        <v>73</v>
      </c>
      <c r="K1001" s="7">
        <v>89</v>
      </c>
      <c r="L1001" s="56">
        <f>IFERROR(VLOOKUP(B1001,Absen!$A$1:$C$501,2,FALSE),"No")</f>
        <v>44867</v>
      </c>
      <c r="M1001" s="58">
        <f t="shared" si="56"/>
        <v>7.9</v>
      </c>
      <c r="N1001" s="57">
        <f t="shared" si="57"/>
        <v>65.775000000000006</v>
      </c>
      <c r="O1001" s="7" t="str">
        <f>VLOOKUP(N1001,Helper!$B$30:$C$35,2,TRUE)</f>
        <v>C</v>
      </c>
      <c r="P1001" s="56">
        <f>INDEX(Detail!$A$1:$A$1001,MATCH(B1001,Detail!$G$1:$G$1001,0))</f>
        <v>37615</v>
      </c>
      <c r="Q1001" s="33" t="str">
        <f>INDEX(Detail!$F$1:$F$1001,MATCH(Main!B1001,Detail!$G$1:$G$1001,0))</f>
        <v>Palopo</v>
      </c>
      <c r="R1001" s="7">
        <f>INDEX(Detail!$C$1:$C$1001,MATCH(B1001,Detail!$G$1:$G$1001,0),1)</f>
        <v>179</v>
      </c>
      <c r="S1001" s="7">
        <f>INDEX(Detail!$D$1:$D$1001,MATCH(B1001,Detail!$G$1:$G$1001,0),1)</f>
        <v>62</v>
      </c>
      <c r="T1001" s="7" t="str">
        <f>INDEX(Detail!$E$1:$E$1001,MATCH(Main!B1001,Detail!$G$1:$G$1001,0))</f>
        <v xml:space="preserve">Jalan Gedebage Selatan No. 2
</v>
      </c>
      <c r="U1001" s="7" t="str">
        <f>INDEX(Detail!$B$1:$B$1001,MATCH(B1001,Detail!$G$1:$G$1001,0),1)</f>
        <v>A+</v>
      </c>
      <c r="V1001" s="7" t="str" cm="1">
        <f t="array" ref="V1001">INDEX(Dosen!$B$3:$E$8,MATCH(Main!C1001,Dosen!$A$3:$A$8,0),IF(AND(Main!A1001&gt;=1,Main!A1001&lt;=250),1,IF(AND(Main!A1001&gt;=251,Main!A1001&lt;=500),2,IF(AND(Main!A1001&gt;=501,Main!A1001&lt;=750),3,4))))</f>
        <v>Bu Ratna</v>
      </c>
      <c r="W1001" s="7" t="str">
        <f>_xlfn.XLOOKUP(B1001,Detail!$G$1:$G$1001,Detail!$B$1:$B$1001)</f>
        <v>A+</v>
      </c>
    </row>
    <row r="1002" spans="1:23" ht="15.75" x14ac:dyDescent="0.25">
      <c r="P1002" s="26"/>
      <c r="Q1002" s="3"/>
    </row>
    <row r="1003" spans="1:23" ht="15.75" x14ac:dyDescent="0.25">
      <c r="P1003" s="26"/>
      <c r="Q1003" s="3"/>
    </row>
    <row r="1004" spans="1:23" ht="15.75" x14ac:dyDescent="0.25">
      <c r="P1004" s="26"/>
      <c r="Q1004" s="3"/>
    </row>
  </sheetData>
  <autoFilter ref="A1:X1001" xr:uid="{4B6B0C52-091B-43F1-BE2C-DDC04AD215DA}"/>
  <conditionalFormatting sqref="O2:O1048576">
    <cfRule type="expression" dxfId="7" priority="7">
      <formula>$O2="D"</formula>
    </cfRule>
  </conditionalFormatting>
  <conditionalFormatting sqref="L2">
    <cfRule type="expression" dxfId="6" priority="6">
      <formula>$L2="No"</formula>
    </cfRule>
  </conditionalFormatting>
  <conditionalFormatting sqref="L2:L1048576">
    <cfRule type="expression" dxfId="5" priority="5">
      <formula>$L2="no"</formula>
    </cfRule>
  </conditionalFormatting>
  <conditionalFormatting sqref="A2:U1001">
    <cfRule type="expression" dxfId="4" priority="1">
      <formula>AND($L2="No", $N2&gt;80)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E236E2B-D8DE-4201-8C5F-BA2763960EB8}">
          <x14:formula1>
            <xm:f>Helper!$A$14:$A$19</xm:f>
          </x14:formula1>
          <xm:sqref>C2:C1048576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D7080-5FD8-45BA-9E05-A66E09BEFB7B}">
  <dimension ref="A1:H1001"/>
  <sheetViews>
    <sheetView zoomScale="47" workbookViewId="0"/>
  </sheetViews>
  <sheetFormatPr defaultRowHeight="15" x14ac:dyDescent="0.25"/>
  <cols>
    <col min="1" max="1" width="13.7109375" bestFit="1" customWidth="1"/>
    <col min="2" max="2" width="16.140625" bestFit="1" customWidth="1"/>
    <col min="3" max="3" width="13.28515625" bestFit="1" customWidth="1"/>
    <col min="4" max="4" width="12.42578125" bestFit="1" customWidth="1"/>
    <col min="5" max="5" width="32.140625" bestFit="1" customWidth="1"/>
    <col min="6" max="6" width="32.5703125" bestFit="1" customWidth="1"/>
    <col min="7" max="7" width="7" bestFit="1" customWidth="1"/>
    <col min="8" max="8" width="24.7109375" bestFit="1" customWidth="1"/>
  </cols>
  <sheetData>
    <row r="1" spans="1:8" ht="15.75" x14ac:dyDescent="0.25">
      <c r="A1" s="2" t="s">
        <v>1008</v>
      </c>
      <c r="B1" s="3" t="s">
        <v>1056</v>
      </c>
      <c r="C1" s="3" t="s">
        <v>1057</v>
      </c>
      <c r="D1" s="3" t="s">
        <v>1058</v>
      </c>
      <c r="E1" s="3" t="s">
        <v>1059</v>
      </c>
      <c r="F1" s="3" t="s">
        <v>1060</v>
      </c>
      <c r="G1" s="3" t="s">
        <v>1061</v>
      </c>
      <c r="H1" s="3" t="s">
        <v>3160</v>
      </c>
    </row>
    <row r="2" spans="1:8" ht="15.75" x14ac:dyDescent="0.25">
      <c r="A2" s="4">
        <v>37749</v>
      </c>
      <c r="B2" s="3" t="s">
        <v>5</v>
      </c>
      <c r="C2" s="3">
        <v>180</v>
      </c>
      <c r="D2" s="3">
        <v>55</v>
      </c>
      <c r="E2" s="3" t="s">
        <v>1065</v>
      </c>
      <c r="F2" s="5" t="s">
        <v>1066</v>
      </c>
      <c r="G2" s="3" t="s">
        <v>1067</v>
      </c>
      <c r="H2" s="3" t="s">
        <v>19</v>
      </c>
    </row>
    <row r="3" spans="1:8" ht="15.75" x14ac:dyDescent="0.25">
      <c r="A3" s="4">
        <v>37973</v>
      </c>
      <c r="B3" s="3" t="s">
        <v>5</v>
      </c>
      <c r="C3" s="3">
        <v>162</v>
      </c>
      <c r="D3" s="3">
        <v>82</v>
      </c>
      <c r="E3" s="3" t="s">
        <v>1086</v>
      </c>
      <c r="F3" s="5" t="s">
        <v>1087</v>
      </c>
      <c r="G3" s="3" t="s">
        <v>1088</v>
      </c>
      <c r="H3" s="3" t="s">
        <v>26</v>
      </c>
    </row>
    <row r="4" spans="1:8" ht="15.75" x14ac:dyDescent="0.25">
      <c r="A4" s="4">
        <v>37684</v>
      </c>
      <c r="B4" s="3" t="s">
        <v>5</v>
      </c>
      <c r="C4" s="3">
        <v>150</v>
      </c>
      <c r="D4" s="3">
        <v>47</v>
      </c>
      <c r="E4" s="3" t="s">
        <v>1092</v>
      </c>
      <c r="F4" s="5" t="s">
        <v>1066</v>
      </c>
      <c r="G4" s="3" t="s">
        <v>1093</v>
      </c>
      <c r="H4" s="3" t="s">
        <v>28</v>
      </c>
    </row>
    <row r="5" spans="1:8" ht="15.75" x14ac:dyDescent="0.25">
      <c r="A5" s="4">
        <v>38005</v>
      </c>
      <c r="B5" s="3" t="s">
        <v>5</v>
      </c>
      <c r="C5" s="3">
        <v>158</v>
      </c>
      <c r="D5" s="3">
        <v>82</v>
      </c>
      <c r="E5" s="3" t="s">
        <v>1099</v>
      </c>
      <c r="F5" s="5" t="s">
        <v>1100</v>
      </c>
      <c r="G5" s="3" t="s">
        <v>1101</v>
      </c>
      <c r="H5" s="3" t="s">
        <v>30</v>
      </c>
    </row>
    <row r="6" spans="1:8" ht="15.75" x14ac:dyDescent="0.25">
      <c r="A6" s="4">
        <v>37596</v>
      </c>
      <c r="B6" s="3" t="s">
        <v>5</v>
      </c>
      <c r="C6" s="3">
        <v>176</v>
      </c>
      <c r="D6" s="3">
        <v>90</v>
      </c>
      <c r="E6" s="3" t="s">
        <v>1110</v>
      </c>
      <c r="F6" s="5" t="s">
        <v>1111</v>
      </c>
      <c r="G6" s="3" t="s">
        <v>1112</v>
      </c>
      <c r="H6" s="3" t="s">
        <v>34</v>
      </c>
    </row>
    <row r="7" spans="1:8" ht="15.75" x14ac:dyDescent="0.25">
      <c r="A7" s="4">
        <v>37902</v>
      </c>
      <c r="B7" s="3" t="s">
        <v>5</v>
      </c>
      <c r="C7" s="3">
        <v>165</v>
      </c>
      <c r="D7" s="3">
        <v>69</v>
      </c>
      <c r="E7" s="3" t="s">
        <v>1143</v>
      </c>
      <c r="F7" s="5" t="s">
        <v>1144</v>
      </c>
      <c r="G7" s="3" t="s">
        <v>1145</v>
      </c>
      <c r="H7" s="3" t="s">
        <v>46</v>
      </c>
    </row>
    <row r="8" spans="1:8" ht="15.75" x14ac:dyDescent="0.25">
      <c r="A8" s="4">
        <v>37557</v>
      </c>
      <c r="B8" s="3" t="s">
        <v>5</v>
      </c>
      <c r="C8" s="3">
        <v>152</v>
      </c>
      <c r="D8" s="3">
        <v>93</v>
      </c>
      <c r="E8" s="3" t="s">
        <v>1183</v>
      </c>
      <c r="F8" s="5" t="s">
        <v>1184</v>
      </c>
      <c r="G8" s="3" t="s">
        <v>1185</v>
      </c>
      <c r="H8" s="3" t="s">
        <v>61</v>
      </c>
    </row>
    <row r="9" spans="1:8" ht="15.75" x14ac:dyDescent="0.25">
      <c r="A9" s="4">
        <v>38197</v>
      </c>
      <c r="B9" s="3" t="s">
        <v>5</v>
      </c>
      <c r="C9" s="3">
        <v>176</v>
      </c>
      <c r="D9" s="3">
        <v>47</v>
      </c>
      <c r="E9" s="3" t="s">
        <v>1186</v>
      </c>
      <c r="F9" s="5" t="s">
        <v>1187</v>
      </c>
      <c r="G9" s="3" t="s">
        <v>1188</v>
      </c>
      <c r="H9" s="3" t="s">
        <v>62</v>
      </c>
    </row>
    <row r="10" spans="1:8" ht="15.75" x14ac:dyDescent="0.25">
      <c r="A10" s="4">
        <v>37016</v>
      </c>
      <c r="B10" s="3" t="s">
        <v>5</v>
      </c>
      <c r="C10" s="3">
        <v>176</v>
      </c>
      <c r="D10" s="3">
        <v>61</v>
      </c>
      <c r="E10" s="3" t="s">
        <v>1193</v>
      </c>
      <c r="F10" s="5" t="s">
        <v>1194</v>
      </c>
      <c r="G10" s="3" t="s">
        <v>1195</v>
      </c>
      <c r="H10" s="3" t="s">
        <v>65</v>
      </c>
    </row>
    <row r="11" spans="1:8" ht="15.75" x14ac:dyDescent="0.25">
      <c r="A11" s="4">
        <v>38014</v>
      </c>
      <c r="B11" s="3" t="s">
        <v>5</v>
      </c>
      <c r="C11" s="3">
        <v>154</v>
      </c>
      <c r="D11" s="3">
        <v>71</v>
      </c>
      <c r="E11" s="3" t="s">
        <v>1199</v>
      </c>
      <c r="F11" s="5" t="s">
        <v>1200</v>
      </c>
      <c r="G11" s="3" t="s">
        <v>1201</v>
      </c>
      <c r="H11" s="3" t="s">
        <v>67</v>
      </c>
    </row>
    <row r="12" spans="1:8" ht="15.75" x14ac:dyDescent="0.25">
      <c r="A12" s="4">
        <v>38283</v>
      </c>
      <c r="B12" s="3" t="s">
        <v>5</v>
      </c>
      <c r="C12" s="3">
        <v>180</v>
      </c>
      <c r="D12" s="3">
        <v>76</v>
      </c>
      <c r="E12" s="3" t="s">
        <v>1204</v>
      </c>
      <c r="F12" s="5" t="s">
        <v>1075</v>
      </c>
      <c r="G12" s="3" t="s">
        <v>1205</v>
      </c>
      <c r="H12" s="3" t="s">
        <v>69</v>
      </c>
    </row>
    <row r="13" spans="1:8" ht="15.75" x14ac:dyDescent="0.25">
      <c r="A13" s="4">
        <v>37102</v>
      </c>
      <c r="B13" s="3" t="s">
        <v>5</v>
      </c>
      <c r="C13" s="3">
        <v>176</v>
      </c>
      <c r="D13" s="3">
        <v>60</v>
      </c>
      <c r="E13" s="3" t="s">
        <v>1206</v>
      </c>
      <c r="F13" s="5" t="s">
        <v>1207</v>
      </c>
      <c r="G13" s="3" t="s">
        <v>1208</v>
      </c>
      <c r="H13" s="3" t="s">
        <v>70</v>
      </c>
    </row>
    <row r="14" spans="1:8" ht="15.75" x14ac:dyDescent="0.25">
      <c r="A14" s="4">
        <v>37388</v>
      </c>
      <c r="B14" s="3" t="s">
        <v>5</v>
      </c>
      <c r="C14" s="3">
        <v>154</v>
      </c>
      <c r="D14" s="3">
        <v>80</v>
      </c>
      <c r="E14" s="3" t="s">
        <v>1217</v>
      </c>
      <c r="F14" s="5" t="s">
        <v>1218</v>
      </c>
      <c r="G14" s="3" t="s">
        <v>1219</v>
      </c>
      <c r="H14" s="3" t="s">
        <v>74</v>
      </c>
    </row>
    <row r="15" spans="1:8" ht="15.75" x14ac:dyDescent="0.25">
      <c r="A15" s="4">
        <v>38292</v>
      </c>
      <c r="B15" s="3" t="s">
        <v>5</v>
      </c>
      <c r="C15" s="3">
        <v>163</v>
      </c>
      <c r="D15" s="3">
        <v>92</v>
      </c>
      <c r="E15" s="3" t="s">
        <v>1254</v>
      </c>
      <c r="F15" s="5" t="s">
        <v>1111</v>
      </c>
      <c r="G15" s="3" t="s">
        <v>1255</v>
      </c>
      <c r="H15" s="3" t="s">
        <v>88</v>
      </c>
    </row>
    <row r="16" spans="1:8" ht="15.75" x14ac:dyDescent="0.25">
      <c r="A16" s="4">
        <v>37771</v>
      </c>
      <c r="B16" s="3" t="s">
        <v>5</v>
      </c>
      <c r="C16" s="3">
        <v>168</v>
      </c>
      <c r="D16" s="3">
        <v>51</v>
      </c>
      <c r="E16" s="3" t="s">
        <v>1256</v>
      </c>
      <c r="F16" s="5" t="s">
        <v>1257</v>
      </c>
      <c r="G16" s="3" t="s">
        <v>1258</v>
      </c>
      <c r="H16" s="3" t="s">
        <v>89</v>
      </c>
    </row>
    <row r="17" spans="1:8" ht="15.75" x14ac:dyDescent="0.25">
      <c r="A17" s="4">
        <v>37209</v>
      </c>
      <c r="B17" s="3" t="s">
        <v>5</v>
      </c>
      <c r="C17" s="3">
        <v>150</v>
      </c>
      <c r="D17" s="3">
        <v>82</v>
      </c>
      <c r="E17" s="3" t="s">
        <v>1368</v>
      </c>
      <c r="F17" s="5" t="s">
        <v>1176</v>
      </c>
      <c r="G17" s="3" t="s">
        <v>1369</v>
      </c>
      <c r="H17" s="3" t="s">
        <v>135</v>
      </c>
    </row>
    <row r="18" spans="1:8" ht="15.75" x14ac:dyDescent="0.25">
      <c r="A18" s="4">
        <v>37064</v>
      </c>
      <c r="B18" s="3" t="s">
        <v>5</v>
      </c>
      <c r="C18" s="3">
        <v>153</v>
      </c>
      <c r="D18" s="3">
        <v>53</v>
      </c>
      <c r="E18" s="3" t="s">
        <v>1375</v>
      </c>
      <c r="F18" s="5" t="s">
        <v>1376</v>
      </c>
      <c r="G18" s="3" t="s">
        <v>1377</v>
      </c>
      <c r="H18" s="3" t="s">
        <v>138</v>
      </c>
    </row>
    <row r="19" spans="1:8" ht="15.75" x14ac:dyDescent="0.25">
      <c r="A19" s="4">
        <v>38374</v>
      </c>
      <c r="B19" s="3" t="s">
        <v>5</v>
      </c>
      <c r="C19" s="3">
        <v>165</v>
      </c>
      <c r="D19" s="3">
        <v>57</v>
      </c>
      <c r="E19" s="3" t="s">
        <v>1384</v>
      </c>
      <c r="F19" s="5" t="s">
        <v>1385</v>
      </c>
      <c r="G19" s="3" t="s">
        <v>1386</v>
      </c>
      <c r="H19" s="3" t="s">
        <v>142</v>
      </c>
    </row>
    <row r="20" spans="1:8" ht="15.75" x14ac:dyDescent="0.25">
      <c r="A20" s="4">
        <v>38073</v>
      </c>
      <c r="B20" s="3" t="s">
        <v>5</v>
      </c>
      <c r="C20" s="3">
        <v>152</v>
      </c>
      <c r="D20" s="3">
        <v>95</v>
      </c>
      <c r="E20" s="3" t="s">
        <v>1405</v>
      </c>
      <c r="F20" s="5" t="s">
        <v>1087</v>
      </c>
      <c r="G20" s="3" t="s">
        <v>1406</v>
      </c>
      <c r="H20" s="3" t="s">
        <v>151</v>
      </c>
    </row>
    <row r="21" spans="1:8" ht="15.75" x14ac:dyDescent="0.25">
      <c r="A21" s="4">
        <v>37077</v>
      </c>
      <c r="B21" s="3" t="s">
        <v>5</v>
      </c>
      <c r="C21" s="3">
        <v>159</v>
      </c>
      <c r="D21" s="3">
        <v>83</v>
      </c>
      <c r="E21" s="3" t="s">
        <v>1414</v>
      </c>
      <c r="F21" s="5" t="s">
        <v>1358</v>
      </c>
      <c r="G21" s="3" t="s">
        <v>1415</v>
      </c>
      <c r="H21" s="3" t="s">
        <v>155</v>
      </c>
    </row>
    <row r="22" spans="1:8" ht="15.75" x14ac:dyDescent="0.25">
      <c r="A22" s="4">
        <v>38077</v>
      </c>
      <c r="B22" s="3" t="s">
        <v>5</v>
      </c>
      <c r="C22" s="3">
        <v>154</v>
      </c>
      <c r="D22" s="3">
        <v>61</v>
      </c>
      <c r="E22" s="3" t="s">
        <v>1416</v>
      </c>
      <c r="F22" s="5" t="s">
        <v>1176</v>
      </c>
      <c r="G22" s="3" t="s">
        <v>1417</v>
      </c>
      <c r="H22" s="3" t="s">
        <v>156</v>
      </c>
    </row>
    <row r="23" spans="1:8" ht="15.75" x14ac:dyDescent="0.25">
      <c r="A23" s="4">
        <v>38415</v>
      </c>
      <c r="B23" s="3" t="s">
        <v>5</v>
      </c>
      <c r="C23" s="3">
        <v>164</v>
      </c>
      <c r="D23" s="3">
        <v>60</v>
      </c>
      <c r="E23" s="3" t="s">
        <v>1431</v>
      </c>
      <c r="F23" s="5" t="s">
        <v>1210</v>
      </c>
      <c r="G23" s="3" t="s">
        <v>1432</v>
      </c>
      <c r="H23" s="3" t="s">
        <v>163</v>
      </c>
    </row>
    <row r="24" spans="1:8" ht="15.75" x14ac:dyDescent="0.25">
      <c r="A24" s="4">
        <v>37982</v>
      </c>
      <c r="B24" s="3" t="s">
        <v>5</v>
      </c>
      <c r="C24" s="3">
        <v>167</v>
      </c>
      <c r="D24" s="3">
        <v>59</v>
      </c>
      <c r="E24" s="3" t="s">
        <v>1444</v>
      </c>
      <c r="F24" s="5" t="s">
        <v>1147</v>
      </c>
      <c r="G24" s="3" t="s">
        <v>1445</v>
      </c>
      <c r="H24" s="3" t="s">
        <v>169</v>
      </c>
    </row>
    <row r="25" spans="1:8" ht="15.75" x14ac:dyDescent="0.25">
      <c r="A25" s="4">
        <v>38437</v>
      </c>
      <c r="B25" s="3" t="s">
        <v>5</v>
      </c>
      <c r="C25" s="3">
        <v>156</v>
      </c>
      <c r="D25" s="3">
        <v>48</v>
      </c>
      <c r="E25" s="3" t="s">
        <v>1459</v>
      </c>
      <c r="F25" s="5" t="s">
        <v>1150</v>
      </c>
      <c r="G25" s="3" t="s">
        <v>1460</v>
      </c>
      <c r="H25" s="3" t="s">
        <v>176</v>
      </c>
    </row>
    <row r="26" spans="1:8" ht="15.75" x14ac:dyDescent="0.25">
      <c r="A26" s="4">
        <v>37933</v>
      </c>
      <c r="B26" s="3" t="s">
        <v>5</v>
      </c>
      <c r="C26" s="3">
        <v>166</v>
      </c>
      <c r="D26" s="3">
        <v>85</v>
      </c>
      <c r="E26" s="3" t="s">
        <v>1463</v>
      </c>
      <c r="F26" s="5" t="s">
        <v>1197</v>
      </c>
      <c r="G26" s="3" t="s">
        <v>1464</v>
      </c>
      <c r="H26" s="3" t="s">
        <v>178</v>
      </c>
    </row>
    <row r="27" spans="1:8" ht="15.75" x14ac:dyDescent="0.25">
      <c r="A27" s="4">
        <v>38426</v>
      </c>
      <c r="B27" s="3" t="s">
        <v>5</v>
      </c>
      <c r="C27" s="3">
        <v>154</v>
      </c>
      <c r="D27" s="3">
        <v>66</v>
      </c>
      <c r="E27" s="3" t="s">
        <v>1477</v>
      </c>
      <c r="F27" s="5" t="s">
        <v>1100</v>
      </c>
      <c r="G27" s="3" t="s">
        <v>1478</v>
      </c>
      <c r="H27" s="3" t="s">
        <v>185</v>
      </c>
    </row>
    <row r="28" spans="1:8" ht="15.75" x14ac:dyDescent="0.25">
      <c r="A28" s="4">
        <v>37385</v>
      </c>
      <c r="B28" s="3" t="s">
        <v>5</v>
      </c>
      <c r="C28" s="3">
        <v>156</v>
      </c>
      <c r="D28" s="3">
        <v>85</v>
      </c>
      <c r="E28" s="3" t="s">
        <v>1492</v>
      </c>
      <c r="F28" s="5" t="s">
        <v>1105</v>
      </c>
      <c r="G28" s="3" t="s">
        <v>1493</v>
      </c>
      <c r="H28" s="3" t="s">
        <v>191</v>
      </c>
    </row>
    <row r="29" spans="1:8" ht="15.75" x14ac:dyDescent="0.25">
      <c r="A29" s="4">
        <v>37384</v>
      </c>
      <c r="B29" s="3" t="s">
        <v>5</v>
      </c>
      <c r="C29" s="3">
        <v>165</v>
      </c>
      <c r="D29" s="3">
        <v>53</v>
      </c>
      <c r="E29" s="3" t="s">
        <v>1510</v>
      </c>
      <c r="F29" s="5" t="s">
        <v>1234</v>
      </c>
      <c r="G29" s="3" t="s">
        <v>1511</v>
      </c>
      <c r="H29" s="3" t="s">
        <v>200</v>
      </c>
    </row>
    <row r="30" spans="1:8" ht="15.75" x14ac:dyDescent="0.25">
      <c r="A30" s="4">
        <v>37860</v>
      </c>
      <c r="B30" s="3" t="s">
        <v>5</v>
      </c>
      <c r="C30" s="3">
        <v>168</v>
      </c>
      <c r="D30" s="3">
        <v>67</v>
      </c>
      <c r="E30" s="3" t="s">
        <v>1514</v>
      </c>
      <c r="F30" s="5" t="s">
        <v>1252</v>
      </c>
      <c r="G30" s="3" t="s">
        <v>1515</v>
      </c>
      <c r="H30" s="3" t="s">
        <v>202</v>
      </c>
    </row>
    <row r="31" spans="1:8" ht="15.75" x14ac:dyDescent="0.25">
      <c r="A31" s="4">
        <v>37142</v>
      </c>
      <c r="B31" s="3" t="s">
        <v>5</v>
      </c>
      <c r="C31" s="3">
        <v>177</v>
      </c>
      <c r="D31" s="3">
        <v>80</v>
      </c>
      <c r="E31" s="3" t="s">
        <v>1520</v>
      </c>
      <c r="F31" s="5" t="s">
        <v>1260</v>
      </c>
      <c r="G31" s="3" t="s">
        <v>1521</v>
      </c>
      <c r="H31" s="3" t="s">
        <v>205</v>
      </c>
    </row>
    <row r="32" spans="1:8" ht="15.75" x14ac:dyDescent="0.25">
      <c r="A32" s="4">
        <v>38444</v>
      </c>
      <c r="B32" s="3" t="s">
        <v>5</v>
      </c>
      <c r="C32" s="3">
        <v>180</v>
      </c>
      <c r="D32" s="3">
        <v>86</v>
      </c>
      <c r="E32" s="3" t="s">
        <v>1598</v>
      </c>
      <c r="F32" s="5" t="s">
        <v>1078</v>
      </c>
      <c r="G32" s="3" t="s">
        <v>1599</v>
      </c>
      <c r="H32" s="3" t="s">
        <v>241</v>
      </c>
    </row>
    <row r="33" spans="1:8" ht="15.75" x14ac:dyDescent="0.25">
      <c r="A33" s="4">
        <v>37469</v>
      </c>
      <c r="B33" s="3" t="s">
        <v>5</v>
      </c>
      <c r="C33" s="3">
        <v>165</v>
      </c>
      <c r="D33" s="3">
        <v>71</v>
      </c>
      <c r="E33" s="3" t="s">
        <v>1600</v>
      </c>
      <c r="F33" s="5" t="s">
        <v>1105</v>
      </c>
      <c r="G33" s="3" t="s">
        <v>1601</v>
      </c>
      <c r="H33" s="3" t="s">
        <v>242</v>
      </c>
    </row>
    <row r="34" spans="1:8" ht="15.75" x14ac:dyDescent="0.25">
      <c r="A34" s="4">
        <v>37342</v>
      </c>
      <c r="B34" s="3" t="s">
        <v>5</v>
      </c>
      <c r="C34" s="3">
        <v>162</v>
      </c>
      <c r="D34" s="3">
        <v>94</v>
      </c>
      <c r="E34" s="3" t="s">
        <v>1614</v>
      </c>
      <c r="F34" s="5" t="s">
        <v>1176</v>
      </c>
      <c r="G34" s="3" t="s">
        <v>1615</v>
      </c>
      <c r="H34" s="3" t="s">
        <v>249</v>
      </c>
    </row>
    <row r="35" spans="1:8" ht="15.75" x14ac:dyDescent="0.25">
      <c r="A35" s="4">
        <v>38226</v>
      </c>
      <c r="B35" s="3" t="s">
        <v>5</v>
      </c>
      <c r="C35" s="3">
        <v>158</v>
      </c>
      <c r="D35" s="3">
        <v>84</v>
      </c>
      <c r="E35" s="3" t="s">
        <v>1634</v>
      </c>
      <c r="F35" s="5" t="s">
        <v>1072</v>
      </c>
      <c r="G35" s="3" t="s">
        <v>1635</v>
      </c>
      <c r="H35" s="3" t="s">
        <v>259</v>
      </c>
    </row>
    <row r="36" spans="1:8" ht="15.75" x14ac:dyDescent="0.25">
      <c r="A36" s="4">
        <v>37453</v>
      </c>
      <c r="B36" s="3" t="s">
        <v>5</v>
      </c>
      <c r="C36" s="3">
        <v>165</v>
      </c>
      <c r="D36" s="3">
        <v>64</v>
      </c>
      <c r="E36" s="3" t="s">
        <v>1646</v>
      </c>
      <c r="F36" s="5" t="s">
        <v>1066</v>
      </c>
      <c r="G36" s="3" t="s">
        <v>1647</v>
      </c>
      <c r="H36" s="3" t="s">
        <v>265</v>
      </c>
    </row>
    <row r="37" spans="1:8" ht="15.75" x14ac:dyDescent="0.25">
      <c r="A37" s="4">
        <v>38439</v>
      </c>
      <c r="B37" s="3" t="s">
        <v>5</v>
      </c>
      <c r="C37" s="3">
        <v>171</v>
      </c>
      <c r="D37" s="3">
        <v>85</v>
      </c>
      <c r="E37" s="3" t="s">
        <v>1652</v>
      </c>
      <c r="F37" s="5" t="s">
        <v>1312</v>
      </c>
      <c r="G37" s="3" t="s">
        <v>1653</v>
      </c>
      <c r="H37" s="3" t="s">
        <v>268</v>
      </c>
    </row>
    <row r="38" spans="1:8" ht="15.75" x14ac:dyDescent="0.25">
      <c r="A38" s="4">
        <v>38042</v>
      </c>
      <c r="B38" s="3" t="s">
        <v>5</v>
      </c>
      <c r="C38" s="3">
        <v>174</v>
      </c>
      <c r="D38" s="3">
        <v>52</v>
      </c>
      <c r="E38" s="3" t="s">
        <v>1662</v>
      </c>
      <c r="F38" s="5" t="s">
        <v>1194</v>
      </c>
      <c r="G38" s="3" t="s">
        <v>1663</v>
      </c>
      <c r="H38" s="3" t="s">
        <v>273</v>
      </c>
    </row>
    <row r="39" spans="1:8" ht="15.75" x14ac:dyDescent="0.25">
      <c r="A39" s="4">
        <v>37810</v>
      </c>
      <c r="B39" s="3" t="s">
        <v>5</v>
      </c>
      <c r="C39" s="3">
        <v>162</v>
      </c>
      <c r="D39" s="3">
        <v>46</v>
      </c>
      <c r="E39" s="3" t="s">
        <v>1672</v>
      </c>
      <c r="F39" s="5" t="s">
        <v>1218</v>
      </c>
      <c r="G39" s="3" t="s">
        <v>1673</v>
      </c>
      <c r="H39" s="3" t="s">
        <v>278</v>
      </c>
    </row>
    <row r="40" spans="1:8" ht="15.75" x14ac:dyDescent="0.25">
      <c r="A40" s="4">
        <v>37592</v>
      </c>
      <c r="B40" s="3" t="s">
        <v>5</v>
      </c>
      <c r="C40" s="3">
        <v>161</v>
      </c>
      <c r="D40" s="3">
        <v>48</v>
      </c>
      <c r="E40" s="3" t="s">
        <v>1676</v>
      </c>
      <c r="F40" s="5" t="s">
        <v>1167</v>
      </c>
      <c r="G40" s="3" t="s">
        <v>1677</v>
      </c>
      <c r="H40" s="3" t="s">
        <v>280</v>
      </c>
    </row>
    <row r="41" spans="1:8" ht="15.75" x14ac:dyDescent="0.25">
      <c r="A41" s="4">
        <v>38246</v>
      </c>
      <c r="B41" s="3" t="s">
        <v>5</v>
      </c>
      <c r="C41" s="3">
        <v>179</v>
      </c>
      <c r="D41" s="3">
        <v>81</v>
      </c>
      <c r="E41" s="3" t="s">
        <v>1719</v>
      </c>
      <c r="F41" s="5" t="s">
        <v>1312</v>
      </c>
      <c r="G41" s="3" t="s">
        <v>1720</v>
      </c>
      <c r="H41" s="3" t="s">
        <v>300</v>
      </c>
    </row>
    <row r="42" spans="1:8" ht="15.75" x14ac:dyDescent="0.25">
      <c r="A42" s="4">
        <v>37444</v>
      </c>
      <c r="B42" s="3" t="s">
        <v>5</v>
      </c>
      <c r="C42" s="3">
        <v>171</v>
      </c>
      <c r="D42" s="3">
        <v>49</v>
      </c>
      <c r="E42" s="3" t="s">
        <v>1741</v>
      </c>
      <c r="F42" s="5" t="s">
        <v>1401</v>
      </c>
      <c r="G42" s="3" t="s">
        <v>1742</v>
      </c>
      <c r="H42" s="3" t="s">
        <v>311</v>
      </c>
    </row>
    <row r="43" spans="1:8" ht="15.75" x14ac:dyDescent="0.25">
      <c r="A43" s="4">
        <v>38265</v>
      </c>
      <c r="B43" s="3" t="s">
        <v>5</v>
      </c>
      <c r="C43" s="3">
        <v>164</v>
      </c>
      <c r="D43" s="3">
        <v>65</v>
      </c>
      <c r="E43" s="3" t="s">
        <v>1747</v>
      </c>
      <c r="F43" s="5" t="s">
        <v>1284</v>
      </c>
      <c r="G43" s="3" t="s">
        <v>1748</v>
      </c>
      <c r="H43" s="3" t="s">
        <v>314</v>
      </c>
    </row>
    <row r="44" spans="1:8" ht="15.75" x14ac:dyDescent="0.25">
      <c r="A44" s="4">
        <v>37095</v>
      </c>
      <c r="B44" s="3" t="s">
        <v>5</v>
      </c>
      <c r="C44" s="3">
        <v>179</v>
      </c>
      <c r="D44" s="3">
        <v>76</v>
      </c>
      <c r="E44" s="3" t="s">
        <v>1782</v>
      </c>
      <c r="F44" s="5" t="s">
        <v>1210</v>
      </c>
      <c r="G44" s="3" t="s">
        <v>1783</v>
      </c>
      <c r="H44" s="3" t="s">
        <v>330</v>
      </c>
    </row>
    <row r="45" spans="1:8" ht="15.75" x14ac:dyDescent="0.25">
      <c r="A45" s="4">
        <v>37879</v>
      </c>
      <c r="B45" s="3" t="s">
        <v>5</v>
      </c>
      <c r="C45" s="3">
        <v>180</v>
      </c>
      <c r="D45" s="3">
        <v>74</v>
      </c>
      <c r="E45" s="3" t="s">
        <v>1864</v>
      </c>
      <c r="F45" s="5" t="s">
        <v>1210</v>
      </c>
      <c r="G45" s="3" t="s">
        <v>1865</v>
      </c>
      <c r="H45" s="3" t="s">
        <v>368</v>
      </c>
    </row>
    <row r="46" spans="1:8" ht="15.75" x14ac:dyDescent="0.25">
      <c r="A46" s="4">
        <v>37255</v>
      </c>
      <c r="B46" s="3" t="s">
        <v>5</v>
      </c>
      <c r="C46" s="3">
        <v>177</v>
      </c>
      <c r="D46" s="3">
        <v>67</v>
      </c>
      <c r="E46" s="3" t="s">
        <v>1880</v>
      </c>
      <c r="F46" s="5" t="s">
        <v>1574</v>
      </c>
      <c r="G46" s="3" t="s">
        <v>1881</v>
      </c>
      <c r="H46" s="3" t="s">
        <v>376</v>
      </c>
    </row>
    <row r="47" spans="1:8" ht="15.75" x14ac:dyDescent="0.25">
      <c r="A47" s="4">
        <v>37963</v>
      </c>
      <c r="B47" s="3" t="s">
        <v>5</v>
      </c>
      <c r="C47" s="3">
        <v>175</v>
      </c>
      <c r="D47" s="3">
        <v>64</v>
      </c>
      <c r="E47" s="3" t="s">
        <v>1898</v>
      </c>
      <c r="F47" s="5" t="s">
        <v>1683</v>
      </c>
      <c r="G47" s="3" t="s">
        <v>1899</v>
      </c>
      <c r="H47" s="3" t="s">
        <v>385</v>
      </c>
    </row>
    <row r="48" spans="1:8" ht="15.75" x14ac:dyDescent="0.25">
      <c r="A48" s="4">
        <v>37754</v>
      </c>
      <c r="B48" s="3" t="s">
        <v>5</v>
      </c>
      <c r="C48" s="3">
        <v>163</v>
      </c>
      <c r="D48" s="3">
        <v>76</v>
      </c>
      <c r="E48" s="3" t="s">
        <v>1907</v>
      </c>
      <c r="F48" s="5" t="s">
        <v>1117</v>
      </c>
      <c r="G48" s="3" t="s">
        <v>1908</v>
      </c>
      <c r="H48" s="3" t="s">
        <v>390</v>
      </c>
    </row>
    <row r="49" spans="1:8" ht="15.75" x14ac:dyDescent="0.25">
      <c r="A49" s="4">
        <v>38044</v>
      </c>
      <c r="B49" s="3" t="s">
        <v>5</v>
      </c>
      <c r="C49" s="3">
        <v>179</v>
      </c>
      <c r="D49" s="3">
        <v>83</v>
      </c>
      <c r="E49" s="3" t="s">
        <v>1922</v>
      </c>
      <c r="F49" s="5" t="s">
        <v>1252</v>
      </c>
      <c r="G49" s="3" t="s">
        <v>1923</v>
      </c>
      <c r="H49" s="3" t="s">
        <v>397</v>
      </c>
    </row>
    <row r="50" spans="1:8" ht="15.75" x14ac:dyDescent="0.25">
      <c r="A50" s="4">
        <v>37336</v>
      </c>
      <c r="B50" s="3" t="s">
        <v>5</v>
      </c>
      <c r="C50" s="3">
        <v>168</v>
      </c>
      <c r="D50" s="3">
        <v>51</v>
      </c>
      <c r="E50" s="3" t="s">
        <v>1933</v>
      </c>
      <c r="F50" s="5" t="s">
        <v>1063</v>
      </c>
      <c r="G50" s="3" t="s">
        <v>1934</v>
      </c>
      <c r="H50" s="3" t="s">
        <v>402</v>
      </c>
    </row>
    <row r="51" spans="1:8" ht="15.75" x14ac:dyDescent="0.25">
      <c r="A51" s="4">
        <v>37082</v>
      </c>
      <c r="B51" s="3" t="s">
        <v>5</v>
      </c>
      <c r="C51" s="3">
        <v>168</v>
      </c>
      <c r="D51" s="3">
        <v>64</v>
      </c>
      <c r="E51" s="3" t="s">
        <v>1935</v>
      </c>
      <c r="F51" s="5" t="s">
        <v>1347</v>
      </c>
      <c r="G51" s="3" t="s">
        <v>1936</v>
      </c>
      <c r="H51" s="3" t="s">
        <v>403</v>
      </c>
    </row>
    <row r="52" spans="1:8" ht="15.75" x14ac:dyDescent="0.25">
      <c r="A52" s="4">
        <v>38419</v>
      </c>
      <c r="B52" s="3" t="s">
        <v>5</v>
      </c>
      <c r="C52" s="3">
        <v>158</v>
      </c>
      <c r="D52" s="3">
        <v>56</v>
      </c>
      <c r="E52" s="3" t="s">
        <v>1971</v>
      </c>
      <c r="F52" s="5" t="s">
        <v>1090</v>
      </c>
      <c r="G52" s="3" t="s">
        <v>1972</v>
      </c>
      <c r="H52" s="3" t="s">
        <v>420</v>
      </c>
    </row>
    <row r="53" spans="1:8" ht="15.75" x14ac:dyDescent="0.25">
      <c r="A53" s="4">
        <v>37677</v>
      </c>
      <c r="B53" s="3" t="s">
        <v>5</v>
      </c>
      <c r="C53" s="3">
        <v>155</v>
      </c>
      <c r="D53" s="3">
        <v>71</v>
      </c>
      <c r="E53" s="3" t="s">
        <v>1980</v>
      </c>
      <c r="F53" s="5" t="s">
        <v>1226</v>
      </c>
      <c r="G53" s="3" t="s">
        <v>1981</v>
      </c>
      <c r="H53" s="3" t="s">
        <v>424</v>
      </c>
    </row>
    <row r="54" spans="1:8" ht="15.75" x14ac:dyDescent="0.25">
      <c r="A54" s="4">
        <v>37252</v>
      </c>
      <c r="B54" s="3" t="s">
        <v>5</v>
      </c>
      <c r="C54" s="3">
        <v>157</v>
      </c>
      <c r="D54" s="3">
        <v>59</v>
      </c>
      <c r="E54" s="3" t="s">
        <v>1992</v>
      </c>
      <c r="F54" s="5" t="s">
        <v>1358</v>
      </c>
      <c r="G54" s="3" t="s">
        <v>1993</v>
      </c>
      <c r="H54" s="3" t="s">
        <v>430</v>
      </c>
    </row>
    <row r="55" spans="1:8" ht="15.75" x14ac:dyDescent="0.25">
      <c r="A55" s="4">
        <v>38092</v>
      </c>
      <c r="B55" s="3" t="s">
        <v>5</v>
      </c>
      <c r="C55" s="3">
        <v>171</v>
      </c>
      <c r="D55" s="3">
        <v>62</v>
      </c>
      <c r="E55" s="3" t="s">
        <v>1998</v>
      </c>
      <c r="F55" s="5" t="s">
        <v>1263</v>
      </c>
      <c r="G55" s="3" t="s">
        <v>1999</v>
      </c>
      <c r="H55" s="3" t="s">
        <v>433</v>
      </c>
    </row>
    <row r="56" spans="1:8" ht="15.75" x14ac:dyDescent="0.25">
      <c r="A56" s="4">
        <v>37972</v>
      </c>
      <c r="B56" s="3" t="s">
        <v>5</v>
      </c>
      <c r="C56" s="3">
        <v>175</v>
      </c>
      <c r="D56" s="3">
        <v>48</v>
      </c>
      <c r="E56" s="3" t="s">
        <v>2005</v>
      </c>
      <c r="F56" s="5" t="s">
        <v>1335</v>
      </c>
      <c r="G56" s="3" t="s">
        <v>2006</v>
      </c>
      <c r="H56" s="3" t="s">
        <v>437</v>
      </c>
    </row>
    <row r="57" spans="1:8" ht="15.75" x14ac:dyDescent="0.25">
      <c r="A57" s="4">
        <v>38285</v>
      </c>
      <c r="B57" s="3" t="s">
        <v>5</v>
      </c>
      <c r="C57" s="3">
        <v>155</v>
      </c>
      <c r="D57" s="3">
        <v>61</v>
      </c>
      <c r="E57" s="3" t="s">
        <v>2011</v>
      </c>
      <c r="F57" s="5" t="s">
        <v>1252</v>
      </c>
      <c r="G57" s="3" t="s">
        <v>2012</v>
      </c>
      <c r="H57" s="3" t="s">
        <v>439</v>
      </c>
    </row>
    <row r="58" spans="1:8" ht="15.75" x14ac:dyDescent="0.25">
      <c r="A58" s="4">
        <v>37082</v>
      </c>
      <c r="B58" s="3" t="s">
        <v>5</v>
      </c>
      <c r="C58" s="3">
        <v>154</v>
      </c>
      <c r="D58" s="3">
        <v>67</v>
      </c>
      <c r="E58" s="3" t="s">
        <v>2013</v>
      </c>
      <c r="F58" s="5" t="s">
        <v>1376</v>
      </c>
      <c r="G58" s="3" t="s">
        <v>2014</v>
      </c>
      <c r="H58" s="3" t="s">
        <v>440</v>
      </c>
    </row>
    <row r="59" spans="1:8" ht="15.75" x14ac:dyDescent="0.25">
      <c r="A59" s="4">
        <v>37749</v>
      </c>
      <c r="B59" s="3" t="s">
        <v>5</v>
      </c>
      <c r="C59" s="3">
        <v>161</v>
      </c>
      <c r="D59" s="3">
        <v>81</v>
      </c>
      <c r="E59" s="3" t="s">
        <v>2019</v>
      </c>
      <c r="F59" s="5" t="s">
        <v>1488</v>
      </c>
      <c r="G59" s="3" t="s">
        <v>2020</v>
      </c>
      <c r="H59" s="3" t="s">
        <v>443</v>
      </c>
    </row>
    <row r="60" spans="1:8" ht="15.75" x14ac:dyDescent="0.25">
      <c r="A60" s="4">
        <v>37519</v>
      </c>
      <c r="B60" s="3" t="s">
        <v>5</v>
      </c>
      <c r="C60" s="3">
        <v>159</v>
      </c>
      <c r="D60" s="3">
        <v>69</v>
      </c>
      <c r="E60" s="3" t="s">
        <v>2041</v>
      </c>
      <c r="F60" s="5" t="s">
        <v>1200</v>
      </c>
      <c r="G60" s="3" t="s">
        <v>2042</v>
      </c>
      <c r="H60" s="3" t="s">
        <v>454</v>
      </c>
    </row>
    <row r="61" spans="1:8" ht="15.75" x14ac:dyDescent="0.25">
      <c r="A61" s="4">
        <v>37227</v>
      </c>
      <c r="B61" s="3" t="s">
        <v>5</v>
      </c>
      <c r="C61" s="3">
        <v>177</v>
      </c>
      <c r="D61" s="3">
        <v>76</v>
      </c>
      <c r="E61" s="3" t="s">
        <v>2047</v>
      </c>
      <c r="F61" s="5" t="s">
        <v>1066</v>
      </c>
      <c r="G61" s="3" t="s">
        <v>2048</v>
      </c>
      <c r="H61" s="3" t="s">
        <v>457</v>
      </c>
    </row>
    <row r="62" spans="1:8" ht="15.75" x14ac:dyDescent="0.25">
      <c r="A62" s="4">
        <v>37113</v>
      </c>
      <c r="B62" s="3" t="s">
        <v>5</v>
      </c>
      <c r="C62" s="3">
        <v>174</v>
      </c>
      <c r="D62" s="3">
        <v>74</v>
      </c>
      <c r="E62" s="3" t="s">
        <v>2056</v>
      </c>
      <c r="F62" s="5" t="s">
        <v>1100</v>
      </c>
      <c r="G62" s="3" t="s">
        <v>2057</v>
      </c>
      <c r="H62" s="3" t="s">
        <v>462</v>
      </c>
    </row>
    <row r="63" spans="1:8" ht="15.75" x14ac:dyDescent="0.25">
      <c r="A63" s="4">
        <v>38314</v>
      </c>
      <c r="B63" s="3" t="s">
        <v>5</v>
      </c>
      <c r="C63" s="3">
        <v>167</v>
      </c>
      <c r="D63" s="3">
        <v>76</v>
      </c>
      <c r="E63" s="3" t="s">
        <v>2068</v>
      </c>
      <c r="F63" s="5" t="s">
        <v>1066</v>
      </c>
      <c r="G63" s="3" t="s">
        <v>2069</v>
      </c>
      <c r="H63" s="3" t="s">
        <v>468</v>
      </c>
    </row>
    <row r="64" spans="1:8" ht="15.75" x14ac:dyDescent="0.25">
      <c r="A64" s="4">
        <v>37611</v>
      </c>
      <c r="B64" s="3" t="s">
        <v>5</v>
      </c>
      <c r="C64" s="3">
        <v>166</v>
      </c>
      <c r="D64" s="3">
        <v>57</v>
      </c>
      <c r="E64" s="3" t="s">
        <v>2072</v>
      </c>
      <c r="F64" s="5" t="s">
        <v>1284</v>
      </c>
      <c r="G64" s="3" t="s">
        <v>2073</v>
      </c>
      <c r="H64" s="3" t="s">
        <v>470</v>
      </c>
    </row>
    <row r="65" spans="1:8" ht="15.75" x14ac:dyDescent="0.25">
      <c r="A65" s="4">
        <v>38466</v>
      </c>
      <c r="B65" s="3" t="s">
        <v>5</v>
      </c>
      <c r="C65" s="3">
        <v>159</v>
      </c>
      <c r="D65" s="3">
        <v>51</v>
      </c>
      <c r="E65" s="3" t="s">
        <v>2082</v>
      </c>
      <c r="F65" s="5" t="s">
        <v>1683</v>
      </c>
      <c r="G65" s="3" t="s">
        <v>2083</v>
      </c>
      <c r="H65" s="3" t="s">
        <v>475</v>
      </c>
    </row>
    <row r="66" spans="1:8" ht="15.75" x14ac:dyDescent="0.25">
      <c r="A66" s="4">
        <v>38285</v>
      </c>
      <c r="B66" s="3" t="s">
        <v>5</v>
      </c>
      <c r="C66" s="3">
        <v>165</v>
      </c>
      <c r="D66" s="3">
        <v>90</v>
      </c>
      <c r="E66" s="3" t="s">
        <v>2116</v>
      </c>
      <c r="F66" s="5" t="s">
        <v>1179</v>
      </c>
      <c r="G66" s="3" t="s">
        <v>2117</v>
      </c>
      <c r="H66" s="3" t="s">
        <v>492</v>
      </c>
    </row>
    <row r="67" spans="1:8" ht="15.75" x14ac:dyDescent="0.25">
      <c r="A67" s="4">
        <v>37337</v>
      </c>
      <c r="B67" s="3" t="s">
        <v>5</v>
      </c>
      <c r="C67" s="3">
        <v>178</v>
      </c>
      <c r="D67" s="3">
        <v>94</v>
      </c>
      <c r="E67" s="3" t="s">
        <v>2124</v>
      </c>
      <c r="F67" s="5" t="s">
        <v>1063</v>
      </c>
      <c r="G67" s="3" t="s">
        <v>2125</v>
      </c>
      <c r="H67" s="3" t="s">
        <v>496</v>
      </c>
    </row>
    <row r="68" spans="1:8" ht="15.75" x14ac:dyDescent="0.25">
      <c r="A68" s="4">
        <v>37295</v>
      </c>
      <c r="B68" s="3" t="s">
        <v>5</v>
      </c>
      <c r="C68" s="3">
        <v>155</v>
      </c>
      <c r="D68" s="3">
        <v>85</v>
      </c>
      <c r="E68" s="3" t="s">
        <v>2140</v>
      </c>
      <c r="F68" s="5" t="s">
        <v>1312</v>
      </c>
      <c r="G68" s="3" t="s">
        <v>2141</v>
      </c>
      <c r="H68" s="3" t="s">
        <v>504</v>
      </c>
    </row>
    <row r="69" spans="1:8" ht="15.75" x14ac:dyDescent="0.25">
      <c r="A69" s="4">
        <v>37109</v>
      </c>
      <c r="B69" s="3" t="s">
        <v>5</v>
      </c>
      <c r="C69" s="3">
        <v>178</v>
      </c>
      <c r="D69" s="3">
        <v>73</v>
      </c>
      <c r="E69" s="3" t="s">
        <v>2142</v>
      </c>
      <c r="F69" s="5" t="s">
        <v>1410</v>
      </c>
      <c r="G69" s="3" t="s">
        <v>2143</v>
      </c>
      <c r="H69" s="3" t="s">
        <v>505</v>
      </c>
    </row>
    <row r="70" spans="1:8" ht="15.75" x14ac:dyDescent="0.25">
      <c r="A70" s="4">
        <v>37106</v>
      </c>
      <c r="B70" s="3" t="s">
        <v>5</v>
      </c>
      <c r="C70" s="3">
        <v>156</v>
      </c>
      <c r="D70" s="3">
        <v>61</v>
      </c>
      <c r="E70" s="3" t="s">
        <v>2144</v>
      </c>
      <c r="F70" s="5" t="s">
        <v>1081</v>
      </c>
      <c r="G70" s="3" t="s">
        <v>2145</v>
      </c>
      <c r="H70" s="3" t="s">
        <v>506</v>
      </c>
    </row>
    <row r="71" spans="1:8" ht="15.75" x14ac:dyDescent="0.25">
      <c r="A71" s="4">
        <v>37408</v>
      </c>
      <c r="B71" s="3" t="s">
        <v>5</v>
      </c>
      <c r="C71" s="3">
        <v>156</v>
      </c>
      <c r="D71" s="3">
        <v>77</v>
      </c>
      <c r="E71" s="3" t="s">
        <v>2146</v>
      </c>
      <c r="F71" s="5" t="s">
        <v>1147</v>
      </c>
      <c r="G71" s="3" t="s">
        <v>2147</v>
      </c>
      <c r="H71" s="3" t="s">
        <v>507</v>
      </c>
    </row>
    <row r="72" spans="1:8" ht="15.75" x14ac:dyDescent="0.25">
      <c r="A72" s="4">
        <v>37361</v>
      </c>
      <c r="B72" s="3" t="s">
        <v>5</v>
      </c>
      <c r="C72" s="3">
        <v>162</v>
      </c>
      <c r="D72" s="3">
        <v>87</v>
      </c>
      <c r="E72" s="3" t="s">
        <v>2168</v>
      </c>
      <c r="F72" s="5" t="s">
        <v>1210</v>
      </c>
      <c r="G72" s="3" t="s">
        <v>2169</v>
      </c>
      <c r="H72" s="3" t="s">
        <v>518</v>
      </c>
    </row>
    <row r="73" spans="1:8" ht="15.75" x14ac:dyDescent="0.25">
      <c r="A73" s="4">
        <v>37608</v>
      </c>
      <c r="B73" s="3" t="s">
        <v>5</v>
      </c>
      <c r="C73" s="3">
        <v>176</v>
      </c>
      <c r="D73" s="3">
        <v>72</v>
      </c>
      <c r="E73" s="3" t="s">
        <v>2191</v>
      </c>
      <c r="F73" s="5" t="s">
        <v>1237</v>
      </c>
      <c r="G73" s="3" t="s">
        <v>2192</v>
      </c>
      <c r="H73" s="3" t="s">
        <v>530</v>
      </c>
    </row>
    <row r="74" spans="1:8" ht="15.75" x14ac:dyDescent="0.25">
      <c r="A74" s="4">
        <v>37415</v>
      </c>
      <c r="B74" s="3" t="s">
        <v>5</v>
      </c>
      <c r="C74" s="3">
        <v>156</v>
      </c>
      <c r="D74" s="3">
        <v>68</v>
      </c>
      <c r="E74" s="3" t="s">
        <v>2199</v>
      </c>
      <c r="F74" s="5" t="s">
        <v>1111</v>
      </c>
      <c r="G74" s="3" t="s">
        <v>2200</v>
      </c>
      <c r="H74" s="3" t="s">
        <v>534</v>
      </c>
    </row>
    <row r="75" spans="1:8" ht="15.75" x14ac:dyDescent="0.25">
      <c r="A75" s="4">
        <v>38353</v>
      </c>
      <c r="B75" s="3" t="s">
        <v>5</v>
      </c>
      <c r="C75" s="3">
        <v>176</v>
      </c>
      <c r="D75" s="3">
        <v>65</v>
      </c>
      <c r="E75" s="3" t="s">
        <v>2201</v>
      </c>
      <c r="F75" s="5" t="s">
        <v>1147</v>
      </c>
      <c r="G75" s="3" t="s">
        <v>2202</v>
      </c>
      <c r="H75" s="3" t="s">
        <v>535</v>
      </c>
    </row>
    <row r="76" spans="1:8" ht="15.75" x14ac:dyDescent="0.25">
      <c r="A76" s="4">
        <v>38187</v>
      </c>
      <c r="B76" s="3" t="s">
        <v>5</v>
      </c>
      <c r="C76" s="3">
        <v>177</v>
      </c>
      <c r="D76" s="3">
        <v>48</v>
      </c>
      <c r="E76" s="3" t="s">
        <v>2207</v>
      </c>
      <c r="F76" s="5" t="s">
        <v>1309</v>
      </c>
      <c r="G76" s="3" t="s">
        <v>2208</v>
      </c>
      <c r="H76" s="3" t="s">
        <v>538</v>
      </c>
    </row>
    <row r="77" spans="1:8" ht="15.75" x14ac:dyDescent="0.25">
      <c r="A77" s="4">
        <v>37514</v>
      </c>
      <c r="B77" s="3" t="s">
        <v>5</v>
      </c>
      <c r="C77" s="3">
        <v>157</v>
      </c>
      <c r="D77" s="3">
        <v>62</v>
      </c>
      <c r="E77" s="3" t="s">
        <v>2170</v>
      </c>
      <c r="F77" s="5" t="s">
        <v>1176</v>
      </c>
      <c r="G77" s="3" t="s">
        <v>2256</v>
      </c>
      <c r="H77" s="3" t="s">
        <v>562</v>
      </c>
    </row>
    <row r="78" spans="1:8" ht="15.75" x14ac:dyDescent="0.25">
      <c r="A78" s="4">
        <v>37316</v>
      </c>
      <c r="B78" s="3" t="s">
        <v>5</v>
      </c>
      <c r="C78" s="3">
        <v>170</v>
      </c>
      <c r="D78" s="3">
        <v>54</v>
      </c>
      <c r="E78" s="3" t="s">
        <v>2265</v>
      </c>
      <c r="F78" s="5" t="s">
        <v>1179</v>
      </c>
      <c r="G78" s="3" t="s">
        <v>2266</v>
      </c>
      <c r="H78" s="3" t="s">
        <v>567</v>
      </c>
    </row>
    <row r="79" spans="1:8" ht="15.75" x14ac:dyDescent="0.25">
      <c r="A79" s="4">
        <v>38420</v>
      </c>
      <c r="B79" s="3" t="s">
        <v>5</v>
      </c>
      <c r="C79" s="3">
        <v>180</v>
      </c>
      <c r="D79" s="3">
        <v>55</v>
      </c>
      <c r="E79" s="3" t="s">
        <v>2277</v>
      </c>
      <c r="F79" s="5" t="s">
        <v>1849</v>
      </c>
      <c r="G79" s="3" t="s">
        <v>2278</v>
      </c>
      <c r="H79" s="3" t="s">
        <v>573</v>
      </c>
    </row>
    <row r="80" spans="1:8" ht="15.75" x14ac:dyDescent="0.25">
      <c r="A80" s="4">
        <v>37449</v>
      </c>
      <c r="B80" s="3" t="s">
        <v>5</v>
      </c>
      <c r="C80" s="3">
        <v>173</v>
      </c>
      <c r="D80" s="3">
        <v>62</v>
      </c>
      <c r="E80" s="3" t="s">
        <v>2318</v>
      </c>
      <c r="F80" s="5" t="s">
        <v>1347</v>
      </c>
      <c r="G80" s="3" t="s">
        <v>2319</v>
      </c>
      <c r="H80" s="3" t="s">
        <v>593</v>
      </c>
    </row>
    <row r="81" spans="1:8" ht="15.75" x14ac:dyDescent="0.25">
      <c r="A81" s="4">
        <v>38198</v>
      </c>
      <c r="B81" s="3" t="s">
        <v>5</v>
      </c>
      <c r="C81" s="3">
        <v>172</v>
      </c>
      <c r="D81" s="3">
        <v>79</v>
      </c>
      <c r="E81" s="3" t="s">
        <v>2326</v>
      </c>
      <c r="F81" s="5" t="s">
        <v>1710</v>
      </c>
      <c r="G81" s="3" t="s">
        <v>2327</v>
      </c>
      <c r="H81" s="3" t="s">
        <v>597</v>
      </c>
    </row>
    <row r="82" spans="1:8" ht="15.75" x14ac:dyDescent="0.25">
      <c r="A82" s="4">
        <v>37034</v>
      </c>
      <c r="B82" s="3" t="s">
        <v>5</v>
      </c>
      <c r="C82" s="3">
        <v>156</v>
      </c>
      <c r="D82" s="3">
        <v>50</v>
      </c>
      <c r="E82" s="3" t="s">
        <v>2338</v>
      </c>
      <c r="F82" s="5" t="s">
        <v>1347</v>
      </c>
      <c r="G82" s="3" t="s">
        <v>2339</v>
      </c>
      <c r="H82" s="3" t="s">
        <v>603</v>
      </c>
    </row>
    <row r="83" spans="1:8" ht="15.75" x14ac:dyDescent="0.25">
      <c r="A83" s="4">
        <v>37967</v>
      </c>
      <c r="B83" s="3" t="s">
        <v>5</v>
      </c>
      <c r="C83" s="3">
        <v>159</v>
      </c>
      <c r="D83" s="3">
        <v>62</v>
      </c>
      <c r="E83" s="3" t="s">
        <v>2344</v>
      </c>
      <c r="F83" s="5" t="s">
        <v>1257</v>
      </c>
      <c r="G83" s="3" t="s">
        <v>2345</v>
      </c>
      <c r="H83" s="3" t="s">
        <v>605</v>
      </c>
    </row>
    <row r="84" spans="1:8" ht="15.75" x14ac:dyDescent="0.25">
      <c r="A84" s="4">
        <v>38337</v>
      </c>
      <c r="B84" s="3" t="s">
        <v>5</v>
      </c>
      <c r="C84" s="3">
        <v>173</v>
      </c>
      <c r="D84" s="3">
        <v>50</v>
      </c>
      <c r="E84" s="3" t="s">
        <v>2368</v>
      </c>
      <c r="F84" s="5" t="s">
        <v>1376</v>
      </c>
      <c r="G84" s="3" t="s">
        <v>2369</v>
      </c>
      <c r="H84" s="3" t="s">
        <v>617</v>
      </c>
    </row>
    <row r="85" spans="1:8" ht="15.75" x14ac:dyDescent="0.25">
      <c r="A85" s="4">
        <v>38185</v>
      </c>
      <c r="B85" s="3" t="s">
        <v>5</v>
      </c>
      <c r="C85" s="3">
        <v>171</v>
      </c>
      <c r="D85" s="3">
        <v>92</v>
      </c>
      <c r="E85" s="3" t="s">
        <v>2390</v>
      </c>
      <c r="F85" s="5" t="s">
        <v>1537</v>
      </c>
      <c r="G85" s="3" t="s">
        <v>2391</v>
      </c>
      <c r="H85" s="3" t="s">
        <v>628</v>
      </c>
    </row>
    <row r="86" spans="1:8" ht="15.75" x14ac:dyDescent="0.25">
      <c r="A86" s="4">
        <v>37419</v>
      </c>
      <c r="B86" s="3" t="s">
        <v>5</v>
      </c>
      <c r="C86" s="3">
        <v>161</v>
      </c>
      <c r="D86" s="3">
        <v>50</v>
      </c>
      <c r="E86" s="3" t="s">
        <v>2394</v>
      </c>
      <c r="F86" s="5" t="s">
        <v>1167</v>
      </c>
      <c r="G86" s="3" t="s">
        <v>2395</v>
      </c>
      <c r="H86" s="3" t="s">
        <v>630</v>
      </c>
    </row>
    <row r="87" spans="1:8" ht="15.75" x14ac:dyDescent="0.25">
      <c r="A87" s="4">
        <v>38078</v>
      </c>
      <c r="B87" s="3" t="s">
        <v>5</v>
      </c>
      <c r="C87" s="3">
        <v>161</v>
      </c>
      <c r="D87" s="3">
        <v>73</v>
      </c>
      <c r="E87" s="3" t="s">
        <v>2410</v>
      </c>
      <c r="F87" s="5" t="s">
        <v>1155</v>
      </c>
      <c r="G87" s="3" t="s">
        <v>2411</v>
      </c>
      <c r="H87" s="3" t="s">
        <v>638</v>
      </c>
    </row>
    <row r="88" spans="1:8" ht="15.75" x14ac:dyDescent="0.25">
      <c r="A88" s="4">
        <v>37772</v>
      </c>
      <c r="B88" s="3" t="s">
        <v>5</v>
      </c>
      <c r="C88" s="3">
        <v>164</v>
      </c>
      <c r="D88" s="3">
        <v>47</v>
      </c>
      <c r="E88" s="3" t="s">
        <v>2412</v>
      </c>
      <c r="F88" s="5" t="s">
        <v>1187</v>
      </c>
      <c r="G88" s="3" t="s">
        <v>2413</v>
      </c>
      <c r="H88" s="3" t="s">
        <v>639</v>
      </c>
    </row>
    <row r="89" spans="1:8" ht="15.75" x14ac:dyDescent="0.25">
      <c r="A89" s="4">
        <v>37441</v>
      </c>
      <c r="B89" s="3" t="s">
        <v>5</v>
      </c>
      <c r="C89" s="3">
        <v>155</v>
      </c>
      <c r="D89" s="3">
        <v>78</v>
      </c>
      <c r="E89" s="3" t="s">
        <v>2418</v>
      </c>
      <c r="F89" s="5" t="s">
        <v>1862</v>
      </c>
      <c r="G89" s="3" t="s">
        <v>2419</v>
      </c>
      <c r="H89" s="3" t="s">
        <v>642</v>
      </c>
    </row>
    <row r="90" spans="1:8" ht="15.75" x14ac:dyDescent="0.25">
      <c r="A90" s="4">
        <v>38109</v>
      </c>
      <c r="B90" s="3" t="s">
        <v>5</v>
      </c>
      <c r="C90" s="3">
        <v>167</v>
      </c>
      <c r="D90" s="3">
        <v>92</v>
      </c>
      <c r="E90" s="3" t="s">
        <v>2472</v>
      </c>
      <c r="F90" s="5" t="s">
        <v>1197</v>
      </c>
      <c r="G90" s="3" t="s">
        <v>2473</v>
      </c>
      <c r="H90" s="3" t="s">
        <v>669</v>
      </c>
    </row>
    <row r="91" spans="1:8" ht="15.75" x14ac:dyDescent="0.25">
      <c r="A91" s="4">
        <v>37387</v>
      </c>
      <c r="B91" s="3" t="s">
        <v>5</v>
      </c>
      <c r="C91" s="3">
        <v>166</v>
      </c>
      <c r="D91" s="3">
        <v>74</v>
      </c>
      <c r="E91" s="3" t="s">
        <v>2508</v>
      </c>
      <c r="F91" s="5" t="s">
        <v>1234</v>
      </c>
      <c r="G91" s="3" t="s">
        <v>2509</v>
      </c>
      <c r="H91" s="3" t="s">
        <v>687</v>
      </c>
    </row>
    <row r="92" spans="1:8" ht="15.75" x14ac:dyDescent="0.25">
      <c r="A92" s="4">
        <v>37710</v>
      </c>
      <c r="B92" s="3" t="s">
        <v>5</v>
      </c>
      <c r="C92" s="3">
        <v>180</v>
      </c>
      <c r="D92" s="3">
        <v>67</v>
      </c>
      <c r="E92" s="3" t="s">
        <v>2514</v>
      </c>
      <c r="F92" s="5" t="s">
        <v>1108</v>
      </c>
      <c r="G92" s="3" t="s">
        <v>2515</v>
      </c>
      <c r="H92" s="3" t="s">
        <v>690</v>
      </c>
    </row>
    <row r="93" spans="1:8" ht="15.75" x14ac:dyDescent="0.25">
      <c r="A93" s="4">
        <v>37838</v>
      </c>
      <c r="B93" s="3" t="s">
        <v>5</v>
      </c>
      <c r="C93" s="3">
        <v>173</v>
      </c>
      <c r="D93" s="3">
        <v>89</v>
      </c>
      <c r="E93" s="3" t="s">
        <v>2516</v>
      </c>
      <c r="F93" s="5" t="s">
        <v>1194</v>
      </c>
      <c r="G93" s="3" t="s">
        <v>2517</v>
      </c>
      <c r="H93" s="3" t="s">
        <v>691</v>
      </c>
    </row>
    <row r="94" spans="1:8" ht="15.75" x14ac:dyDescent="0.25">
      <c r="A94" s="4">
        <v>37202</v>
      </c>
      <c r="B94" s="3" t="s">
        <v>5</v>
      </c>
      <c r="C94" s="3">
        <v>155</v>
      </c>
      <c r="D94" s="3">
        <v>82</v>
      </c>
      <c r="E94" s="3" t="s">
        <v>2524</v>
      </c>
      <c r="F94" s="5" t="s">
        <v>1218</v>
      </c>
      <c r="G94" s="3" t="s">
        <v>2525</v>
      </c>
      <c r="H94" s="3" t="s">
        <v>695</v>
      </c>
    </row>
    <row r="95" spans="1:8" ht="15.75" x14ac:dyDescent="0.25">
      <c r="A95" s="4">
        <v>38386</v>
      </c>
      <c r="B95" s="3" t="s">
        <v>5</v>
      </c>
      <c r="C95" s="3">
        <v>152</v>
      </c>
      <c r="D95" s="3">
        <v>69</v>
      </c>
      <c r="E95" s="3" t="s">
        <v>2558</v>
      </c>
      <c r="F95" s="5" t="s">
        <v>1087</v>
      </c>
      <c r="G95" s="3" t="s">
        <v>2559</v>
      </c>
      <c r="H95" s="3" t="s">
        <v>713</v>
      </c>
    </row>
    <row r="96" spans="1:8" ht="15.75" x14ac:dyDescent="0.25">
      <c r="A96" s="4">
        <v>37375</v>
      </c>
      <c r="B96" s="3" t="s">
        <v>5</v>
      </c>
      <c r="C96" s="3">
        <v>150</v>
      </c>
      <c r="D96" s="3">
        <v>82</v>
      </c>
      <c r="E96" s="3" t="s">
        <v>2560</v>
      </c>
      <c r="F96" s="5" t="s">
        <v>1150</v>
      </c>
      <c r="G96" s="3" t="s">
        <v>2561</v>
      </c>
      <c r="H96" s="3" t="s">
        <v>714</v>
      </c>
    </row>
    <row r="97" spans="1:8" ht="15.75" x14ac:dyDescent="0.25">
      <c r="A97" s="4">
        <v>38204</v>
      </c>
      <c r="B97" s="3" t="s">
        <v>5</v>
      </c>
      <c r="C97" s="3">
        <v>157</v>
      </c>
      <c r="D97" s="3">
        <v>51</v>
      </c>
      <c r="E97" s="3" t="s">
        <v>1518</v>
      </c>
      <c r="F97" s="5" t="s">
        <v>1449</v>
      </c>
      <c r="G97" s="3" t="s">
        <v>2574</v>
      </c>
      <c r="H97" s="3" t="s">
        <v>721</v>
      </c>
    </row>
    <row r="98" spans="1:8" ht="15.75" x14ac:dyDescent="0.25">
      <c r="A98" s="4">
        <v>38133</v>
      </c>
      <c r="B98" s="3" t="s">
        <v>5</v>
      </c>
      <c r="C98" s="3">
        <v>176</v>
      </c>
      <c r="D98" s="3">
        <v>52</v>
      </c>
      <c r="E98" s="3" t="s">
        <v>2583</v>
      </c>
      <c r="F98" s="5" t="s">
        <v>1309</v>
      </c>
      <c r="G98" s="3" t="s">
        <v>2584</v>
      </c>
      <c r="H98" s="3" t="s">
        <v>726</v>
      </c>
    </row>
    <row r="99" spans="1:8" ht="15.75" x14ac:dyDescent="0.25">
      <c r="A99" s="4">
        <v>37246</v>
      </c>
      <c r="B99" s="3" t="s">
        <v>5</v>
      </c>
      <c r="C99" s="3">
        <v>159</v>
      </c>
      <c r="D99" s="3">
        <v>53</v>
      </c>
      <c r="E99" s="3" t="s">
        <v>2612</v>
      </c>
      <c r="F99" s="5" t="s">
        <v>1822</v>
      </c>
      <c r="G99" s="3" t="s">
        <v>2613</v>
      </c>
      <c r="H99" s="3" t="s">
        <v>740</v>
      </c>
    </row>
    <row r="100" spans="1:8" ht="15.75" x14ac:dyDescent="0.25">
      <c r="A100" s="4">
        <v>38032</v>
      </c>
      <c r="B100" s="3" t="s">
        <v>5</v>
      </c>
      <c r="C100" s="3">
        <v>177</v>
      </c>
      <c r="D100" s="3">
        <v>87</v>
      </c>
      <c r="E100" s="3" t="s">
        <v>2616</v>
      </c>
      <c r="F100" s="5" t="s">
        <v>1167</v>
      </c>
      <c r="G100" s="3" t="s">
        <v>2617</v>
      </c>
      <c r="H100" s="3" t="s">
        <v>742</v>
      </c>
    </row>
    <row r="101" spans="1:8" ht="15.75" x14ac:dyDescent="0.25">
      <c r="A101" s="4">
        <v>38255</v>
      </c>
      <c r="B101" s="3" t="s">
        <v>5</v>
      </c>
      <c r="C101" s="3">
        <v>151</v>
      </c>
      <c r="D101" s="3">
        <v>90</v>
      </c>
      <c r="E101" s="3" t="s">
        <v>2620</v>
      </c>
      <c r="F101" s="5" t="s">
        <v>1129</v>
      </c>
      <c r="G101" s="3" t="s">
        <v>2621</v>
      </c>
      <c r="H101" s="3" t="s">
        <v>744</v>
      </c>
    </row>
    <row r="102" spans="1:8" ht="15.75" x14ac:dyDescent="0.25">
      <c r="A102" s="4">
        <v>37445</v>
      </c>
      <c r="B102" s="3" t="s">
        <v>5</v>
      </c>
      <c r="C102" s="3">
        <v>155</v>
      </c>
      <c r="D102" s="3">
        <v>92</v>
      </c>
      <c r="E102" s="3" t="s">
        <v>2644</v>
      </c>
      <c r="F102" s="5" t="s">
        <v>1234</v>
      </c>
      <c r="G102" s="3" t="s">
        <v>2645</v>
      </c>
      <c r="H102" s="3" t="s">
        <v>756</v>
      </c>
    </row>
    <row r="103" spans="1:8" ht="15.75" x14ac:dyDescent="0.25">
      <c r="A103" s="4">
        <v>37536</v>
      </c>
      <c r="B103" s="3" t="s">
        <v>5</v>
      </c>
      <c r="C103" s="3">
        <v>157</v>
      </c>
      <c r="D103" s="3">
        <v>49</v>
      </c>
      <c r="E103" s="3" t="s">
        <v>2706</v>
      </c>
      <c r="F103" s="5" t="s">
        <v>1268</v>
      </c>
      <c r="G103" s="3" t="s">
        <v>2707</v>
      </c>
      <c r="H103" s="3" t="s">
        <v>788</v>
      </c>
    </row>
    <row r="104" spans="1:8" ht="15.75" x14ac:dyDescent="0.25">
      <c r="A104" s="4">
        <v>37408</v>
      </c>
      <c r="B104" s="3" t="s">
        <v>5</v>
      </c>
      <c r="C104" s="3">
        <v>167</v>
      </c>
      <c r="D104" s="3">
        <v>91</v>
      </c>
      <c r="E104" s="3" t="s">
        <v>2735</v>
      </c>
      <c r="F104" s="5" t="s">
        <v>1066</v>
      </c>
      <c r="G104" s="3" t="s">
        <v>2736</v>
      </c>
      <c r="H104" s="3" t="s">
        <v>803</v>
      </c>
    </row>
    <row r="105" spans="1:8" ht="15.75" x14ac:dyDescent="0.25">
      <c r="A105" s="4">
        <v>38065</v>
      </c>
      <c r="B105" s="3" t="s">
        <v>5</v>
      </c>
      <c r="C105" s="3">
        <v>151</v>
      </c>
      <c r="D105" s="3">
        <v>83</v>
      </c>
      <c r="E105" s="3" t="s">
        <v>2743</v>
      </c>
      <c r="F105" s="5" t="s">
        <v>1087</v>
      </c>
      <c r="G105" s="3" t="s">
        <v>2744</v>
      </c>
      <c r="H105" s="3" t="s">
        <v>807</v>
      </c>
    </row>
    <row r="106" spans="1:8" ht="15.75" x14ac:dyDescent="0.25">
      <c r="A106" s="4">
        <v>37771</v>
      </c>
      <c r="B106" s="3" t="s">
        <v>5</v>
      </c>
      <c r="C106" s="3">
        <v>166</v>
      </c>
      <c r="D106" s="3">
        <v>76</v>
      </c>
      <c r="E106" s="3" t="s">
        <v>2776</v>
      </c>
      <c r="F106" s="5" t="s">
        <v>1105</v>
      </c>
      <c r="G106" s="3" t="s">
        <v>2777</v>
      </c>
      <c r="H106" s="3" t="s">
        <v>823</v>
      </c>
    </row>
    <row r="107" spans="1:8" ht="15.75" x14ac:dyDescent="0.25">
      <c r="A107" s="4">
        <v>37267</v>
      </c>
      <c r="B107" s="3" t="s">
        <v>5</v>
      </c>
      <c r="C107" s="3">
        <v>151</v>
      </c>
      <c r="D107" s="3">
        <v>84</v>
      </c>
      <c r="E107" s="3" t="s">
        <v>2790</v>
      </c>
      <c r="F107" s="5" t="s">
        <v>1111</v>
      </c>
      <c r="G107" s="3" t="s">
        <v>2791</v>
      </c>
      <c r="H107" s="3" t="s">
        <v>830</v>
      </c>
    </row>
    <row r="108" spans="1:8" ht="15.75" x14ac:dyDescent="0.25">
      <c r="A108" s="4">
        <v>37681</v>
      </c>
      <c r="B108" s="3" t="s">
        <v>5</v>
      </c>
      <c r="C108" s="3">
        <v>162</v>
      </c>
      <c r="D108" s="3">
        <v>49</v>
      </c>
      <c r="E108" s="3" t="s">
        <v>2798</v>
      </c>
      <c r="F108" s="5" t="s">
        <v>1187</v>
      </c>
      <c r="G108" s="3" t="s">
        <v>2799</v>
      </c>
      <c r="H108" s="3" t="s">
        <v>834</v>
      </c>
    </row>
    <row r="109" spans="1:8" ht="15.75" x14ac:dyDescent="0.25">
      <c r="A109" s="4">
        <v>37349</v>
      </c>
      <c r="B109" s="3" t="s">
        <v>5</v>
      </c>
      <c r="C109" s="3">
        <v>157</v>
      </c>
      <c r="D109" s="3">
        <v>76</v>
      </c>
      <c r="E109" s="3" t="s">
        <v>2804</v>
      </c>
      <c r="F109" s="5" t="s">
        <v>1527</v>
      </c>
      <c r="G109" s="3" t="s">
        <v>2805</v>
      </c>
      <c r="H109" s="3" t="s">
        <v>837</v>
      </c>
    </row>
    <row r="110" spans="1:8" ht="15.75" x14ac:dyDescent="0.25">
      <c r="A110" s="4">
        <v>37402</v>
      </c>
      <c r="B110" s="3" t="s">
        <v>5</v>
      </c>
      <c r="C110" s="3">
        <v>175</v>
      </c>
      <c r="D110" s="3">
        <v>81</v>
      </c>
      <c r="E110" s="3" t="s">
        <v>2806</v>
      </c>
      <c r="F110" s="5" t="s">
        <v>1066</v>
      </c>
      <c r="G110" s="3" t="s">
        <v>2807</v>
      </c>
      <c r="H110" s="3" t="s">
        <v>838</v>
      </c>
    </row>
    <row r="111" spans="1:8" ht="15.75" x14ac:dyDescent="0.25">
      <c r="A111" s="4">
        <v>37759</v>
      </c>
      <c r="B111" s="3" t="s">
        <v>5</v>
      </c>
      <c r="C111" s="3">
        <v>172</v>
      </c>
      <c r="D111" s="3">
        <v>91</v>
      </c>
      <c r="E111" s="3" t="s">
        <v>2845</v>
      </c>
      <c r="F111" s="5" t="s">
        <v>1090</v>
      </c>
      <c r="G111" s="3" t="s">
        <v>2846</v>
      </c>
      <c r="H111" s="3" t="s">
        <v>855</v>
      </c>
    </row>
    <row r="112" spans="1:8" ht="15.75" x14ac:dyDescent="0.25">
      <c r="A112" s="4">
        <v>38255</v>
      </c>
      <c r="B112" s="3" t="s">
        <v>5</v>
      </c>
      <c r="C112" s="3">
        <v>179</v>
      </c>
      <c r="D112" s="3">
        <v>79</v>
      </c>
      <c r="E112" s="3" t="s">
        <v>2857</v>
      </c>
      <c r="F112" s="5" t="s">
        <v>1078</v>
      </c>
      <c r="G112" s="3" t="s">
        <v>2858</v>
      </c>
      <c r="H112" s="3" t="s">
        <v>861</v>
      </c>
    </row>
    <row r="113" spans="1:8" ht="15.75" x14ac:dyDescent="0.25">
      <c r="A113" s="4">
        <v>37295</v>
      </c>
      <c r="B113" s="3" t="s">
        <v>5</v>
      </c>
      <c r="C113" s="3">
        <v>151</v>
      </c>
      <c r="D113" s="3">
        <v>65</v>
      </c>
      <c r="E113" s="3" t="s">
        <v>2869</v>
      </c>
      <c r="F113" s="5" t="s">
        <v>1322</v>
      </c>
      <c r="G113" s="3" t="s">
        <v>2870</v>
      </c>
      <c r="H113" s="3" t="s">
        <v>867</v>
      </c>
    </row>
    <row r="114" spans="1:8" ht="15.75" x14ac:dyDescent="0.25">
      <c r="A114" s="4">
        <v>37324</v>
      </c>
      <c r="B114" s="3" t="s">
        <v>5</v>
      </c>
      <c r="C114" s="3">
        <v>167</v>
      </c>
      <c r="D114" s="3">
        <v>82</v>
      </c>
      <c r="E114" s="3" t="s">
        <v>2875</v>
      </c>
      <c r="F114" s="5" t="s">
        <v>1483</v>
      </c>
      <c r="G114" s="3" t="s">
        <v>2876</v>
      </c>
      <c r="H114" s="3" t="s">
        <v>870</v>
      </c>
    </row>
    <row r="115" spans="1:8" ht="15.75" x14ac:dyDescent="0.25">
      <c r="A115" s="4">
        <v>37133</v>
      </c>
      <c r="B115" s="3" t="s">
        <v>5</v>
      </c>
      <c r="C115" s="3">
        <v>173</v>
      </c>
      <c r="D115" s="3">
        <v>93</v>
      </c>
      <c r="E115" s="3" t="s">
        <v>2879</v>
      </c>
      <c r="F115" s="5" t="s">
        <v>1594</v>
      </c>
      <c r="G115" s="3" t="s">
        <v>2880</v>
      </c>
      <c r="H115" s="3" t="s">
        <v>872</v>
      </c>
    </row>
    <row r="116" spans="1:8" ht="15.75" x14ac:dyDescent="0.25">
      <c r="A116" s="4">
        <v>37347</v>
      </c>
      <c r="B116" s="3" t="s">
        <v>5</v>
      </c>
      <c r="C116" s="3">
        <v>159</v>
      </c>
      <c r="D116" s="3">
        <v>82</v>
      </c>
      <c r="E116" s="3" t="s">
        <v>2909</v>
      </c>
      <c r="F116" s="5" t="s">
        <v>1170</v>
      </c>
      <c r="G116" s="3" t="s">
        <v>2910</v>
      </c>
      <c r="H116" s="3" t="s">
        <v>887</v>
      </c>
    </row>
    <row r="117" spans="1:8" ht="15.75" x14ac:dyDescent="0.25">
      <c r="A117" s="4">
        <v>37213</v>
      </c>
      <c r="B117" s="3" t="s">
        <v>5</v>
      </c>
      <c r="C117" s="3">
        <v>175</v>
      </c>
      <c r="D117" s="3">
        <v>47</v>
      </c>
      <c r="E117" s="3" t="s">
        <v>2917</v>
      </c>
      <c r="F117" s="5" t="s">
        <v>1072</v>
      </c>
      <c r="G117" s="3" t="s">
        <v>2918</v>
      </c>
      <c r="H117" s="3" t="s">
        <v>891</v>
      </c>
    </row>
    <row r="118" spans="1:8" ht="15.75" x14ac:dyDescent="0.25">
      <c r="A118" s="4">
        <v>37482</v>
      </c>
      <c r="B118" s="3" t="s">
        <v>5</v>
      </c>
      <c r="C118" s="3">
        <v>157</v>
      </c>
      <c r="D118" s="3">
        <v>70</v>
      </c>
      <c r="E118" s="3" t="s">
        <v>2967</v>
      </c>
      <c r="F118" s="5" t="s">
        <v>1717</v>
      </c>
      <c r="G118" s="3" t="s">
        <v>2968</v>
      </c>
      <c r="H118" s="3" t="s">
        <v>915</v>
      </c>
    </row>
    <row r="119" spans="1:8" ht="15.75" x14ac:dyDescent="0.25">
      <c r="A119" s="4">
        <v>38156</v>
      </c>
      <c r="B119" s="3" t="s">
        <v>5</v>
      </c>
      <c r="C119" s="3">
        <v>161</v>
      </c>
      <c r="D119" s="3">
        <v>66</v>
      </c>
      <c r="E119" s="3" t="s">
        <v>2969</v>
      </c>
      <c r="F119" s="5" t="s">
        <v>1929</v>
      </c>
      <c r="G119" s="3" t="s">
        <v>2970</v>
      </c>
      <c r="H119" s="3" t="s">
        <v>916</v>
      </c>
    </row>
    <row r="120" spans="1:8" ht="15.75" x14ac:dyDescent="0.25">
      <c r="A120" s="4">
        <v>37121</v>
      </c>
      <c r="B120" s="3" t="s">
        <v>5</v>
      </c>
      <c r="C120" s="3">
        <v>176</v>
      </c>
      <c r="D120" s="3">
        <v>48</v>
      </c>
      <c r="E120" s="3" t="s">
        <v>2971</v>
      </c>
      <c r="F120" s="5" t="s">
        <v>1090</v>
      </c>
      <c r="G120" s="3" t="s">
        <v>2972</v>
      </c>
      <c r="H120" s="3" t="s">
        <v>917</v>
      </c>
    </row>
    <row r="121" spans="1:8" ht="15.75" x14ac:dyDescent="0.25">
      <c r="A121" s="4">
        <v>37904</v>
      </c>
      <c r="B121" s="3" t="s">
        <v>5</v>
      </c>
      <c r="C121" s="3">
        <v>153</v>
      </c>
      <c r="D121" s="3">
        <v>50</v>
      </c>
      <c r="E121" s="3" t="s">
        <v>2977</v>
      </c>
      <c r="F121" s="5" t="s">
        <v>1247</v>
      </c>
      <c r="G121" s="3" t="s">
        <v>2978</v>
      </c>
      <c r="H121" s="3" t="s">
        <v>920</v>
      </c>
    </row>
    <row r="122" spans="1:8" ht="15.75" x14ac:dyDescent="0.25">
      <c r="A122" s="4">
        <v>37533</v>
      </c>
      <c r="B122" s="3" t="s">
        <v>5</v>
      </c>
      <c r="C122" s="3">
        <v>170</v>
      </c>
      <c r="D122" s="3">
        <v>58</v>
      </c>
      <c r="E122" s="3" t="s">
        <v>3011</v>
      </c>
      <c r="F122" s="5" t="s">
        <v>1298</v>
      </c>
      <c r="G122" s="3" t="s">
        <v>3012</v>
      </c>
      <c r="H122" s="3" t="s">
        <v>938</v>
      </c>
    </row>
    <row r="123" spans="1:8" ht="15.75" x14ac:dyDescent="0.25">
      <c r="A123" s="4">
        <v>37069</v>
      </c>
      <c r="B123" s="3" t="s">
        <v>5</v>
      </c>
      <c r="C123" s="3">
        <v>165</v>
      </c>
      <c r="D123" s="3">
        <v>71</v>
      </c>
      <c r="E123" s="3" t="s">
        <v>3052</v>
      </c>
      <c r="F123" s="5" t="s">
        <v>1170</v>
      </c>
      <c r="G123" s="3" t="s">
        <v>3053</v>
      </c>
      <c r="H123" s="3" t="s">
        <v>959</v>
      </c>
    </row>
    <row r="124" spans="1:8" ht="15.75" x14ac:dyDescent="0.25">
      <c r="A124" s="4">
        <v>37859</v>
      </c>
      <c r="B124" s="3" t="s">
        <v>5</v>
      </c>
      <c r="C124" s="3">
        <v>173</v>
      </c>
      <c r="D124" s="3">
        <v>68</v>
      </c>
      <c r="E124" s="3" t="s">
        <v>1768</v>
      </c>
      <c r="F124" s="5" t="s">
        <v>1247</v>
      </c>
      <c r="G124" s="3" t="s">
        <v>3078</v>
      </c>
      <c r="H124" s="3" t="s">
        <v>972</v>
      </c>
    </row>
    <row r="125" spans="1:8" ht="15.75" x14ac:dyDescent="0.25">
      <c r="A125" s="4">
        <v>38435</v>
      </c>
      <c r="B125" s="3" t="s">
        <v>5</v>
      </c>
      <c r="C125" s="3">
        <v>165</v>
      </c>
      <c r="D125" s="3">
        <v>64</v>
      </c>
      <c r="E125" s="3" t="s">
        <v>3079</v>
      </c>
      <c r="F125" s="5" t="s">
        <v>1257</v>
      </c>
      <c r="G125" s="3" t="s">
        <v>3080</v>
      </c>
      <c r="H125" s="3" t="s">
        <v>973</v>
      </c>
    </row>
    <row r="126" spans="1:8" ht="15.75" x14ac:dyDescent="0.25">
      <c r="A126" s="4">
        <v>37474</v>
      </c>
      <c r="B126" s="3" t="s">
        <v>5</v>
      </c>
      <c r="C126" s="3">
        <v>172</v>
      </c>
      <c r="D126" s="3">
        <v>66</v>
      </c>
      <c r="E126" s="3" t="s">
        <v>3087</v>
      </c>
      <c r="F126" s="5" t="s">
        <v>1066</v>
      </c>
      <c r="G126" s="3" t="s">
        <v>3088</v>
      </c>
      <c r="H126" s="3" t="s">
        <v>977</v>
      </c>
    </row>
    <row r="127" spans="1:8" ht="15.75" x14ac:dyDescent="0.25">
      <c r="A127" s="4">
        <v>37145</v>
      </c>
      <c r="B127" s="3" t="s">
        <v>5</v>
      </c>
      <c r="C127" s="3">
        <v>178</v>
      </c>
      <c r="D127" s="3">
        <v>91</v>
      </c>
      <c r="E127" s="3" t="s">
        <v>3107</v>
      </c>
      <c r="F127" s="5" t="s">
        <v>1488</v>
      </c>
      <c r="G127" s="3" t="s">
        <v>3108</v>
      </c>
      <c r="H127" s="3" t="s">
        <v>987</v>
      </c>
    </row>
    <row r="128" spans="1:8" ht="15.75" x14ac:dyDescent="0.25">
      <c r="A128" s="4">
        <v>37996</v>
      </c>
      <c r="B128" s="3" t="s">
        <v>5</v>
      </c>
      <c r="C128" s="3">
        <v>150</v>
      </c>
      <c r="D128" s="3">
        <v>86</v>
      </c>
      <c r="E128" s="3" t="s">
        <v>3118</v>
      </c>
      <c r="F128" s="5" t="s">
        <v>1849</v>
      </c>
      <c r="G128" s="3" t="s">
        <v>3119</v>
      </c>
      <c r="H128" s="3" t="s">
        <v>993</v>
      </c>
    </row>
    <row r="129" spans="1:8" ht="15.75" x14ac:dyDescent="0.25">
      <c r="A129" s="4">
        <v>38253</v>
      </c>
      <c r="B129" s="3" t="s">
        <v>5</v>
      </c>
      <c r="C129" s="3">
        <v>178</v>
      </c>
      <c r="D129" s="3">
        <v>51</v>
      </c>
      <c r="E129" s="3" t="s">
        <v>3128</v>
      </c>
      <c r="F129" s="5" t="s">
        <v>1100</v>
      </c>
      <c r="G129" s="3" t="s">
        <v>3129</v>
      </c>
      <c r="H129" s="3" t="s">
        <v>998</v>
      </c>
    </row>
    <row r="130" spans="1:8" ht="15.75" x14ac:dyDescent="0.25">
      <c r="A130" s="4">
        <v>37493</v>
      </c>
      <c r="B130" s="3" t="s">
        <v>1</v>
      </c>
      <c r="C130" s="3">
        <v>155</v>
      </c>
      <c r="D130" s="3">
        <v>45</v>
      </c>
      <c r="E130" s="3" t="s">
        <v>1062</v>
      </c>
      <c r="F130" s="5" t="s">
        <v>1063</v>
      </c>
      <c r="G130" s="3" t="s">
        <v>1064</v>
      </c>
      <c r="H130" s="3" t="s">
        <v>18</v>
      </c>
    </row>
    <row r="131" spans="1:8" ht="15.75" x14ac:dyDescent="0.25">
      <c r="A131" s="4">
        <v>37859</v>
      </c>
      <c r="B131" s="3" t="s">
        <v>1</v>
      </c>
      <c r="C131" s="3">
        <v>162</v>
      </c>
      <c r="D131" s="3">
        <v>86</v>
      </c>
      <c r="E131" s="3" t="s">
        <v>1077</v>
      </c>
      <c r="F131" s="5" t="s">
        <v>1078</v>
      </c>
      <c r="G131" s="3" t="s">
        <v>1079</v>
      </c>
      <c r="H131" s="3" t="s">
        <v>23</v>
      </c>
    </row>
    <row r="132" spans="1:8" ht="15.75" x14ac:dyDescent="0.25">
      <c r="A132" s="4">
        <v>38239</v>
      </c>
      <c r="B132" s="3" t="s">
        <v>1</v>
      </c>
      <c r="C132" s="3">
        <v>152</v>
      </c>
      <c r="D132" s="3">
        <v>83</v>
      </c>
      <c r="E132" s="3" t="s">
        <v>1083</v>
      </c>
      <c r="F132" s="5" t="s">
        <v>1084</v>
      </c>
      <c r="G132" s="3" t="s">
        <v>1085</v>
      </c>
      <c r="H132" s="3" t="s">
        <v>25</v>
      </c>
    </row>
    <row r="133" spans="1:8" ht="15.75" x14ac:dyDescent="0.25">
      <c r="A133" s="4">
        <v>37507</v>
      </c>
      <c r="B133" s="3" t="s">
        <v>1</v>
      </c>
      <c r="C133" s="3">
        <v>171</v>
      </c>
      <c r="D133" s="3">
        <v>83</v>
      </c>
      <c r="E133" s="3" t="s">
        <v>1094</v>
      </c>
      <c r="F133" s="5" t="s">
        <v>1095</v>
      </c>
      <c r="G133" s="3" t="s">
        <v>1096</v>
      </c>
      <c r="H133" s="3" t="s">
        <v>29</v>
      </c>
    </row>
    <row r="134" spans="1:8" ht="15.75" x14ac:dyDescent="0.25">
      <c r="A134" s="4">
        <v>37363</v>
      </c>
      <c r="B134" s="3" t="s">
        <v>1</v>
      </c>
      <c r="C134" s="3">
        <v>179</v>
      </c>
      <c r="D134" s="3">
        <v>50</v>
      </c>
      <c r="E134" s="3" t="s">
        <v>1131</v>
      </c>
      <c r="F134" s="5" t="s">
        <v>1111</v>
      </c>
      <c r="G134" s="3" t="s">
        <v>1132</v>
      </c>
      <c r="H134" s="3" t="s">
        <v>41</v>
      </c>
    </row>
    <row r="135" spans="1:8" ht="15.75" x14ac:dyDescent="0.25">
      <c r="A135" s="4">
        <v>37744</v>
      </c>
      <c r="B135" s="3" t="s">
        <v>1</v>
      </c>
      <c r="C135" s="3">
        <v>154</v>
      </c>
      <c r="D135" s="3">
        <v>49</v>
      </c>
      <c r="E135" s="3" t="s">
        <v>1159</v>
      </c>
      <c r="F135" s="5" t="s">
        <v>1123</v>
      </c>
      <c r="G135" s="3" t="s">
        <v>1160</v>
      </c>
      <c r="H135" s="3" t="s">
        <v>52</v>
      </c>
    </row>
    <row r="136" spans="1:8" ht="15.75" x14ac:dyDescent="0.25">
      <c r="A136" s="4">
        <v>37156</v>
      </c>
      <c r="B136" s="3" t="s">
        <v>1</v>
      </c>
      <c r="C136" s="3">
        <v>180</v>
      </c>
      <c r="D136" s="3">
        <v>79</v>
      </c>
      <c r="E136" s="3" t="s">
        <v>1166</v>
      </c>
      <c r="F136" s="5" t="s">
        <v>1167</v>
      </c>
      <c r="G136" s="3" t="s">
        <v>1168</v>
      </c>
      <c r="H136" s="3" t="s">
        <v>55</v>
      </c>
    </row>
    <row r="137" spans="1:8" ht="15.75" x14ac:dyDescent="0.25">
      <c r="A137" s="4">
        <v>38127</v>
      </c>
      <c r="B137" s="3" t="s">
        <v>1</v>
      </c>
      <c r="C137" s="3">
        <v>155</v>
      </c>
      <c r="D137" s="3">
        <v>56</v>
      </c>
      <c r="E137" s="3" t="s">
        <v>1202</v>
      </c>
      <c r="F137" s="5" t="s">
        <v>1167</v>
      </c>
      <c r="G137" s="3" t="s">
        <v>1203</v>
      </c>
      <c r="H137" s="3" t="s">
        <v>68</v>
      </c>
    </row>
    <row r="138" spans="1:8" ht="15.75" x14ac:dyDescent="0.25">
      <c r="A138" s="4">
        <v>37673</v>
      </c>
      <c r="B138" s="3" t="s">
        <v>1</v>
      </c>
      <c r="C138" s="3">
        <v>165</v>
      </c>
      <c r="D138" s="3">
        <v>85</v>
      </c>
      <c r="E138" s="3" t="s">
        <v>1244</v>
      </c>
      <c r="F138" s="5" t="s">
        <v>1223</v>
      </c>
      <c r="G138" s="3" t="s">
        <v>1245</v>
      </c>
      <c r="H138" s="3" t="s">
        <v>84</v>
      </c>
    </row>
    <row r="139" spans="1:8" ht="15.75" x14ac:dyDescent="0.25">
      <c r="A139" s="4">
        <v>37552</v>
      </c>
      <c r="B139" s="3" t="s">
        <v>1</v>
      </c>
      <c r="C139" s="3">
        <v>168</v>
      </c>
      <c r="D139" s="3">
        <v>88</v>
      </c>
      <c r="E139" s="3" t="s">
        <v>1279</v>
      </c>
      <c r="F139" s="5" t="s">
        <v>1117</v>
      </c>
      <c r="G139" s="3" t="s">
        <v>1280</v>
      </c>
      <c r="H139" s="3" t="s">
        <v>98</v>
      </c>
    </row>
    <row r="140" spans="1:8" ht="15.75" x14ac:dyDescent="0.25">
      <c r="A140" s="4">
        <v>37064</v>
      </c>
      <c r="B140" s="3" t="s">
        <v>1</v>
      </c>
      <c r="C140" s="3">
        <v>172</v>
      </c>
      <c r="D140" s="3">
        <v>72</v>
      </c>
      <c r="E140" s="3" t="s">
        <v>1286</v>
      </c>
      <c r="F140" s="5" t="s">
        <v>1287</v>
      </c>
      <c r="G140" s="3" t="s">
        <v>1288</v>
      </c>
      <c r="H140" s="3" t="s">
        <v>101</v>
      </c>
    </row>
    <row r="141" spans="1:8" ht="15.75" x14ac:dyDescent="0.25">
      <c r="A141" s="4">
        <v>37714</v>
      </c>
      <c r="B141" s="3" t="s">
        <v>1</v>
      </c>
      <c r="C141" s="3">
        <v>158</v>
      </c>
      <c r="D141" s="3">
        <v>79</v>
      </c>
      <c r="E141" s="3" t="s">
        <v>1308</v>
      </c>
      <c r="F141" s="5" t="s">
        <v>1309</v>
      </c>
      <c r="G141" s="3" t="s">
        <v>1310</v>
      </c>
      <c r="H141" s="3" t="s">
        <v>110</v>
      </c>
    </row>
    <row r="142" spans="1:8" ht="15.75" x14ac:dyDescent="0.25">
      <c r="A142" s="4">
        <v>37473</v>
      </c>
      <c r="B142" s="3" t="s">
        <v>1</v>
      </c>
      <c r="C142" s="3">
        <v>180</v>
      </c>
      <c r="D142" s="3">
        <v>84</v>
      </c>
      <c r="E142" s="3" t="s">
        <v>1317</v>
      </c>
      <c r="F142" s="5" t="s">
        <v>1090</v>
      </c>
      <c r="G142" s="3" t="s">
        <v>1318</v>
      </c>
      <c r="H142" s="3" t="s">
        <v>113</v>
      </c>
    </row>
    <row r="143" spans="1:8" ht="15.75" x14ac:dyDescent="0.25">
      <c r="A143" s="4">
        <v>38434</v>
      </c>
      <c r="B143" s="3" t="s">
        <v>1</v>
      </c>
      <c r="C143" s="3">
        <v>171</v>
      </c>
      <c r="D143" s="3">
        <v>48</v>
      </c>
      <c r="E143" s="3" t="s">
        <v>1319</v>
      </c>
      <c r="F143" s="5" t="s">
        <v>1087</v>
      </c>
      <c r="G143" s="3" t="s">
        <v>1320</v>
      </c>
      <c r="H143" s="3" t="s">
        <v>114</v>
      </c>
    </row>
    <row r="144" spans="1:8" ht="15.75" x14ac:dyDescent="0.25">
      <c r="A144" s="4">
        <v>37084</v>
      </c>
      <c r="B144" s="3" t="s">
        <v>1</v>
      </c>
      <c r="C144" s="3">
        <v>151</v>
      </c>
      <c r="D144" s="3">
        <v>94</v>
      </c>
      <c r="E144" s="3" t="s">
        <v>1332</v>
      </c>
      <c r="F144" s="5" t="s">
        <v>1108</v>
      </c>
      <c r="G144" s="3" t="s">
        <v>1333</v>
      </c>
      <c r="H144" s="3" t="s">
        <v>120</v>
      </c>
    </row>
    <row r="145" spans="1:8" ht="15.75" x14ac:dyDescent="0.25">
      <c r="A145" s="4">
        <v>37634</v>
      </c>
      <c r="B145" s="3" t="s">
        <v>1</v>
      </c>
      <c r="C145" s="3">
        <v>153</v>
      </c>
      <c r="D145" s="3">
        <v>76</v>
      </c>
      <c r="E145" s="3" t="s">
        <v>1339</v>
      </c>
      <c r="F145" s="5" t="s">
        <v>1120</v>
      </c>
      <c r="G145" s="3" t="s">
        <v>1340</v>
      </c>
      <c r="H145" s="3" t="s">
        <v>122</v>
      </c>
    </row>
    <row r="146" spans="1:8" ht="15.75" x14ac:dyDescent="0.25">
      <c r="A146" s="4">
        <v>37343</v>
      </c>
      <c r="B146" s="3" t="s">
        <v>1</v>
      </c>
      <c r="C146" s="3">
        <v>150</v>
      </c>
      <c r="D146" s="3">
        <v>54</v>
      </c>
      <c r="E146" s="3" t="s">
        <v>1346</v>
      </c>
      <c r="F146" s="5" t="s">
        <v>1347</v>
      </c>
      <c r="G146" s="3" t="s">
        <v>1348</v>
      </c>
      <c r="H146" s="3" t="s">
        <v>125</v>
      </c>
    </row>
    <row r="147" spans="1:8" ht="15.75" x14ac:dyDescent="0.25">
      <c r="A147" s="4">
        <v>38443</v>
      </c>
      <c r="B147" s="3" t="s">
        <v>1</v>
      </c>
      <c r="C147" s="3">
        <v>174</v>
      </c>
      <c r="D147" s="3">
        <v>51</v>
      </c>
      <c r="E147" s="3" t="s">
        <v>1355</v>
      </c>
      <c r="F147" s="5" t="s">
        <v>1275</v>
      </c>
      <c r="G147" s="3" t="s">
        <v>1356</v>
      </c>
      <c r="H147" s="3" t="s">
        <v>129</v>
      </c>
    </row>
    <row r="148" spans="1:8" ht="15.75" x14ac:dyDescent="0.25">
      <c r="A148" s="4">
        <v>37100</v>
      </c>
      <c r="B148" s="3" t="s">
        <v>1</v>
      </c>
      <c r="C148" s="3">
        <v>177</v>
      </c>
      <c r="D148" s="3">
        <v>77</v>
      </c>
      <c r="E148" s="3" t="s">
        <v>1360</v>
      </c>
      <c r="F148" s="5" t="s">
        <v>1298</v>
      </c>
      <c r="G148" s="3" t="s">
        <v>1361</v>
      </c>
      <c r="H148" s="3" t="s">
        <v>131</v>
      </c>
    </row>
    <row r="149" spans="1:8" ht="15.75" x14ac:dyDescent="0.25">
      <c r="A149" s="4">
        <v>37099</v>
      </c>
      <c r="B149" s="3" t="s">
        <v>1</v>
      </c>
      <c r="C149" s="3">
        <v>156</v>
      </c>
      <c r="D149" s="3">
        <v>64</v>
      </c>
      <c r="E149" s="3" t="s">
        <v>1382</v>
      </c>
      <c r="F149" s="5" t="s">
        <v>1184</v>
      </c>
      <c r="G149" s="3" t="s">
        <v>1383</v>
      </c>
      <c r="H149" s="3" t="s">
        <v>141</v>
      </c>
    </row>
    <row r="150" spans="1:8" ht="15.75" x14ac:dyDescent="0.25">
      <c r="A150" s="4">
        <v>37064</v>
      </c>
      <c r="B150" s="3" t="s">
        <v>1</v>
      </c>
      <c r="C150" s="3">
        <v>180</v>
      </c>
      <c r="D150" s="3">
        <v>49</v>
      </c>
      <c r="E150" s="3" t="s">
        <v>1433</v>
      </c>
      <c r="F150" s="5" t="s">
        <v>1434</v>
      </c>
      <c r="G150" s="3" t="s">
        <v>1435</v>
      </c>
      <c r="H150" s="3" t="s">
        <v>164</v>
      </c>
    </row>
    <row r="151" spans="1:8" ht="15.75" x14ac:dyDescent="0.25">
      <c r="A151" s="4">
        <v>37102</v>
      </c>
      <c r="B151" s="3" t="s">
        <v>1</v>
      </c>
      <c r="C151" s="3">
        <v>180</v>
      </c>
      <c r="D151" s="3">
        <v>56</v>
      </c>
      <c r="E151" s="3" t="s">
        <v>1438</v>
      </c>
      <c r="F151" s="5" t="s">
        <v>1117</v>
      </c>
      <c r="G151" s="3" t="s">
        <v>1439</v>
      </c>
      <c r="H151" s="3" t="s">
        <v>166</v>
      </c>
    </row>
    <row r="152" spans="1:8" ht="15.75" x14ac:dyDescent="0.25">
      <c r="A152" s="4">
        <v>37300</v>
      </c>
      <c r="B152" s="3" t="s">
        <v>1</v>
      </c>
      <c r="C152" s="3">
        <v>176</v>
      </c>
      <c r="D152" s="3">
        <v>91</v>
      </c>
      <c r="E152" s="3" t="s">
        <v>1446</v>
      </c>
      <c r="F152" s="5" t="s">
        <v>1072</v>
      </c>
      <c r="G152" s="3" t="s">
        <v>1447</v>
      </c>
      <c r="H152" s="3" t="s">
        <v>170</v>
      </c>
    </row>
    <row r="153" spans="1:8" ht="15.75" x14ac:dyDescent="0.25">
      <c r="A153" s="4">
        <v>37041</v>
      </c>
      <c r="B153" s="3" t="s">
        <v>1</v>
      </c>
      <c r="C153" s="3">
        <v>164</v>
      </c>
      <c r="D153" s="3">
        <v>46</v>
      </c>
      <c r="E153" s="3" t="s">
        <v>1453</v>
      </c>
      <c r="F153" s="5" t="s">
        <v>1066</v>
      </c>
      <c r="G153" s="3" t="s">
        <v>1454</v>
      </c>
      <c r="H153" s="3" t="s">
        <v>173</v>
      </c>
    </row>
    <row r="154" spans="1:8" ht="15.75" x14ac:dyDescent="0.25">
      <c r="A154" s="4">
        <v>37648</v>
      </c>
      <c r="B154" s="3" t="s">
        <v>1</v>
      </c>
      <c r="C154" s="3">
        <v>175</v>
      </c>
      <c r="D154" s="3">
        <v>93</v>
      </c>
      <c r="E154" s="3" t="s">
        <v>1461</v>
      </c>
      <c r="F154" s="5" t="s">
        <v>1129</v>
      </c>
      <c r="G154" s="3" t="s">
        <v>1462</v>
      </c>
      <c r="H154" s="3" t="s">
        <v>177</v>
      </c>
    </row>
    <row r="155" spans="1:8" ht="15.75" x14ac:dyDescent="0.25">
      <c r="A155" s="4">
        <v>37300</v>
      </c>
      <c r="B155" s="3" t="s">
        <v>1</v>
      </c>
      <c r="C155" s="3">
        <v>155</v>
      </c>
      <c r="D155" s="3">
        <v>82</v>
      </c>
      <c r="E155" s="3" t="s">
        <v>1471</v>
      </c>
      <c r="F155" s="5" t="s">
        <v>1123</v>
      </c>
      <c r="G155" s="3" t="s">
        <v>1472</v>
      </c>
      <c r="H155" s="3" t="s">
        <v>182</v>
      </c>
    </row>
    <row r="156" spans="1:8" ht="15.75" x14ac:dyDescent="0.25">
      <c r="A156" s="4">
        <v>37523</v>
      </c>
      <c r="B156" s="3" t="s">
        <v>1</v>
      </c>
      <c r="C156" s="3">
        <v>160</v>
      </c>
      <c r="D156" s="3">
        <v>67</v>
      </c>
      <c r="E156" s="3" t="s">
        <v>1475</v>
      </c>
      <c r="F156" s="5" t="s">
        <v>1144</v>
      </c>
      <c r="G156" s="3" t="s">
        <v>1476</v>
      </c>
      <c r="H156" s="3" t="s">
        <v>184</v>
      </c>
    </row>
    <row r="157" spans="1:8" ht="15.75" x14ac:dyDescent="0.25">
      <c r="A157" s="4">
        <v>38059</v>
      </c>
      <c r="B157" s="3" t="s">
        <v>1</v>
      </c>
      <c r="C157" s="3">
        <v>155</v>
      </c>
      <c r="D157" s="3">
        <v>82</v>
      </c>
      <c r="E157" s="3" t="s">
        <v>1482</v>
      </c>
      <c r="F157" s="5" t="s">
        <v>1483</v>
      </c>
      <c r="G157" s="3" t="s">
        <v>1484</v>
      </c>
      <c r="H157" s="3" t="s">
        <v>187</v>
      </c>
    </row>
    <row r="158" spans="1:8" ht="15.75" x14ac:dyDescent="0.25">
      <c r="A158" s="4">
        <v>38389</v>
      </c>
      <c r="B158" s="3" t="s">
        <v>1</v>
      </c>
      <c r="C158" s="3">
        <v>154</v>
      </c>
      <c r="D158" s="3">
        <v>69</v>
      </c>
      <c r="E158" s="3" t="s">
        <v>1499</v>
      </c>
      <c r="F158" s="5" t="s">
        <v>1176</v>
      </c>
      <c r="G158" s="3" t="s">
        <v>1500</v>
      </c>
      <c r="H158" s="3" t="s">
        <v>195</v>
      </c>
    </row>
    <row r="159" spans="1:8" ht="15.75" x14ac:dyDescent="0.25">
      <c r="A159" s="4">
        <v>38412</v>
      </c>
      <c r="B159" s="3" t="s">
        <v>1</v>
      </c>
      <c r="C159" s="3">
        <v>150</v>
      </c>
      <c r="D159" s="3">
        <v>85</v>
      </c>
      <c r="E159" s="3" t="s">
        <v>1551</v>
      </c>
      <c r="F159" s="5" t="s">
        <v>1129</v>
      </c>
      <c r="G159" s="3" t="s">
        <v>1552</v>
      </c>
      <c r="H159" s="3" t="s">
        <v>219</v>
      </c>
    </row>
    <row r="160" spans="1:8" ht="15.75" x14ac:dyDescent="0.25">
      <c r="A160" s="4">
        <v>37795</v>
      </c>
      <c r="B160" s="3" t="s">
        <v>1</v>
      </c>
      <c r="C160" s="3">
        <v>166</v>
      </c>
      <c r="D160" s="3">
        <v>68</v>
      </c>
      <c r="E160" s="3" t="s">
        <v>1589</v>
      </c>
      <c r="F160" s="5" t="s">
        <v>1167</v>
      </c>
      <c r="G160" s="3" t="s">
        <v>1590</v>
      </c>
      <c r="H160" s="3" t="s">
        <v>237</v>
      </c>
    </row>
    <row r="161" spans="1:8" ht="15.75" x14ac:dyDescent="0.25">
      <c r="A161" s="4">
        <v>38007</v>
      </c>
      <c r="B161" s="3" t="s">
        <v>1</v>
      </c>
      <c r="C161" s="3">
        <v>174</v>
      </c>
      <c r="D161" s="3">
        <v>95</v>
      </c>
      <c r="E161" s="3" t="s">
        <v>1606</v>
      </c>
      <c r="F161" s="5" t="s">
        <v>1123</v>
      </c>
      <c r="G161" s="3" t="s">
        <v>1607</v>
      </c>
      <c r="H161" s="3" t="s">
        <v>245</v>
      </c>
    </row>
    <row r="162" spans="1:8" ht="15.75" x14ac:dyDescent="0.25">
      <c r="A162" s="4">
        <v>37547</v>
      </c>
      <c r="B162" s="3" t="s">
        <v>1</v>
      </c>
      <c r="C162" s="3">
        <v>163</v>
      </c>
      <c r="D162" s="3">
        <v>91</v>
      </c>
      <c r="E162" s="3" t="s">
        <v>1622</v>
      </c>
      <c r="F162" s="5" t="s">
        <v>1063</v>
      </c>
      <c r="G162" s="3" t="s">
        <v>1623</v>
      </c>
      <c r="H162" s="3" t="s">
        <v>253</v>
      </c>
    </row>
    <row r="163" spans="1:8" ht="15.75" x14ac:dyDescent="0.25">
      <c r="A163" s="4">
        <v>37013</v>
      </c>
      <c r="B163" s="3" t="s">
        <v>1</v>
      </c>
      <c r="C163" s="3">
        <v>178</v>
      </c>
      <c r="D163" s="3">
        <v>81</v>
      </c>
      <c r="E163" s="3" t="s">
        <v>1699</v>
      </c>
      <c r="F163" s="5" t="s">
        <v>1223</v>
      </c>
      <c r="G163" s="3" t="s">
        <v>1700</v>
      </c>
      <c r="H163" s="3" t="s">
        <v>291</v>
      </c>
    </row>
    <row r="164" spans="1:8" ht="15.75" x14ac:dyDescent="0.25">
      <c r="A164" s="4">
        <v>37344</v>
      </c>
      <c r="B164" s="3" t="s">
        <v>1</v>
      </c>
      <c r="C164" s="3">
        <v>170</v>
      </c>
      <c r="D164" s="3">
        <v>74</v>
      </c>
      <c r="E164" s="3" t="s">
        <v>1737</v>
      </c>
      <c r="F164" s="5" t="s">
        <v>1480</v>
      </c>
      <c r="G164" s="3" t="s">
        <v>1738</v>
      </c>
      <c r="H164" s="3" t="s">
        <v>309</v>
      </c>
    </row>
    <row r="165" spans="1:8" ht="15.75" x14ac:dyDescent="0.25">
      <c r="A165" s="4">
        <v>37855</v>
      </c>
      <c r="B165" s="3" t="s">
        <v>1</v>
      </c>
      <c r="C165" s="3">
        <v>162</v>
      </c>
      <c r="D165" s="3">
        <v>46</v>
      </c>
      <c r="E165" s="3" t="s">
        <v>1768</v>
      </c>
      <c r="F165" s="5" t="s">
        <v>1760</v>
      </c>
      <c r="G165" s="3" t="s">
        <v>1769</v>
      </c>
      <c r="H165" s="3" t="s">
        <v>323</v>
      </c>
    </row>
    <row r="166" spans="1:8" ht="15.75" x14ac:dyDescent="0.25">
      <c r="A166" s="4">
        <v>37953</v>
      </c>
      <c r="B166" s="3" t="s">
        <v>1</v>
      </c>
      <c r="C166" s="3">
        <v>155</v>
      </c>
      <c r="D166" s="3">
        <v>77</v>
      </c>
      <c r="E166" s="3" t="s">
        <v>1777</v>
      </c>
      <c r="F166" s="5" t="s">
        <v>1078</v>
      </c>
      <c r="G166" s="3" t="s">
        <v>1778</v>
      </c>
      <c r="H166" s="3" t="s">
        <v>328</v>
      </c>
    </row>
    <row r="167" spans="1:8" ht="15.75" x14ac:dyDescent="0.25">
      <c r="A167" s="4">
        <v>38079</v>
      </c>
      <c r="B167" s="3" t="s">
        <v>1</v>
      </c>
      <c r="C167" s="3">
        <v>161</v>
      </c>
      <c r="D167" s="3">
        <v>65</v>
      </c>
      <c r="E167" s="3" t="s">
        <v>1539</v>
      </c>
      <c r="F167" s="5" t="s">
        <v>1078</v>
      </c>
      <c r="G167" s="3" t="s">
        <v>1786</v>
      </c>
      <c r="H167" s="3" t="s">
        <v>332</v>
      </c>
    </row>
    <row r="168" spans="1:8" ht="15.75" x14ac:dyDescent="0.25">
      <c r="A168" s="4">
        <v>38040</v>
      </c>
      <c r="B168" s="3" t="s">
        <v>1</v>
      </c>
      <c r="C168" s="3">
        <v>165</v>
      </c>
      <c r="D168" s="3">
        <v>79</v>
      </c>
      <c r="E168" s="3" t="s">
        <v>1791</v>
      </c>
      <c r="F168" s="5" t="s">
        <v>1139</v>
      </c>
      <c r="G168" s="3" t="s">
        <v>1792</v>
      </c>
      <c r="H168" s="3" t="s">
        <v>335</v>
      </c>
    </row>
    <row r="169" spans="1:8" ht="15.75" x14ac:dyDescent="0.25">
      <c r="A169" s="4">
        <v>37283</v>
      </c>
      <c r="B169" s="3" t="s">
        <v>1</v>
      </c>
      <c r="C169" s="3">
        <v>180</v>
      </c>
      <c r="D169" s="3">
        <v>46</v>
      </c>
      <c r="E169" s="3" t="s">
        <v>1817</v>
      </c>
      <c r="F169" s="5" t="s">
        <v>1170</v>
      </c>
      <c r="G169" s="3" t="s">
        <v>1818</v>
      </c>
      <c r="H169" s="3" t="s">
        <v>348</v>
      </c>
    </row>
    <row r="170" spans="1:8" ht="15.75" x14ac:dyDescent="0.25">
      <c r="A170" s="4">
        <v>38045</v>
      </c>
      <c r="B170" s="3" t="s">
        <v>1</v>
      </c>
      <c r="C170" s="3">
        <v>179</v>
      </c>
      <c r="D170" s="3">
        <v>50</v>
      </c>
      <c r="E170" s="3" t="s">
        <v>1828</v>
      </c>
      <c r="F170" s="5" t="s">
        <v>1537</v>
      </c>
      <c r="G170" s="3" t="s">
        <v>1829</v>
      </c>
      <c r="H170" s="3" t="s">
        <v>351</v>
      </c>
    </row>
    <row r="171" spans="1:8" ht="15.75" x14ac:dyDescent="0.25">
      <c r="A171" s="4">
        <v>37212</v>
      </c>
      <c r="B171" s="3" t="s">
        <v>1</v>
      </c>
      <c r="C171" s="3">
        <v>150</v>
      </c>
      <c r="D171" s="3">
        <v>78</v>
      </c>
      <c r="E171" s="3" t="s">
        <v>1842</v>
      </c>
      <c r="F171" s="5" t="s">
        <v>1293</v>
      </c>
      <c r="G171" s="3" t="s">
        <v>1843</v>
      </c>
      <c r="H171" s="3" t="s">
        <v>358</v>
      </c>
    </row>
    <row r="172" spans="1:8" ht="15.75" x14ac:dyDescent="0.25">
      <c r="A172" s="4">
        <v>38153</v>
      </c>
      <c r="B172" s="3" t="s">
        <v>1</v>
      </c>
      <c r="C172" s="3">
        <v>172</v>
      </c>
      <c r="D172" s="3">
        <v>66</v>
      </c>
      <c r="E172" s="3" t="s">
        <v>1855</v>
      </c>
      <c r="F172" s="5" t="s">
        <v>1081</v>
      </c>
      <c r="G172" s="3" t="s">
        <v>1856</v>
      </c>
      <c r="H172" s="3" t="s">
        <v>364</v>
      </c>
    </row>
    <row r="173" spans="1:8" ht="15.75" x14ac:dyDescent="0.25">
      <c r="A173" s="4">
        <v>38359</v>
      </c>
      <c r="B173" s="3" t="s">
        <v>1</v>
      </c>
      <c r="C173" s="3">
        <v>161</v>
      </c>
      <c r="D173" s="3">
        <v>64</v>
      </c>
      <c r="E173" s="3" t="s">
        <v>1866</v>
      </c>
      <c r="F173" s="5" t="s">
        <v>1144</v>
      </c>
      <c r="G173" s="3" t="s">
        <v>1867</v>
      </c>
      <c r="H173" s="3" t="s">
        <v>369</v>
      </c>
    </row>
    <row r="174" spans="1:8" ht="15.75" x14ac:dyDescent="0.25">
      <c r="A174" s="4">
        <v>37964</v>
      </c>
      <c r="B174" s="3" t="s">
        <v>1</v>
      </c>
      <c r="C174" s="3">
        <v>163</v>
      </c>
      <c r="D174" s="3">
        <v>81</v>
      </c>
      <c r="E174" s="3" t="s">
        <v>1868</v>
      </c>
      <c r="F174" s="5" t="s">
        <v>1167</v>
      </c>
      <c r="G174" s="3" t="s">
        <v>1869</v>
      </c>
      <c r="H174" s="3" t="s">
        <v>370</v>
      </c>
    </row>
    <row r="175" spans="1:8" ht="15.75" x14ac:dyDescent="0.25">
      <c r="A175" s="4">
        <v>37636</v>
      </c>
      <c r="B175" s="3" t="s">
        <v>1</v>
      </c>
      <c r="C175" s="3">
        <v>163</v>
      </c>
      <c r="D175" s="3">
        <v>81</v>
      </c>
      <c r="E175" s="3" t="s">
        <v>1903</v>
      </c>
      <c r="F175" s="5" t="s">
        <v>1117</v>
      </c>
      <c r="G175" s="3" t="s">
        <v>1904</v>
      </c>
      <c r="H175" s="3" t="s">
        <v>388</v>
      </c>
    </row>
    <row r="176" spans="1:8" ht="15.75" x14ac:dyDescent="0.25">
      <c r="A176" s="4">
        <v>37349</v>
      </c>
      <c r="B176" s="3" t="s">
        <v>1</v>
      </c>
      <c r="C176" s="3">
        <v>171</v>
      </c>
      <c r="D176" s="3">
        <v>90</v>
      </c>
      <c r="E176" s="3" t="s">
        <v>1913</v>
      </c>
      <c r="F176" s="5" t="s">
        <v>1194</v>
      </c>
      <c r="G176" s="3" t="s">
        <v>1914</v>
      </c>
      <c r="H176" s="3" t="s">
        <v>393</v>
      </c>
    </row>
    <row r="177" spans="1:8" ht="15.75" x14ac:dyDescent="0.25">
      <c r="A177" s="4">
        <v>37941</v>
      </c>
      <c r="B177" s="3" t="s">
        <v>1</v>
      </c>
      <c r="C177" s="3">
        <v>162</v>
      </c>
      <c r="D177" s="3">
        <v>88</v>
      </c>
      <c r="E177" s="3" t="s">
        <v>1947</v>
      </c>
      <c r="F177" s="5" t="s">
        <v>1252</v>
      </c>
      <c r="G177" s="3" t="s">
        <v>1948</v>
      </c>
      <c r="H177" s="3" t="s">
        <v>409</v>
      </c>
    </row>
    <row r="178" spans="1:8" ht="15.75" x14ac:dyDescent="0.25">
      <c r="A178" s="4">
        <v>37708</v>
      </c>
      <c r="B178" s="3" t="s">
        <v>1</v>
      </c>
      <c r="C178" s="3">
        <v>162</v>
      </c>
      <c r="D178" s="3">
        <v>63</v>
      </c>
      <c r="E178" s="3" t="s">
        <v>1953</v>
      </c>
      <c r="F178" s="5" t="s">
        <v>1371</v>
      </c>
      <c r="G178" s="3" t="s">
        <v>1954</v>
      </c>
      <c r="H178" s="3" t="s">
        <v>412</v>
      </c>
    </row>
    <row r="179" spans="1:8" ht="15.75" x14ac:dyDescent="0.25">
      <c r="A179" s="4">
        <v>37192</v>
      </c>
      <c r="B179" s="3" t="s">
        <v>1</v>
      </c>
      <c r="C179" s="3">
        <v>174</v>
      </c>
      <c r="D179" s="3">
        <v>57</v>
      </c>
      <c r="E179" s="3" t="s">
        <v>1955</v>
      </c>
      <c r="F179" s="5" t="s">
        <v>1284</v>
      </c>
      <c r="G179" s="3" t="s">
        <v>1956</v>
      </c>
      <c r="H179" s="3" t="s">
        <v>413</v>
      </c>
    </row>
    <row r="180" spans="1:8" ht="15.75" x14ac:dyDescent="0.25">
      <c r="A180" s="4">
        <v>37581</v>
      </c>
      <c r="B180" s="3" t="s">
        <v>1</v>
      </c>
      <c r="C180" s="3">
        <v>157</v>
      </c>
      <c r="D180" s="3">
        <v>90</v>
      </c>
      <c r="E180" s="3" t="s">
        <v>1969</v>
      </c>
      <c r="F180" s="5" t="s">
        <v>1502</v>
      </c>
      <c r="G180" s="3" t="s">
        <v>1970</v>
      </c>
      <c r="H180" s="3" t="s">
        <v>12</v>
      </c>
    </row>
    <row r="181" spans="1:8" ht="15.75" x14ac:dyDescent="0.25">
      <c r="A181" s="4">
        <v>37858</v>
      </c>
      <c r="B181" s="3" t="s">
        <v>1</v>
      </c>
      <c r="C181" s="3">
        <v>180</v>
      </c>
      <c r="D181" s="3">
        <v>84</v>
      </c>
      <c r="E181" s="3" t="s">
        <v>1978</v>
      </c>
      <c r="F181" s="5" t="s">
        <v>1480</v>
      </c>
      <c r="G181" s="3" t="s">
        <v>1979</v>
      </c>
      <c r="H181" s="3" t="s">
        <v>423</v>
      </c>
    </row>
    <row r="182" spans="1:8" ht="15.75" x14ac:dyDescent="0.25">
      <c r="A182" s="4">
        <v>37781</v>
      </c>
      <c r="B182" s="3" t="s">
        <v>1</v>
      </c>
      <c r="C182" s="3">
        <v>165</v>
      </c>
      <c r="D182" s="3">
        <v>61</v>
      </c>
      <c r="E182" s="3" t="s">
        <v>1982</v>
      </c>
      <c r="F182" s="5" t="s">
        <v>1287</v>
      </c>
      <c r="G182" s="3" t="s">
        <v>1983</v>
      </c>
      <c r="H182" s="3" t="s">
        <v>425</v>
      </c>
    </row>
    <row r="183" spans="1:8" ht="15.75" x14ac:dyDescent="0.25">
      <c r="A183" s="4">
        <v>37464</v>
      </c>
      <c r="B183" s="3" t="s">
        <v>1</v>
      </c>
      <c r="C183" s="3">
        <v>165</v>
      </c>
      <c r="D183" s="3">
        <v>49</v>
      </c>
      <c r="E183" s="3" t="s">
        <v>2009</v>
      </c>
      <c r="F183" s="5" t="s">
        <v>1176</v>
      </c>
      <c r="G183" s="3" t="s">
        <v>2010</v>
      </c>
      <c r="H183" s="3" t="s">
        <v>9</v>
      </c>
    </row>
    <row r="184" spans="1:8" ht="15.75" x14ac:dyDescent="0.25">
      <c r="A184" s="4">
        <v>37503</v>
      </c>
      <c r="B184" s="3" t="s">
        <v>1</v>
      </c>
      <c r="C184" s="3">
        <v>150</v>
      </c>
      <c r="D184" s="3">
        <v>81</v>
      </c>
      <c r="E184" s="3" t="s">
        <v>2017</v>
      </c>
      <c r="F184" s="5" t="s">
        <v>1234</v>
      </c>
      <c r="G184" s="3" t="s">
        <v>2018</v>
      </c>
      <c r="H184" s="3" t="s">
        <v>442</v>
      </c>
    </row>
    <row r="185" spans="1:8" ht="15.75" x14ac:dyDescent="0.25">
      <c r="A185" s="4">
        <v>37932</v>
      </c>
      <c r="B185" s="3" t="s">
        <v>1</v>
      </c>
      <c r="C185" s="3">
        <v>166</v>
      </c>
      <c r="D185" s="3">
        <v>52</v>
      </c>
      <c r="E185" s="3" t="s">
        <v>2049</v>
      </c>
      <c r="F185" s="5" t="s">
        <v>1483</v>
      </c>
      <c r="G185" s="3" t="s">
        <v>2050</v>
      </c>
      <c r="H185" s="3" t="s">
        <v>458</v>
      </c>
    </row>
    <row r="186" spans="1:8" ht="15.75" x14ac:dyDescent="0.25">
      <c r="A186" s="4">
        <v>38436</v>
      </c>
      <c r="B186" s="3" t="s">
        <v>1</v>
      </c>
      <c r="C186" s="3">
        <v>154</v>
      </c>
      <c r="D186" s="3">
        <v>83</v>
      </c>
      <c r="E186" s="3" t="s">
        <v>2066</v>
      </c>
      <c r="F186" s="5" t="s">
        <v>1268</v>
      </c>
      <c r="G186" s="3" t="s">
        <v>2067</v>
      </c>
      <c r="H186" s="3" t="s">
        <v>467</v>
      </c>
    </row>
    <row r="187" spans="1:8" ht="15.75" x14ac:dyDescent="0.25">
      <c r="A187" s="4">
        <v>37254</v>
      </c>
      <c r="B187" s="3" t="s">
        <v>1</v>
      </c>
      <c r="C187" s="3">
        <v>180</v>
      </c>
      <c r="D187" s="3">
        <v>76</v>
      </c>
      <c r="E187" s="3" t="s">
        <v>2074</v>
      </c>
      <c r="F187" s="5" t="s">
        <v>1139</v>
      </c>
      <c r="G187" s="3" t="s">
        <v>2075</v>
      </c>
      <c r="H187" s="3" t="s">
        <v>471</v>
      </c>
    </row>
    <row r="188" spans="1:8" ht="15.75" x14ac:dyDescent="0.25">
      <c r="A188" s="4">
        <v>37702</v>
      </c>
      <c r="B188" s="3" t="s">
        <v>1</v>
      </c>
      <c r="C188" s="3">
        <v>180</v>
      </c>
      <c r="D188" s="3">
        <v>94</v>
      </c>
      <c r="E188" s="3" t="s">
        <v>2084</v>
      </c>
      <c r="F188" s="5" t="s">
        <v>1594</v>
      </c>
      <c r="G188" s="3" t="s">
        <v>2085</v>
      </c>
      <c r="H188" s="3" t="s">
        <v>476</v>
      </c>
    </row>
    <row r="189" spans="1:8" ht="15.75" x14ac:dyDescent="0.25">
      <c r="A189" s="4">
        <v>38113</v>
      </c>
      <c r="B189" s="3" t="s">
        <v>1</v>
      </c>
      <c r="C189" s="3">
        <v>162</v>
      </c>
      <c r="D189" s="3">
        <v>65</v>
      </c>
      <c r="E189" s="3" t="s">
        <v>2098</v>
      </c>
      <c r="F189" s="5" t="s">
        <v>1822</v>
      </c>
      <c r="G189" s="3" t="s">
        <v>2099</v>
      </c>
      <c r="H189" s="3" t="s">
        <v>483</v>
      </c>
    </row>
    <row r="190" spans="1:8" ht="15.75" x14ac:dyDescent="0.25">
      <c r="A190" s="4">
        <v>37871</v>
      </c>
      <c r="B190" s="3" t="s">
        <v>1</v>
      </c>
      <c r="C190" s="3">
        <v>168</v>
      </c>
      <c r="D190" s="3">
        <v>69</v>
      </c>
      <c r="E190" s="3" t="s">
        <v>2132</v>
      </c>
      <c r="F190" s="5" t="s">
        <v>1263</v>
      </c>
      <c r="G190" s="3" t="s">
        <v>2133</v>
      </c>
      <c r="H190" s="3" t="s">
        <v>500</v>
      </c>
    </row>
    <row r="191" spans="1:8" ht="15.75" x14ac:dyDescent="0.25">
      <c r="A191" s="4">
        <v>37549</v>
      </c>
      <c r="B191" s="3" t="s">
        <v>1</v>
      </c>
      <c r="C191" s="3">
        <v>169</v>
      </c>
      <c r="D191" s="3">
        <v>51</v>
      </c>
      <c r="E191" s="3" t="s">
        <v>2150</v>
      </c>
      <c r="F191" s="5" t="s">
        <v>1309</v>
      </c>
      <c r="G191" s="3" t="s">
        <v>2151</v>
      </c>
      <c r="H191" s="3" t="s">
        <v>509</v>
      </c>
    </row>
    <row r="192" spans="1:8" ht="15.75" x14ac:dyDescent="0.25">
      <c r="A192" s="4">
        <v>37718</v>
      </c>
      <c r="B192" s="3" t="s">
        <v>1</v>
      </c>
      <c r="C192" s="3">
        <v>152</v>
      </c>
      <c r="D192" s="3">
        <v>92</v>
      </c>
      <c r="E192" s="3" t="s">
        <v>2158</v>
      </c>
      <c r="F192" s="5" t="s">
        <v>1429</v>
      </c>
      <c r="G192" s="3" t="s">
        <v>2159</v>
      </c>
      <c r="H192" s="3" t="s">
        <v>513</v>
      </c>
    </row>
    <row r="193" spans="1:8" ht="15.75" x14ac:dyDescent="0.25">
      <c r="A193" s="4">
        <v>38410</v>
      </c>
      <c r="B193" s="3" t="s">
        <v>1</v>
      </c>
      <c r="C193" s="3">
        <v>179</v>
      </c>
      <c r="D193" s="3">
        <v>72</v>
      </c>
      <c r="E193" s="3" t="s">
        <v>2162</v>
      </c>
      <c r="F193" s="5" t="s">
        <v>1574</v>
      </c>
      <c r="G193" s="3" t="s">
        <v>2163</v>
      </c>
      <c r="H193" s="3" t="s">
        <v>515</v>
      </c>
    </row>
    <row r="194" spans="1:8" ht="15.75" x14ac:dyDescent="0.25">
      <c r="A194" s="4">
        <v>37290</v>
      </c>
      <c r="B194" s="3" t="s">
        <v>1</v>
      </c>
      <c r="C194" s="3">
        <v>154</v>
      </c>
      <c r="D194" s="3">
        <v>95</v>
      </c>
      <c r="E194" s="3" t="s">
        <v>2166</v>
      </c>
      <c r="F194" s="5" t="s">
        <v>1449</v>
      </c>
      <c r="G194" s="3" t="s">
        <v>2167</v>
      </c>
      <c r="H194" s="3" t="s">
        <v>517</v>
      </c>
    </row>
    <row r="195" spans="1:8" ht="15.75" x14ac:dyDescent="0.25">
      <c r="A195" s="4">
        <v>38176</v>
      </c>
      <c r="B195" s="3" t="s">
        <v>1</v>
      </c>
      <c r="C195" s="3">
        <v>153</v>
      </c>
      <c r="D195" s="3">
        <v>75</v>
      </c>
      <c r="E195" s="3" t="s">
        <v>2173</v>
      </c>
      <c r="F195" s="5" t="s">
        <v>1298</v>
      </c>
      <c r="G195" s="3" t="s">
        <v>2174</v>
      </c>
      <c r="H195" s="3" t="s">
        <v>521</v>
      </c>
    </row>
    <row r="196" spans="1:8" ht="15.75" x14ac:dyDescent="0.25">
      <c r="A196" s="4">
        <v>38437</v>
      </c>
      <c r="B196" s="3" t="s">
        <v>1</v>
      </c>
      <c r="C196" s="3">
        <v>159</v>
      </c>
      <c r="D196" s="3">
        <v>76</v>
      </c>
      <c r="E196" s="3" t="s">
        <v>2187</v>
      </c>
      <c r="F196" s="5" t="s">
        <v>1218</v>
      </c>
      <c r="G196" s="3" t="s">
        <v>2188</v>
      </c>
      <c r="H196" s="3" t="s">
        <v>528</v>
      </c>
    </row>
    <row r="197" spans="1:8" ht="15.75" x14ac:dyDescent="0.25">
      <c r="A197" s="4">
        <v>37114</v>
      </c>
      <c r="B197" s="3" t="s">
        <v>1</v>
      </c>
      <c r="C197" s="3">
        <v>172</v>
      </c>
      <c r="D197" s="3">
        <v>90</v>
      </c>
      <c r="E197" s="3" t="s">
        <v>2195</v>
      </c>
      <c r="F197" s="5" t="s">
        <v>1293</v>
      </c>
      <c r="G197" s="3" t="s">
        <v>2196</v>
      </c>
      <c r="H197" s="3" t="s">
        <v>532</v>
      </c>
    </row>
    <row r="198" spans="1:8" ht="15.75" x14ac:dyDescent="0.25">
      <c r="A198" s="4">
        <v>37835</v>
      </c>
      <c r="B198" s="3" t="s">
        <v>1</v>
      </c>
      <c r="C198" s="3">
        <v>173</v>
      </c>
      <c r="D198" s="3">
        <v>84</v>
      </c>
      <c r="E198" s="3" t="s">
        <v>2205</v>
      </c>
      <c r="F198" s="5" t="s">
        <v>1144</v>
      </c>
      <c r="G198" s="3" t="s">
        <v>2206</v>
      </c>
      <c r="H198" s="3" t="s">
        <v>537</v>
      </c>
    </row>
    <row r="199" spans="1:8" ht="15.75" x14ac:dyDescent="0.25">
      <c r="A199" s="4">
        <v>38155</v>
      </c>
      <c r="B199" s="3" t="s">
        <v>1</v>
      </c>
      <c r="C199" s="3">
        <v>177</v>
      </c>
      <c r="D199" s="3">
        <v>91</v>
      </c>
      <c r="E199" s="3" t="s">
        <v>2215</v>
      </c>
      <c r="F199" s="5" t="s">
        <v>1200</v>
      </c>
      <c r="G199" s="3" t="s">
        <v>2216</v>
      </c>
      <c r="H199" s="3" t="s">
        <v>542</v>
      </c>
    </row>
    <row r="200" spans="1:8" ht="15.75" x14ac:dyDescent="0.25">
      <c r="A200" s="4">
        <v>37589</v>
      </c>
      <c r="B200" s="3" t="s">
        <v>1</v>
      </c>
      <c r="C200" s="3">
        <v>150</v>
      </c>
      <c r="D200" s="3">
        <v>67</v>
      </c>
      <c r="E200" s="3" t="s">
        <v>2235</v>
      </c>
      <c r="F200" s="5" t="s">
        <v>1385</v>
      </c>
      <c r="G200" s="3" t="s">
        <v>2236</v>
      </c>
      <c r="H200" s="3" t="s">
        <v>552</v>
      </c>
    </row>
    <row r="201" spans="1:8" ht="15.75" x14ac:dyDescent="0.25">
      <c r="A201" s="4">
        <v>37043</v>
      </c>
      <c r="B201" s="3" t="s">
        <v>1</v>
      </c>
      <c r="C201" s="3">
        <v>153</v>
      </c>
      <c r="D201" s="3">
        <v>81</v>
      </c>
      <c r="E201" s="3" t="s">
        <v>2243</v>
      </c>
      <c r="F201" s="5" t="s">
        <v>1394</v>
      </c>
      <c r="G201" s="3" t="s">
        <v>2244</v>
      </c>
      <c r="H201" s="3" t="s">
        <v>556</v>
      </c>
    </row>
    <row r="202" spans="1:8" ht="15.75" x14ac:dyDescent="0.25">
      <c r="A202" s="4">
        <v>37671</v>
      </c>
      <c r="B202" s="3" t="s">
        <v>1</v>
      </c>
      <c r="C202" s="3">
        <v>178</v>
      </c>
      <c r="D202" s="3">
        <v>47</v>
      </c>
      <c r="E202" s="3" t="s">
        <v>2261</v>
      </c>
      <c r="F202" s="5" t="s">
        <v>1488</v>
      </c>
      <c r="G202" s="3" t="s">
        <v>2262</v>
      </c>
      <c r="H202" s="3" t="s">
        <v>565</v>
      </c>
    </row>
    <row r="203" spans="1:8" ht="15.75" x14ac:dyDescent="0.25">
      <c r="A203" s="4">
        <v>37681</v>
      </c>
      <c r="B203" s="3" t="s">
        <v>1</v>
      </c>
      <c r="C203" s="3">
        <v>151</v>
      </c>
      <c r="D203" s="3">
        <v>59</v>
      </c>
      <c r="E203" s="3" t="s">
        <v>2273</v>
      </c>
      <c r="F203" s="5" t="s">
        <v>1530</v>
      </c>
      <c r="G203" s="3" t="s">
        <v>2274</v>
      </c>
      <c r="H203" s="3" t="s">
        <v>571</v>
      </c>
    </row>
    <row r="204" spans="1:8" ht="15.75" x14ac:dyDescent="0.25">
      <c r="A204" s="4">
        <v>37515</v>
      </c>
      <c r="B204" s="3" t="s">
        <v>1</v>
      </c>
      <c r="C204" s="3">
        <v>161</v>
      </c>
      <c r="D204" s="3">
        <v>62</v>
      </c>
      <c r="E204" s="3" t="s">
        <v>2298</v>
      </c>
      <c r="F204" s="5" t="s">
        <v>1066</v>
      </c>
      <c r="G204" s="3" t="s">
        <v>2299</v>
      </c>
      <c r="H204" s="3" t="s">
        <v>584</v>
      </c>
    </row>
    <row r="205" spans="1:8" ht="15.75" x14ac:dyDescent="0.25">
      <c r="A205" s="4">
        <v>38258</v>
      </c>
      <c r="B205" s="3" t="s">
        <v>1</v>
      </c>
      <c r="C205" s="3">
        <v>150</v>
      </c>
      <c r="D205" s="3">
        <v>80</v>
      </c>
      <c r="E205" s="3" t="s">
        <v>2302</v>
      </c>
      <c r="F205" s="5" t="s">
        <v>1167</v>
      </c>
      <c r="G205" s="3" t="s">
        <v>2303</v>
      </c>
      <c r="H205" s="3" t="s">
        <v>586</v>
      </c>
    </row>
    <row r="206" spans="1:8" ht="15.75" x14ac:dyDescent="0.25">
      <c r="A206" s="4">
        <v>38106</v>
      </c>
      <c r="B206" s="3" t="s">
        <v>1</v>
      </c>
      <c r="C206" s="3">
        <v>160</v>
      </c>
      <c r="D206" s="3">
        <v>68</v>
      </c>
      <c r="E206" s="3" t="s">
        <v>2328</v>
      </c>
      <c r="F206" s="5" t="s">
        <v>1920</v>
      </c>
      <c r="G206" s="3" t="s">
        <v>2329</v>
      </c>
      <c r="H206" s="3" t="s">
        <v>598</v>
      </c>
    </row>
    <row r="207" spans="1:8" ht="15.75" x14ac:dyDescent="0.25">
      <c r="A207" s="4">
        <v>37907</v>
      </c>
      <c r="B207" s="3" t="s">
        <v>1</v>
      </c>
      <c r="C207" s="3">
        <v>177</v>
      </c>
      <c r="D207" s="3">
        <v>66</v>
      </c>
      <c r="E207" s="3" t="s">
        <v>2332</v>
      </c>
      <c r="F207" s="5" t="s">
        <v>1213</v>
      </c>
      <c r="G207" s="3" t="s">
        <v>2333</v>
      </c>
      <c r="H207" s="3" t="s">
        <v>600</v>
      </c>
    </row>
    <row r="208" spans="1:8" ht="15.75" x14ac:dyDescent="0.25">
      <c r="A208" s="4">
        <v>37335</v>
      </c>
      <c r="B208" s="3" t="s">
        <v>1</v>
      </c>
      <c r="C208" s="3">
        <v>166</v>
      </c>
      <c r="D208" s="3">
        <v>95</v>
      </c>
      <c r="E208" s="3" t="s">
        <v>2364</v>
      </c>
      <c r="F208" s="5" t="s">
        <v>1502</v>
      </c>
      <c r="G208" s="3" t="s">
        <v>2365</v>
      </c>
      <c r="H208" s="3" t="s">
        <v>615</v>
      </c>
    </row>
    <row r="209" spans="1:8" ht="15.75" x14ac:dyDescent="0.25">
      <c r="A209" s="4">
        <v>37886</v>
      </c>
      <c r="B209" s="3" t="s">
        <v>1</v>
      </c>
      <c r="C209" s="3">
        <v>174</v>
      </c>
      <c r="D209" s="3">
        <v>53</v>
      </c>
      <c r="E209" s="3" t="s">
        <v>2370</v>
      </c>
      <c r="F209" s="5" t="s">
        <v>1315</v>
      </c>
      <c r="G209" s="3" t="s">
        <v>2371</v>
      </c>
      <c r="H209" s="3" t="s">
        <v>618</v>
      </c>
    </row>
    <row r="210" spans="1:8" ht="15.75" x14ac:dyDescent="0.25">
      <c r="A210" s="4">
        <v>37075</v>
      </c>
      <c r="B210" s="3" t="s">
        <v>1</v>
      </c>
      <c r="C210" s="3">
        <v>151</v>
      </c>
      <c r="D210" s="3">
        <v>70</v>
      </c>
      <c r="E210" s="3" t="s">
        <v>2376</v>
      </c>
      <c r="F210" s="5" t="s">
        <v>1237</v>
      </c>
      <c r="G210" s="3" t="s">
        <v>2377</v>
      </c>
      <c r="H210" s="3" t="s">
        <v>621</v>
      </c>
    </row>
    <row r="211" spans="1:8" ht="15.75" x14ac:dyDescent="0.25">
      <c r="A211" s="4">
        <v>37860</v>
      </c>
      <c r="B211" s="3" t="s">
        <v>1</v>
      </c>
      <c r="C211" s="3">
        <v>158</v>
      </c>
      <c r="D211" s="3">
        <v>70</v>
      </c>
      <c r="E211" s="3" t="s">
        <v>2392</v>
      </c>
      <c r="F211" s="5" t="s">
        <v>1594</v>
      </c>
      <c r="G211" s="3" t="s">
        <v>2393</v>
      </c>
      <c r="H211" s="3" t="s">
        <v>629</v>
      </c>
    </row>
    <row r="212" spans="1:8" ht="15.75" x14ac:dyDescent="0.25">
      <c r="A212" s="4">
        <v>38270</v>
      </c>
      <c r="B212" s="3" t="s">
        <v>1</v>
      </c>
      <c r="C212" s="3">
        <v>171</v>
      </c>
      <c r="D212" s="3">
        <v>76</v>
      </c>
      <c r="E212" s="3" t="s">
        <v>2396</v>
      </c>
      <c r="F212" s="5" t="s">
        <v>1290</v>
      </c>
      <c r="G212" s="3" t="s">
        <v>2397</v>
      </c>
      <c r="H212" s="3" t="s">
        <v>631</v>
      </c>
    </row>
    <row r="213" spans="1:8" ht="15.75" x14ac:dyDescent="0.25">
      <c r="A213" s="4">
        <v>37271</v>
      </c>
      <c r="B213" s="3" t="s">
        <v>1</v>
      </c>
      <c r="C213" s="3">
        <v>164</v>
      </c>
      <c r="D213" s="3">
        <v>94</v>
      </c>
      <c r="E213" s="3" t="s">
        <v>2400</v>
      </c>
      <c r="F213" s="5" t="s">
        <v>1114</v>
      </c>
      <c r="G213" s="3" t="s">
        <v>2401</v>
      </c>
      <c r="H213" s="3" t="s">
        <v>633</v>
      </c>
    </row>
    <row r="214" spans="1:8" ht="15.75" x14ac:dyDescent="0.25">
      <c r="A214" s="4">
        <v>38237</v>
      </c>
      <c r="B214" s="3" t="s">
        <v>1</v>
      </c>
      <c r="C214" s="3">
        <v>176</v>
      </c>
      <c r="D214" s="3">
        <v>93</v>
      </c>
      <c r="E214" s="3" t="s">
        <v>2402</v>
      </c>
      <c r="F214" s="5" t="s">
        <v>1139</v>
      </c>
      <c r="G214" s="3" t="s">
        <v>2403</v>
      </c>
      <c r="H214" s="3" t="s">
        <v>634</v>
      </c>
    </row>
    <row r="215" spans="1:8" ht="15.75" x14ac:dyDescent="0.25">
      <c r="A215" s="4">
        <v>37409</v>
      </c>
      <c r="B215" s="3" t="s">
        <v>1</v>
      </c>
      <c r="C215" s="3">
        <v>154</v>
      </c>
      <c r="D215" s="3">
        <v>75</v>
      </c>
      <c r="E215" s="3" t="s">
        <v>2432</v>
      </c>
      <c r="F215" s="5" t="s">
        <v>1583</v>
      </c>
      <c r="G215" s="3" t="s">
        <v>2433</v>
      </c>
      <c r="H215" s="3" t="s">
        <v>649</v>
      </c>
    </row>
    <row r="216" spans="1:8" ht="15.75" x14ac:dyDescent="0.25">
      <c r="A216" s="4">
        <v>37499</v>
      </c>
      <c r="B216" s="3" t="s">
        <v>1</v>
      </c>
      <c r="C216" s="3">
        <v>163</v>
      </c>
      <c r="D216" s="3">
        <v>57</v>
      </c>
      <c r="E216" s="3" t="s">
        <v>2448</v>
      </c>
      <c r="F216" s="5" t="s">
        <v>1207</v>
      </c>
      <c r="G216" s="3" t="s">
        <v>2449</v>
      </c>
      <c r="H216" s="3" t="s">
        <v>657</v>
      </c>
    </row>
    <row r="217" spans="1:8" ht="15.75" x14ac:dyDescent="0.25">
      <c r="A217" s="4">
        <v>38121</v>
      </c>
      <c r="B217" s="3" t="s">
        <v>1</v>
      </c>
      <c r="C217" s="3">
        <v>157</v>
      </c>
      <c r="D217" s="3">
        <v>47</v>
      </c>
      <c r="E217" s="3" t="s">
        <v>2454</v>
      </c>
      <c r="F217" s="5" t="s">
        <v>1063</v>
      </c>
      <c r="G217" s="3" t="s">
        <v>2455</v>
      </c>
      <c r="H217" s="3" t="s">
        <v>660</v>
      </c>
    </row>
    <row r="218" spans="1:8" ht="15.75" x14ac:dyDescent="0.25">
      <c r="A218" s="4">
        <v>37092</v>
      </c>
      <c r="B218" s="3" t="s">
        <v>1</v>
      </c>
      <c r="C218" s="3">
        <v>176</v>
      </c>
      <c r="D218" s="3">
        <v>53</v>
      </c>
      <c r="E218" s="3" t="s">
        <v>2458</v>
      </c>
      <c r="F218" s="5" t="s">
        <v>1207</v>
      </c>
      <c r="G218" s="3" t="s">
        <v>2459</v>
      </c>
      <c r="H218" s="3" t="s">
        <v>662</v>
      </c>
    </row>
    <row r="219" spans="1:8" ht="15.75" x14ac:dyDescent="0.25">
      <c r="A219" s="4">
        <v>37754</v>
      </c>
      <c r="B219" s="3" t="s">
        <v>1</v>
      </c>
      <c r="C219" s="3">
        <v>169</v>
      </c>
      <c r="D219" s="3">
        <v>62</v>
      </c>
      <c r="E219" s="3" t="s">
        <v>2464</v>
      </c>
      <c r="F219" s="5" t="s">
        <v>1298</v>
      </c>
      <c r="G219" s="3" t="s">
        <v>2465</v>
      </c>
      <c r="H219" s="3" t="s">
        <v>665</v>
      </c>
    </row>
    <row r="220" spans="1:8" ht="15.75" x14ac:dyDescent="0.25">
      <c r="A220" s="4">
        <v>37719</v>
      </c>
      <c r="B220" s="3" t="s">
        <v>1</v>
      </c>
      <c r="C220" s="3">
        <v>179</v>
      </c>
      <c r="D220" s="3">
        <v>47</v>
      </c>
      <c r="E220" s="3" t="s">
        <v>2468</v>
      </c>
      <c r="F220" s="5" t="s">
        <v>1200</v>
      </c>
      <c r="G220" s="3" t="s">
        <v>2469</v>
      </c>
      <c r="H220" s="3" t="s">
        <v>667</v>
      </c>
    </row>
    <row r="221" spans="1:8" ht="15.75" x14ac:dyDescent="0.25">
      <c r="A221" s="4">
        <v>37815</v>
      </c>
      <c r="B221" s="3" t="s">
        <v>1</v>
      </c>
      <c r="C221" s="3">
        <v>176</v>
      </c>
      <c r="D221" s="3">
        <v>84</v>
      </c>
      <c r="E221" s="3" t="s">
        <v>2535</v>
      </c>
      <c r="F221" s="5" t="s">
        <v>1483</v>
      </c>
      <c r="G221" s="3" t="s">
        <v>2536</v>
      </c>
      <c r="H221" s="3" t="s">
        <v>701</v>
      </c>
    </row>
    <row r="222" spans="1:8" ht="15.75" x14ac:dyDescent="0.25">
      <c r="A222" s="4">
        <v>37235</v>
      </c>
      <c r="B222" s="3" t="s">
        <v>1</v>
      </c>
      <c r="C222" s="3">
        <v>156</v>
      </c>
      <c r="D222" s="3">
        <v>86</v>
      </c>
      <c r="E222" s="3" t="s">
        <v>2570</v>
      </c>
      <c r="F222" s="5" t="s">
        <v>1394</v>
      </c>
      <c r="G222" s="3" t="s">
        <v>2571</v>
      </c>
      <c r="H222" s="3" t="s">
        <v>719</v>
      </c>
    </row>
    <row r="223" spans="1:8" ht="15.75" x14ac:dyDescent="0.25">
      <c r="A223" s="4">
        <v>37045</v>
      </c>
      <c r="B223" s="3" t="s">
        <v>1</v>
      </c>
      <c r="C223" s="3">
        <v>152</v>
      </c>
      <c r="D223" s="3">
        <v>63</v>
      </c>
      <c r="E223" s="3" t="s">
        <v>1520</v>
      </c>
      <c r="F223" s="5" t="s">
        <v>1275</v>
      </c>
      <c r="G223" s="3" t="s">
        <v>2587</v>
      </c>
      <c r="H223" s="3" t="s">
        <v>728</v>
      </c>
    </row>
    <row r="224" spans="1:8" ht="15.75" x14ac:dyDescent="0.25">
      <c r="A224" s="4">
        <v>37834</v>
      </c>
      <c r="B224" s="3" t="s">
        <v>1</v>
      </c>
      <c r="C224" s="3">
        <v>164</v>
      </c>
      <c r="D224" s="3">
        <v>72</v>
      </c>
      <c r="E224" s="3" t="s">
        <v>2592</v>
      </c>
      <c r="F224" s="5" t="s">
        <v>1139</v>
      </c>
      <c r="G224" s="3" t="s">
        <v>2593</v>
      </c>
      <c r="H224" s="3" t="s">
        <v>730</v>
      </c>
    </row>
    <row r="225" spans="1:8" ht="15.75" x14ac:dyDescent="0.25">
      <c r="A225" s="4">
        <v>37288</v>
      </c>
      <c r="B225" s="3" t="s">
        <v>1</v>
      </c>
      <c r="C225" s="3">
        <v>166</v>
      </c>
      <c r="D225" s="3">
        <v>69</v>
      </c>
      <c r="E225" s="3" t="s">
        <v>2598</v>
      </c>
      <c r="F225" s="5" t="s">
        <v>1717</v>
      </c>
      <c r="G225" s="3" t="s">
        <v>2599</v>
      </c>
      <c r="H225" s="3" t="s">
        <v>733</v>
      </c>
    </row>
    <row r="226" spans="1:8" ht="15.75" x14ac:dyDescent="0.25">
      <c r="A226" s="4">
        <v>37331</v>
      </c>
      <c r="B226" s="3" t="s">
        <v>1</v>
      </c>
      <c r="C226" s="3">
        <v>173</v>
      </c>
      <c r="D226" s="3">
        <v>57</v>
      </c>
      <c r="E226" s="3" t="s">
        <v>2602</v>
      </c>
      <c r="F226" s="5" t="s">
        <v>1072</v>
      </c>
      <c r="G226" s="3" t="s">
        <v>2603</v>
      </c>
      <c r="H226" s="3" t="s">
        <v>735</v>
      </c>
    </row>
    <row r="227" spans="1:8" ht="15.75" x14ac:dyDescent="0.25">
      <c r="A227" s="4">
        <v>37615</v>
      </c>
      <c r="B227" s="3" t="s">
        <v>1</v>
      </c>
      <c r="C227" s="3">
        <v>179</v>
      </c>
      <c r="D227" s="3">
        <v>62</v>
      </c>
      <c r="E227" s="3" t="s">
        <v>2606</v>
      </c>
      <c r="F227" s="5" t="s">
        <v>1315</v>
      </c>
      <c r="G227" s="3" t="s">
        <v>2607</v>
      </c>
      <c r="H227" s="3" t="s">
        <v>737</v>
      </c>
    </row>
    <row r="228" spans="1:8" ht="15.75" x14ac:dyDescent="0.25">
      <c r="A228" s="4">
        <v>37379</v>
      </c>
      <c r="B228" s="3" t="s">
        <v>1</v>
      </c>
      <c r="C228" s="3">
        <v>170</v>
      </c>
      <c r="D228" s="3">
        <v>56</v>
      </c>
      <c r="E228" s="3" t="s">
        <v>2618</v>
      </c>
      <c r="F228" s="5" t="s">
        <v>1144</v>
      </c>
      <c r="G228" s="3" t="s">
        <v>2619</v>
      </c>
      <c r="H228" s="3" t="s">
        <v>743</v>
      </c>
    </row>
    <row r="229" spans="1:8" ht="15.75" x14ac:dyDescent="0.25">
      <c r="A229" s="4">
        <v>37567</v>
      </c>
      <c r="B229" s="3" t="s">
        <v>1</v>
      </c>
      <c r="C229" s="3">
        <v>150</v>
      </c>
      <c r="D229" s="3">
        <v>85</v>
      </c>
      <c r="E229" s="3" t="s">
        <v>2624</v>
      </c>
      <c r="F229" s="5" t="s">
        <v>1167</v>
      </c>
      <c r="G229" s="3" t="s">
        <v>2625</v>
      </c>
      <c r="H229" s="3" t="s">
        <v>746</v>
      </c>
    </row>
    <row r="230" spans="1:8" ht="15.75" x14ac:dyDescent="0.25">
      <c r="A230" s="4">
        <v>37924</v>
      </c>
      <c r="B230" s="3" t="s">
        <v>1</v>
      </c>
      <c r="C230" s="3">
        <v>173</v>
      </c>
      <c r="D230" s="3">
        <v>81</v>
      </c>
      <c r="E230" s="3" t="s">
        <v>2646</v>
      </c>
      <c r="F230" s="5" t="s">
        <v>1200</v>
      </c>
      <c r="G230" s="3" t="s">
        <v>2647</v>
      </c>
      <c r="H230" s="3" t="s">
        <v>757</v>
      </c>
    </row>
    <row r="231" spans="1:8" ht="15.75" x14ac:dyDescent="0.25">
      <c r="A231" s="4">
        <v>37897</v>
      </c>
      <c r="B231" s="3" t="s">
        <v>1</v>
      </c>
      <c r="C231" s="3">
        <v>180</v>
      </c>
      <c r="D231" s="3">
        <v>85</v>
      </c>
      <c r="E231" s="3" t="s">
        <v>2666</v>
      </c>
      <c r="F231" s="5" t="s">
        <v>1434</v>
      </c>
      <c r="G231" s="3" t="s">
        <v>2667</v>
      </c>
      <c r="H231" s="3" t="s">
        <v>767</v>
      </c>
    </row>
    <row r="232" spans="1:8" ht="15.75" x14ac:dyDescent="0.25">
      <c r="A232" s="4">
        <v>37761</v>
      </c>
      <c r="B232" s="3" t="s">
        <v>1</v>
      </c>
      <c r="C232" s="3">
        <v>169</v>
      </c>
      <c r="D232" s="3">
        <v>66</v>
      </c>
      <c r="E232" s="3" t="s">
        <v>1477</v>
      </c>
      <c r="F232" s="5" t="s">
        <v>1488</v>
      </c>
      <c r="G232" s="3" t="s">
        <v>2681</v>
      </c>
      <c r="H232" s="3" t="s">
        <v>775</v>
      </c>
    </row>
    <row r="233" spans="1:8" ht="15.75" x14ac:dyDescent="0.25">
      <c r="A233" s="4">
        <v>37929</v>
      </c>
      <c r="B233" s="3" t="s">
        <v>1</v>
      </c>
      <c r="C233" s="3">
        <v>163</v>
      </c>
      <c r="D233" s="3">
        <v>67</v>
      </c>
      <c r="E233" s="3" t="s">
        <v>2688</v>
      </c>
      <c r="F233" s="5" t="s">
        <v>1290</v>
      </c>
      <c r="G233" s="3" t="s">
        <v>2689</v>
      </c>
      <c r="H233" s="3" t="s">
        <v>779</v>
      </c>
    </row>
    <row r="234" spans="1:8" ht="15.75" x14ac:dyDescent="0.25">
      <c r="A234" s="4">
        <v>37442</v>
      </c>
      <c r="B234" s="3" t="s">
        <v>1</v>
      </c>
      <c r="C234" s="3">
        <v>163</v>
      </c>
      <c r="D234" s="3">
        <v>45</v>
      </c>
      <c r="E234" s="3" t="s">
        <v>2749</v>
      </c>
      <c r="F234" s="5" t="s">
        <v>1257</v>
      </c>
      <c r="G234" s="3" t="s">
        <v>2750</v>
      </c>
      <c r="H234" s="3" t="s">
        <v>810</v>
      </c>
    </row>
    <row r="235" spans="1:8" ht="15.75" x14ac:dyDescent="0.25">
      <c r="A235" s="4">
        <v>37676</v>
      </c>
      <c r="B235" s="3" t="s">
        <v>1</v>
      </c>
      <c r="C235" s="3">
        <v>161</v>
      </c>
      <c r="D235" s="3">
        <v>51</v>
      </c>
      <c r="E235" s="3" t="s">
        <v>2751</v>
      </c>
      <c r="F235" s="5" t="s">
        <v>1342</v>
      </c>
      <c r="G235" s="3" t="s">
        <v>2752</v>
      </c>
      <c r="H235" s="3" t="s">
        <v>811</v>
      </c>
    </row>
    <row r="236" spans="1:8" ht="15.75" x14ac:dyDescent="0.25">
      <c r="A236" s="4">
        <v>38119</v>
      </c>
      <c r="B236" s="3" t="s">
        <v>1</v>
      </c>
      <c r="C236" s="3">
        <v>154</v>
      </c>
      <c r="D236" s="3">
        <v>58</v>
      </c>
      <c r="E236" s="3" t="s">
        <v>2755</v>
      </c>
      <c r="F236" s="5" t="s">
        <v>1120</v>
      </c>
      <c r="G236" s="3" t="s">
        <v>2756</v>
      </c>
      <c r="H236" s="3" t="s">
        <v>813</v>
      </c>
    </row>
    <row r="237" spans="1:8" ht="15.75" x14ac:dyDescent="0.25">
      <c r="A237" s="4">
        <v>37743</v>
      </c>
      <c r="B237" s="3" t="s">
        <v>1</v>
      </c>
      <c r="C237" s="3">
        <v>180</v>
      </c>
      <c r="D237" s="3">
        <v>84</v>
      </c>
      <c r="E237" s="3" t="s">
        <v>2757</v>
      </c>
      <c r="F237" s="5" t="s">
        <v>1123</v>
      </c>
      <c r="G237" s="3" t="s">
        <v>2758</v>
      </c>
      <c r="H237" s="3" t="s">
        <v>814</v>
      </c>
    </row>
    <row r="238" spans="1:8" ht="15.75" x14ac:dyDescent="0.25">
      <c r="A238" s="4">
        <v>37690</v>
      </c>
      <c r="B238" s="3" t="s">
        <v>1</v>
      </c>
      <c r="C238" s="3">
        <v>170</v>
      </c>
      <c r="D238" s="3">
        <v>63</v>
      </c>
      <c r="E238" s="3" t="s">
        <v>2769</v>
      </c>
      <c r="F238" s="5" t="s">
        <v>1920</v>
      </c>
      <c r="G238" s="3" t="s">
        <v>2770</v>
      </c>
      <c r="H238" s="3" t="s">
        <v>819</v>
      </c>
    </row>
    <row r="239" spans="1:8" ht="15.75" x14ac:dyDescent="0.25">
      <c r="A239" s="4">
        <v>37764</v>
      </c>
      <c r="B239" s="3" t="s">
        <v>1</v>
      </c>
      <c r="C239" s="3">
        <v>164</v>
      </c>
      <c r="D239" s="3">
        <v>79</v>
      </c>
      <c r="E239" s="3" t="s">
        <v>1068</v>
      </c>
      <c r="F239" s="5" t="s">
        <v>1226</v>
      </c>
      <c r="G239" s="3" t="s">
        <v>2771</v>
      </c>
      <c r="H239" s="3" t="s">
        <v>820</v>
      </c>
    </row>
    <row r="240" spans="1:8" ht="15.75" x14ac:dyDescent="0.25">
      <c r="A240" s="4">
        <v>37129</v>
      </c>
      <c r="B240" s="3" t="s">
        <v>1</v>
      </c>
      <c r="C240" s="3">
        <v>173</v>
      </c>
      <c r="D240" s="3">
        <v>59</v>
      </c>
      <c r="E240" s="3" t="s">
        <v>2772</v>
      </c>
      <c r="F240" s="5" t="s">
        <v>1780</v>
      </c>
      <c r="G240" s="3" t="s">
        <v>2773</v>
      </c>
      <c r="H240" s="3" t="s">
        <v>821</v>
      </c>
    </row>
    <row r="241" spans="1:8" ht="15.75" x14ac:dyDescent="0.25">
      <c r="A241" s="4">
        <v>37202</v>
      </c>
      <c r="B241" s="3" t="s">
        <v>1</v>
      </c>
      <c r="C241" s="3">
        <v>163</v>
      </c>
      <c r="D241" s="3">
        <v>51</v>
      </c>
      <c r="E241" s="3" t="s">
        <v>2778</v>
      </c>
      <c r="F241" s="5" t="s">
        <v>1234</v>
      </c>
      <c r="G241" s="3" t="s">
        <v>2779</v>
      </c>
      <c r="H241" s="3" t="s">
        <v>824</v>
      </c>
    </row>
    <row r="242" spans="1:8" ht="15.75" x14ac:dyDescent="0.25">
      <c r="A242" s="4">
        <v>37015</v>
      </c>
      <c r="B242" s="3" t="s">
        <v>1</v>
      </c>
      <c r="C242" s="3">
        <v>154</v>
      </c>
      <c r="D242" s="3">
        <v>62</v>
      </c>
      <c r="E242" s="3" t="s">
        <v>2788</v>
      </c>
      <c r="F242" s="5" t="s">
        <v>1247</v>
      </c>
      <c r="G242" s="3" t="s">
        <v>2789</v>
      </c>
      <c r="H242" s="3" t="s">
        <v>829</v>
      </c>
    </row>
    <row r="243" spans="1:8" ht="15.75" x14ac:dyDescent="0.25">
      <c r="A243" s="4">
        <v>37595</v>
      </c>
      <c r="B243" s="3" t="s">
        <v>1</v>
      </c>
      <c r="C243" s="3">
        <v>154</v>
      </c>
      <c r="D243" s="3">
        <v>60</v>
      </c>
      <c r="E243" s="3" t="s">
        <v>2810</v>
      </c>
      <c r="F243" s="5" t="s">
        <v>1358</v>
      </c>
      <c r="G243" s="3" t="s">
        <v>2811</v>
      </c>
      <c r="H243" s="3" t="s">
        <v>840</v>
      </c>
    </row>
    <row r="244" spans="1:8" ht="15.75" x14ac:dyDescent="0.25">
      <c r="A244" s="4">
        <v>38328</v>
      </c>
      <c r="B244" s="3" t="s">
        <v>1</v>
      </c>
      <c r="C244" s="3">
        <v>178</v>
      </c>
      <c r="D244" s="3">
        <v>87</v>
      </c>
      <c r="E244" s="3" t="s">
        <v>2820</v>
      </c>
      <c r="F244" s="5" t="s">
        <v>1179</v>
      </c>
      <c r="G244" s="3" t="s">
        <v>2821</v>
      </c>
      <c r="H244" s="3" t="s">
        <v>845</v>
      </c>
    </row>
    <row r="245" spans="1:8" ht="15.75" x14ac:dyDescent="0.25">
      <c r="A245" s="4">
        <v>37164</v>
      </c>
      <c r="B245" s="3" t="s">
        <v>1</v>
      </c>
      <c r="C245" s="3">
        <v>179</v>
      </c>
      <c r="D245" s="3">
        <v>51</v>
      </c>
      <c r="E245" s="3" t="s">
        <v>2829</v>
      </c>
      <c r="F245" s="5" t="s">
        <v>1120</v>
      </c>
      <c r="G245" s="3" t="s">
        <v>2830</v>
      </c>
      <c r="H245" s="3" t="s">
        <v>850</v>
      </c>
    </row>
    <row r="246" spans="1:8" ht="15.75" x14ac:dyDescent="0.25">
      <c r="A246" s="4">
        <v>38299</v>
      </c>
      <c r="B246" s="3" t="s">
        <v>1</v>
      </c>
      <c r="C246" s="3">
        <v>172</v>
      </c>
      <c r="D246" s="3">
        <v>51</v>
      </c>
      <c r="E246" s="3" t="s">
        <v>2833</v>
      </c>
      <c r="F246" s="5" t="s">
        <v>1087</v>
      </c>
      <c r="G246" s="3" t="s">
        <v>2834</v>
      </c>
      <c r="H246" s="3" t="s">
        <v>16</v>
      </c>
    </row>
    <row r="247" spans="1:8" ht="15.75" x14ac:dyDescent="0.25">
      <c r="A247" s="4">
        <v>37135</v>
      </c>
      <c r="B247" s="3" t="s">
        <v>1</v>
      </c>
      <c r="C247" s="3">
        <v>156</v>
      </c>
      <c r="D247" s="3">
        <v>86</v>
      </c>
      <c r="E247" s="3" t="s">
        <v>2847</v>
      </c>
      <c r="F247" s="5" t="s">
        <v>1147</v>
      </c>
      <c r="G247" s="3" t="s">
        <v>2848</v>
      </c>
      <c r="H247" s="3" t="s">
        <v>856</v>
      </c>
    </row>
    <row r="248" spans="1:8" ht="15.75" x14ac:dyDescent="0.25">
      <c r="A248" s="4">
        <v>38373</v>
      </c>
      <c r="B248" s="3" t="s">
        <v>1</v>
      </c>
      <c r="C248" s="3">
        <v>180</v>
      </c>
      <c r="D248" s="3">
        <v>91</v>
      </c>
      <c r="E248" s="3" t="s">
        <v>2877</v>
      </c>
      <c r="F248" s="5" t="s">
        <v>1117</v>
      </c>
      <c r="G248" s="3" t="s">
        <v>2878</v>
      </c>
      <c r="H248" s="3" t="s">
        <v>871</v>
      </c>
    </row>
    <row r="249" spans="1:8" ht="15.75" x14ac:dyDescent="0.25">
      <c r="A249" s="4">
        <v>38330</v>
      </c>
      <c r="B249" s="3" t="s">
        <v>1</v>
      </c>
      <c r="C249" s="3">
        <v>174</v>
      </c>
      <c r="D249" s="3">
        <v>76</v>
      </c>
      <c r="E249" s="3" t="s">
        <v>2895</v>
      </c>
      <c r="F249" s="5" t="s">
        <v>1347</v>
      </c>
      <c r="G249" s="3" t="s">
        <v>2896</v>
      </c>
      <c r="H249" s="3" t="s">
        <v>880</v>
      </c>
    </row>
    <row r="250" spans="1:8" ht="15.75" x14ac:dyDescent="0.25">
      <c r="A250" s="4">
        <v>37250</v>
      </c>
      <c r="B250" s="3" t="s">
        <v>1</v>
      </c>
      <c r="C250" s="3">
        <v>164</v>
      </c>
      <c r="D250" s="3">
        <v>80</v>
      </c>
      <c r="E250" s="3" t="s">
        <v>2897</v>
      </c>
      <c r="F250" s="5" t="s">
        <v>1210</v>
      </c>
      <c r="G250" s="3" t="s">
        <v>2898</v>
      </c>
      <c r="H250" s="3" t="s">
        <v>881</v>
      </c>
    </row>
    <row r="251" spans="1:8" ht="15.75" x14ac:dyDescent="0.25">
      <c r="A251" s="4">
        <v>38119</v>
      </c>
      <c r="B251" s="3" t="s">
        <v>1</v>
      </c>
      <c r="C251" s="3">
        <v>180</v>
      </c>
      <c r="D251" s="3">
        <v>90</v>
      </c>
      <c r="E251" s="3" t="s">
        <v>2899</v>
      </c>
      <c r="F251" s="5" t="s">
        <v>1527</v>
      </c>
      <c r="G251" s="3" t="s">
        <v>2900</v>
      </c>
      <c r="H251" s="3" t="s">
        <v>882</v>
      </c>
    </row>
    <row r="252" spans="1:8" ht="15.75" x14ac:dyDescent="0.25">
      <c r="A252" s="4">
        <v>37840</v>
      </c>
      <c r="B252" s="3" t="s">
        <v>1</v>
      </c>
      <c r="C252" s="3">
        <v>179</v>
      </c>
      <c r="D252" s="3">
        <v>64</v>
      </c>
      <c r="E252" s="3" t="s">
        <v>2905</v>
      </c>
      <c r="F252" s="5" t="s">
        <v>1231</v>
      </c>
      <c r="G252" s="3" t="s">
        <v>2906</v>
      </c>
      <c r="H252" s="3" t="s">
        <v>885</v>
      </c>
    </row>
    <row r="253" spans="1:8" ht="15.75" x14ac:dyDescent="0.25">
      <c r="A253" s="4">
        <v>38234</v>
      </c>
      <c r="B253" s="3" t="s">
        <v>1</v>
      </c>
      <c r="C253" s="3">
        <v>177</v>
      </c>
      <c r="D253" s="3">
        <v>63</v>
      </c>
      <c r="E253" s="3" t="s">
        <v>2919</v>
      </c>
      <c r="F253" s="5" t="s">
        <v>1213</v>
      </c>
      <c r="G253" s="3" t="s">
        <v>2920</v>
      </c>
      <c r="H253" s="3" t="s">
        <v>892</v>
      </c>
    </row>
    <row r="254" spans="1:8" ht="15.75" x14ac:dyDescent="0.25">
      <c r="A254" s="4">
        <v>37026</v>
      </c>
      <c r="B254" s="3" t="s">
        <v>1</v>
      </c>
      <c r="C254" s="3">
        <v>172</v>
      </c>
      <c r="D254" s="3">
        <v>68</v>
      </c>
      <c r="E254" s="3" t="s">
        <v>2921</v>
      </c>
      <c r="F254" s="5" t="s">
        <v>1155</v>
      </c>
      <c r="G254" s="3" t="s">
        <v>2922</v>
      </c>
      <c r="H254" s="3" t="s">
        <v>893</v>
      </c>
    </row>
    <row r="255" spans="1:8" ht="15.75" x14ac:dyDescent="0.25">
      <c r="A255" s="4">
        <v>37631</v>
      </c>
      <c r="B255" s="3" t="s">
        <v>1</v>
      </c>
      <c r="C255" s="3">
        <v>154</v>
      </c>
      <c r="D255" s="3">
        <v>94</v>
      </c>
      <c r="E255" s="3" t="s">
        <v>2933</v>
      </c>
      <c r="F255" s="5" t="s">
        <v>1376</v>
      </c>
      <c r="G255" s="3" t="s">
        <v>2934</v>
      </c>
      <c r="H255" s="3" t="s">
        <v>899</v>
      </c>
    </row>
    <row r="256" spans="1:8" ht="15.75" x14ac:dyDescent="0.25">
      <c r="A256" s="4">
        <v>38425</v>
      </c>
      <c r="B256" s="3" t="s">
        <v>1</v>
      </c>
      <c r="C256" s="3">
        <v>167</v>
      </c>
      <c r="D256" s="3">
        <v>94</v>
      </c>
      <c r="E256" s="3" t="s">
        <v>2943</v>
      </c>
      <c r="F256" s="5" t="s">
        <v>1929</v>
      </c>
      <c r="G256" s="3" t="s">
        <v>2944</v>
      </c>
      <c r="H256" s="3" t="s">
        <v>904</v>
      </c>
    </row>
    <row r="257" spans="1:8" ht="15.75" x14ac:dyDescent="0.25">
      <c r="A257" s="4">
        <v>38450</v>
      </c>
      <c r="B257" s="3" t="s">
        <v>1</v>
      </c>
      <c r="C257" s="3">
        <v>163</v>
      </c>
      <c r="D257" s="3">
        <v>72</v>
      </c>
      <c r="E257" s="3" t="s">
        <v>2945</v>
      </c>
      <c r="F257" s="5" t="s">
        <v>1434</v>
      </c>
      <c r="G257" s="3" t="s">
        <v>2946</v>
      </c>
      <c r="H257" s="3" t="s">
        <v>905</v>
      </c>
    </row>
    <row r="258" spans="1:8" ht="15.75" x14ac:dyDescent="0.25">
      <c r="A258" s="4">
        <v>37464</v>
      </c>
      <c r="B258" s="3" t="s">
        <v>1</v>
      </c>
      <c r="C258" s="3">
        <v>156</v>
      </c>
      <c r="D258" s="3">
        <v>87</v>
      </c>
      <c r="E258" s="3" t="s">
        <v>2951</v>
      </c>
      <c r="F258" s="5" t="s">
        <v>1260</v>
      </c>
      <c r="G258" s="3" t="s">
        <v>2952</v>
      </c>
      <c r="H258" s="3" t="s">
        <v>908</v>
      </c>
    </row>
    <row r="259" spans="1:8" ht="15.75" x14ac:dyDescent="0.25">
      <c r="A259" s="4">
        <v>38267</v>
      </c>
      <c r="B259" s="3" t="s">
        <v>1</v>
      </c>
      <c r="C259" s="3">
        <v>167</v>
      </c>
      <c r="D259" s="3">
        <v>49</v>
      </c>
      <c r="E259" s="3" t="s">
        <v>2983</v>
      </c>
      <c r="F259" s="5" t="s">
        <v>1240</v>
      </c>
      <c r="G259" s="3" t="s">
        <v>2984</v>
      </c>
      <c r="H259" s="3" t="s">
        <v>923</v>
      </c>
    </row>
    <row r="260" spans="1:8" ht="15.75" x14ac:dyDescent="0.25">
      <c r="A260" s="4">
        <v>38056</v>
      </c>
      <c r="B260" s="3" t="s">
        <v>1</v>
      </c>
      <c r="C260" s="3">
        <v>159</v>
      </c>
      <c r="D260" s="3">
        <v>81</v>
      </c>
      <c r="E260" s="3" t="s">
        <v>2997</v>
      </c>
      <c r="F260" s="5" t="s">
        <v>1574</v>
      </c>
      <c r="G260" s="3" t="s">
        <v>2998</v>
      </c>
      <c r="H260" s="3" t="s">
        <v>930</v>
      </c>
    </row>
    <row r="261" spans="1:8" ht="15.75" x14ac:dyDescent="0.25">
      <c r="A261" s="4">
        <v>37031</v>
      </c>
      <c r="B261" s="3" t="s">
        <v>1</v>
      </c>
      <c r="C261" s="3">
        <v>172</v>
      </c>
      <c r="D261" s="3">
        <v>46</v>
      </c>
      <c r="E261" s="3" t="s">
        <v>3023</v>
      </c>
      <c r="F261" s="5" t="s">
        <v>1237</v>
      </c>
      <c r="G261" s="3" t="s">
        <v>3024</v>
      </c>
      <c r="H261" s="3" t="s">
        <v>944</v>
      </c>
    </row>
    <row r="262" spans="1:8" ht="15.75" x14ac:dyDescent="0.25">
      <c r="A262" s="4">
        <v>37323</v>
      </c>
      <c r="B262" s="3" t="s">
        <v>1</v>
      </c>
      <c r="C262" s="3">
        <v>156</v>
      </c>
      <c r="D262" s="3">
        <v>95</v>
      </c>
      <c r="E262" s="3" t="s">
        <v>3025</v>
      </c>
      <c r="F262" s="5" t="s">
        <v>1123</v>
      </c>
      <c r="G262" s="3" t="s">
        <v>3026</v>
      </c>
      <c r="H262" s="3" t="s">
        <v>945</v>
      </c>
    </row>
    <row r="263" spans="1:8" ht="15.75" x14ac:dyDescent="0.25">
      <c r="A263" s="4">
        <v>37085</v>
      </c>
      <c r="B263" s="3" t="s">
        <v>1</v>
      </c>
      <c r="C263" s="3">
        <v>153</v>
      </c>
      <c r="D263" s="3">
        <v>76</v>
      </c>
      <c r="E263" s="3" t="s">
        <v>3034</v>
      </c>
      <c r="F263" s="5" t="s">
        <v>1290</v>
      </c>
      <c r="G263" s="3" t="s">
        <v>3035</v>
      </c>
      <c r="H263" s="3" t="s">
        <v>950</v>
      </c>
    </row>
    <row r="264" spans="1:8" ht="15.75" x14ac:dyDescent="0.25">
      <c r="A264" s="4">
        <v>37736</v>
      </c>
      <c r="B264" s="3" t="s">
        <v>1</v>
      </c>
      <c r="C264" s="3">
        <v>152</v>
      </c>
      <c r="D264" s="3">
        <v>94</v>
      </c>
      <c r="E264" s="3" t="s">
        <v>3074</v>
      </c>
      <c r="F264" s="5" t="s">
        <v>1502</v>
      </c>
      <c r="G264" s="3" t="s">
        <v>3075</v>
      </c>
      <c r="H264" s="3" t="s">
        <v>970</v>
      </c>
    </row>
    <row r="265" spans="1:8" ht="15.75" x14ac:dyDescent="0.25">
      <c r="A265" s="4">
        <v>37419</v>
      </c>
      <c r="B265" s="3" t="s">
        <v>1</v>
      </c>
      <c r="C265" s="3">
        <v>167</v>
      </c>
      <c r="D265" s="3">
        <v>70</v>
      </c>
      <c r="E265" s="3" t="s">
        <v>3083</v>
      </c>
      <c r="F265" s="5" t="s">
        <v>1322</v>
      </c>
      <c r="G265" s="3" t="s">
        <v>3084</v>
      </c>
      <c r="H265" s="3" t="s">
        <v>975</v>
      </c>
    </row>
    <row r="266" spans="1:8" ht="15.75" x14ac:dyDescent="0.25">
      <c r="A266" s="4">
        <v>38423</v>
      </c>
      <c r="B266" s="3" t="s">
        <v>1</v>
      </c>
      <c r="C266" s="3">
        <v>159</v>
      </c>
      <c r="D266" s="3">
        <v>75</v>
      </c>
      <c r="E266" s="3" t="s">
        <v>3103</v>
      </c>
      <c r="F266" s="5" t="s">
        <v>1480</v>
      </c>
      <c r="G266" s="3" t="s">
        <v>3104</v>
      </c>
      <c r="H266" s="3" t="s">
        <v>985</v>
      </c>
    </row>
    <row r="267" spans="1:8" ht="15.75" x14ac:dyDescent="0.25">
      <c r="A267" s="4">
        <v>37741</v>
      </c>
      <c r="B267" s="3" t="s">
        <v>1</v>
      </c>
      <c r="C267" s="3">
        <v>168</v>
      </c>
      <c r="D267" s="3">
        <v>72</v>
      </c>
      <c r="E267" s="3" t="s">
        <v>3116</v>
      </c>
      <c r="F267" s="5" t="s">
        <v>1257</v>
      </c>
      <c r="G267" s="3" t="s">
        <v>3117</v>
      </c>
      <c r="H267" s="3" t="s">
        <v>992</v>
      </c>
    </row>
    <row r="268" spans="1:8" ht="15.75" x14ac:dyDescent="0.25">
      <c r="A268" s="4">
        <v>38331</v>
      </c>
      <c r="B268" s="3" t="s">
        <v>1</v>
      </c>
      <c r="C268" s="3">
        <v>159</v>
      </c>
      <c r="D268" s="3">
        <v>76</v>
      </c>
      <c r="E268" s="3" t="s">
        <v>3130</v>
      </c>
      <c r="F268" s="5" t="s">
        <v>1087</v>
      </c>
      <c r="G268" s="3" t="s">
        <v>3131</v>
      </c>
      <c r="H268" s="3" t="s">
        <v>999</v>
      </c>
    </row>
    <row r="269" spans="1:8" ht="15.75" x14ac:dyDescent="0.25">
      <c r="A269" s="4">
        <v>37183</v>
      </c>
      <c r="B269" s="3" t="s">
        <v>3</v>
      </c>
      <c r="C269" s="3">
        <v>175</v>
      </c>
      <c r="D269" s="3">
        <v>80</v>
      </c>
      <c r="E269" s="3" t="s">
        <v>1107</v>
      </c>
      <c r="F269" s="5" t="s">
        <v>1108</v>
      </c>
      <c r="G269" s="3" t="s">
        <v>1109</v>
      </c>
      <c r="H269" s="3" t="s">
        <v>33</v>
      </c>
    </row>
    <row r="270" spans="1:8" ht="15.75" x14ac:dyDescent="0.25">
      <c r="A270" s="4">
        <v>37638</v>
      </c>
      <c r="B270" s="3" t="s">
        <v>3</v>
      </c>
      <c r="C270" s="3">
        <v>157</v>
      </c>
      <c r="D270" s="3">
        <v>83</v>
      </c>
      <c r="E270" s="3" t="s">
        <v>1119</v>
      </c>
      <c r="F270" s="5" t="s">
        <v>1120</v>
      </c>
      <c r="G270" s="3" t="s">
        <v>1121</v>
      </c>
      <c r="H270" s="3" t="s">
        <v>37</v>
      </c>
    </row>
    <row r="271" spans="1:8" ht="15.75" x14ac:dyDescent="0.25">
      <c r="A271" s="4">
        <v>37063</v>
      </c>
      <c r="B271" s="3" t="s">
        <v>3</v>
      </c>
      <c r="C271" s="3">
        <v>156</v>
      </c>
      <c r="D271" s="3">
        <v>85</v>
      </c>
      <c r="E271" s="3" t="s">
        <v>1149</v>
      </c>
      <c r="F271" s="5" t="s">
        <v>1150</v>
      </c>
      <c r="G271" s="3" t="s">
        <v>1151</v>
      </c>
      <c r="H271" s="3" t="s">
        <v>48</v>
      </c>
    </row>
    <row r="272" spans="1:8" ht="15.75" x14ac:dyDescent="0.25">
      <c r="A272" s="4">
        <v>37784</v>
      </c>
      <c r="B272" s="3" t="s">
        <v>3</v>
      </c>
      <c r="C272" s="3">
        <v>150</v>
      </c>
      <c r="D272" s="3">
        <v>75</v>
      </c>
      <c r="E272" s="3" t="s">
        <v>1164</v>
      </c>
      <c r="F272" s="5" t="s">
        <v>1081</v>
      </c>
      <c r="G272" s="3" t="s">
        <v>1165</v>
      </c>
      <c r="H272" s="3" t="s">
        <v>54</v>
      </c>
    </row>
    <row r="273" spans="1:8" ht="15.75" x14ac:dyDescent="0.25">
      <c r="A273" s="4">
        <v>37267</v>
      </c>
      <c r="B273" s="3" t="s">
        <v>3</v>
      </c>
      <c r="C273" s="3">
        <v>153</v>
      </c>
      <c r="D273" s="3">
        <v>47</v>
      </c>
      <c r="E273" s="3" t="s">
        <v>1169</v>
      </c>
      <c r="F273" s="5" t="s">
        <v>1170</v>
      </c>
      <c r="G273" s="3" t="s">
        <v>1171</v>
      </c>
      <c r="H273" s="3" t="s">
        <v>56</v>
      </c>
    </row>
    <row r="274" spans="1:8" ht="15.75" x14ac:dyDescent="0.25">
      <c r="A274" s="4">
        <v>37502</v>
      </c>
      <c r="B274" s="3" t="s">
        <v>3</v>
      </c>
      <c r="C274" s="3">
        <v>172</v>
      </c>
      <c r="D274" s="3">
        <v>81</v>
      </c>
      <c r="E274" s="3" t="s">
        <v>1249</v>
      </c>
      <c r="F274" s="5" t="s">
        <v>1173</v>
      </c>
      <c r="G274" s="3" t="s">
        <v>1250</v>
      </c>
      <c r="H274" s="3" t="s">
        <v>86</v>
      </c>
    </row>
    <row r="275" spans="1:8" ht="15.75" x14ac:dyDescent="0.25">
      <c r="A275" s="4">
        <v>37061</v>
      </c>
      <c r="B275" s="3" t="s">
        <v>3</v>
      </c>
      <c r="C275" s="3">
        <v>177</v>
      </c>
      <c r="D275" s="3">
        <v>93</v>
      </c>
      <c r="E275" s="3" t="s">
        <v>1265</v>
      </c>
      <c r="F275" s="5" t="s">
        <v>1087</v>
      </c>
      <c r="G275" s="3" t="s">
        <v>1266</v>
      </c>
      <c r="H275" s="3" t="s">
        <v>92</v>
      </c>
    </row>
    <row r="276" spans="1:8" ht="15.75" x14ac:dyDescent="0.25">
      <c r="A276" s="4">
        <v>38242</v>
      </c>
      <c r="B276" s="3" t="s">
        <v>3</v>
      </c>
      <c r="C276" s="3">
        <v>165</v>
      </c>
      <c r="D276" s="3">
        <v>62</v>
      </c>
      <c r="E276" s="3" t="s">
        <v>1277</v>
      </c>
      <c r="F276" s="5" t="s">
        <v>1147</v>
      </c>
      <c r="G276" s="3" t="s">
        <v>1278</v>
      </c>
      <c r="H276" s="3" t="s">
        <v>97</v>
      </c>
    </row>
    <row r="277" spans="1:8" ht="15.75" x14ac:dyDescent="0.25">
      <c r="A277" s="4">
        <v>38030</v>
      </c>
      <c r="B277" s="3" t="s">
        <v>3</v>
      </c>
      <c r="C277" s="3">
        <v>161</v>
      </c>
      <c r="D277" s="3">
        <v>54</v>
      </c>
      <c r="E277" s="3" t="s">
        <v>1281</v>
      </c>
      <c r="F277" s="5" t="s">
        <v>1167</v>
      </c>
      <c r="G277" s="3" t="s">
        <v>1282</v>
      </c>
      <c r="H277" s="3" t="s">
        <v>99</v>
      </c>
    </row>
    <row r="278" spans="1:8" ht="15.75" x14ac:dyDescent="0.25">
      <c r="A278" s="4">
        <v>37195</v>
      </c>
      <c r="B278" s="3" t="s">
        <v>3</v>
      </c>
      <c r="C278" s="3">
        <v>153</v>
      </c>
      <c r="D278" s="3">
        <v>91</v>
      </c>
      <c r="E278" s="3" t="s">
        <v>1289</v>
      </c>
      <c r="F278" s="5" t="s">
        <v>1290</v>
      </c>
      <c r="G278" s="3" t="s">
        <v>1291</v>
      </c>
      <c r="H278" s="3" t="s">
        <v>102</v>
      </c>
    </row>
    <row r="279" spans="1:8" ht="15.75" x14ac:dyDescent="0.25">
      <c r="A279" s="4">
        <v>38200</v>
      </c>
      <c r="B279" s="3" t="s">
        <v>3</v>
      </c>
      <c r="C279" s="3">
        <v>176</v>
      </c>
      <c r="D279" s="3">
        <v>50</v>
      </c>
      <c r="E279" s="3" t="s">
        <v>1297</v>
      </c>
      <c r="F279" s="5" t="s">
        <v>1298</v>
      </c>
      <c r="G279" s="3" t="s">
        <v>1299</v>
      </c>
      <c r="H279" s="3" t="s">
        <v>105</v>
      </c>
    </row>
    <row r="280" spans="1:8" ht="15.75" x14ac:dyDescent="0.25">
      <c r="A280" s="4">
        <v>37658</v>
      </c>
      <c r="B280" s="3" t="s">
        <v>3</v>
      </c>
      <c r="C280" s="3">
        <v>172</v>
      </c>
      <c r="D280" s="3">
        <v>52</v>
      </c>
      <c r="E280" s="3" t="s">
        <v>1306</v>
      </c>
      <c r="F280" s="5" t="s">
        <v>1126</v>
      </c>
      <c r="G280" s="3" t="s">
        <v>1307</v>
      </c>
      <c r="H280" s="3" t="s">
        <v>109</v>
      </c>
    </row>
    <row r="281" spans="1:8" ht="15.75" x14ac:dyDescent="0.25">
      <c r="A281" s="4">
        <v>37593</v>
      </c>
      <c r="B281" s="3" t="s">
        <v>3</v>
      </c>
      <c r="C281" s="3">
        <v>167</v>
      </c>
      <c r="D281" s="3">
        <v>60</v>
      </c>
      <c r="E281" s="3" t="s">
        <v>1351</v>
      </c>
      <c r="F281" s="5" t="s">
        <v>1223</v>
      </c>
      <c r="G281" s="3" t="s">
        <v>1352</v>
      </c>
      <c r="H281" s="3" t="s">
        <v>127</v>
      </c>
    </row>
    <row r="282" spans="1:8" ht="15.75" x14ac:dyDescent="0.25">
      <c r="A282" s="4">
        <v>37119</v>
      </c>
      <c r="B282" s="3" t="s">
        <v>3</v>
      </c>
      <c r="C282" s="3">
        <v>174</v>
      </c>
      <c r="D282" s="3">
        <v>93</v>
      </c>
      <c r="E282" s="3" t="s">
        <v>1380</v>
      </c>
      <c r="F282" s="5" t="s">
        <v>1150</v>
      </c>
      <c r="G282" s="3" t="s">
        <v>1381</v>
      </c>
      <c r="H282" s="3" t="s">
        <v>140</v>
      </c>
    </row>
    <row r="283" spans="1:8" ht="15.75" x14ac:dyDescent="0.25">
      <c r="A283" s="4">
        <v>37900</v>
      </c>
      <c r="B283" s="3" t="s">
        <v>3</v>
      </c>
      <c r="C283" s="3">
        <v>166</v>
      </c>
      <c r="D283" s="3">
        <v>67</v>
      </c>
      <c r="E283" s="3" t="s">
        <v>1393</v>
      </c>
      <c r="F283" s="5" t="s">
        <v>1394</v>
      </c>
      <c r="G283" s="3" t="s">
        <v>1395</v>
      </c>
      <c r="H283" s="3" t="s">
        <v>146</v>
      </c>
    </row>
    <row r="284" spans="1:8" ht="15.75" x14ac:dyDescent="0.25">
      <c r="A284" s="4">
        <v>38017</v>
      </c>
      <c r="B284" s="3" t="s">
        <v>3</v>
      </c>
      <c r="C284" s="3">
        <v>164</v>
      </c>
      <c r="D284" s="3">
        <v>79</v>
      </c>
      <c r="E284" s="3" t="s">
        <v>1403</v>
      </c>
      <c r="F284" s="5" t="s">
        <v>1213</v>
      </c>
      <c r="G284" s="3" t="s">
        <v>1404</v>
      </c>
      <c r="H284" s="3" t="s">
        <v>150</v>
      </c>
    </row>
    <row r="285" spans="1:8" ht="15.75" x14ac:dyDescent="0.25">
      <c r="A285" s="4">
        <v>38014</v>
      </c>
      <c r="B285" s="3" t="s">
        <v>3</v>
      </c>
      <c r="C285" s="3">
        <v>163</v>
      </c>
      <c r="D285" s="3">
        <v>87</v>
      </c>
      <c r="E285" s="3" t="s">
        <v>1418</v>
      </c>
      <c r="F285" s="5" t="s">
        <v>1126</v>
      </c>
      <c r="G285" s="3" t="s">
        <v>1419</v>
      </c>
      <c r="H285" s="3" t="s">
        <v>157</v>
      </c>
    </row>
    <row r="286" spans="1:8" ht="15.75" x14ac:dyDescent="0.25">
      <c r="A286" s="4">
        <v>37876</v>
      </c>
      <c r="B286" s="3" t="s">
        <v>3</v>
      </c>
      <c r="C286" s="3">
        <v>160</v>
      </c>
      <c r="D286" s="3">
        <v>50</v>
      </c>
      <c r="E286" s="3" t="s">
        <v>1422</v>
      </c>
      <c r="F286" s="5" t="s">
        <v>1226</v>
      </c>
      <c r="G286" s="3" t="s">
        <v>1423</v>
      </c>
      <c r="H286" s="3" t="s">
        <v>159</v>
      </c>
    </row>
    <row r="287" spans="1:8" ht="15.75" x14ac:dyDescent="0.25">
      <c r="A287" s="4">
        <v>38347</v>
      </c>
      <c r="B287" s="3" t="s">
        <v>3</v>
      </c>
      <c r="C287" s="3">
        <v>177</v>
      </c>
      <c r="D287" s="3">
        <v>61</v>
      </c>
      <c r="E287" s="3" t="s">
        <v>1424</v>
      </c>
      <c r="F287" s="5" t="s">
        <v>1069</v>
      </c>
      <c r="G287" s="3" t="s">
        <v>1425</v>
      </c>
      <c r="H287" s="3" t="s">
        <v>160</v>
      </c>
    </row>
    <row r="288" spans="1:8" ht="15.75" x14ac:dyDescent="0.25">
      <c r="A288" s="4">
        <v>38012</v>
      </c>
      <c r="B288" s="3" t="s">
        <v>3</v>
      </c>
      <c r="C288" s="3">
        <v>155</v>
      </c>
      <c r="D288" s="3">
        <v>53</v>
      </c>
      <c r="E288" s="3" t="s">
        <v>1473</v>
      </c>
      <c r="F288" s="5" t="s">
        <v>1231</v>
      </c>
      <c r="G288" s="3" t="s">
        <v>1474</v>
      </c>
      <c r="H288" s="3" t="s">
        <v>183</v>
      </c>
    </row>
    <row r="289" spans="1:8" ht="15.75" x14ac:dyDescent="0.25">
      <c r="A289" s="4">
        <v>37668</v>
      </c>
      <c r="B289" s="3" t="s">
        <v>3</v>
      </c>
      <c r="C289" s="3">
        <v>158</v>
      </c>
      <c r="D289" s="3">
        <v>79</v>
      </c>
      <c r="E289" s="3" t="s">
        <v>1487</v>
      </c>
      <c r="F289" s="5" t="s">
        <v>1488</v>
      </c>
      <c r="G289" s="3" t="s">
        <v>1489</v>
      </c>
      <c r="H289" s="3" t="s">
        <v>189</v>
      </c>
    </row>
    <row r="290" spans="1:8" ht="15.75" x14ac:dyDescent="0.25">
      <c r="A290" s="4">
        <v>37964</v>
      </c>
      <c r="B290" s="3" t="s">
        <v>3</v>
      </c>
      <c r="C290" s="3">
        <v>166</v>
      </c>
      <c r="D290" s="3">
        <v>51</v>
      </c>
      <c r="E290" s="3" t="s">
        <v>1506</v>
      </c>
      <c r="F290" s="5" t="s">
        <v>1502</v>
      </c>
      <c r="G290" s="3" t="s">
        <v>1507</v>
      </c>
      <c r="H290" s="3" t="s">
        <v>198</v>
      </c>
    </row>
    <row r="291" spans="1:8" ht="15.75" x14ac:dyDescent="0.25">
      <c r="A291" s="4">
        <v>37067</v>
      </c>
      <c r="B291" s="3" t="s">
        <v>3</v>
      </c>
      <c r="C291" s="3">
        <v>153</v>
      </c>
      <c r="D291" s="3">
        <v>84</v>
      </c>
      <c r="E291" s="3" t="s">
        <v>1524</v>
      </c>
      <c r="F291" s="5" t="s">
        <v>1063</v>
      </c>
      <c r="G291" s="3" t="s">
        <v>1525</v>
      </c>
      <c r="H291" s="3" t="s">
        <v>207</v>
      </c>
    </row>
    <row r="292" spans="1:8" ht="15.75" x14ac:dyDescent="0.25">
      <c r="A292" s="4">
        <v>37024</v>
      </c>
      <c r="B292" s="3" t="s">
        <v>3</v>
      </c>
      <c r="C292" s="3">
        <v>163</v>
      </c>
      <c r="D292" s="3">
        <v>53</v>
      </c>
      <c r="E292" s="3" t="s">
        <v>1526</v>
      </c>
      <c r="F292" s="5" t="s">
        <v>1527</v>
      </c>
      <c r="G292" s="3" t="s">
        <v>1528</v>
      </c>
      <c r="H292" s="3" t="s">
        <v>208</v>
      </c>
    </row>
    <row r="293" spans="1:8" ht="15.75" x14ac:dyDescent="0.25">
      <c r="A293" s="4">
        <v>37601</v>
      </c>
      <c r="B293" s="3" t="s">
        <v>3</v>
      </c>
      <c r="C293" s="3">
        <v>168</v>
      </c>
      <c r="D293" s="3">
        <v>88</v>
      </c>
      <c r="E293" s="3" t="s">
        <v>1549</v>
      </c>
      <c r="F293" s="5" t="s">
        <v>1173</v>
      </c>
      <c r="G293" s="3" t="s">
        <v>1550</v>
      </c>
      <c r="H293" s="3" t="s">
        <v>218</v>
      </c>
    </row>
    <row r="294" spans="1:8" ht="15.75" x14ac:dyDescent="0.25">
      <c r="A294" s="4">
        <v>37062</v>
      </c>
      <c r="B294" s="3" t="s">
        <v>3</v>
      </c>
      <c r="C294" s="3">
        <v>157</v>
      </c>
      <c r="D294" s="3">
        <v>77</v>
      </c>
      <c r="E294" s="3" t="s">
        <v>1573</v>
      </c>
      <c r="F294" s="5" t="s">
        <v>1574</v>
      </c>
      <c r="G294" s="3" t="s">
        <v>1575</v>
      </c>
      <c r="H294" s="3" t="s">
        <v>230</v>
      </c>
    </row>
    <row r="295" spans="1:8" ht="15.75" x14ac:dyDescent="0.25">
      <c r="A295" s="4">
        <v>37847</v>
      </c>
      <c r="B295" s="3" t="s">
        <v>3</v>
      </c>
      <c r="C295" s="3">
        <v>171</v>
      </c>
      <c r="D295" s="3">
        <v>75</v>
      </c>
      <c r="E295" s="3" t="s">
        <v>1576</v>
      </c>
      <c r="F295" s="5" t="s">
        <v>1197</v>
      </c>
      <c r="G295" s="3" t="s">
        <v>1577</v>
      </c>
      <c r="H295" s="3" t="s">
        <v>231</v>
      </c>
    </row>
    <row r="296" spans="1:8" ht="15.75" x14ac:dyDescent="0.25">
      <c r="A296" s="4">
        <v>37898</v>
      </c>
      <c r="B296" s="3" t="s">
        <v>3</v>
      </c>
      <c r="C296" s="3">
        <v>150</v>
      </c>
      <c r="D296" s="3">
        <v>71</v>
      </c>
      <c r="E296" s="3" t="s">
        <v>1578</v>
      </c>
      <c r="F296" s="5" t="s">
        <v>1231</v>
      </c>
      <c r="G296" s="3" t="s">
        <v>1579</v>
      </c>
      <c r="H296" s="3" t="s">
        <v>232</v>
      </c>
    </row>
    <row r="297" spans="1:8" ht="15.75" x14ac:dyDescent="0.25">
      <c r="A297" s="4">
        <v>37400</v>
      </c>
      <c r="B297" s="3" t="s">
        <v>3</v>
      </c>
      <c r="C297" s="3">
        <v>169</v>
      </c>
      <c r="D297" s="3">
        <v>48</v>
      </c>
      <c r="E297" s="3" t="s">
        <v>1580</v>
      </c>
      <c r="F297" s="5" t="s">
        <v>1429</v>
      </c>
      <c r="G297" s="3" t="s">
        <v>1581</v>
      </c>
      <c r="H297" s="3" t="s">
        <v>233</v>
      </c>
    </row>
    <row r="298" spans="1:8" ht="15.75" x14ac:dyDescent="0.25">
      <c r="A298" s="4">
        <v>37488</v>
      </c>
      <c r="B298" s="3" t="s">
        <v>3</v>
      </c>
      <c r="C298" s="3">
        <v>175</v>
      </c>
      <c r="D298" s="3">
        <v>53</v>
      </c>
      <c r="E298" s="3" t="s">
        <v>1591</v>
      </c>
      <c r="F298" s="5" t="s">
        <v>1309</v>
      </c>
      <c r="G298" s="3" t="s">
        <v>1592</v>
      </c>
      <c r="H298" s="3" t="s">
        <v>238</v>
      </c>
    </row>
    <row r="299" spans="1:8" ht="15.75" x14ac:dyDescent="0.25">
      <c r="A299" s="4">
        <v>37563</v>
      </c>
      <c r="B299" s="3" t="s">
        <v>3</v>
      </c>
      <c r="C299" s="3">
        <v>179</v>
      </c>
      <c r="D299" s="3">
        <v>54</v>
      </c>
      <c r="E299" s="3" t="s">
        <v>1628</v>
      </c>
      <c r="F299" s="5" t="s">
        <v>1290</v>
      </c>
      <c r="G299" s="3" t="s">
        <v>1629</v>
      </c>
      <c r="H299" s="3" t="s">
        <v>256</v>
      </c>
    </row>
    <row r="300" spans="1:8" ht="15.75" x14ac:dyDescent="0.25">
      <c r="A300" s="4">
        <v>38331</v>
      </c>
      <c r="B300" s="3" t="s">
        <v>3</v>
      </c>
      <c r="C300" s="3">
        <v>160</v>
      </c>
      <c r="D300" s="3">
        <v>74</v>
      </c>
      <c r="E300" s="3" t="s">
        <v>1654</v>
      </c>
      <c r="F300" s="5" t="s">
        <v>1136</v>
      </c>
      <c r="G300" s="3" t="s">
        <v>1655</v>
      </c>
      <c r="H300" s="3" t="s">
        <v>269</v>
      </c>
    </row>
    <row r="301" spans="1:8" ht="15.75" x14ac:dyDescent="0.25">
      <c r="A301" s="4">
        <v>37808</v>
      </c>
      <c r="B301" s="3" t="s">
        <v>3</v>
      </c>
      <c r="C301" s="3">
        <v>174</v>
      </c>
      <c r="D301" s="3">
        <v>86</v>
      </c>
      <c r="E301" s="3" t="s">
        <v>1660</v>
      </c>
      <c r="F301" s="5" t="s">
        <v>1284</v>
      </c>
      <c r="G301" s="3" t="s">
        <v>1661</v>
      </c>
      <c r="H301" s="3" t="s">
        <v>272</v>
      </c>
    </row>
    <row r="302" spans="1:8" ht="15.75" x14ac:dyDescent="0.25">
      <c r="A302" s="4">
        <v>37757</v>
      </c>
      <c r="B302" s="3" t="s">
        <v>3</v>
      </c>
      <c r="C302" s="3">
        <v>150</v>
      </c>
      <c r="D302" s="3">
        <v>91</v>
      </c>
      <c r="E302" s="3" t="s">
        <v>1668</v>
      </c>
      <c r="F302" s="5" t="s">
        <v>1207</v>
      </c>
      <c r="G302" s="3" t="s">
        <v>1669</v>
      </c>
      <c r="H302" s="3" t="s">
        <v>276</v>
      </c>
    </row>
    <row r="303" spans="1:8" ht="15.75" x14ac:dyDescent="0.25">
      <c r="A303" s="4">
        <v>37872</v>
      </c>
      <c r="B303" s="3" t="s">
        <v>3</v>
      </c>
      <c r="C303" s="3">
        <v>150</v>
      </c>
      <c r="D303" s="3">
        <v>46</v>
      </c>
      <c r="E303" s="3" t="s">
        <v>1685</v>
      </c>
      <c r="F303" s="5" t="s">
        <v>1527</v>
      </c>
      <c r="G303" s="3" t="s">
        <v>1686</v>
      </c>
      <c r="H303" s="3" t="s">
        <v>284</v>
      </c>
    </row>
    <row r="304" spans="1:8" ht="15.75" x14ac:dyDescent="0.25">
      <c r="A304" s="4">
        <v>38175</v>
      </c>
      <c r="B304" s="3" t="s">
        <v>3</v>
      </c>
      <c r="C304" s="3">
        <v>155</v>
      </c>
      <c r="D304" s="3">
        <v>76</v>
      </c>
      <c r="E304" s="3" t="s">
        <v>1689</v>
      </c>
      <c r="F304" s="5" t="s">
        <v>1063</v>
      </c>
      <c r="G304" s="3" t="s">
        <v>1690</v>
      </c>
      <c r="H304" s="3" t="s">
        <v>286</v>
      </c>
    </row>
    <row r="305" spans="1:8" ht="15.75" x14ac:dyDescent="0.25">
      <c r="A305" s="4">
        <v>37553</v>
      </c>
      <c r="B305" s="3" t="s">
        <v>3</v>
      </c>
      <c r="C305" s="3">
        <v>150</v>
      </c>
      <c r="D305" s="3">
        <v>53</v>
      </c>
      <c r="E305" s="3" t="s">
        <v>1705</v>
      </c>
      <c r="F305" s="5" t="s">
        <v>1170</v>
      </c>
      <c r="G305" s="3" t="s">
        <v>1706</v>
      </c>
      <c r="H305" s="3" t="s">
        <v>294</v>
      </c>
    </row>
    <row r="306" spans="1:8" ht="15.75" x14ac:dyDescent="0.25">
      <c r="A306" s="4">
        <v>37011</v>
      </c>
      <c r="B306" s="3" t="s">
        <v>3</v>
      </c>
      <c r="C306" s="3">
        <v>168</v>
      </c>
      <c r="D306" s="3">
        <v>54</v>
      </c>
      <c r="E306" s="3" t="s">
        <v>1707</v>
      </c>
      <c r="F306" s="5" t="s">
        <v>1401</v>
      </c>
      <c r="G306" s="3" t="s">
        <v>1708</v>
      </c>
      <c r="H306" s="3" t="s">
        <v>295</v>
      </c>
    </row>
    <row r="307" spans="1:8" ht="15.75" x14ac:dyDescent="0.25">
      <c r="A307" s="4">
        <v>37630</v>
      </c>
      <c r="B307" s="3" t="s">
        <v>3</v>
      </c>
      <c r="C307" s="3">
        <v>152</v>
      </c>
      <c r="D307" s="3">
        <v>63</v>
      </c>
      <c r="E307" s="3" t="s">
        <v>1714</v>
      </c>
      <c r="F307" s="5" t="s">
        <v>1594</v>
      </c>
      <c r="G307" s="3" t="s">
        <v>1715</v>
      </c>
      <c r="H307" s="3" t="s">
        <v>298</v>
      </c>
    </row>
    <row r="308" spans="1:8" ht="15.75" x14ac:dyDescent="0.25">
      <c r="A308" s="4">
        <v>37102</v>
      </c>
      <c r="B308" s="3" t="s">
        <v>3</v>
      </c>
      <c r="C308" s="3">
        <v>157</v>
      </c>
      <c r="D308" s="3">
        <v>90</v>
      </c>
      <c r="E308" s="3" t="s">
        <v>1721</v>
      </c>
      <c r="F308" s="5" t="s">
        <v>1087</v>
      </c>
      <c r="G308" s="3" t="s">
        <v>1722</v>
      </c>
      <c r="H308" s="3" t="s">
        <v>301</v>
      </c>
    </row>
    <row r="309" spans="1:8" ht="15.75" x14ac:dyDescent="0.25">
      <c r="A309" s="4">
        <v>38176</v>
      </c>
      <c r="B309" s="3" t="s">
        <v>3</v>
      </c>
      <c r="C309" s="3">
        <v>171</v>
      </c>
      <c r="D309" s="3">
        <v>88</v>
      </c>
      <c r="E309" s="3" t="s">
        <v>1725</v>
      </c>
      <c r="F309" s="5" t="s">
        <v>1100</v>
      </c>
      <c r="G309" s="3" t="s">
        <v>1726</v>
      </c>
      <c r="H309" s="3" t="s">
        <v>303</v>
      </c>
    </row>
    <row r="310" spans="1:8" ht="15.75" x14ac:dyDescent="0.25">
      <c r="A310" s="4">
        <v>38238</v>
      </c>
      <c r="B310" s="3" t="s">
        <v>3</v>
      </c>
      <c r="C310" s="3">
        <v>179</v>
      </c>
      <c r="D310" s="3">
        <v>67</v>
      </c>
      <c r="E310" s="3" t="s">
        <v>1735</v>
      </c>
      <c r="F310" s="5" t="s">
        <v>1284</v>
      </c>
      <c r="G310" s="3" t="s">
        <v>1736</v>
      </c>
      <c r="H310" s="3" t="s">
        <v>308</v>
      </c>
    </row>
    <row r="311" spans="1:8" ht="15.75" x14ac:dyDescent="0.25">
      <c r="A311" s="4">
        <v>38222</v>
      </c>
      <c r="B311" s="3" t="s">
        <v>3</v>
      </c>
      <c r="C311" s="3">
        <v>170</v>
      </c>
      <c r="D311" s="3">
        <v>64</v>
      </c>
      <c r="E311" s="3" t="s">
        <v>1745</v>
      </c>
      <c r="F311" s="5" t="s">
        <v>1358</v>
      </c>
      <c r="G311" s="3" t="s">
        <v>1746</v>
      </c>
      <c r="H311" s="3" t="s">
        <v>313</v>
      </c>
    </row>
    <row r="312" spans="1:8" ht="15.75" x14ac:dyDescent="0.25">
      <c r="A312" s="4">
        <v>38291</v>
      </c>
      <c r="B312" s="3" t="s">
        <v>3</v>
      </c>
      <c r="C312" s="3">
        <v>167</v>
      </c>
      <c r="D312" s="3">
        <v>60</v>
      </c>
      <c r="E312" s="3" t="s">
        <v>1751</v>
      </c>
      <c r="F312" s="5" t="s">
        <v>1322</v>
      </c>
      <c r="G312" s="3" t="s">
        <v>1752</v>
      </c>
      <c r="H312" s="3" t="s">
        <v>316</v>
      </c>
    </row>
    <row r="313" spans="1:8" ht="15.75" x14ac:dyDescent="0.25">
      <c r="A313" s="4">
        <v>37670</v>
      </c>
      <c r="B313" s="3" t="s">
        <v>3</v>
      </c>
      <c r="C313" s="3">
        <v>150</v>
      </c>
      <c r="D313" s="3">
        <v>50</v>
      </c>
      <c r="E313" s="3" t="s">
        <v>1757</v>
      </c>
      <c r="F313" s="5" t="s">
        <v>1683</v>
      </c>
      <c r="G313" s="3" t="s">
        <v>1758</v>
      </c>
      <c r="H313" s="3" t="s">
        <v>319</v>
      </c>
    </row>
    <row r="314" spans="1:8" ht="15.75" x14ac:dyDescent="0.25">
      <c r="A314" s="4">
        <v>37771</v>
      </c>
      <c r="B314" s="3" t="s">
        <v>3</v>
      </c>
      <c r="C314" s="3">
        <v>176</v>
      </c>
      <c r="D314" s="3">
        <v>87</v>
      </c>
      <c r="E314" s="3" t="s">
        <v>1762</v>
      </c>
      <c r="F314" s="5" t="s">
        <v>1394</v>
      </c>
      <c r="G314" s="3" t="s">
        <v>1763</v>
      </c>
      <c r="H314" s="3" t="s">
        <v>1005</v>
      </c>
    </row>
    <row r="315" spans="1:8" ht="15.75" x14ac:dyDescent="0.25">
      <c r="A315" s="4">
        <v>37438</v>
      </c>
      <c r="B315" s="3" t="s">
        <v>3</v>
      </c>
      <c r="C315" s="3">
        <v>159</v>
      </c>
      <c r="D315" s="3">
        <v>89</v>
      </c>
      <c r="E315" s="3" t="s">
        <v>1787</v>
      </c>
      <c r="F315" s="5" t="s">
        <v>1223</v>
      </c>
      <c r="G315" s="3" t="s">
        <v>1788</v>
      </c>
      <c r="H315" s="3" t="s">
        <v>333</v>
      </c>
    </row>
    <row r="316" spans="1:8" ht="15.75" x14ac:dyDescent="0.25">
      <c r="A316" s="4">
        <v>37726</v>
      </c>
      <c r="B316" s="3" t="s">
        <v>3</v>
      </c>
      <c r="C316" s="3">
        <v>166</v>
      </c>
      <c r="D316" s="3">
        <v>63</v>
      </c>
      <c r="E316" s="3" t="s">
        <v>1793</v>
      </c>
      <c r="F316" s="5" t="s">
        <v>1218</v>
      </c>
      <c r="G316" s="3" t="s">
        <v>1794</v>
      </c>
      <c r="H316" s="3" t="s">
        <v>336</v>
      </c>
    </row>
    <row r="317" spans="1:8" ht="15.75" x14ac:dyDescent="0.25">
      <c r="A317" s="4">
        <v>38159</v>
      </c>
      <c r="B317" s="3" t="s">
        <v>3</v>
      </c>
      <c r="C317" s="3">
        <v>164</v>
      </c>
      <c r="D317" s="3">
        <v>45</v>
      </c>
      <c r="E317" s="3" t="s">
        <v>1795</v>
      </c>
      <c r="F317" s="5" t="s">
        <v>1483</v>
      </c>
      <c r="G317" s="3" t="s">
        <v>1796</v>
      </c>
      <c r="H317" s="3" t="s">
        <v>337</v>
      </c>
    </row>
    <row r="318" spans="1:8" ht="15.75" x14ac:dyDescent="0.25">
      <c r="A318" s="4">
        <v>37540</v>
      </c>
      <c r="B318" s="3" t="s">
        <v>3</v>
      </c>
      <c r="C318" s="3">
        <v>158</v>
      </c>
      <c r="D318" s="3">
        <v>60</v>
      </c>
      <c r="E318" s="3" t="s">
        <v>1799</v>
      </c>
      <c r="F318" s="5" t="s">
        <v>1111</v>
      </c>
      <c r="G318" s="3" t="s">
        <v>1800</v>
      </c>
      <c r="H318" s="3" t="s">
        <v>339</v>
      </c>
    </row>
    <row r="319" spans="1:8" ht="15.75" x14ac:dyDescent="0.25">
      <c r="A319" s="4">
        <v>38010</v>
      </c>
      <c r="B319" s="3" t="s">
        <v>3</v>
      </c>
      <c r="C319" s="3">
        <v>153</v>
      </c>
      <c r="D319" s="3">
        <v>45</v>
      </c>
      <c r="E319" s="3" t="s">
        <v>1821</v>
      </c>
      <c r="F319" s="5" t="s">
        <v>1822</v>
      </c>
      <c r="G319" s="3" t="s">
        <v>1823</v>
      </c>
      <c r="H319" s="3" t="s">
        <v>17</v>
      </c>
    </row>
    <row r="320" spans="1:8" ht="15.75" x14ac:dyDescent="0.25">
      <c r="A320" s="4">
        <v>37815</v>
      </c>
      <c r="B320" s="3" t="s">
        <v>3</v>
      </c>
      <c r="C320" s="3">
        <v>165</v>
      </c>
      <c r="D320" s="3">
        <v>82</v>
      </c>
      <c r="E320" s="3" t="s">
        <v>1840</v>
      </c>
      <c r="F320" s="5" t="s">
        <v>1527</v>
      </c>
      <c r="G320" s="3" t="s">
        <v>1841</v>
      </c>
      <c r="H320" s="3" t="s">
        <v>357</v>
      </c>
    </row>
    <row r="321" spans="1:8" ht="15.75" x14ac:dyDescent="0.25">
      <c r="A321" s="4">
        <v>37740</v>
      </c>
      <c r="B321" s="3" t="s">
        <v>3</v>
      </c>
      <c r="C321" s="3">
        <v>152</v>
      </c>
      <c r="D321" s="3">
        <v>54</v>
      </c>
      <c r="E321" s="3" t="s">
        <v>1859</v>
      </c>
      <c r="F321" s="5" t="s">
        <v>1126</v>
      </c>
      <c r="G321" s="3" t="s">
        <v>1860</v>
      </c>
      <c r="H321" s="3" t="s">
        <v>366</v>
      </c>
    </row>
    <row r="322" spans="1:8" ht="15.75" x14ac:dyDescent="0.25">
      <c r="A322" s="4">
        <v>37333</v>
      </c>
      <c r="B322" s="3" t="s">
        <v>3</v>
      </c>
      <c r="C322" s="3">
        <v>180</v>
      </c>
      <c r="D322" s="3">
        <v>55</v>
      </c>
      <c r="E322" s="3" t="s">
        <v>1886</v>
      </c>
      <c r="F322" s="5" t="s">
        <v>1347</v>
      </c>
      <c r="G322" s="3" t="s">
        <v>1887</v>
      </c>
      <c r="H322" s="3" t="s">
        <v>379</v>
      </c>
    </row>
    <row r="323" spans="1:8" ht="15.75" x14ac:dyDescent="0.25">
      <c r="A323" s="4">
        <v>38017</v>
      </c>
      <c r="B323" s="3" t="s">
        <v>3</v>
      </c>
      <c r="C323" s="3">
        <v>160</v>
      </c>
      <c r="D323" s="3">
        <v>60</v>
      </c>
      <c r="E323" s="3" t="s">
        <v>1926</v>
      </c>
      <c r="F323" s="5" t="s">
        <v>1187</v>
      </c>
      <c r="G323" s="3" t="s">
        <v>1927</v>
      </c>
      <c r="H323" s="3" t="s">
        <v>399</v>
      </c>
    </row>
    <row r="324" spans="1:8" ht="15.75" x14ac:dyDescent="0.25">
      <c r="A324" s="4">
        <v>38450</v>
      </c>
      <c r="B324" s="3" t="s">
        <v>3</v>
      </c>
      <c r="C324" s="3">
        <v>177</v>
      </c>
      <c r="D324" s="3">
        <v>76</v>
      </c>
      <c r="E324" s="3" t="s">
        <v>1939</v>
      </c>
      <c r="F324" s="5" t="s">
        <v>1150</v>
      </c>
      <c r="G324" s="3" t="s">
        <v>1940</v>
      </c>
      <c r="H324" s="3" t="s">
        <v>405</v>
      </c>
    </row>
    <row r="325" spans="1:8" ht="15.75" x14ac:dyDescent="0.25">
      <c r="A325" s="4">
        <v>38461</v>
      </c>
      <c r="B325" s="3" t="s">
        <v>3</v>
      </c>
      <c r="C325" s="3">
        <v>168</v>
      </c>
      <c r="D325" s="3">
        <v>74</v>
      </c>
      <c r="E325" s="3" t="s">
        <v>1961</v>
      </c>
      <c r="F325" s="5" t="s">
        <v>1210</v>
      </c>
      <c r="G325" s="3" t="s">
        <v>1962</v>
      </c>
      <c r="H325" s="3" t="s">
        <v>416</v>
      </c>
    </row>
    <row r="326" spans="1:8" ht="15.75" x14ac:dyDescent="0.25">
      <c r="A326" s="4">
        <v>37134</v>
      </c>
      <c r="B326" s="3" t="s">
        <v>3</v>
      </c>
      <c r="C326" s="3">
        <v>154</v>
      </c>
      <c r="D326" s="3">
        <v>52</v>
      </c>
      <c r="E326" s="3" t="s">
        <v>1967</v>
      </c>
      <c r="F326" s="5" t="s">
        <v>1760</v>
      </c>
      <c r="G326" s="3" t="s">
        <v>1968</v>
      </c>
      <c r="H326" s="3" t="s">
        <v>419</v>
      </c>
    </row>
    <row r="327" spans="1:8" ht="15.75" x14ac:dyDescent="0.25">
      <c r="A327" s="4">
        <v>38253</v>
      </c>
      <c r="B327" s="3" t="s">
        <v>3</v>
      </c>
      <c r="C327" s="3">
        <v>168</v>
      </c>
      <c r="D327" s="3">
        <v>87</v>
      </c>
      <c r="E327" s="3" t="s">
        <v>1973</v>
      </c>
      <c r="F327" s="5" t="s">
        <v>1974</v>
      </c>
      <c r="G327" s="3" t="s">
        <v>1975</v>
      </c>
      <c r="H327" s="3" t="s">
        <v>421</v>
      </c>
    </row>
    <row r="328" spans="1:8" ht="15.75" x14ac:dyDescent="0.25">
      <c r="A328" s="4">
        <v>38188</v>
      </c>
      <c r="B328" s="3" t="s">
        <v>3</v>
      </c>
      <c r="C328" s="3">
        <v>158</v>
      </c>
      <c r="D328" s="3">
        <v>91</v>
      </c>
      <c r="E328" s="3" t="s">
        <v>2003</v>
      </c>
      <c r="F328" s="5" t="s">
        <v>1268</v>
      </c>
      <c r="G328" s="3" t="s">
        <v>2004</v>
      </c>
      <c r="H328" s="3" t="s">
        <v>436</v>
      </c>
    </row>
    <row r="329" spans="1:8" ht="15.75" x14ac:dyDescent="0.25">
      <c r="A329" s="4">
        <v>37815</v>
      </c>
      <c r="B329" s="3" t="s">
        <v>3</v>
      </c>
      <c r="C329" s="3">
        <v>173</v>
      </c>
      <c r="D329" s="3">
        <v>86</v>
      </c>
      <c r="E329" s="3" t="s">
        <v>2021</v>
      </c>
      <c r="F329" s="5" t="s">
        <v>1231</v>
      </c>
      <c r="G329" s="3" t="s">
        <v>2022</v>
      </c>
      <c r="H329" s="3" t="s">
        <v>444</v>
      </c>
    </row>
    <row r="330" spans="1:8" ht="15.75" x14ac:dyDescent="0.25">
      <c r="A330" s="4">
        <v>37613</v>
      </c>
      <c r="B330" s="3" t="s">
        <v>3</v>
      </c>
      <c r="C330" s="3">
        <v>171</v>
      </c>
      <c r="D330" s="3">
        <v>72</v>
      </c>
      <c r="E330" s="3" t="s">
        <v>2033</v>
      </c>
      <c r="F330" s="5" t="s">
        <v>1537</v>
      </c>
      <c r="G330" s="3" t="s">
        <v>2034</v>
      </c>
      <c r="H330" s="3" t="s">
        <v>450</v>
      </c>
    </row>
    <row r="331" spans="1:8" ht="15.75" x14ac:dyDescent="0.25">
      <c r="A331" s="4">
        <v>37995</v>
      </c>
      <c r="B331" s="3" t="s">
        <v>3</v>
      </c>
      <c r="C331" s="3">
        <v>158</v>
      </c>
      <c r="D331" s="3">
        <v>68</v>
      </c>
      <c r="E331" s="3" t="s">
        <v>2039</v>
      </c>
      <c r="F331" s="5" t="s">
        <v>1862</v>
      </c>
      <c r="G331" s="3" t="s">
        <v>2040</v>
      </c>
      <c r="H331" s="3" t="s">
        <v>453</v>
      </c>
    </row>
    <row r="332" spans="1:8" ht="15.75" x14ac:dyDescent="0.25">
      <c r="A332" s="4">
        <v>38185</v>
      </c>
      <c r="B332" s="3" t="s">
        <v>3</v>
      </c>
      <c r="C332" s="3">
        <v>171</v>
      </c>
      <c r="D332" s="3">
        <v>58</v>
      </c>
      <c r="E332" s="3" t="s">
        <v>1598</v>
      </c>
      <c r="F332" s="5" t="s">
        <v>1268</v>
      </c>
      <c r="G332" s="3" t="s">
        <v>2053</v>
      </c>
      <c r="H332" s="3" t="s">
        <v>460</v>
      </c>
    </row>
    <row r="333" spans="1:8" ht="15.75" x14ac:dyDescent="0.25">
      <c r="A333" s="4">
        <v>37053</v>
      </c>
      <c r="B333" s="3" t="s">
        <v>3</v>
      </c>
      <c r="C333" s="3">
        <v>168</v>
      </c>
      <c r="D333" s="3">
        <v>81</v>
      </c>
      <c r="E333" s="3" t="s">
        <v>2058</v>
      </c>
      <c r="F333" s="5" t="s">
        <v>1574</v>
      </c>
      <c r="G333" s="3" t="s">
        <v>2059</v>
      </c>
      <c r="H333" s="3" t="s">
        <v>463</v>
      </c>
    </row>
    <row r="334" spans="1:8" ht="15.75" x14ac:dyDescent="0.25">
      <c r="A334" s="4">
        <v>37626</v>
      </c>
      <c r="B334" s="3" t="s">
        <v>3</v>
      </c>
      <c r="C334" s="3">
        <v>153</v>
      </c>
      <c r="D334" s="3">
        <v>81</v>
      </c>
      <c r="E334" s="3" t="s">
        <v>2104</v>
      </c>
      <c r="F334" s="5" t="s">
        <v>1284</v>
      </c>
      <c r="G334" s="3" t="s">
        <v>2105</v>
      </c>
      <c r="H334" s="3" t="s">
        <v>486</v>
      </c>
    </row>
    <row r="335" spans="1:8" ht="15.75" x14ac:dyDescent="0.25">
      <c r="A335" s="4">
        <v>38060</v>
      </c>
      <c r="B335" s="3" t="s">
        <v>3</v>
      </c>
      <c r="C335" s="3">
        <v>168</v>
      </c>
      <c r="D335" s="3">
        <v>49</v>
      </c>
      <c r="E335" s="3" t="s">
        <v>2106</v>
      </c>
      <c r="F335" s="5" t="s">
        <v>1530</v>
      </c>
      <c r="G335" s="3" t="s">
        <v>2107</v>
      </c>
      <c r="H335" s="3" t="s">
        <v>487</v>
      </c>
    </row>
    <row r="336" spans="1:8" ht="15.75" x14ac:dyDescent="0.25">
      <c r="A336" s="4">
        <v>37290</v>
      </c>
      <c r="B336" s="3" t="s">
        <v>3</v>
      </c>
      <c r="C336" s="3">
        <v>156</v>
      </c>
      <c r="D336" s="3">
        <v>76</v>
      </c>
      <c r="E336" s="3" t="s">
        <v>2108</v>
      </c>
      <c r="F336" s="5" t="s">
        <v>1170</v>
      </c>
      <c r="G336" s="3" t="s">
        <v>2109</v>
      </c>
      <c r="H336" s="3" t="s">
        <v>488</v>
      </c>
    </row>
    <row r="337" spans="1:8" ht="15.75" x14ac:dyDescent="0.25">
      <c r="A337" s="4">
        <v>37738</v>
      </c>
      <c r="B337" s="3" t="s">
        <v>3</v>
      </c>
      <c r="C337" s="3">
        <v>167</v>
      </c>
      <c r="D337" s="3">
        <v>78</v>
      </c>
      <c r="E337" s="3" t="s">
        <v>2120</v>
      </c>
      <c r="F337" s="5" t="s">
        <v>1309</v>
      </c>
      <c r="G337" s="3" t="s">
        <v>2121</v>
      </c>
      <c r="H337" s="3" t="s">
        <v>494</v>
      </c>
    </row>
    <row r="338" spans="1:8" ht="15.75" x14ac:dyDescent="0.25">
      <c r="A338" s="4">
        <v>38279</v>
      </c>
      <c r="B338" s="3" t="s">
        <v>3</v>
      </c>
      <c r="C338" s="3">
        <v>178</v>
      </c>
      <c r="D338" s="3">
        <v>64</v>
      </c>
      <c r="E338" s="3" t="s">
        <v>2181</v>
      </c>
      <c r="F338" s="5" t="s">
        <v>1683</v>
      </c>
      <c r="G338" s="3" t="s">
        <v>2182</v>
      </c>
      <c r="H338" s="3" t="s">
        <v>525</v>
      </c>
    </row>
    <row r="339" spans="1:8" ht="15.75" x14ac:dyDescent="0.25">
      <c r="A339" s="4">
        <v>38050</v>
      </c>
      <c r="B339" s="3" t="s">
        <v>3</v>
      </c>
      <c r="C339" s="3">
        <v>179</v>
      </c>
      <c r="D339" s="3">
        <v>66</v>
      </c>
      <c r="E339" s="3" t="s">
        <v>2185</v>
      </c>
      <c r="F339" s="5" t="s">
        <v>1480</v>
      </c>
      <c r="G339" s="3" t="s">
        <v>2186</v>
      </c>
      <c r="H339" s="3" t="s">
        <v>527</v>
      </c>
    </row>
    <row r="340" spans="1:8" ht="15.75" x14ac:dyDescent="0.25">
      <c r="A340" s="4">
        <v>37741</v>
      </c>
      <c r="B340" s="3" t="s">
        <v>3</v>
      </c>
      <c r="C340" s="3">
        <v>177</v>
      </c>
      <c r="D340" s="3">
        <v>57</v>
      </c>
      <c r="E340" s="3" t="s">
        <v>2193</v>
      </c>
      <c r="F340" s="5" t="s">
        <v>1385</v>
      </c>
      <c r="G340" s="3" t="s">
        <v>2194</v>
      </c>
      <c r="H340" s="3" t="s">
        <v>531</v>
      </c>
    </row>
    <row r="341" spans="1:8" ht="15.75" x14ac:dyDescent="0.25">
      <c r="A341" s="4">
        <v>38006</v>
      </c>
      <c r="B341" s="3" t="s">
        <v>3</v>
      </c>
      <c r="C341" s="3">
        <v>155</v>
      </c>
      <c r="D341" s="3">
        <v>62</v>
      </c>
      <c r="E341" s="3" t="s">
        <v>2203</v>
      </c>
      <c r="F341" s="5" t="s">
        <v>1147</v>
      </c>
      <c r="G341" s="3" t="s">
        <v>2204</v>
      </c>
      <c r="H341" s="3" t="s">
        <v>536</v>
      </c>
    </row>
    <row r="342" spans="1:8" ht="15.75" x14ac:dyDescent="0.25">
      <c r="A342" s="4">
        <v>37396</v>
      </c>
      <c r="B342" s="3" t="s">
        <v>3</v>
      </c>
      <c r="C342" s="3">
        <v>163</v>
      </c>
      <c r="D342" s="3">
        <v>49</v>
      </c>
      <c r="E342" s="3" t="s">
        <v>2229</v>
      </c>
      <c r="F342" s="5" t="s">
        <v>1210</v>
      </c>
      <c r="G342" s="3" t="s">
        <v>2230</v>
      </c>
      <c r="H342" s="3" t="s">
        <v>549</v>
      </c>
    </row>
    <row r="343" spans="1:8" ht="15.75" x14ac:dyDescent="0.25">
      <c r="A343" s="4">
        <v>38394</v>
      </c>
      <c r="B343" s="3" t="s">
        <v>3</v>
      </c>
      <c r="C343" s="3">
        <v>162</v>
      </c>
      <c r="D343" s="3">
        <v>48</v>
      </c>
      <c r="E343" s="3" t="s">
        <v>2248</v>
      </c>
      <c r="F343" s="5" t="s">
        <v>1594</v>
      </c>
      <c r="G343" s="3" t="s">
        <v>2249</v>
      </c>
      <c r="H343" s="3" t="s">
        <v>558</v>
      </c>
    </row>
    <row r="344" spans="1:8" ht="15.75" x14ac:dyDescent="0.25">
      <c r="A344" s="4">
        <v>38035</v>
      </c>
      <c r="B344" s="3" t="s">
        <v>3</v>
      </c>
      <c r="C344" s="3">
        <v>152</v>
      </c>
      <c r="D344" s="3">
        <v>82</v>
      </c>
      <c r="E344" s="3" t="s">
        <v>2254</v>
      </c>
      <c r="F344" s="5" t="s">
        <v>1293</v>
      </c>
      <c r="G344" s="3" t="s">
        <v>2255</v>
      </c>
      <c r="H344" s="3" t="s">
        <v>561</v>
      </c>
    </row>
    <row r="345" spans="1:8" ht="15.75" x14ac:dyDescent="0.25">
      <c r="A345" s="4">
        <v>37246</v>
      </c>
      <c r="B345" s="3" t="s">
        <v>3</v>
      </c>
      <c r="C345" s="3">
        <v>151</v>
      </c>
      <c r="D345" s="3">
        <v>93</v>
      </c>
      <c r="E345" s="3" t="s">
        <v>2263</v>
      </c>
      <c r="F345" s="5" t="s">
        <v>1263</v>
      </c>
      <c r="G345" s="3" t="s">
        <v>2264</v>
      </c>
      <c r="H345" s="3" t="s">
        <v>566</v>
      </c>
    </row>
    <row r="346" spans="1:8" ht="15.75" x14ac:dyDescent="0.25">
      <c r="A346" s="4">
        <v>37240</v>
      </c>
      <c r="B346" s="3" t="s">
        <v>3</v>
      </c>
      <c r="C346" s="3">
        <v>160</v>
      </c>
      <c r="D346" s="3">
        <v>50</v>
      </c>
      <c r="E346" s="3" t="s">
        <v>2267</v>
      </c>
      <c r="F346" s="5" t="s">
        <v>1342</v>
      </c>
      <c r="G346" s="3" t="s">
        <v>2268</v>
      </c>
      <c r="H346" s="3" t="s">
        <v>568</v>
      </c>
    </row>
    <row r="347" spans="1:8" ht="15.75" x14ac:dyDescent="0.25">
      <c r="A347" s="4">
        <v>38229</v>
      </c>
      <c r="B347" s="3" t="s">
        <v>3</v>
      </c>
      <c r="C347" s="3">
        <v>165</v>
      </c>
      <c r="D347" s="3">
        <v>63</v>
      </c>
      <c r="E347" s="3" t="s">
        <v>2285</v>
      </c>
      <c r="F347" s="5" t="s">
        <v>1223</v>
      </c>
      <c r="G347" s="3" t="s">
        <v>2286</v>
      </c>
      <c r="H347" s="3" t="s">
        <v>577</v>
      </c>
    </row>
    <row r="348" spans="1:8" ht="15.75" x14ac:dyDescent="0.25">
      <c r="A348" s="4">
        <v>37650</v>
      </c>
      <c r="B348" s="3" t="s">
        <v>3</v>
      </c>
      <c r="C348" s="3">
        <v>170</v>
      </c>
      <c r="D348" s="3">
        <v>73</v>
      </c>
      <c r="E348" s="3" t="s">
        <v>2294</v>
      </c>
      <c r="F348" s="5" t="s">
        <v>1780</v>
      </c>
      <c r="G348" s="3" t="s">
        <v>2295</v>
      </c>
      <c r="H348" s="3" t="s">
        <v>582</v>
      </c>
    </row>
    <row r="349" spans="1:8" ht="15.75" x14ac:dyDescent="0.25">
      <c r="A349" s="4">
        <v>38428</v>
      </c>
      <c r="B349" s="3" t="s">
        <v>3</v>
      </c>
      <c r="C349" s="3">
        <v>175</v>
      </c>
      <c r="D349" s="3">
        <v>55</v>
      </c>
      <c r="E349" s="3" t="s">
        <v>2300</v>
      </c>
      <c r="F349" s="5" t="s">
        <v>1683</v>
      </c>
      <c r="G349" s="3" t="s">
        <v>2301</v>
      </c>
      <c r="H349" s="3" t="s">
        <v>585</v>
      </c>
    </row>
    <row r="350" spans="1:8" ht="15.75" x14ac:dyDescent="0.25">
      <c r="A350" s="4">
        <v>38375</v>
      </c>
      <c r="B350" s="3" t="s">
        <v>3</v>
      </c>
      <c r="C350" s="3">
        <v>177</v>
      </c>
      <c r="D350" s="3">
        <v>69</v>
      </c>
      <c r="E350" s="3" t="s">
        <v>2324</v>
      </c>
      <c r="F350" s="5" t="s">
        <v>1275</v>
      </c>
      <c r="G350" s="3" t="s">
        <v>2325</v>
      </c>
      <c r="H350" s="3" t="s">
        <v>596</v>
      </c>
    </row>
    <row r="351" spans="1:8" ht="15.75" x14ac:dyDescent="0.25">
      <c r="A351" s="4">
        <v>38007</v>
      </c>
      <c r="B351" s="3" t="s">
        <v>3</v>
      </c>
      <c r="C351" s="3">
        <v>156</v>
      </c>
      <c r="D351" s="3">
        <v>94</v>
      </c>
      <c r="E351" s="3" t="s">
        <v>2348</v>
      </c>
      <c r="F351" s="5" t="s">
        <v>1284</v>
      </c>
      <c r="G351" s="3" t="s">
        <v>2349</v>
      </c>
      <c r="H351" s="3" t="s">
        <v>607</v>
      </c>
    </row>
    <row r="352" spans="1:8" ht="15.75" x14ac:dyDescent="0.25">
      <c r="A352" s="4">
        <v>37140</v>
      </c>
      <c r="B352" s="3" t="s">
        <v>3</v>
      </c>
      <c r="C352" s="3">
        <v>178</v>
      </c>
      <c r="D352" s="3">
        <v>91</v>
      </c>
      <c r="E352" s="3" t="s">
        <v>2366</v>
      </c>
      <c r="F352" s="5" t="s">
        <v>1069</v>
      </c>
      <c r="G352" s="3" t="s">
        <v>2367</v>
      </c>
      <c r="H352" s="3" t="s">
        <v>616</v>
      </c>
    </row>
    <row r="353" spans="1:8" ht="15.75" x14ac:dyDescent="0.25">
      <c r="A353" s="4">
        <v>37120</v>
      </c>
      <c r="B353" s="3" t="s">
        <v>3</v>
      </c>
      <c r="C353" s="3">
        <v>153</v>
      </c>
      <c r="D353" s="3">
        <v>61</v>
      </c>
      <c r="E353" s="3" t="s">
        <v>2388</v>
      </c>
      <c r="F353" s="5" t="s">
        <v>1111</v>
      </c>
      <c r="G353" s="3" t="s">
        <v>2389</v>
      </c>
      <c r="H353" s="3" t="s">
        <v>627</v>
      </c>
    </row>
    <row r="354" spans="1:8" ht="15.75" x14ac:dyDescent="0.25">
      <c r="A354" s="4">
        <v>38292</v>
      </c>
      <c r="B354" s="3" t="s">
        <v>3</v>
      </c>
      <c r="C354" s="3">
        <v>150</v>
      </c>
      <c r="D354" s="3">
        <v>83</v>
      </c>
      <c r="E354" s="3" t="s">
        <v>2404</v>
      </c>
      <c r="F354" s="5" t="s">
        <v>1108</v>
      </c>
      <c r="G354" s="3" t="s">
        <v>2405</v>
      </c>
      <c r="H354" s="3" t="s">
        <v>635</v>
      </c>
    </row>
    <row r="355" spans="1:8" ht="15.75" x14ac:dyDescent="0.25">
      <c r="A355" s="4">
        <v>37328</v>
      </c>
      <c r="B355" s="3" t="s">
        <v>3</v>
      </c>
      <c r="C355" s="3">
        <v>167</v>
      </c>
      <c r="D355" s="3">
        <v>65</v>
      </c>
      <c r="E355" s="3" t="s">
        <v>2438</v>
      </c>
      <c r="F355" s="5" t="s">
        <v>1574</v>
      </c>
      <c r="G355" s="3" t="s">
        <v>2439</v>
      </c>
      <c r="H355" s="3" t="s">
        <v>652</v>
      </c>
    </row>
    <row r="356" spans="1:8" ht="15.75" x14ac:dyDescent="0.25">
      <c r="A356" s="4">
        <v>37906</v>
      </c>
      <c r="B356" s="3" t="s">
        <v>3</v>
      </c>
      <c r="C356" s="3">
        <v>159</v>
      </c>
      <c r="D356" s="3">
        <v>68</v>
      </c>
      <c r="E356" s="3" t="s">
        <v>2442</v>
      </c>
      <c r="F356" s="5" t="s">
        <v>1218</v>
      </c>
      <c r="G356" s="3" t="s">
        <v>2443</v>
      </c>
      <c r="H356" s="3" t="s">
        <v>654</v>
      </c>
    </row>
    <row r="357" spans="1:8" ht="15.75" x14ac:dyDescent="0.25">
      <c r="A357" s="4">
        <v>38148</v>
      </c>
      <c r="B357" s="3" t="s">
        <v>3</v>
      </c>
      <c r="C357" s="3">
        <v>172</v>
      </c>
      <c r="D357" s="3">
        <v>71</v>
      </c>
      <c r="E357" s="3" t="s">
        <v>2462</v>
      </c>
      <c r="F357" s="5" t="s">
        <v>1069</v>
      </c>
      <c r="G357" s="3" t="s">
        <v>2463</v>
      </c>
      <c r="H357" s="3" t="s">
        <v>664</v>
      </c>
    </row>
    <row r="358" spans="1:8" ht="15.75" x14ac:dyDescent="0.25">
      <c r="A358" s="4">
        <v>37882</v>
      </c>
      <c r="B358" s="3" t="s">
        <v>3</v>
      </c>
      <c r="C358" s="3">
        <v>161</v>
      </c>
      <c r="D358" s="3">
        <v>91</v>
      </c>
      <c r="E358" s="3" t="s">
        <v>2486</v>
      </c>
      <c r="F358" s="5" t="s">
        <v>1252</v>
      </c>
      <c r="G358" s="3" t="s">
        <v>2487</v>
      </c>
      <c r="H358" s="3" t="s">
        <v>676</v>
      </c>
    </row>
    <row r="359" spans="1:8" ht="15.75" x14ac:dyDescent="0.25">
      <c r="A359" s="4">
        <v>38262</v>
      </c>
      <c r="B359" s="3" t="s">
        <v>3</v>
      </c>
      <c r="C359" s="3">
        <v>160</v>
      </c>
      <c r="D359" s="3">
        <v>50</v>
      </c>
      <c r="E359" s="3" t="s">
        <v>2488</v>
      </c>
      <c r="F359" s="5" t="s">
        <v>1129</v>
      </c>
      <c r="G359" s="3" t="s">
        <v>2489</v>
      </c>
      <c r="H359" s="3" t="s">
        <v>677</v>
      </c>
    </row>
    <row r="360" spans="1:8" ht="15.75" x14ac:dyDescent="0.25">
      <c r="A360" s="4">
        <v>38185</v>
      </c>
      <c r="B360" s="3" t="s">
        <v>3</v>
      </c>
      <c r="C360" s="3">
        <v>179</v>
      </c>
      <c r="D360" s="3">
        <v>57</v>
      </c>
      <c r="E360" s="3" t="s">
        <v>2500</v>
      </c>
      <c r="F360" s="5" t="s">
        <v>1342</v>
      </c>
      <c r="G360" s="3" t="s">
        <v>2501</v>
      </c>
      <c r="H360" s="3" t="s">
        <v>683</v>
      </c>
    </row>
    <row r="361" spans="1:8" ht="15.75" x14ac:dyDescent="0.25">
      <c r="A361" s="4">
        <v>37500</v>
      </c>
      <c r="B361" s="3" t="s">
        <v>3</v>
      </c>
      <c r="C361" s="3">
        <v>160</v>
      </c>
      <c r="D361" s="3">
        <v>90</v>
      </c>
      <c r="E361" s="3" t="s">
        <v>2502</v>
      </c>
      <c r="F361" s="5" t="s">
        <v>1275</v>
      </c>
      <c r="G361" s="3" t="s">
        <v>2503</v>
      </c>
      <c r="H361" s="3" t="s">
        <v>684</v>
      </c>
    </row>
    <row r="362" spans="1:8" ht="15.75" x14ac:dyDescent="0.25">
      <c r="A362" s="4">
        <v>38140</v>
      </c>
      <c r="B362" s="3" t="s">
        <v>3</v>
      </c>
      <c r="C362" s="3">
        <v>164</v>
      </c>
      <c r="D362" s="3">
        <v>47</v>
      </c>
      <c r="E362" s="3" t="s">
        <v>2338</v>
      </c>
      <c r="F362" s="5" t="s">
        <v>1920</v>
      </c>
      <c r="G362" s="3" t="s">
        <v>2549</v>
      </c>
      <c r="H362" s="3" t="s">
        <v>708</v>
      </c>
    </row>
    <row r="363" spans="1:8" ht="15.75" x14ac:dyDescent="0.25">
      <c r="A363" s="4">
        <v>37305</v>
      </c>
      <c r="B363" s="3" t="s">
        <v>3</v>
      </c>
      <c r="C363" s="3">
        <v>166</v>
      </c>
      <c r="D363" s="3">
        <v>62</v>
      </c>
      <c r="E363" s="3" t="s">
        <v>2564</v>
      </c>
      <c r="F363" s="5" t="s">
        <v>1410</v>
      </c>
      <c r="G363" s="3" t="s">
        <v>2565</v>
      </c>
      <c r="H363" s="3" t="s">
        <v>716</v>
      </c>
    </row>
    <row r="364" spans="1:8" ht="15.75" x14ac:dyDescent="0.25">
      <c r="A364" s="4">
        <v>37969</v>
      </c>
      <c r="B364" s="3" t="s">
        <v>3</v>
      </c>
      <c r="C364" s="3">
        <v>180</v>
      </c>
      <c r="D364" s="3">
        <v>70</v>
      </c>
      <c r="E364" s="3" t="s">
        <v>2575</v>
      </c>
      <c r="F364" s="5" t="s">
        <v>1780</v>
      </c>
      <c r="G364" s="3" t="s">
        <v>2576</v>
      </c>
      <c r="H364" s="3" t="s">
        <v>722</v>
      </c>
    </row>
    <row r="365" spans="1:8" ht="15.75" x14ac:dyDescent="0.25">
      <c r="A365" s="4">
        <v>38210</v>
      </c>
      <c r="B365" s="3" t="s">
        <v>3</v>
      </c>
      <c r="C365" s="3">
        <v>177</v>
      </c>
      <c r="D365" s="3">
        <v>74</v>
      </c>
      <c r="E365" s="3" t="s">
        <v>2588</v>
      </c>
      <c r="F365" s="5" t="s">
        <v>1502</v>
      </c>
      <c r="G365" s="3" t="s">
        <v>2589</v>
      </c>
      <c r="H365" s="3" t="s">
        <v>729</v>
      </c>
    </row>
    <row r="366" spans="1:8" ht="15.75" x14ac:dyDescent="0.25">
      <c r="A366" s="4">
        <v>38332</v>
      </c>
      <c r="B366" s="3" t="s">
        <v>3</v>
      </c>
      <c r="C366" s="3">
        <v>176</v>
      </c>
      <c r="D366" s="3">
        <v>64</v>
      </c>
      <c r="E366" s="3" t="s">
        <v>2594</v>
      </c>
      <c r="F366" s="5" t="s">
        <v>1574</v>
      </c>
      <c r="G366" s="3" t="s">
        <v>2595</v>
      </c>
      <c r="H366" s="3" t="s">
        <v>731</v>
      </c>
    </row>
    <row r="367" spans="1:8" ht="15.75" x14ac:dyDescent="0.25">
      <c r="A367" s="4">
        <v>38092</v>
      </c>
      <c r="B367" s="3" t="s">
        <v>3</v>
      </c>
      <c r="C367" s="3">
        <v>157</v>
      </c>
      <c r="D367" s="3">
        <v>57</v>
      </c>
      <c r="E367" s="3" t="s">
        <v>2634</v>
      </c>
      <c r="F367" s="5" t="s">
        <v>1263</v>
      </c>
      <c r="G367" s="3" t="s">
        <v>2635</v>
      </c>
      <c r="H367" s="3" t="s">
        <v>751</v>
      </c>
    </row>
    <row r="368" spans="1:8" ht="15.75" x14ac:dyDescent="0.25">
      <c r="A368" s="4">
        <v>38130</v>
      </c>
      <c r="B368" s="3" t="s">
        <v>3</v>
      </c>
      <c r="C368" s="3">
        <v>163</v>
      </c>
      <c r="D368" s="3">
        <v>55</v>
      </c>
      <c r="E368" s="3" t="s">
        <v>2636</v>
      </c>
      <c r="F368" s="5" t="s">
        <v>1139</v>
      </c>
      <c r="G368" s="3" t="s">
        <v>2637</v>
      </c>
      <c r="H368" s="3" t="s">
        <v>752</v>
      </c>
    </row>
    <row r="369" spans="1:8" ht="15.75" x14ac:dyDescent="0.25">
      <c r="A369" s="4">
        <v>38456</v>
      </c>
      <c r="B369" s="3" t="s">
        <v>3</v>
      </c>
      <c r="C369" s="3">
        <v>151</v>
      </c>
      <c r="D369" s="3">
        <v>72</v>
      </c>
      <c r="E369" s="3" t="s">
        <v>2642</v>
      </c>
      <c r="F369" s="5" t="s">
        <v>1126</v>
      </c>
      <c r="G369" s="3" t="s">
        <v>2643</v>
      </c>
      <c r="H369" s="3" t="s">
        <v>755</v>
      </c>
    </row>
    <row r="370" spans="1:8" ht="15.75" x14ac:dyDescent="0.25">
      <c r="A370" s="4">
        <v>38454</v>
      </c>
      <c r="B370" s="3" t="s">
        <v>3</v>
      </c>
      <c r="C370" s="3">
        <v>180</v>
      </c>
      <c r="D370" s="3">
        <v>58</v>
      </c>
      <c r="E370" s="3" t="s">
        <v>2650</v>
      </c>
      <c r="F370" s="5" t="s">
        <v>1780</v>
      </c>
      <c r="G370" s="3" t="s">
        <v>2651</v>
      </c>
      <c r="H370" s="3" t="s">
        <v>759</v>
      </c>
    </row>
    <row r="371" spans="1:8" ht="15.75" x14ac:dyDescent="0.25">
      <c r="A371" s="4">
        <v>37766</v>
      </c>
      <c r="B371" s="3" t="s">
        <v>3</v>
      </c>
      <c r="C371" s="3">
        <v>151</v>
      </c>
      <c r="D371" s="3">
        <v>45</v>
      </c>
      <c r="E371" s="3" t="s">
        <v>2482</v>
      </c>
      <c r="F371" s="5" t="s">
        <v>1284</v>
      </c>
      <c r="G371" s="3" t="s">
        <v>2674</v>
      </c>
      <c r="H371" s="3" t="s">
        <v>771</v>
      </c>
    </row>
    <row r="372" spans="1:8" ht="15.75" x14ac:dyDescent="0.25">
      <c r="A372" s="4">
        <v>37815</v>
      </c>
      <c r="B372" s="3" t="s">
        <v>3</v>
      </c>
      <c r="C372" s="3">
        <v>154</v>
      </c>
      <c r="D372" s="3">
        <v>52</v>
      </c>
      <c r="E372" s="3" t="s">
        <v>2710</v>
      </c>
      <c r="F372" s="5" t="s">
        <v>1173</v>
      </c>
      <c r="G372" s="3" t="s">
        <v>2711</v>
      </c>
      <c r="H372" s="3" t="s">
        <v>790</v>
      </c>
    </row>
    <row r="373" spans="1:8" ht="15.75" x14ac:dyDescent="0.25">
      <c r="A373" s="4">
        <v>38186</v>
      </c>
      <c r="B373" s="3" t="s">
        <v>3</v>
      </c>
      <c r="C373" s="3">
        <v>155</v>
      </c>
      <c r="D373" s="3">
        <v>49</v>
      </c>
      <c r="E373" s="3" t="s">
        <v>2712</v>
      </c>
      <c r="F373" s="5" t="s">
        <v>1717</v>
      </c>
      <c r="G373" s="3" t="s">
        <v>2713</v>
      </c>
      <c r="H373" s="3" t="s">
        <v>791</v>
      </c>
    </row>
    <row r="374" spans="1:8" ht="15.75" x14ac:dyDescent="0.25">
      <c r="A374" s="4">
        <v>37273</v>
      </c>
      <c r="B374" s="3" t="s">
        <v>3</v>
      </c>
      <c r="C374" s="3">
        <v>159</v>
      </c>
      <c r="D374" s="3">
        <v>53</v>
      </c>
      <c r="E374" s="3" t="s">
        <v>2720</v>
      </c>
      <c r="F374" s="5" t="s">
        <v>1780</v>
      </c>
      <c r="G374" s="3" t="s">
        <v>2721</v>
      </c>
      <c r="H374" s="3" t="s">
        <v>795</v>
      </c>
    </row>
    <row r="375" spans="1:8" ht="15.75" x14ac:dyDescent="0.25">
      <c r="A375" s="4">
        <v>37529</v>
      </c>
      <c r="B375" s="3" t="s">
        <v>3</v>
      </c>
      <c r="C375" s="3">
        <v>173</v>
      </c>
      <c r="D375" s="3">
        <v>67</v>
      </c>
      <c r="E375" s="3" t="s">
        <v>1662</v>
      </c>
      <c r="F375" s="5" t="s">
        <v>1111</v>
      </c>
      <c r="G375" s="3" t="s">
        <v>2722</v>
      </c>
      <c r="H375" s="3" t="s">
        <v>796</v>
      </c>
    </row>
    <row r="376" spans="1:8" ht="15.75" x14ac:dyDescent="0.25">
      <c r="A376" s="4">
        <v>37918</v>
      </c>
      <c r="B376" s="3" t="s">
        <v>3</v>
      </c>
      <c r="C376" s="3">
        <v>159</v>
      </c>
      <c r="D376" s="3">
        <v>52</v>
      </c>
      <c r="E376" s="3" t="s">
        <v>2729</v>
      </c>
      <c r="F376" s="5" t="s">
        <v>1583</v>
      </c>
      <c r="G376" s="3" t="s">
        <v>2730</v>
      </c>
      <c r="H376" s="3" t="s">
        <v>800</v>
      </c>
    </row>
    <row r="377" spans="1:8" ht="15.75" x14ac:dyDescent="0.25">
      <c r="A377" s="4">
        <v>37967</v>
      </c>
      <c r="B377" s="3" t="s">
        <v>3</v>
      </c>
      <c r="C377" s="3">
        <v>175</v>
      </c>
      <c r="D377" s="3">
        <v>47</v>
      </c>
      <c r="E377" s="3" t="s">
        <v>2741</v>
      </c>
      <c r="F377" s="5" t="s">
        <v>1347</v>
      </c>
      <c r="G377" s="3" t="s">
        <v>2742</v>
      </c>
      <c r="H377" s="3" t="s">
        <v>806</v>
      </c>
    </row>
    <row r="378" spans="1:8" ht="15.75" x14ac:dyDescent="0.25">
      <c r="A378" s="4">
        <v>38086</v>
      </c>
      <c r="B378" s="3" t="s">
        <v>3</v>
      </c>
      <c r="C378" s="3">
        <v>151</v>
      </c>
      <c r="D378" s="3">
        <v>95</v>
      </c>
      <c r="E378" s="3" t="s">
        <v>2745</v>
      </c>
      <c r="F378" s="5" t="s">
        <v>1218</v>
      </c>
      <c r="G378" s="3" t="s">
        <v>2746</v>
      </c>
      <c r="H378" s="3" t="s">
        <v>808</v>
      </c>
    </row>
    <row r="379" spans="1:8" ht="15.75" x14ac:dyDescent="0.25">
      <c r="A379" s="4">
        <v>38238</v>
      </c>
      <c r="B379" s="3" t="s">
        <v>3</v>
      </c>
      <c r="C379" s="3">
        <v>162</v>
      </c>
      <c r="D379" s="3">
        <v>83</v>
      </c>
      <c r="E379" s="3" t="s">
        <v>2765</v>
      </c>
      <c r="F379" s="5" t="s">
        <v>1929</v>
      </c>
      <c r="G379" s="3" t="s">
        <v>2766</v>
      </c>
      <c r="H379" s="3" t="s">
        <v>818</v>
      </c>
    </row>
    <row r="380" spans="1:8" ht="15.75" x14ac:dyDescent="0.25">
      <c r="A380" s="4">
        <v>37818</v>
      </c>
      <c r="B380" s="3" t="s">
        <v>3</v>
      </c>
      <c r="C380" s="3">
        <v>171</v>
      </c>
      <c r="D380" s="3">
        <v>80</v>
      </c>
      <c r="E380" s="3" t="s">
        <v>2816</v>
      </c>
      <c r="F380" s="5" t="s">
        <v>1683</v>
      </c>
      <c r="G380" s="3" t="s">
        <v>2817</v>
      </c>
      <c r="H380" s="3" t="s">
        <v>843</v>
      </c>
    </row>
    <row r="381" spans="1:8" ht="15.75" x14ac:dyDescent="0.25">
      <c r="A381" s="4">
        <v>37073</v>
      </c>
      <c r="B381" s="3" t="s">
        <v>3</v>
      </c>
      <c r="C381" s="3">
        <v>167</v>
      </c>
      <c r="D381" s="3">
        <v>66</v>
      </c>
      <c r="E381" s="3" t="s">
        <v>2851</v>
      </c>
      <c r="F381" s="5" t="s">
        <v>1483</v>
      </c>
      <c r="G381" s="3" t="s">
        <v>2852</v>
      </c>
      <c r="H381" s="3" t="s">
        <v>858</v>
      </c>
    </row>
    <row r="382" spans="1:8" ht="15.75" x14ac:dyDescent="0.25">
      <c r="A382" s="4">
        <v>38124</v>
      </c>
      <c r="B382" s="3" t="s">
        <v>3</v>
      </c>
      <c r="C382" s="3">
        <v>180</v>
      </c>
      <c r="D382" s="3">
        <v>94</v>
      </c>
      <c r="E382" s="3" t="s">
        <v>2865</v>
      </c>
      <c r="F382" s="5" t="s">
        <v>1268</v>
      </c>
      <c r="G382" s="3" t="s">
        <v>2866</v>
      </c>
      <c r="H382" s="3" t="s">
        <v>865</v>
      </c>
    </row>
    <row r="383" spans="1:8" ht="15.75" x14ac:dyDescent="0.25">
      <c r="A383" s="4">
        <v>37197</v>
      </c>
      <c r="B383" s="3" t="s">
        <v>3</v>
      </c>
      <c r="C383" s="3">
        <v>162</v>
      </c>
      <c r="D383" s="3">
        <v>72</v>
      </c>
      <c r="E383" s="3" t="s">
        <v>2867</v>
      </c>
      <c r="F383" s="5" t="s">
        <v>1126</v>
      </c>
      <c r="G383" s="3" t="s">
        <v>2868</v>
      </c>
      <c r="H383" s="3" t="s">
        <v>866</v>
      </c>
    </row>
    <row r="384" spans="1:8" ht="15.75" x14ac:dyDescent="0.25">
      <c r="A384" s="4">
        <v>38219</v>
      </c>
      <c r="B384" s="3" t="s">
        <v>3</v>
      </c>
      <c r="C384" s="3">
        <v>173</v>
      </c>
      <c r="D384" s="3">
        <v>68</v>
      </c>
      <c r="E384" s="3" t="s">
        <v>2929</v>
      </c>
      <c r="F384" s="5" t="s">
        <v>1075</v>
      </c>
      <c r="G384" s="3" t="s">
        <v>2930</v>
      </c>
      <c r="H384" s="3" t="s">
        <v>897</v>
      </c>
    </row>
    <row r="385" spans="1:8" ht="15.75" x14ac:dyDescent="0.25">
      <c r="A385" s="4">
        <v>37447</v>
      </c>
      <c r="B385" s="3" t="s">
        <v>3</v>
      </c>
      <c r="C385" s="3">
        <v>180</v>
      </c>
      <c r="D385" s="3">
        <v>76</v>
      </c>
      <c r="E385" s="3" t="s">
        <v>2947</v>
      </c>
      <c r="F385" s="5" t="s">
        <v>1063</v>
      </c>
      <c r="G385" s="3" t="s">
        <v>2948</v>
      </c>
      <c r="H385" s="3" t="s">
        <v>906</v>
      </c>
    </row>
    <row r="386" spans="1:8" ht="15.75" x14ac:dyDescent="0.25">
      <c r="A386" s="4">
        <v>37952</v>
      </c>
      <c r="B386" s="3" t="s">
        <v>3</v>
      </c>
      <c r="C386" s="3">
        <v>170</v>
      </c>
      <c r="D386" s="3">
        <v>57</v>
      </c>
      <c r="E386" s="3" t="s">
        <v>2961</v>
      </c>
      <c r="F386" s="5" t="s">
        <v>1527</v>
      </c>
      <c r="G386" s="3" t="s">
        <v>2962</v>
      </c>
      <c r="H386" s="3" t="s">
        <v>912</v>
      </c>
    </row>
    <row r="387" spans="1:8" ht="15.75" x14ac:dyDescent="0.25">
      <c r="A387" s="4">
        <v>38349</v>
      </c>
      <c r="B387" s="3" t="s">
        <v>3</v>
      </c>
      <c r="C387" s="3">
        <v>176</v>
      </c>
      <c r="D387" s="3">
        <v>92</v>
      </c>
      <c r="E387" s="3" t="s">
        <v>2973</v>
      </c>
      <c r="F387" s="5" t="s">
        <v>1929</v>
      </c>
      <c r="G387" s="3" t="s">
        <v>2974</v>
      </c>
      <c r="H387" s="3" t="s">
        <v>918</v>
      </c>
    </row>
    <row r="388" spans="1:8" ht="15.75" x14ac:dyDescent="0.25">
      <c r="A388" s="4">
        <v>37474</v>
      </c>
      <c r="B388" s="3" t="s">
        <v>3</v>
      </c>
      <c r="C388" s="3">
        <v>169</v>
      </c>
      <c r="D388" s="3">
        <v>47</v>
      </c>
      <c r="E388" s="3" t="s">
        <v>2985</v>
      </c>
      <c r="F388" s="5" t="s">
        <v>1322</v>
      </c>
      <c r="G388" s="3" t="s">
        <v>2986</v>
      </c>
      <c r="H388" s="3" t="s">
        <v>924</v>
      </c>
    </row>
    <row r="389" spans="1:8" ht="15.75" x14ac:dyDescent="0.25">
      <c r="A389" s="4">
        <v>38375</v>
      </c>
      <c r="B389" s="3" t="s">
        <v>3</v>
      </c>
      <c r="C389" s="3">
        <v>167</v>
      </c>
      <c r="D389" s="3">
        <v>73</v>
      </c>
      <c r="E389" s="3" t="s">
        <v>2987</v>
      </c>
      <c r="F389" s="5" t="s">
        <v>1139</v>
      </c>
      <c r="G389" s="3" t="s">
        <v>2988</v>
      </c>
      <c r="H389" s="3" t="s">
        <v>925</v>
      </c>
    </row>
    <row r="390" spans="1:8" ht="15.75" x14ac:dyDescent="0.25">
      <c r="A390" s="4">
        <v>37701</v>
      </c>
      <c r="B390" s="3" t="s">
        <v>3</v>
      </c>
      <c r="C390" s="3">
        <v>160</v>
      </c>
      <c r="D390" s="3">
        <v>69</v>
      </c>
      <c r="E390" s="3" t="s">
        <v>2991</v>
      </c>
      <c r="F390" s="5" t="s">
        <v>1147</v>
      </c>
      <c r="G390" s="3" t="s">
        <v>2992</v>
      </c>
      <c r="H390" s="3" t="s">
        <v>927</v>
      </c>
    </row>
    <row r="391" spans="1:8" ht="15.75" x14ac:dyDescent="0.25">
      <c r="A391" s="4">
        <v>37796</v>
      </c>
      <c r="B391" s="3" t="s">
        <v>3</v>
      </c>
      <c r="C391" s="3">
        <v>153</v>
      </c>
      <c r="D391" s="3">
        <v>45</v>
      </c>
      <c r="E391" s="3" t="s">
        <v>3001</v>
      </c>
      <c r="F391" s="5" t="s">
        <v>1710</v>
      </c>
      <c r="G391" s="3" t="s">
        <v>3002</v>
      </c>
      <c r="H391" s="3" t="s">
        <v>932</v>
      </c>
    </row>
    <row r="392" spans="1:8" ht="15.75" x14ac:dyDescent="0.25">
      <c r="A392" s="4">
        <v>37663</v>
      </c>
      <c r="B392" s="3" t="s">
        <v>3</v>
      </c>
      <c r="C392" s="3">
        <v>168</v>
      </c>
      <c r="D392" s="3">
        <v>80</v>
      </c>
      <c r="E392" s="3" t="s">
        <v>1959</v>
      </c>
      <c r="F392" s="5" t="s">
        <v>1347</v>
      </c>
      <c r="G392" s="3" t="s">
        <v>3010</v>
      </c>
      <c r="H392" s="3" t="s">
        <v>937</v>
      </c>
    </row>
    <row r="393" spans="1:8" ht="15.75" x14ac:dyDescent="0.25">
      <c r="A393" s="4">
        <v>38002</v>
      </c>
      <c r="B393" s="3" t="s">
        <v>3</v>
      </c>
      <c r="C393" s="3">
        <v>156</v>
      </c>
      <c r="D393" s="3">
        <v>74</v>
      </c>
      <c r="E393" s="3" t="s">
        <v>3029</v>
      </c>
      <c r="F393" s="5" t="s">
        <v>1111</v>
      </c>
      <c r="G393" s="3" t="s">
        <v>3030</v>
      </c>
      <c r="H393" s="3" t="s">
        <v>947</v>
      </c>
    </row>
    <row r="394" spans="1:8" ht="15.75" x14ac:dyDescent="0.25">
      <c r="A394" s="4">
        <v>38019</v>
      </c>
      <c r="B394" s="3" t="s">
        <v>3</v>
      </c>
      <c r="C394" s="3">
        <v>180</v>
      </c>
      <c r="D394" s="3">
        <v>78</v>
      </c>
      <c r="E394" s="3" t="s">
        <v>3048</v>
      </c>
      <c r="F394" s="5" t="s">
        <v>1136</v>
      </c>
      <c r="G394" s="3" t="s">
        <v>3049</v>
      </c>
      <c r="H394" s="3" t="s">
        <v>957</v>
      </c>
    </row>
    <row r="395" spans="1:8" ht="15.75" x14ac:dyDescent="0.25">
      <c r="A395" s="4">
        <v>37357</v>
      </c>
      <c r="B395" s="3" t="s">
        <v>3</v>
      </c>
      <c r="C395" s="3">
        <v>157</v>
      </c>
      <c r="D395" s="3">
        <v>56</v>
      </c>
      <c r="E395" s="3" t="s">
        <v>3056</v>
      </c>
      <c r="F395" s="5" t="s">
        <v>1780</v>
      </c>
      <c r="G395" s="3" t="s">
        <v>3057</v>
      </c>
      <c r="H395" s="3" t="s">
        <v>961</v>
      </c>
    </row>
    <row r="396" spans="1:8" ht="15.75" x14ac:dyDescent="0.25">
      <c r="A396" s="4">
        <v>37139</v>
      </c>
      <c r="B396" s="3" t="s">
        <v>3</v>
      </c>
      <c r="C396" s="3">
        <v>157</v>
      </c>
      <c r="D396" s="3">
        <v>72</v>
      </c>
      <c r="E396" s="3" t="s">
        <v>3093</v>
      </c>
      <c r="F396" s="5" t="s">
        <v>2246</v>
      </c>
      <c r="G396" s="3" t="s">
        <v>3094</v>
      </c>
      <c r="H396" s="3" t="s">
        <v>980</v>
      </c>
    </row>
    <row r="397" spans="1:8" ht="15.75" x14ac:dyDescent="0.25">
      <c r="A397" s="4">
        <v>37439</v>
      </c>
      <c r="B397" s="3" t="s">
        <v>2</v>
      </c>
      <c r="C397" s="3">
        <v>174</v>
      </c>
      <c r="D397" s="3">
        <v>66</v>
      </c>
      <c r="E397" s="3" t="s">
        <v>1068</v>
      </c>
      <c r="F397" s="5" t="s">
        <v>1069</v>
      </c>
      <c r="G397" s="3" t="s">
        <v>1070</v>
      </c>
      <c r="H397" s="3" t="s">
        <v>20</v>
      </c>
    </row>
    <row r="398" spans="1:8" ht="15.75" x14ac:dyDescent="0.25">
      <c r="A398" s="4">
        <v>37021</v>
      </c>
      <c r="B398" s="3" t="s">
        <v>2</v>
      </c>
      <c r="C398" s="3">
        <v>153</v>
      </c>
      <c r="D398" s="3">
        <v>65</v>
      </c>
      <c r="E398" s="3" t="s">
        <v>1074</v>
      </c>
      <c r="F398" s="5" t="s">
        <v>1075</v>
      </c>
      <c r="G398" s="3" t="s">
        <v>1076</v>
      </c>
      <c r="H398" s="3" t="s">
        <v>22</v>
      </c>
    </row>
    <row r="399" spans="1:8" ht="15.75" x14ac:dyDescent="0.25">
      <c r="A399" s="4">
        <v>37799</v>
      </c>
      <c r="B399" s="3" t="s">
        <v>2</v>
      </c>
      <c r="C399" s="3">
        <v>172</v>
      </c>
      <c r="D399" s="3">
        <v>51</v>
      </c>
      <c r="E399" s="3" t="s">
        <v>1080</v>
      </c>
      <c r="F399" s="5" t="s">
        <v>1081</v>
      </c>
      <c r="G399" s="3" t="s">
        <v>1082</v>
      </c>
      <c r="H399" s="3" t="s">
        <v>24</v>
      </c>
    </row>
    <row r="400" spans="1:8" ht="15.75" x14ac:dyDescent="0.25">
      <c r="A400" s="4">
        <v>38004</v>
      </c>
      <c r="B400" s="3" t="s">
        <v>2</v>
      </c>
      <c r="C400" s="3">
        <v>150</v>
      </c>
      <c r="D400" s="3">
        <v>64</v>
      </c>
      <c r="E400" s="3" t="s">
        <v>1104</v>
      </c>
      <c r="F400" s="5" t="s">
        <v>1105</v>
      </c>
      <c r="G400" s="3" t="s">
        <v>1106</v>
      </c>
      <c r="H400" s="3" t="s">
        <v>32</v>
      </c>
    </row>
    <row r="401" spans="1:8" ht="15.75" x14ac:dyDescent="0.25">
      <c r="A401" s="4">
        <v>38387</v>
      </c>
      <c r="B401" s="3" t="s">
        <v>2</v>
      </c>
      <c r="C401" s="3">
        <v>166</v>
      </c>
      <c r="D401" s="3">
        <v>61</v>
      </c>
      <c r="E401" s="3" t="s">
        <v>1113</v>
      </c>
      <c r="F401" s="5" t="s">
        <v>1114</v>
      </c>
      <c r="G401" s="3" t="s">
        <v>1115</v>
      </c>
      <c r="H401" s="3" t="s">
        <v>35</v>
      </c>
    </row>
    <row r="402" spans="1:8" ht="15.75" x14ac:dyDescent="0.25">
      <c r="A402" s="4">
        <v>37274</v>
      </c>
      <c r="B402" s="3" t="s">
        <v>2</v>
      </c>
      <c r="C402" s="3">
        <v>150</v>
      </c>
      <c r="D402" s="3">
        <v>53</v>
      </c>
      <c r="E402" s="3" t="s">
        <v>1125</v>
      </c>
      <c r="F402" s="5" t="s">
        <v>1126</v>
      </c>
      <c r="G402" s="3" t="s">
        <v>1127</v>
      </c>
      <c r="H402" s="3" t="s">
        <v>39</v>
      </c>
    </row>
    <row r="403" spans="1:8" ht="15.75" x14ac:dyDescent="0.25">
      <c r="A403" s="4">
        <v>37219</v>
      </c>
      <c r="B403" s="3" t="s">
        <v>2</v>
      </c>
      <c r="C403" s="3">
        <v>155</v>
      </c>
      <c r="D403" s="3">
        <v>49</v>
      </c>
      <c r="E403" s="3" t="s">
        <v>1152</v>
      </c>
      <c r="F403" s="5" t="s">
        <v>1144</v>
      </c>
      <c r="G403" s="3" t="s">
        <v>1153</v>
      </c>
      <c r="H403" s="3" t="s">
        <v>49</v>
      </c>
    </row>
    <row r="404" spans="1:8" ht="15.75" x14ac:dyDescent="0.25">
      <c r="A404" s="4">
        <v>37991</v>
      </c>
      <c r="B404" s="3" t="s">
        <v>2</v>
      </c>
      <c r="C404" s="3">
        <v>175</v>
      </c>
      <c r="D404" s="3">
        <v>49</v>
      </c>
      <c r="E404" s="3" t="s">
        <v>1181</v>
      </c>
      <c r="F404" s="5" t="s">
        <v>1139</v>
      </c>
      <c r="G404" s="3" t="s">
        <v>1182</v>
      </c>
      <c r="H404" s="3" t="s">
        <v>60</v>
      </c>
    </row>
    <row r="405" spans="1:8" ht="15.75" x14ac:dyDescent="0.25">
      <c r="A405" s="4">
        <v>37626</v>
      </c>
      <c r="B405" s="3" t="s">
        <v>2</v>
      </c>
      <c r="C405" s="3">
        <v>176</v>
      </c>
      <c r="D405" s="3">
        <v>65</v>
      </c>
      <c r="E405" s="3" t="s">
        <v>1295</v>
      </c>
      <c r="F405" s="5" t="s">
        <v>1075</v>
      </c>
      <c r="G405" s="3" t="s">
        <v>1296</v>
      </c>
      <c r="H405" s="3" t="s">
        <v>104</v>
      </c>
    </row>
    <row r="406" spans="1:8" ht="15.75" x14ac:dyDescent="0.25">
      <c r="A406" s="4">
        <v>37230</v>
      </c>
      <c r="B406" s="3" t="s">
        <v>2</v>
      </c>
      <c r="C406" s="3">
        <v>155</v>
      </c>
      <c r="D406" s="3">
        <v>74</v>
      </c>
      <c r="E406" s="3" t="s">
        <v>1334</v>
      </c>
      <c r="F406" s="5" t="s">
        <v>1335</v>
      </c>
      <c r="G406" s="3" t="s">
        <v>1336</v>
      </c>
      <c r="H406" s="3" t="s">
        <v>121</v>
      </c>
    </row>
    <row r="407" spans="1:8" ht="15.75" x14ac:dyDescent="0.25">
      <c r="A407" s="4">
        <v>38383</v>
      </c>
      <c r="B407" s="3" t="s">
        <v>2</v>
      </c>
      <c r="C407" s="3">
        <v>176</v>
      </c>
      <c r="D407" s="3">
        <v>77</v>
      </c>
      <c r="E407" s="3" t="s">
        <v>1344</v>
      </c>
      <c r="F407" s="5" t="s">
        <v>1290</v>
      </c>
      <c r="G407" s="3" t="s">
        <v>1345</v>
      </c>
      <c r="H407" s="3" t="s">
        <v>124</v>
      </c>
    </row>
    <row r="408" spans="1:8" ht="15.75" x14ac:dyDescent="0.25">
      <c r="A408" s="4">
        <v>37466</v>
      </c>
      <c r="B408" s="3" t="s">
        <v>2</v>
      </c>
      <c r="C408" s="3">
        <v>157</v>
      </c>
      <c r="D408" s="3">
        <v>60</v>
      </c>
      <c r="E408" s="3" t="s">
        <v>1349</v>
      </c>
      <c r="F408" s="5" t="s">
        <v>1342</v>
      </c>
      <c r="G408" s="3" t="s">
        <v>1350</v>
      </c>
      <c r="H408" s="3" t="s">
        <v>126</v>
      </c>
    </row>
    <row r="409" spans="1:8" ht="15.75" x14ac:dyDescent="0.25">
      <c r="A409" s="4">
        <v>37464</v>
      </c>
      <c r="B409" s="3" t="s">
        <v>2</v>
      </c>
      <c r="C409" s="3">
        <v>173</v>
      </c>
      <c r="D409" s="3">
        <v>77</v>
      </c>
      <c r="E409" s="3" t="s">
        <v>1353</v>
      </c>
      <c r="F409" s="5" t="s">
        <v>1081</v>
      </c>
      <c r="G409" s="3" t="s">
        <v>1354</v>
      </c>
      <c r="H409" s="3" t="s">
        <v>128</v>
      </c>
    </row>
    <row r="410" spans="1:8" ht="15.75" x14ac:dyDescent="0.25">
      <c r="A410" s="4">
        <v>37108</v>
      </c>
      <c r="B410" s="3" t="s">
        <v>2</v>
      </c>
      <c r="C410" s="3">
        <v>176</v>
      </c>
      <c r="D410" s="3">
        <v>82</v>
      </c>
      <c r="E410" s="3" t="s">
        <v>1357</v>
      </c>
      <c r="F410" s="5" t="s">
        <v>1358</v>
      </c>
      <c r="G410" s="3" t="s">
        <v>1359</v>
      </c>
      <c r="H410" s="3" t="s">
        <v>130</v>
      </c>
    </row>
    <row r="411" spans="1:8" ht="15.75" x14ac:dyDescent="0.25">
      <c r="A411" s="4">
        <v>38019</v>
      </c>
      <c r="B411" s="3" t="s">
        <v>2</v>
      </c>
      <c r="C411" s="3">
        <v>157</v>
      </c>
      <c r="D411" s="3">
        <v>54</v>
      </c>
      <c r="E411" s="3" t="s">
        <v>1364</v>
      </c>
      <c r="F411" s="5" t="s">
        <v>1268</v>
      </c>
      <c r="G411" s="3" t="s">
        <v>1365</v>
      </c>
      <c r="H411" s="3" t="s">
        <v>133</v>
      </c>
    </row>
    <row r="412" spans="1:8" ht="15.75" x14ac:dyDescent="0.25">
      <c r="A412" s="4">
        <v>37907</v>
      </c>
      <c r="B412" s="3" t="s">
        <v>2</v>
      </c>
      <c r="C412" s="3">
        <v>175</v>
      </c>
      <c r="D412" s="3">
        <v>47</v>
      </c>
      <c r="E412" s="3" t="s">
        <v>1391</v>
      </c>
      <c r="F412" s="5" t="s">
        <v>1114</v>
      </c>
      <c r="G412" s="3" t="s">
        <v>1392</v>
      </c>
      <c r="H412" s="3" t="s">
        <v>145</v>
      </c>
    </row>
    <row r="413" spans="1:8" ht="15.75" x14ac:dyDescent="0.25">
      <c r="A413" s="4">
        <v>38359</v>
      </c>
      <c r="B413" s="3" t="s">
        <v>2</v>
      </c>
      <c r="C413" s="3">
        <v>175</v>
      </c>
      <c r="D413" s="3">
        <v>50</v>
      </c>
      <c r="E413" s="3" t="s">
        <v>1396</v>
      </c>
      <c r="F413" s="5" t="s">
        <v>1298</v>
      </c>
      <c r="G413" s="3" t="s">
        <v>1397</v>
      </c>
      <c r="H413" s="3" t="s">
        <v>147</v>
      </c>
    </row>
    <row r="414" spans="1:8" ht="15.75" x14ac:dyDescent="0.25">
      <c r="A414" s="4">
        <v>37671</v>
      </c>
      <c r="B414" s="3" t="s">
        <v>2</v>
      </c>
      <c r="C414" s="3">
        <v>163</v>
      </c>
      <c r="D414" s="3">
        <v>87</v>
      </c>
      <c r="E414" s="3" t="s">
        <v>1398</v>
      </c>
      <c r="F414" s="5" t="s">
        <v>1260</v>
      </c>
      <c r="G414" s="3" t="s">
        <v>1399</v>
      </c>
      <c r="H414" s="3" t="s">
        <v>148</v>
      </c>
    </row>
    <row r="415" spans="1:8" ht="15.75" x14ac:dyDescent="0.25">
      <c r="A415" s="4">
        <v>38274</v>
      </c>
      <c r="B415" s="3" t="s">
        <v>2</v>
      </c>
      <c r="C415" s="3">
        <v>153</v>
      </c>
      <c r="D415" s="3">
        <v>66</v>
      </c>
      <c r="E415" s="3" t="s">
        <v>1420</v>
      </c>
      <c r="F415" s="5" t="s">
        <v>1066</v>
      </c>
      <c r="G415" s="3" t="s">
        <v>1421</v>
      </c>
      <c r="H415" s="3" t="s">
        <v>158</v>
      </c>
    </row>
    <row r="416" spans="1:8" ht="15.75" x14ac:dyDescent="0.25">
      <c r="A416" s="4">
        <v>38445</v>
      </c>
      <c r="B416" s="3" t="s">
        <v>2</v>
      </c>
      <c r="C416" s="3">
        <v>174</v>
      </c>
      <c r="D416" s="3">
        <v>69</v>
      </c>
      <c r="E416" s="3" t="s">
        <v>1426</v>
      </c>
      <c r="F416" s="5" t="s">
        <v>1322</v>
      </c>
      <c r="G416" s="3" t="s">
        <v>1427</v>
      </c>
      <c r="H416" s="3" t="s">
        <v>161</v>
      </c>
    </row>
    <row r="417" spans="1:8" ht="15.75" x14ac:dyDescent="0.25">
      <c r="A417" s="4">
        <v>37776</v>
      </c>
      <c r="B417" s="3" t="s">
        <v>2</v>
      </c>
      <c r="C417" s="3">
        <v>171</v>
      </c>
      <c r="D417" s="3">
        <v>57</v>
      </c>
      <c r="E417" s="3" t="s">
        <v>1457</v>
      </c>
      <c r="F417" s="5" t="s">
        <v>1078</v>
      </c>
      <c r="G417" s="3" t="s">
        <v>1458</v>
      </c>
      <c r="H417" s="3" t="s">
        <v>175</v>
      </c>
    </row>
    <row r="418" spans="1:8" ht="15.75" x14ac:dyDescent="0.25">
      <c r="A418" s="4">
        <v>37867</v>
      </c>
      <c r="B418" s="3" t="s">
        <v>2</v>
      </c>
      <c r="C418" s="3">
        <v>174</v>
      </c>
      <c r="D418" s="3">
        <v>86</v>
      </c>
      <c r="E418" s="3" t="s">
        <v>1465</v>
      </c>
      <c r="F418" s="5" t="s">
        <v>1449</v>
      </c>
      <c r="G418" s="3" t="s">
        <v>1466</v>
      </c>
      <c r="H418" s="3" t="s">
        <v>179</v>
      </c>
    </row>
    <row r="419" spans="1:8" ht="15.75" x14ac:dyDescent="0.25">
      <c r="A419" s="4">
        <v>37573</v>
      </c>
      <c r="B419" s="3" t="s">
        <v>2</v>
      </c>
      <c r="C419" s="3">
        <v>179</v>
      </c>
      <c r="D419" s="3">
        <v>48</v>
      </c>
      <c r="E419" s="3" t="s">
        <v>1494</v>
      </c>
      <c r="F419" s="5" t="s">
        <v>1287</v>
      </c>
      <c r="G419" s="3" t="s">
        <v>1495</v>
      </c>
      <c r="H419" s="3" t="s">
        <v>192</v>
      </c>
    </row>
    <row r="420" spans="1:8" ht="15.75" x14ac:dyDescent="0.25">
      <c r="A420" s="4">
        <v>38336</v>
      </c>
      <c r="B420" s="3" t="s">
        <v>2</v>
      </c>
      <c r="C420" s="3">
        <v>160</v>
      </c>
      <c r="D420" s="3">
        <v>78</v>
      </c>
      <c r="E420" s="3" t="s">
        <v>1496</v>
      </c>
      <c r="F420" s="5" t="s">
        <v>1114</v>
      </c>
      <c r="G420" s="3" t="s">
        <v>1497</v>
      </c>
      <c r="H420" s="3" t="s">
        <v>193</v>
      </c>
    </row>
    <row r="421" spans="1:8" ht="15.75" x14ac:dyDescent="0.25">
      <c r="A421" s="4">
        <v>38387</v>
      </c>
      <c r="B421" s="3" t="s">
        <v>2</v>
      </c>
      <c r="C421" s="3">
        <v>178</v>
      </c>
      <c r="D421" s="3">
        <v>54</v>
      </c>
      <c r="E421" s="3" t="s">
        <v>1389</v>
      </c>
      <c r="F421" s="5" t="s">
        <v>1223</v>
      </c>
      <c r="G421" s="3" t="s">
        <v>1498</v>
      </c>
      <c r="H421" s="3" t="s">
        <v>194</v>
      </c>
    </row>
    <row r="422" spans="1:8" ht="15.75" x14ac:dyDescent="0.25">
      <c r="A422" s="4">
        <v>37203</v>
      </c>
      <c r="B422" s="3" t="s">
        <v>2</v>
      </c>
      <c r="C422" s="3">
        <v>168</v>
      </c>
      <c r="D422" s="3">
        <v>58</v>
      </c>
      <c r="E422" s="3" t="s">
        <v>1512</v>
      </c>
      <c r="F422" s="5" t="s">
        <v>1213</v>
      </c>
      <c r="G422" s="3" t="s">
        <v>1513</v>
      </c>
      <c r="H422" s="3" t="s">
        <v>201</v>
      </c>
    </row>
    <row r="423" spans="1:8" ht="15.75" x14ac:dyDescent="0.25">
      <c r="A423" s="4">
        <v>38185</v>
      </c>
      <c r="B423" s="3" t="s">
        <v>2</v>
      </c>
      <c r="C423" s="3">
        <v>161</v>
      </c>
      <c r="D423" s="3">
        <v>89</v>
      </c>
      <c r="E423" s="3" t="s">
        <v>1529</v>
      </c>
      <c r="F423" s="5" t="s">
        <v>1530</v>
      </c>
      <c r="G423" s="3" t="s">
        <v>1531</v>
      </c>
      <c r="H423" s="3" t="s">
        <v>209</v>
      </c>
    </row>
    <row r="424" spans="1:8" ht="15.75" x14ac:dyDescent="0.25">
      <c r="A424" s="4">
        <v>37598</v>
      </c>
      <c r="B424" s="3" t="s">
        <v>2</v>
      </c>
      <c r="C424" s="3">
        <v>157</v>
      </c>
      <c r="D424" s="3">
        <v>88</v>
      </c>
      <c r="E424" s="3" t="s">
        <v>1559</v>
      </c>
      <c r="F424" s="5" t="s">
        <v>1100</v>
      </c>
      <c r="G424" s="3" t="s">
        <v>1560</v>
      </c>
      <c r="H424" s="3" t="s">
        <v>223</v>
      </c>
    </row>
    <row r="425" spans="1:8" ht="15.75" x14ac:dyDescent="0.25">
      <c r="A425" s="4">
        <v>37016</v>
      </c>
      <c r="B425" s="3" t="s">
        <v>2</v>
      </c>
      <c r="C425" s="3">
        <v>168</v>
      </c>
      <c r="D425" s="3">
        <v>90</v>
      </c>
      <c r="E425" s="3" t="s">
        <v>1563</v>
      </c>
      <c r="F425" s="5" t="s">
        <v>1210</v>
      </c>
      <c r="G425" s="3" t="s">
        <v>1564</v>
      </c>
      <c r="H425" s="3" t="s">
        <v>225</v>
      </c>
    </row>
    <row r="426" spans="1:8" ht="15.75" x14ac:dyDescent="0.25">
      <c r="A426" s="4">
        <v>37883</v>
      </c>
      <c r="B426" s="3" t="s">
        <v>2</v>
      </c>
      <c r="C426" s="3">
        <v>169</v>
      </c>
      <c r="D426" s="3">
        <v>83</v>
      </c>
      <c r="E426" s="3" t="s">
        <v>1565</v>
      </c>
      <c r="F426" s="5" t="s">
        <v>1087</v>
      </c>
      <c r="G426" s="3" t="s">
        <v>1566</v>
      </c>
      <c r="H426" s="3" t="s">
        <v>226</v>
      </c>
    </row>
    <row r="427" spans="1:8" ht="15.75" x14ac:dyDescent="0.25">
      <c r="A427" s="4">
        <v>37246</v>
      </c>
      <c r="B427" s="3" t="s">
        <v>2</v>
      </c>
      <c r="C427" s="3">
        <v>160</v>
      </c>
      <c r="D427" s="3">
        <v>48</v>
      </c>
      <c r="E427" s="3" t="s">
        <v>1582</v>
      </c>
      <c r="F427" s="5" t="s">
        <v>1583</v>
      </c>
      <c r="G427" s="3" t="s">
        <v>1584</v>
      </c>
      <c r="H427" s="3" t="s">
        <v>234</v>
      </c>
    </row>
    <row r="428" spans="1:8" ht="15.75" x14ac:dyDescent="0.25">
      <c r="A428" s="4">
        <v>37544</v>
      </c>
      <c r="B428" s="3" t="s">
        <v>2</v>
      </c>
      <c r="C428" s="3">
        <v>158</v>
      </c>
      <c r="D428" s="3">
        <v>76</v>
      </c>
      <c r="E428" s="3" t="s">
        <v>1630</v>
      </c>
      <c r="F428" s="5" t="s">
        <v>1210</v>
      </c>
      <c r="G428" s="3" t="s">
        <v>1631</v>
      </c>
      <c r="H428" s="3" t="s">
        <v>257</v>
      </c>
    </row>
    <row r="429" spans="1:8" ht="15.75" x14ac:dyDescent="0.25">
      <c r="A429" s="4">
        <v>37713</v>
      </c>
      <c r="B429" s="3" t="s">
        <v>2</v>
      </c>
      <c r="C429" s="3">
        <v>177</v>
      </c>
      <c r="D429" s="3">
        <v>52</v>
      </c>
      <c r="E429" s="3" t="s">
        <v>1636</v>
      </c>
      <c r="F429" s="5" t="s">
        <v>1537</v>
      </c>
      <c r="G429" s="3" t="s">
        <v>1637</v>
      </c>
      <c r="H429" s="3" t="s">
        <v>260</v>
      </c>
    </row>
    <row r="430" spans="1:8" ht="15.75" x14ac:dyDescent="0.25">
      <c r="A430" s="4">
        <v>38242</v>
      </c>
      <c r="B430" s="3" t="s">
        <v>2</v>
      </c>
      <c r="C430" s="3">
        <v>159</v>
      </c>
      <c r="D430" s="3">
        <v>66</v>
      </c>
      <c r="E430" s="3" t="s">
        <v>1664</v>
      </c>
      <c r="F430" s="5" t="s">
        <v>1287</v>
      </c>
      <c r="G430" s="3" t="s">
        <v>1665</v>
      </c>
      <c r="H430" s="3" t="s">
        <v>274</v>
      </c>
    </row>
    <row r="431" spans="1:8" ht="15.75" x14ac:dyDescent="0.25">
      <c r="A431" s="4">
        <v>37344</v>
      </c>
      <c r="B431" s="3" t="s">
        <v>2</v>
      </c>
      <c r="C431" s="3">
        <v>164</v>
      </c>
      <c r="D431" s="3">
        <v>63</v>
      </c>
      <c r="E431" s="3" t="s">
        <v>1674</v>
      </c>
      <c r="F431" s="5" t="s">
        <v>1200</v>
      </c>
      <c r="G431" s="3" t="s">
        <v>1675</v>
      </c>
      <c r="H431" s="3" t="s">
        <v>279</v>
      </c>
    </row>
    <row r="432" spans="1:8" ht="15.75" x14ac:dyDescent="0.25">
      <c r="A432" s="4">
        <v>37162</v>
      </c>
      <c r="B432" s="3" t="s">
        <v>2</v>
      </c>
      <c r="C432" s="3">
        <v>150</v>
      </c>
      <c r="D432" s="3">
        <v>50</v>
      </c>
      <c r="E432" s="3" t="s">
        <v>1695</v>
      </c>
      <c r="F432" s="5" t="s">
        <v>1347</v>
      </c>
      <c r="G432" s="3" t="s">
        <v>1696</v>
      </c>
      <c r="H432" s="3" t="s">
        <v>289</v>
      </c>
    </row>
    <row r="433" spans="1:8" ht="15.75" x14ac:dyDescent="0.25">
      <c r="A433" s="4">
        <v>37086</v>
      </c>
      <c r="B433" s="3" t="s">
        <v>2</v>
      </c>
      <c r="C433" s="3">
        <v>180</v>
      </c>
      <c r="D433" s="3">
        <v>91</v>
      </c>
      <c r="E433" s="3" t="s">
        <v>1712</v>
      </c>
      <c r="F433" s="5" t="s">
        <v>1290</v>
      </c>
      <c r="G433" s="3" t="s">
        <v>1713</v>
      </c>
      <c r="H433" s="3" t="s">
        <v>297</v>
      </c>
    </row>
    <row r="434" spans="1:8" ht="15.75" x14ac:dyDescent="0.25">
      <c r="A434" s="4">
        <v>38363</v>
      </c>
      <c r="B434" s="3" t="s">
        <v>2</v>
      </c>
      <c r="C434" s="3">
        <v>179</v>
      </c>
      <c r="D434" s="3">
        <v>90</v>
      </c>
      <c r="E434" s="3" t="s">
        <v>1733</v>
      </c>
      <c r="F434" s="5" t="s">
        <v>1184</v>
      </c>
      <c r="G434" s="3" t="s">
        <v>1734</v>
      </c>
      <c r="H434" s="3" t="s">
        <v>307</v>
      </c>
    </row>
    <row r="435" spans="1:8" ht="15.75" x14ac:dyDescent="0.25">
      <c r="A435" s="4">
        <v>37123</v>
      </c>
      <c r="B435" s="3" t="s">
        <v>2</v>
      </c>
      <c r="C435" s="3">
        <v>155</v>
      </c>
      <c r="D435" s="3">
        <v>80</v>
      </c>
      <c r="E435" s="3" t="s">
        <v>1755</v>
      </c>
      <c r="F435" s="5" t="s">
        <v>1126</v>
      </c>
      <c r="G435" s="3" t="s">
        <v>1756</v>
      </c>
      <c r="H435" s="3" t="s">
        <v>318</v>
      </c>
    </row>
    <row r="436" spans="1:8" ht="15.75" x14ac:dyDescent="0.25">
      <c r="A436" s="4">
        <v>37915</v>
      </c>
      <c r="B436" s="3" t="s">
        <v>2</v>
      </c>
      <c r="C436" s="3">
        <v>152</v>
      </c>
      <c r="D436" s="3">
        <v>92</v>
      </c>
      <c r="E436" s="3" t="s">
        <v>1764</v>
      </c>
      <c r="F436" s="5" t="s">
        <v>1434</v>
      </c>
      <c r="G436" s="3" t="s">
        <v>1765</v>
      </c>
      <c r="H436" s="3" t="s">
        <v>321</v>
      </c>
    </row>
    <row r="437" spans="1:8" ht="15.75" x14ac:dyDescent="0.25">
      <c r="A437" s="4">
        <v>37571</v>
      </c>
      <c r="B437" s="3" t="s">
        <v>2</v>
      </c>
      <c r="C437" s="3">
        <v>161</v>
      </c>
      <c r="D437" s="3">
        <v>81</v>
      </c>
      <c r="E437" s="3" t="s">
        <v>1770</v>
      </c>
      <c r="F437" s="5" t="s">
        <v>1358</v>
      </c>
      <c r="G437" s="3" t="s">
        <v>1771</v>
      </c>
      <c r="H437" s="3" t="s">
        <v>324</v>
      </c>
    </row>
    <row r="438" spans="1:8" ht="15.75" x14ac:dyDescent="0.25">
      <c r="A438" s="4">
        <v>37515</v>
      </c>
      <c r="B438" s="3" t="s">
        <v>2</v>
      </c>
      <c r="C438" s="3">
        <v>179</v>
      </c>
      <c r="D438" s="3">
        <v>95</v>
      </c>
      <c r="E438" s="3" t="s">
        <v>1775</v>
      </c>
      <c r="F438" s="5" t="s">
        <v>1167</v>
      </c>
      <c r="G438" s="3" t="s">
        <v>1776</v>
      </c>
      <c r="H438" s="3" t="s">
        <v>327</v>
      </c>
    </row>
    <row r="439" spans="1:8" ht="15.75" x14ac:dyDescent="0.25">
      <c r="A439" s="4">
        <v>38203</v>
      </c>
      <c r="B439" s="3" t="s">
        <v>2</v>
      </c>
      <c r="C439" s="3">
        <v>172</v>
      </c>
      <c r="D439" s="3">
        <v>64</v>
      </c>
      <c r="E439" s="3" t="s">
        <v>1784</v>
      </c>
      <c r="F439" s="5" t="s">
        <v>1394</v>
      </c>
      <c r="G439" s="3" t="s">
        <v>1785</v>
      </c>
      <c r="H439" s="3" t="s">
        <v>331</v>
      </c>
    </row>
    <row r="440" spans="1:8" ht="15.75" x14ac:dyDescent="0.25">
      <c r="A440" s="4">
        <v>37565</v>
      </c>
      <c r="B440" s="3" t="s">
        <v>2</v>
      </c>
      <c r="C440" s="3">
        <v>167</v>
      </c>
      <c r="D440" s="3">
        <v>79</v>
      </c>
      <c r="E440" s="3" t="s">
        <v>1797</v>
      </c>
      <c r="F440" s="5" t="s">
        <v>1247</v>
      </c>
      <c r="G440" s="3" t="s">
        <v>1798</v>
      </c>
      <c r="H440" s="3" t="s">
        <v>338</v>
      </c>
    </row>
    <row r="441" spans="1:8" ht="15.75" x14ac:dyDescent="0.25">
      <c r="A441" s="4">
        <v>37171</v>
      </c>
      <c r="B441" s="3" t="s">
        <v>2</v>
      </c>
      <c r="C441" s="3">
        <v>167</v>
      </c>
      <c r="D441" s="3">
        <v>89</v>
      </c>
      <c r="E441" s="3" t="s">
        <v>1836</v>
      </c>
      <c r="F441" s="5" t="s">
        <v>1268</v>
      </c>
      <c r="G441" s="3" t="s">
        <v>1837</v>
      </c>
      <c r="H441" s="3" t="s">
        <v>355</v>
      </c>
    </row>
    <row r="442" spans="1:8" ht="15.75" x14ac:dyDescent="0.25">
      <c r="A442" s="4">
        <v>37710</v>
      </c>
      <c r="B442" s="3" t="s">
        <v>2</v>
      </c>
      <c r="C442" s="3">
        <v>158</v>
      </c>
      <c r="D442" s="3">
        <v>52</v>
      </c>
      <c r="E442" s="3" t="s">
        <v>1848</v>
      </c>
      <c r="F442" s="5" t="s">
        <v>1849</v>
      </c>
      <c r="G442" s="3" t="s">
        <v>1850</v>
      </c>
      <c r="H442" s="3" t="s">
        <v>361</v>
      </c>
    </row>
    <row r="443" spans="1:8" ht="15.75" x14ac:dyDescent="0.25">
      <c r="A443" s="4">
        <v>37958</v>
      </c>
      <c r="B443" s="3" t="s">
        <v>2</v>
      </c>
      <c r="C443" s="3">
        <v>156</v>
      </c>
      <c r="D443" s="3">
        <v>68</v>
      </c>
      <c r="E443" s="3" t="s">
        <v>1853</v>
      </c>
      <c r="F443" s="5" t="s">
        <v>1710</v>
      </c>
      <c r="G443" s="3" t="s">
        <v>1854</v>
      </c>
      <c r="H443" s="3" t="s">
        <v>363</v>
      </c>
    </row>
    <row r="444" spans="1:8" ht="15.75" x14ac:dyDescent="0.25">
      <c r="A444" s="4">
        <v>38347</v>
      </c>
      <c r="B444" s="3" t="s">
        <v>2</v>
      </c>
      <c r="C444" s="3">
        <v>161</v>
      </c>
      <c r="D444" s="3">
        <v>51</v>
      </c>
      <c r="E444" s="3" t="s">
        <v>1861</v>
      </c>
      <c r="F444" s="5" t="s">
        <v>1862</v>
      </c>
      <c r="G444" s="3" t="s">
        <v>1863</v>
      </c>
      <c r="H444" s="3" t="s">
        <v>367</v>
      </c>
    </row>
    <row r="445" spans="1:8" ht="15.75" x14ac:dyDescent="0.25">
      <c r="A445" s="4">
        <v>37250</v>
      </c>
      <c r="B445" s="3" t="s">
        <v>2</v>
      </c>
      <c r="C445" s="3">
        <v>176</v>
      </c>
      <c r="D445" s="3">
        <v>45</v>
      </c>
      <c r="E445" s="3" t="s">
        <v>1475</v>
      </c>
      <c r="F445" s="5" t="s">
        <v>1287</v>
      </c>
      <c r="G445" s="3" t="s">
        <v>1902</v>
      </c>
      <c r="H445" s="3" t="s">
        <v>387</v>
      </c>
    </row>
    <row r="446" spans="1:8" ht="15.75" x14ac:dyDescent="0.25">
      <c r="A446" s="4">
        <v>37934</v>
      </c>
      <c r="B446" s="3" t="s">
        <v>2</v>
      </c>
      <c r="C446" s="3">
        <v>157</v>
      </c>
      <c r="D446" s="3">
        <v>81</v>
      </c>
      <c r="E446" s="3" t="s">
        <v>1911</v>
      </c>
      <c r="F446" s="5" t="s">
        <v>1780</v>
      </c>
      <c r="G446" s="3" t="s">
        <v>1912</v>
      </c>
      <c r="H446" s="3" t="s">
        <v>392</v>
      </c>
    </row>
    <row r="447" spans="1:8" ht="15.75" x14ac:dyDescent="0.25">
      <c r="A447" s="4">
        <v>37738</v>
      </c>
      <c r="B447" s="3" t="s">
        <v>2</v>
      </c>
      <c r="C447" s="3">
        <v>177</v>
      </c>
      <c r="D447" s="3">
        <v>91</v>
      </c>
      <c r="E447" s="3" t="s">
        <v>1915</v>
      </c>
      <c r="F447" s="5" t="s">
        <v>1260</v>
      </c>
      <c r="G447" s="3" t="s">
        <v>1916</v>
      </c>
      <c r="H447" s="3" t="s">
        <v>394</v>
      </c>
    </row>
    <row r="448" spans="1:8" ht="15.75" x14ac:dyDescent="0.25">
      <c r="A448" s="4">
        <v>37222</v>
      </c>
      <c r="B448" s="3" t="s">
        <v>2</v>
      </c>
      <c r="C448" s="3">
        <v>153</v>
      </c>
      <c r="D448" s="3">
        <v>58</v>
      </c>
      <c r="E448" s="3" t="s">
        <v>1949</v>
      </c>
      <c r="F448" s="5" t="s">
        <v>1078</v>
      </c>
      <c r="G448" s="3" t="s">
        <v>1950</v>
      </c>
      <c r="H448" s="3" t="s">
        <v>410</v>
      </c>
    </row>
    <row r="449" spans="1:8" ht="15.75" x14ac:dyDescent="0.25">
      <c r="A449" s="4">
        <v>38403</v>
      </c>
      <c r="B449" s="3" t="s">
        <v>2</v>
      </c>
      <c r="C449" s="3">
        <v>177</v>
      </c>
      <c r="D449" s="3">
        <v>85</v>
      </c>
      <c r="E449" s="3" t="s">
        <v>1951</v>
      </c>
      <c r="F449" s="5" t="s">
        <v>1069</v>
      </c>
      <c r="G449" s="3" t="s">
        <v>1952</v>
      </c>
      <c r="H449" s="3" t="s">
        <v>411</v>
      </c>
    </row>
    <row r="450" spans="1:8" ht="15.75" x14ac:dyDescent="0.25">
      <c r="A450" s="4">
        <v>37931</v>
      </c>
      <c r="B450" s="3" t="s">
        <v>2</v>
      </c>
      <c r="C450" s="3">
        <v>166</v>
      </c>
      <c r="D450" s="3">
        <v>70</v>
      </c>
      <c r="E450" s="3" t="s">
        <v>1965</v>
      </c>
      <c r="F450" s="5" t="s">
        <v>1322</v>
      </c>
      <c r="G450" s="3" t="s">
        <v>1966</v>
      </c>
      <c r="H450" s="3" t="s">
        <v>418</v>
      </c>
    </row>
    <row r="451" spans="1:8" ht="15.75" x14ac:dyDescent="0.25">
      <c r="A451" s="4">
        <v>38054</v>
      </c>
      <c r="B451" s="3" t="s">
        <v>2</v>
      </c>
      <c r="C451" s="3">
        <v>157</v>
      </c>
      <c r="D451" s="3">
        <v>63</v>
      </c>
      <c r="E451" s="3" t="s">
        <v>1988</v>
      </c>
      <c r="F451" s="5" t="s">
        <v>1449</v>
      </c>
      <c r="G451" s="3" t="s">
        <v>1989</v>
      </c>
      <c r="H451" s="3" t="s">
        <v>428</v>
      </c>
    </row>
    <row r="452" spans="1:8" ht="15.75" x14ac:dyDescent="0.25">
      <c r="A452" s="4">
        <v>37424</v>
      </c>
      <c r="B452" s="3" t="s">
        <v>2</v>
      </c>
      <c r="C452" s="3">
        <v>158</v>
      </c>
      <c r="D452" s="3">
        <v>73</v>
      </c>
      <c r="E452" s="3" t="s">
        <v>1990</v>
      </c>
      <c r="F452" s="5" t="s">
        <v>1176</v>
      </c>
      <c r="G452" s="3" t="s">
        <v>1991</v>
      </c>
      <c r="H452" s="3" t="s">
        <v>429</v>
      </c>
    </row>
    <row r="453" spans="1:8" ht="15.75" x14ac:dyDescent="0.25">
      <c r="A453" s="4">
        <v>37118</v>
      </c>
      <c r="B453" s="3" t="s">
        <v>2</v>
      </c>
      <c r="C453" s="3">
        <v>154</v>
      </c>
      <c r="D453" s="3">
        <v>72</v>
      </c>
      <c r="E453" s="3" t="s">
        <v>1994</v>
      </c>
      <c r="F453" s="5" t="s">
        <v>1117</v>
      </c>
      <c r="G453" s="3" t="s">
        <v>1995</v>
      </c>
      <c r="H453" s="3" t="s">
        <v>431</v>
      </c>
    </row>
    <row r="454" spans="1:8" ht="15.75" x14ac:dyDescent="0.25">
      <c r="A454" s="4">
        <v>37888</v>
      </c>
      <c r="B454" s="3" t="s">
        <v>2</v>
      </c>
      <c r="C454" s="3">
        <v>150</v>
      </c>
      <c r="D454" s="3">
        <v>79</v>
      </c>
      <c r="E454" s="3" t="s">
        <v>2023</v>
      </c>
      <c r="F454" s="5" t="s">
        <v>1200</v>
      </c>
      <c r="G454" s="3" t="s">
        <v>2024</v>
      </c>
      <c r="H454" s="3" t="s">
        <v>445</v>
      </c>
    </row>
    <row r="455" spans="1:8" ht="15.75" x14ac:dyDescent="0.25">
      <c r="A455" s="4">
        <v>37312</v>
      </c>
      <c r="B455" s="3" t="s">
        <v>2</v>
      </c>
      <c r="C455" s="3">
        <v>171</v>
      </c>
      <c r="D455" s="3">
        <v>66</v>
      </c>
      <c r="E455" s="3" t="s">
        <v>2051</v>
      </c>
      <c r="F455" s="5" t="s">
        <v>1275</v>
      </c>
      <c r="G455" s="3" t="s">
        <v>2052</v>
      </c>
      <c r="H455" s="3" t="s">
        <v>459</v>
      </c>
    </row>
    <row r="456" spans="1:8" ht="15.75" x14ac:dyDescent="0.25">
      <c r="A456" s="4">
        <v>38382</v>
      </c>
      <c r="B456" s="3" t="s">
        <v>2</v>
      </c>
      <c r="C456" s="3">
        <v>174</v>
      </c>
      <c r="D456" s="3">
        <v>72</v>
      </c>
      <c r="E456" s="3" t="s">
        <v>2088</v>
      </c>
      <c r="F456" s="5" t="s">
        <v>1081</v>
      </c>
      <c r="G456" s="3" t="s">
        <v>2089</v>
      </c>
      <c r="H456" s="3" t="s">
        <v>478</v>
      </c>
    </row>
    <row r="457" spans="1:8" ht="15.75" x14ac:dyDescent="0.25">
      <c r="A457" s="4">
        <v>37223</v>
      </c>
      <c r="B457" s="3" t="s">
        <v>2</v>
      </c>
      <c r="C457" s="3">
        <v>169</v>
      </c>
      <c r="D457" s="3">
        <v>54</v>
      </c>
      <c r="E457" s="3" t="s">
        <v>2102</v>
      </c>
      <c r="F457" s="5" t="s">
        <v>1090</v>
      </c>
      <c r="G457" s="3" t="s">
        <v>2103</v>
      </c>
      <c r="H457" s="3" t="s">
        <v>485</v>
      </c>
    </row>
    <row r="458" spans="1:8" ht="15.75" x14ac:dyDescent="0.25">
      <c r="A458" s="4">
        <v>38433</v>
      </c>
      <c r="B458" s="3" t="s">
        <v>2</v>
      </c>
      <c r="C458" s="3">
        <v>178</v>
      </c>
      <c r="D458" s="3">
        <v>69</v>
      </c>
      <c r="E458" s="3" t="s">
        <v>2114</v>
      </c>
      <c r="F458" s="5" t="s">
        <v>1371</v>
      </c>
      <c r="G458" s="3" t="s">
        <v>2115</v>
      </c>
      <c r="H458" s="3" t="s">
        <v>491</v>
      </c>
    </row>
    <row r="459" spans="1:8" ht="15.75" x14ac:dyDescent="0.25">
      <c r="A459" s="4">
        <v>37243</v>
      </c>
      <c r="B459" s="3" t="s">
        <v>2</v>
      </c>
      <c r="C459" s="3">
        <v>180</v>
      </c>
      <c r="D459" s="3">
        <v>67</v>
      </c>
      <c r="E459" s="3" t="s">
        <v>2130</v>
      </c>
      <c r="F459" s="5" t="s">
        <v>1173</v>
      </c>
      <c r="G459" s="3" t="s">
        <v>2131</v>
      </c>
      <c r="H459" s="3" t="s">
        <v>499</v>
      </c>
    </row>
    <row r="460" spans="1:8" ht="15.75" x14ac:dyDescent="0.25">
      <c r="A460" s="4">
        <v>37021</v>
      </c>
      <c r="B460" s="3" t="s">
        <v>2</v>
      </c>
      <c r="C460" s="3">
        <v>173</v>
      </c>
      <c r="D460" s="3">
        <v>46</v>
      </c>
      <c r="E460" s="3" t="s">
        <v>2136</v>
      </c>
      <c r="F460" s="5" t="s">
        <v>1449</v>
      </c>
      <c r="G460" s="3" t="s">
        <v>2137</v>
      </c>
      <c r="H460" s="3" t="s">
        <v>502</v>
      </c>
    </row>
    <row r="461" spans="1:8" ht="15.75" x14ac:dyDescent="0.25">
      <c r="A461" s="4">
        <v>37157</v>
      </c>
      <c r="B461" s="3" t="s">
        <v>2</v>
      </c>
      <c r="C461" s="3">
        <v>172</v>
      </c>
      <c r="D461" s="3">
        <v>95</v>
      </c>
      <c r="E461" s="3" t="s">
        <v>2154</v>
      </c>
      <c r="F461" s="5" t="s">
        <v>1218</v>
      </c>
      <c r="G461" s="3" t="s">
        <v>2155</v>
      </c>
      <c r="H461" s="3" t="s">
        <v>511</v>
      </c>
    </row>
    <row r="462" spans="1:8" ht="15.75" x14ac:dyDescent="0.25">
      <c r="A462" s="4">
        <v>37545</v>
      </c>
      <c r="B462" s="3" t="s">
        <v>2</v>
      </c>
      <c r="C462" s="3">
        <v>152</v>
      </c>
      <c r="D462" s="3">
        <v>55</v>
      </c>
      <c r="E462" s="3" t="s">
        <v>2156</v>
      </c>
      <c r="F462" s="5" t="s">
        <v>1530</v>
      </c>
      <c r="G462" s="3" t="s">
        <v>2157</v>
      </c>
      <c r="H462" s="3" t="s">
        <v>512</v>
      </c>
    </row>
    <row r="463" spans="1:8" ht="15.75" x14ac:dyDescent="0.25">
      <c r="A463" s="4">
        <v>37270</v>
      </c>
      <c r="B463" s="3" t="s">
        <v>2</v>
      </c>
      <c r="C463" s="3">
        <v>158</v>
      </c>
      <c r="D463" s="3">
        <v>56</v>
      </c>
      <c r="E463" s="3" t="s">
        <v>2179</v>
      </c>
      <c r="F463" s="5" t="s">
        <v>1717</v>
      </c>
      <c r="G463" s="3" t="s">
        <v>2180</v>
      </c>
      <c r="H463" s="3" t="s">
        <v>524</v>
      </c>
    </row>
    <row r="464" spans="1:8" ht="15.75" x14ac:dyDescent="0.25">
      <c r="A464" s="4">
        <v>37513</v>
      </c>
      <c r="B464" s="3" t="s">
        <v>2</v>
      </c>
      <c r="C464" s="3">
        <v>153</v>
      </c>
      <c r="D464" s="3">
        <v>84</v>
      </c>
      <c r="E464" s="3" t="s">
        <v>2183</v>
      </c>
      <c r="F464" s="5" t="s">
        <v>1081</v>
      </c>
      <c r="G464" s="3" t="s">
        <v>2184</v>
      </c>
      <c r="H464" s="3" t="s">
        <v>526</v>
      </c>
    </row>
    <row r="465" spans="1:8" ht="15.75" x14ac:dyDescent="0.25">
      <c r="A465" s="4">
        <v>37851</v>
      </c>
      <c r="B465" s="3" t="s">
        <v>2</v>
      </c>
      <c r="C465" s="3">
        <v>169</v>
      </c>
      <c r="D465" s="3">
        <v>67</v>
      </c>
      <c r="E465" s="3" t="s">
        <v>2219</v>
      </c>
      <c r="F465" s="5" t="s">
        <v>1213</v>
      </c>
      <c r="G465" s="3" t="s">
        <v>2220</v>
      </c>
      <c r="H465" s="3" t="s">
        <v>544</v>
      </c>
    </row>
    <row r="466" spans="1:8" ht="15.75" x14ac:dyDescent="0.25">
      <c r="A466" s="4">
        <v>38302</v>
      </c>
      <c r="B466" s="3" t="s">
        <v>2</v>
      </c>
      <c r="C466" s="3">
        <v>163</v>
      </c>
      <c r="D466" s="3">
        <v>62</v>
      </c>
      <c r="E466" s="3" t="s">
        <v>2239</v>
      </c>
      <c r="F466" s="5" t="s">
        <v>1287</v>
      </c>
      <c r="G466" s="3" t="s">
        <v>2240</v>
      </c>
      <c r="H466" s="3" t="s">
        <v>554</v>
      </c>
    </row>
    <row r="467" spans="1:8" ht="15.75" x14ac:dyDescent="0.25">
      <c r="A467" s="4">
        <v>38153</v>
      </c>
      <c r="B467" s="3" t="s">
        <v>2</v>
      </c>
      <c r="C467" s="3">
        <v>180</v>
      </c>
      <c r="D467" s="3">
        <v>74</v>
      </c>
      <c r="E467" s="3" t="s">
        <v>2241</v>
      </c>
      <c r="F467" s="5" t="s">
        <v>1717</v>
      </c>
      <c r="G467" s="3" t="s">
        <v>2242</v>
      </c>
      <c r="H467" s="3" t="s">
        <v>555</v>
      </c>
    </row>
    <row r="468" spans="1:8" ht="15.75" x14ac:dyDescent="0.25">
      <c r="A468" s="4">
        <v>37352</v>
      </c>
      <c r="B468" s="3" t="s">
        <v>2</v>
      </c>
      <c r="C468" s="3">
        <v>166</v>
      </c>
      <c r="D468" s="3">
        <v>61</v>
      </c>
      <c r="E468" s="3" t="s">
        <v>2259</v>
      </c>
      <c r="F468" s="5" t="s">
        <v>1683</v>
      </c>
      <c r="G468" s="3" t="s">
        <v>2260</v>
      </c>
      <c r="H468" s="3" t="s">
        <v>564</v>
      </c>
    </row>
    <row r="469" spans="1:8" ht="15.75" x14ac:dyDescent="0.25">
      <c r="A469" s="4">
        <v>38444</v>
      </c>
      <c r="B469" s="3" t="s">
        <v>2</v>
      </c>
      <c r="C469" s="3">
        <v>179</v>
      </c>
      <c r="D469" s="3">
        <v>75</v>
      </c>
      <c r="E469" s="3" t="s">
        <v>2271</v>
      </c>
      <c r="F469" s="5" t="s">
        <v>1072</v>
      </c>
      <c r="G469" s="3" t="s">
        <v>2272</v>
      </c>
      <c r="H469" s="3" t="s">
        <v>570</v>
      </c>
    </row>
    <row r="470" spans="1:8" ht="15.75" x14ac:dyDescent="0.25">
      <c r="A470" s="4">
        <v>37536</v>
      </c>
      <c r="B470" s="3" t="s">
        <v>2</v>
      </c>
      <c r="C470" s="3">
        <v>173</v>
      </c>
      <c r="D470" s="3">
        <v>50</v>
      </c>
      <c r="E470" s="3" t="s">
        <v>2275</v>
      </c>
      <c r="F470" s="5" t="s">
        <v>1315</v>
      </c>
      <c r="G470" s="3" t="s">
        <v>2276</v>
      </c>
      <c r="H470" s="3" t="s">
        <v>572</v>
      </c>
    </row>
    <row r="471" spans="1:8" ht="15.75" x14ac:dyDescent="0.25">
      <c r="A471" s="4">
        <v>38260</v>
      </c>
      <c r="B471" s="3" t="s">
        <v>2</v>
      </c>
      <c r="C471" s="3">
        <v>167</v>
      </c>
      <c r="D471" s="3">
        <v>72</v>
      </c>
      <c r="E471" s="3" t="s">
        <v>2281</v>
      </c>
      <c r="F471" s="5" t="s">
        <v>1483</v>
      </c>
      <c r="G471" s="3" t="s">
        <v>2282</v>
      </c>
      <c r="H471" s="3" t="s">
        <v>575</v>
      </c>
    </row>
    <row r="472" spans="1:8" ht="15.75" x14ac:dyDescent="0.25">
      <c r="A472" s="4">
        <v>37449</v>
      </c>
      <c r="B472" s="3" t="s">
        <v>2</v>
      </c>
      <c r="C472" s="3">
        <v>179</v>
      </c>
      <c r="D472" s="3">
        <v>91</v>
      </c>
      <c r="E472" s="3" t="s">
        <v>2283</v>
      </c>
      <c r="F472" s="5" t="s">
        <v>1170</v>
      </c>
      <c r="G472" s="3" t="s">
        <v>2284</v>
      </c>
      <c r="H472" s="3" t="s">
        <v>576</v>
      </c>
    </row>
    <row r="473" spans="1:8" ht="15.75" x14ac:dyDescent="0.25">
      <c r="A473" s="4">
        <v>37037</v>
      </c>
      <c r="B473" s="3" t="s">
        <v>2</v>
      </c>
      <c r="C473" s="3">
        <v>180</v>
      </c>
      <c r="D473" s="3">
        <v>80</v>
      </c>
      <c r="E473" s="3" t="s">
        <v>2304</v>
      </c>
      <c r="F473" s="5" t="s">
        <v>1822</v>
      </c>
      <c r="G473" s="3" t="s">
        <v>2305</v>
      </c>
      <c r="H473" s="3" t="s">
        <v>587</v>
      </c>
    </row>
    <row r="474" spans="1:8" ht="15.75" x14ac:dyDescent="0.25">
      <c r="A474" s="4">
        <v>38009</v>
      </c>
      <c r="B474" s="3" t="s">
        <v>2</v>
      </c>
      <c r="C474" s="3">
        <v>174</v>
      </c>
      <c r="D474" s="3">
        <v>66</v>
      </c>
      <c r="E474" s="3" t="s">
        <v>2306</v>
      </c>
      <c r="F474" s="5" t="s">
        <v>1537</v>
      </c>
      <c r="G474" s="3" t="s">
        <v>2307</v>
      </c>
      <c r="H474" s="3" t="s">
        <v>1007</v>
      </c>
    </row>
    <row r="475" spans="1:8" ht="15.75" x14ac:dyDescent="0.25">
      <c r="A475" s="4">
        <v>37112</v>
      </c>
      <c r="B475" s="3" t="s">
        <v>2</v>
      </c>
      <c r="C475" s="3">
        <v>156</v>
      </c>
      <c r="D475" s="3">
        <v>54</v>
      </c>
      <c r="E475" s="3" t="s">
        <v>2320</v>
      </c>
      <c r="F475" s="5" t="s">
        <v>1849</v>
      </c>
      <c r="G475" s="3" t="s">
        <v>2321</v>
      </c>
      <c r="H475" s="3" t="s">
        <v>594</v>
      </c>
    </row>
    <row r="476" spans="1:8" ht="15.75" x14ac:dyDescent="0.25">
      <c r="A476" s="4">
        <v>37967</v>
      </c>
      <c r="B476" s="3" t="s">
        <v>2</v>
      </c>
      <c r="C476" s="3">
        <v>178</v>
      </c>
      <c r="D476" s="3">
        <v>56</v>
      </c>
      <c r="E476" s="3" t="s">
        <v>2330</v>
      </c>
      <c r="F476" s="5" t="s">
        <v>1385</v>
      </c>
      <c r="G476" s="3" t="s">
        <v>2331</v>
      </c>
      <c r="H476" s="3" t="s">
        <v>599</v>
      </c>
    </row>
    <row r="477" spans="1:8" ht="15.75" x14ac:dyDescent="0.25">
      <c r="A477" s="4">
        <v>38118</v>
      </c>
      <c r="B477" s="3" t="s">
        <v>2</v>
      </c>
      <c r="C477" s="3">
        <v>167</v>
      </c>
      <c r="D477" s="3">
        <v>46</v>
      </c>
      <c r="E477" s="3" t="s">
        <v>2336</v>
      </c>
      <c r="F477" s="5" t="s">
        <v>1207</v>
      </c>
      <c r="G477" s="3" t="s">
        <v>2337</v>
      </c>
      <c r="H477" s="3" t="s">
        <v>602</v>
      </c>
    </row>
    <row r="478" spans="1:8" ht="15.75" x14ac:dyDescent="0.25">
      <c r="A478" s="4">
        <v>37917</v>
      </c>
      <c r="B478" s="3" t="s">
        <v>2</v>
      </c>
      <c r="C478" s="3">
        <v>175</v>
      </c>
      <c r="D478" s="3">
        <v>45</v>
      </c>
      <c r="E478" s="3" t="s">
        <v>2342</v>
      </c>
      <c r="F478" s="5" t="s">
        <v>1100</v>
      </c>
      <c r="G478" s="3" t="s">
        <v>2343</v>
      </c>
      <c r="H478" s="3" t="s">
        <v>14</v>
      </c>
    </row>
    <row r="479" spans="1:8" ht="15.75" x14ac:dyDescent="0.25">
      <c r="A479" s="4">
        <v>37112</v>
      </c>
      <c r="B479" s="3" t="s">
        <v>2</v>
      </c>
      <c r="C479" s="3">
        <v>177</v>
      </c>
      <c r="D479" s="3">
        <v>47</v>
      </c>
      <c r="E479" s="3" t="s">
        <v>2350</v>
      </c>
      <c r="F479" s="5" t="s">
        <v>1114</v>
      </c>
      <c r="G479" s="3" t="s">
        <v>2351</v>
      </c>
      <c r="H479" s="3" t="s">
        <v>608</v>
      </c>
    </row>
    <row r="480" spans="1:8" ht="15.75" x14ac:dyDescent="0.25">
      <c r="A480" s="4">
        <v>37065</v>
      </c>
      <c r="B480" s="3" t="s">
        <v>2</v>
      </c>
      <c r="C480" s="3">
        <v>172</v>
      </c>
      <c r="D480" s="3">
        <v>94</v>
      </c>
      <c r="E480" s="3" t="s">
        <v>2416</v>
      </c>
      <c r="F480" s="5" t="s">
        <v>1594</v>
      </c>
      <c r="G480" s="3" t="s">
        <v>2417</v>
      </c>
      <c r="H480" s="3" t="s">
        <v>641</v>
      </c>
    </row>
    <row r="481" spans="1:8" ht="15.75" x14ac:dyDescent="0.25">
      <c r="A481" s="4">
        <v>38105</v>
      </c>
      <c r="B481" s="3" t="s">
        <v>2</v>
      </c>
      <c r="C481" s="3">
        <v>171</v>
      </c>
      <c r="D481" s="3">
        <v>80</v>
      </c>
      <c r="E481" s="3" t="s">
        <v>2444</v>
      </c>
      <c r="F481" s="5" t="s">
        <v>1155</v>
      </c>
      <c r="G481" s="3" t="s">
        <v>2445</v>
      </c>
      <c r="H481" s="3" t="s">
        <v>655</v>
      </c>
    </row>
    <row r="482" spans="1:8" ht="15.75" x14ac:dyDescent="0.25">
      <c r="A482" s="4">
        <v>37341</v>
      </c>
      <c r="B482" s="3" t="s">
        <v>2</v>
      </c>
      <c r="C482" s="3">
        <v>159</v>
      </c>
      <c r="D482" s="3">
        <v>47</v>
      </c>
      <c r="E482" s="3" t="s">
        <v>2446</v>
      </c>
      <c r="F482" s="5" t="s">
        <v>1108</v>
      </c>
      <c r="G482" s="3" t="s">
        <v>2447</v>
      </c>
      <c r="H482" s="3" t="s">
        <v>656</v>
      </c>
    </row>
    <row r="483" spans="1:8" ht="15.75" x14ac:dyDescent="0.25">
      <c r="A483" s="4">
        <v>38418</v>
      </c>
      <c r="B483" s="3" t="s">
        <v>2</v>
      </c>
      <c r="C483" s="3">
        <v>166</v>
      </c>
      <c r="D483" s="3">
        <v>61</v>
      </c>
      <c r="E483" s="3" t="s">
        <v>2450</v>
      </c>
      <c r="F483" s="5" t="s">
        <v>1197</v>
      </c>
      <c r="G483" s="3" t="s">
        <v>2451</v>
      </c>
      <c r="H483" s="3" t="s">
        <v>658</v>
      </c>
    </row>
    <row r="484" spans="1:8" ht="15.75" x14ac:dyDescent="0.25">
      <c r="A484" s="4">
        <v>37924</v>
      </c>
      <c r="B484" s="3" t="s">
        <v>2</v>
      </c>
      <c r="C484" s="3">
        <v>172</v>
      </c>
      <c r="D484" s="3">
        <v>93</v>
      </c>
      <c r="E484" s="3" t="s">
        <v>2466</v>
      </c>
      <c r="F484" s="5" t="s">
        <v>1683</v>
      </c>
      <c r="G484" s="3" t="s">
        <v>2467</v>
      </c>
      <c r="H484" s="3" t="s">
        <v>666</v>
      </c>
    </row>
    <row r="485" spans="1:8" ht="15.75" x14ac:dyDescent="0.25">
      <c r="A485" s="4">
        <v>37918</v>
      </c>
      <c r="B485" s="3" t="s">
        <v>2</v>
      </c>
      <c r="C485" s="3">
        <v>155</v>
      </c>
      <c r="D485" s="3">
        <v>48</v>
      </c>
      <c r="E485" s="3" t="s">
        <v>2476</v>
      </c>
      <c r="F485" s="5" t="s">
        <v>1290</v>
      </c>
      <c r="G485" s="3" t="s">
        <v>2477</v>
      </c>
      <c r="H485" s="3" t="s">
        <v>671</v>
      </c>
    </row>
    <row r="486" spans="1:8" ht="15.75" x14ac:dyDescent="0.25">
      <c r="A486" s="4">
        <v>37574</v>
      </c>
      <c r="B486" s="3" t="s">
        <v>2</v>
      </c>
      <c r="C486" s="3">
        <v>165</v>
      </c>
      <c r="D486" s="3">
        <v>57</v>
      </c>
      <c r="E486" s="3" t="s">
        <v>2492</v>
      </c>
      <c r="F486" s="5" t="s">
        <v>1155</v>
      </c>
      <c r="G486" s="3" t="s">
        <v>2493</v>
      </c>
      <c r="H486" s="3" t="s">
        <v>679</v>
      </c>
    </row>
    <row r="487" spans="1:8" ht="15.75" x14ac:dyDescent="0.25">
      <c r="A487" s="4">
        <v>37539</v>
      </c>
      <c r="B487" s="3" t="s">
        <v>2</v>
      </c>
      <c r="C487" s="3">
        <v>155</v>
      </c>
      <c r="D487" s="3">
        <v>79</v>
      </c>
      <c r="E487" s="3" t="s">
        <v>2528</v>
      </c>
      <c r="F487" s="5" t="s">
        <v>1084</v>
      </c>
      <c r="G487" s="3" t="s">
        <v>2529</v>
      </c>
      <c r="H487" s="3" t="s">
        <v>697</v>
      </c>
    </row>
    <row r="488" spans="1:8" ht="15.75" x14ac:dyDescent="0.25">
      <c r="A488" s="4">
        <v>38377</v>
      </c>
      <c r="B488" s="3" t="s">
        <v>2</v>
      </c>
      <c r="C488" s="3">
        <v>175</v>
      </c>
      <c r="D488" s="3">
        <v>58</v>
      </c>
      <c r="E488" s="3" t="s">
        <v>2562</v>
      </c>
      <c r="F488" s="5" t="s">
        <v>1257</v>
      </c>
      <c r="G488" s="3" t="s">
        <v>2563</v>
      </c>
      <c r="H488" s="3" t="s">
        <v>715</v>
      </c>
    </row>
    <row r="489" spans="1:8" ht="15.75" x14ac:dyDescent="0.25">
      <c r="A489" s="4">
        <v>37697</v>
      </c>
      <c r="B489" s="3" t="s">
        <v>2</v>
      </c>
      <c r="C489" s="3">
        <v>163</v>
      </c>
      <c r="D489" s="3">
        <v>61</v>
      </c>
      <c r="E489" s="3" t="s">
        <v>2572</v>
      </c>
      <c r="F489" s="5" t="s">
        <v>1717</v>
      </c>
      <c r="G489" s="3" t="s">
        <v>2573</v>
      </c>
      <c r="H489" s="3" t="s">
        <v>720</v>
      </c>
    </row>
    <row r="490" spans="1:8" ht="15.75" x14ac:dyDescent="0.25">
      <c r="A490" s="4">
        <v>38075</v>
      </c>
      <c r="B490" s="3" t="s">
        <v>2</v>
      </c>
      <c r="C490" s="3">
        <v>161</v>
      </c>
      <c r="D490" s="3">
        <v>60</v>
      </c>
      <c r="E490" s="3" t="s">
        <v>2579</v>
      </c>
      <c r="F490" s="5" t="s">
        <v>1167</v>
      </c>
      <c r="G490" s="3" t="s">
        <v>2580</v>
      </c>
      <c r="H490" s="3" t="s">
        <v>724</v>
      </c>
    </row>
    <row r="491" spans="1:8" ht="15.75" x14ac:dyDescent="0.25">
      <c r="A491" s="4">
        <v>38440</v>
      </c>
      <c r="B491" s="3" t="s">
        <v>2</v>
      </c>
      <c r="C491" s="3">
        <v>180</v>
      </c>
      <c r="D491" s="3">
        <v>68</v>
      </c>
      <c r="E491" s="3" t="s">
        <v>2614</v>
      </c>
      <c r="F491" s="5" t="s">
        <v>1120</v>
      </c>
      <c r="G491" s="3" t="s">
        <v>2615</v>
      </c>
      <c r="H491" s="3" t="s">
        <v>741</v>
      </c>
    </row>
    <row r="492" spans="1:8" ht="15.75" x14ac:dyDescent="0.25">
      <c r="A492" s="4">
        <v>37137</v>
      </c>
      <c r="B492" s="3" t="s">
        <v>2</v>
      </c>
      <c r="C492" s="3">
        <v>162</v>
      </c>
      <c r="D492" s="3">
        <v>46</v>
      </c>
      <c r="E492" s="3" t="s">
        <v>2622</v>
      </c>
      <c r="F492" s="5" t="s">
        <v>1530</v>
      </c>
      <c r="G492" s="3" t="s">
        <v>2623</v>
      </c>
      <c r="H492" s="3" t="s">
        <v>745</v>
      </c>
    </row>
    <row r="493" spans="1:8" ht="15.75" x14ac:dyDescent="0.25">
      <c r="A493" s="4">
        <v>37117</v>
      </c>
      <c r="B493" s="3" t="s">
        <v>2</v>
      </c>
      <c r="C493" s="3">
        <v>163</v>
      </c>
      <c r="D493" s="3">
        <v>93</v>
      </c>
      <c r="E493" s="3" t="s">
        <v>2638</v>
      </c>
      <c r="F493" s="5" t="s">
        <v>1120</v>
      </c>
      <c r="G493" s="3" t="s">
        <v>2639</v>
      </c>
      <c r="H493" s="3" t="s">
        <v>753</v>
      </c>
    </row>
    <row r="494" spans="1:8" ht="15.75" x14ac:dyDescent="0.25">
      <c r="A494" s="4">
        <v>38067</v>
      </c>
      <c r="B494" s="3" t="s">
        <v>2</v>
      </c>
      <c r="C494" s="3">
        <v>151</v>
      </c>
      <c r="D494" s="3">
        <v>93</v>
      </c>
      <c r="E494" s="3" t="s">
        <v>2640</v>
      </c>
      <c r="F494" s="5" t="s">
        <v>1155</v>
      </c>
      <c r="G494" s="3" t="s">
        <v>2641</v>
      </c>
      <c r="H494" s="3" t="s">
        <v>754</v>
      </c>
    </row>
    <row r="495" spans="1:8" ht="15.75" x14ac:dyDescent="0.25">
      <c r="A495" s="4">
        <v>37083</v>
      </c>
      <c r="B495" s="3" t="s">
        <v>2</v>
      </c>
      <c r="C495" s="3">
        <v>157</v>
      </c>
      <c r="D495" s="3">
        <v>59</v>
      </c>
      <c r="E495" s="3" t="s">
        <v>2670</v>
      </c>
      <c r="F495" s="5" t="s">
        <v>1298</v>
      </c>
      <c r="G495" s="3" t="s">
        <v>2671</v>
      </c>
      <c r="H495" s="3" t="s">
        <v>769</v>
      </c>
    </row>
    <row r="496" spans="1:8" ht="15.75" x14ac:dyDescent="0.25">
      <c r="A496" s="4">
        <v>37667</v>
      </c>
      <c r="B496" s="3" t="s">
        <v>2</v>
      </c>
      <c r="C496" s="3">
        <v>175</v>
      </c>
      <c r="D496" s="3">
        <v>69</v>
      </c>
      <c r="E496" s="3" t="s">
        <v>2672</v>
      </c>
      <c r="F496" s="5" t="s">
        <v>1200</v>
      </c>
      <c r="G496" s="3" t="s">
        <v>2673</v>
      </c>
      <c r="H496" s="3" t="s">
        <v>770</v>
      </c>
    </row>
    <row r="497" spans="1:8" ht="15.75" x14ac:dyDescent="0.25">
      <c r="A497" s="4">
        <v>37672</v>
      </c>
      <c r="B497" s="3" t="s">
        <v>2</v>
      </c>
      <c r="C497" s="3">
        <v>176</v>
      </c>
      <c r="D497" s="3">
        <v>72</v>
      </c>
      <c r="E497" s="3" t="s">
        <v>2679</v>
      </c>
      <c r="F497" s="5" t="s">
        <v>1194</v>
      </c>
      <c r="G497" s="3" t="s">
        <v>2680</v>
      </c>
      <c r="H497" s="3" t="s">
        <v>774</v>
      </c>
    </row>
    <row r="498" spans="1:8" ht="15.75" x14ac:dyDescent="0.25">
      <c r="A498" s="4">
        <v>37248</v>
      </c>
      <c r="B498" s="3" t="s">
        <v>2</v>
      </c>
      <c r="C498" s="3">
        <v>179</v>
      </c>
      <c r="D498" s="3">
        <v>78</v>
      </c>
      <c r="E498" s="3" t="s">
        <v>2698</v>
      </c>
      <c r="F498" s="5" t="s">
        <v>1081</v>
      </c>
      <c r="G498" s="3" t="s">
        <v>2699</v>
      </c>
      <c r="H498" s="3" t="s">
        <v>784</v>
      </c>
    </row>
    <row r="499" spans="1:8" ht="15.75" x14ac:dyDescent="0.25">
      <c r="A499" s="4">
        <v>37936</v>
      </c>
      <c r="B499" s="3" t="s">
        <v>2</v>
      </c>
      <c r="C499" s="3">
        <v>174</v>
      </c>
      <c r="D499" s="3">
        <v>89</v>
      </c>
      <c r="E499" s="3" t="s">
        <v>2731</v>
      </c>
      <c r="F499" s="5" t="s">
        <v>1488</v>
      </c>
      <c r="G499" s="3" t="s">
        <v>2732</v>
      </c>
      <c r="H499" s="3" t="s">
        <v>801</v>
      </c>
    </row>
    <row r="500" spans="1:8" ht="15.75" x14ac:dyDescent="0.25">
      <c r="A500" s="4">
        <v>38229</v>
      </c>
      <c r="B500" s="3" t="s">
        <v>2</v>
      </c>
      <c r="C500" s="3">
        <v>156</v>
      </c>
      <c r="D500" s="3">
        <v>80</v>
      </c>
      <c r="E500" s="3" t="s">
        <v>2733</v>
      </c>
      <c r="F500" s="5" t="s">
        <v>1066</v>
      </c>
      <c r="G500" s="3" t="s">
        <v>2734</v>
      </c>
      <c r="H500" s="3" t="s">
        <v>802</v>
      </c>
    </row>
    <row r="501" spans="1:8" ht="15.75" x14ac:dyDescent="0.25">
      <c r="A501" s="4">
        <v>38460</v>
      </c>
      <c r="B501" s="3" t="s">
        <v>2</v>
      </c>
      <c r="C501" s="3">
        <v>176</v>
      </c>
      <c r="D501" s="3">
        <v>92</v>
      </c>
      <c r="E501" s="3" t="s">
        <v>2739</v>
      </c>
      <c r="F501" s="5" t="s">
        <v>1257</v>
      </c>
      <c r="G501" s="3" t="s">
        <v>2740</v>
      </c>
      <c r="H501" s="3" t="s">
        <v>805</v>
      </c>
    </row>
    <row r="502" spans="1:8" ht="15.75" x14ac:dyDescent="0.25">
      <c r="A502" s="4">
        <v>37923</v>
      </c>
      <c r="B502" s="3" t="s">
        <v>2</v>
      </c>
      <c r="C502" s="3">
        <v>151</v>
      </c>
      <c r="D502" s="3">
        <v>94</v>
      </c>
      <c r="E502" s="3" t="s">
        <v>2747</v>
      </c>
      <c r="F502" s="5" t="s">
        <v>1231</v>
      </c>
      <c r="G502" s="3" t="s">
        <v>2748</v>
      </c>
      <c r="H502" s="3" t="s">
        <v>809</v>
      </c>
    </row>
    <row r="503" spans="1:8" ht="15.75" x14ac:dyDescent="0.25">
      <c r="A503" s="4">
        <v>37220</v>
      </c>
      <c r="B503" s="3" t="s">
        <v>2</v>
      </c>
      <c r="C503" s="3">
        <v>174</v>
      </c>
      <c r="D503" s="3">
        <v>91</v>
      </c>
      <c r="E503" s="3" t="s">
        <v>2784</v>
      </c>
      <c r="F503" s="5" t="s">
        <v>1114</v>
      </c>
      <c r="G503" s="3" t="s">
        <v>2785</v>
      </c>
      <c r="H503" s="3" t="s">
        <v>827</v>
      </c>
    </row>
    <row r="504" spans="1:8" ht="15.75" x14ac:dyDescent="0.25">
      <c r="A504" s="4">
        <v>37615</v>
      </c>
      <c r="B504" s="3" t="s">
        <v>2</v>
      </c>
      <c r="C504" s="3">
        <v>151</v>
      </c>
      <c r="D504" s="3">
        <v>58</v>
      </c>
      <c r="E504" s="3" t="s">
        <v>2786</v>
      </c>
      <c r="F504" s="5" t="s">
        <v>1237</v>
      </c>
      <c r="G504" s="3" t="s">
        <v>2787</v>
      </c>
      <c r="H504" s="3" t="s">
        <v>828</v>
      </c>
    </row>
    <row r="505" spans="1:8" ht="15.75" x14ac:dyDescent="0.25">
      <c r="A505" s="4">
        <v>38349</v>
      </c>
      <c r="B505" s="3" t="s">
        <v>2</v>
      </c>
      <c r="C505" s="3">
        <v>167</v>
      </c>
      <c r="D505" s="3">
        <v>47</v>
      </c>
      <c r="E505" s="3" t="s">
        <v>2792</v>
      </c>
      <c r="F505" s="5" t="s">
        <v>1449</v>
      </c>
      <c r="G505" s="3" t="s">
        <v>2793</v>
      </c>
      <c r="H505" s="3" t="s">
        <v>831</v>
      </c>
    </row>
    <row r="506" spans="1:8" ht="15.75" x14ac:dyDescent="0.25">
      <c r="A506" s="4">
        <v>37672</v>
      </c>
      <c r="B506" s="3" t="s">
        <v>2</v>
      </c>
      <c r="C506" s="3">
        <v>156</v>
      </c>
      <c r="D506" s="3">
        <v>90</v>
      </c>
      <c r="E506" s="3" t="s">
        <v>2800</v>
      </c>
      <c r="F506" s="5" t="s">
        <v>1849</v>
      </c>
      <c r="G506" s="3" t="s">
        <v>2801</v>
      </c>
      <c r="H506" s="3" t="s">
        <v>835</v>
      </c>
    </row>
    <row r="507" spans="1:8" ht="15.75" x14ac:dyDescent="0.25">
      <c r="A507" s="4">
        <v>38034</v>
      </c>
      <c r="B507" s="3" t="s">
        <v>2</v>
      </c>
      <c r="C507" s="3">
        <v>165</v>
      </c>
      <c r="D507" s="3">
        <v>92</v>
      </c>
      <c r="E507" s="3" t="s">
        <v>2812</v>
      </c>
      <c r="F507" s="5" t="s">
        <v>1401</v>
      </c>
      <c r="G507" s="3" t="s">
        <v>2813</v>
      </c>
      <c r="H507" s="3" t="s">
        <v>841</v>
      </c>
    </row>
    <row r="508" spans="1:8" ht="15.75" x14ac:dyDescent="0.25">
      <c r="A508" s="4">
        <v>37996</v>
      </c>
      <c r="B508" s="3" t="s">
        <v>2</v>
      </c>
      <c r="C508" s="3">
        <v>176</v>
      </c>
      <c r="D508" s="3">
        <v>75</v>
      </c>
      <c r="E508" s="3" t="s">
        <v>2818</v>
      </c>
      <c r="F508" s="5" t="s">
        <v>1213</v>
      </c>
      <c r="G508" s="3" t="s">
        <v>2819</v>
      </c>
      <c r="H508" s="3" t="s">
        <v>844</v>
      </c>
    </row>
    <row r="509" spans="1:8" ht="15.75" x14ac:dyDescent="0.25">
      <c r="A509" s="4">
        <v>38294</v>
      </c>
      <c r="B509" s="3" t="s">
        <v>2</v>
      </c>
      <c r="C509" s="3">
        <v>174</v>
      </c>
      <c r="D509" s="3">
        <v>94</v>
      </c>
      <c r="E509" s="3" t="s">
        <v>2839</v>
      </c>
      <c r="F509" s="5" t="s">
        <v>1268</v>
      </c>
      <c r="G509" s="3" t="s">
        <v>2840</v>
      </c>
      <c r="H509" s="3" t="s">
        <v>15</v>
      </c>
    </row>
    <row r="510" spans="1:8" ht="15.75" x14ac:dyDescent="0.25">
      <c r="A510" s="4">
        <v>38293</v>
      </c>
      <c r="B510" s="3" t="s">
        <v>2</v>
      </c>
      <c r="C510" s="3">
        <v>162</v>
      </c>
      <c r="D510" s="3">
        <v>84</v>
      </c>
      <c r="E510" s="3" t="s">
        <v>2843</v>
      </c>
      <c r="F510" s="5" t="s">
        <v>1111</v>
      </c>
      <c r="G510" s="3" t="s">
        <v>2844</v>
      </c>
      <c r="H510" s="3" t="s">
        <v>11</v>
      </c>
    </row>
    <row r="511" spans="1:8" ht="15.75" x14ac:dyDescent="0.25">
      <c r="A511" s="4">
        <v>37259</v>
      </c>
      <c r="B511" s="3" t="s">
        <v>2</v>
      </c>
      <c r="C511" s="3">
        <v>155</v>
      </c>
      <c r="D511" s="3">
        <v>82</v>
      </c>
      <c r="E511" s="3" t="s">
        <v>2873</v>
      </c>
      <c r="F511" s="5" t="s">
        <v>1197</v>
      </c>
      <c r="G511" s="3" t="s">
        <v>2874</v>
      </c>
      <c r="H511" s="3" t="s">
        <v>869</v>
      </c>
    </row>
    <row r="512" spans="1:8" ht="15.75" x14ac:dyDescent="0.25">
      <c r="A512" s="4">
        <v>38251</v>
      </c>
      <c r="B512" s="3" t="s">
        <v>2</v>
      </c>
      <c r="C512" s="3">
        <v>169</v>
      </c>
      <c r="D512" s="3">
        <v>79</v>
      </c>
      <c r="E512" s="3" t="s">
        <v>2927</v>
      </c>
      <c r="F512" s="5" t="s">
        <v>1069</v>
      </c>
      <c r="G512" s="3" t="s">
        <v>2928</v>
      </c>
      <c r="H512" s="3" t="s">
        <v>896</v>
      </c>
    </row>
    <row r="513" spans="1:8" ht="15.75" x14ac:dyDescent="0.25">
      <c r="A513" s="4">
        <v>37274</v>
      </c>
      <c r="B513" s="3" t="s">
        <v>2</v>
      </c>
      <c r="C513" s="3">
        <v>164</v>
      </c>
      <c r="D513" s="3">
        <v>75</v>
      </c>
      <c r="E513" s="3" t="s">
        <v>2935</v>
      </c>
      <c r="F513" s="5" t="s">
        <v>1410</v>
      </c>
      <c r="G513" s="3" t="s">
        <v>2936</v>
      </c>
      <c r="H513" s="3" t="s">
        <v>900</v>
      </c>
    </row>
    <row r="514" spans="1:8" ht="15.75" x14ac:dyDescent="0.25">
      <c r="A514" s="4">
        <v>38168</v>
      </c>
      <c r="B514" s="3" t="s">
        <v>2</v>
      </c>
      <c r="C514" s="3">
        <v>162</v>
      </c>
      <c r="D514" s="3">
        <v>47</v>
      </c>
      <c r="E514" s="3" t="s">
        <v>2939</v>
      </c>
      <c r="F514" s="5" t="s">
        <v>1849</v>
      </c>
      <c r="G514" s="3" t="s">
        <v>2940</v>
      </c>
      <c r="H514" s="3" t="s">
        <v>902</v>
      </c>
    </row>
    <row r="515" spans="1:8" ht="15.75" x14ac:dyDescent="0.25">
      <c r="A515" s="4">
        <v>37672</v>
      </c>
      <c r="B515" s="3" t="s">
        <v>2</v>
      </c>
      <c r="C515" s="3">
        <v>171</v>
      </c>
      <c r="D515" s="3">
        <v>59</v>
      </c>
      <c r="E515" s="3" t="s">
        <v>2949</v>
      </c>
      <c r="F515" s="5" t="s">
        <v>1078</v>
      </c>
      <c r="G515" s="3" t="s">
        <v>2950</v>
      </c>
      <c r="H515" s="3" t="s">
        <v>907</v>
      </c>
    </row>
    <row r="516" spans="1:8" ht="15.75" x14ac:dyDescent="0.25">
      <c r="A516" s="4">
        <v>37707</v>
      </c>
      <c r="B516" s="3" t="s">
        <v>2</v>
      </c>
      <c r="C516" s="3">
        <v>178</v>
      </c>
      <c r="D516" s="3">
        <v>63</v>
      </c>
      <c r="E516" s="3" t="s">
        <v>2957</v>
      </c>
      <c r="F516" s="5" t="s">
        <v>1502</v>
      </c>
      <c r="G516" s="3" t="s">
        <v>2958</v>
      </c>
      <c r="H516" s="3" t="s">
        <v>910</v>
      </c>
    </row>
    <row r="517" spans="1:8" ht="15.75" x14ac:dyDescent="0.25">
      <c r="A517" s="4">
        <v>37572</v>
      </c>
      <c r="B517" s="3" t="s">
        <v>2</v>
      </c>
      <c r="C517" s="3">
        <v>175</v>
      </c>
      <c r="D517" s="3">
        <v>77</v>
      </c>
      <c r="E517" s="3" t="s">
        <v>2975</v>
      </c>
      <c r="F517" s="5" t="s">
        <v>1136</v>
      </c>
      <c r="G517" s="3" t="s">
        <v>2976</v>
      </c>
      <c r="H517" s="3" t="s">
        <v>919</v>
      </c>
    </row>
    <row r="518" spans="1:8" ht="15.75" x14ac:dyDescent="0.25">
      <c r="A518" s="4">
        <v>37447</v>
      </c>
      <c r="B518" s="3" t="s">
        <v>2</v>
      </c>
      <c r="C518" s="3">
        <v>168</v>
      </c>
      <c r="D518" s="3">
        <v>64</v>
      </c>
      <c r="E518" s="3" t="s">
        <v>3003</v>
      </c>
      <c r="F518" s="5" t="s">
        <v>1218</v>
      </c>
      <c r="G518" s="3" t="s">
        <v>3004</v>
      </c>
      <c r="H518" s="3" t="s">
        <v>933</v>
      </c>
    </row>
    <row r="519" spans="1:8" ht="15.75" x14ac:dyDescent="0.25">
      <c r="A519" s="4">
        <v>37050</v>
      </c>
      <c r="B519" s="3" t="s">
        <v>2</v>
      </c>
      <c r="C519" s="3">
        <v>168</v>
      </c>
      <c r="D519" s="3">
        <v>73</v>
      </c>
      <c r="E519" s="3" t="s">
        <v>3007</v>
      </c>
      <c r="F519" s="5" t="s">
        <v>1072</v>
      </c>
      <c r="G519" s="3" t="s">
        <v>3008</v>
      </c>
      <c r="H519" s="3" t="s">
        <v>935</v>
      </c>
    </row>
    <row r="520" spans="1:8" ht="15.75" x14ac:dyDescent="0.25">
      <c r="A520" s="4">
        <v>37443</v>
      </c>
      <c r="B520" s="3" t="s">
        <v>2</v>
      </c>
      <c r="C520" s="3">
        <v>160</v>
      </c>
      <c r="D520" s="3">
        <v>93</v>
      </c>
      <c r="E520" s="3" t="s">
        <v>3058</v>
      </c>
      <c r="F520" s="5" t="s">
        <v>1234</v>
      </c>
      <c r="G520" s="3" t="s">
        <v>3059</v>
      </c>
      <c r="H520" s="3" t="s">
        <v>962</v>
      </c>
    </row>
    <row r="521" spans="1:8" ht="15.75" x14ac:dyDescent="0.25">
      <c r="A521" s="4">
        <v>38440</v>
      </c>
      <c r="B521" s="3" t="s">
        <v>2</v>
      </c>
      <c r="C521" s="3">
        <v>152</v>
      </c>
      <c r="D521" s="3">
        <v>77</v>
      </c>
      <c r="E521" s="3" t="s">
        <v>3066</v>
      </c>
      <c r="F521" s="5" t="s">
        <v>1155</v>
      </c>
      <c r="G521" s="3" t="s">
        <v>3067</v>
      </c>
      <c r="H521" s="3" t="s">
        <v>966</v>
      </c>
    </row>
    <row r="522" spans="1:8" ht="15.75" x14ac:dyDescent="0.25">
      <c r="A522" s="4">
        <v>37705</v>
      </c>
      <c r="B522" s="3" t="s">
        <v>2</v>
      </c>
      <c r="C522" s="3">
        <v>172</v>
      </c>
      <c r="D522" s="3">
        <v>48</v>
      </c>
      <c r="E522" s="3" t="s">
        <v>3070</v>
      </c>
      <c r="F522" s="5" t="s">
        <v>1223</v>
      </c>
      <c r="G522" s="3" t="s">
        <v>3071</v>
      </c>
      <c r="H522" s="3" t="s">
        <v>968</v>
      </c>
    </row>
    <row r="523" spans="1:8" ht="15.75" x14ac:dyDescent="0.25">
      <c r="A523" s="4">
        <v>38359</v>
      </c>
      <c r="B523" s="3" t="s">
        <v>2</v>
      </c>
      <c r="C523" s="3">
        <v>176</v>
      </c>
      <c r="D523" s="3">
        <v>71</v>
      </c>
      <c r="E523" s="3" t="s">
        <v>3076</v>
      </c>
      <c r="F523" s="5" t="s">
        <v>1150</v>
      </c>
      <c r="G523" s="3" t="s">
        <v>3077</v>
      </c>
      <c r="H523" s="3" t="s">
        <v>971</v>
      </c>
    </row>
    <row r="524" spans="1:8" ht="15.75" x14ac:dyDescent="0.25">
      <c r="A524" s="4">
        <v>37641</v>
      </c>
      <c r="B524" s="3" t="s">
        <v>2</v>
      </c>
      <c r="C524" s="3">
        <v>159</v>
      </c>
      <c r="D524" s="3">
        <v>73</v>
      </c>
      <c r="E524" s="3" t="s">
        <v>3091</v>
      </c>
      <c r="F524" s="5" t="s">
        <v>1072</v>
      </c>
      <c r="G524" s="3" t="s">
        <v>3092</v>
      </c>
      <c r="H524" s="3" t="s">
        <v>979</v>
      </c>
    </row>
    <row r="525" spans="1:8" ht="15.75" x14ac:dyDescent="0.25">
      <c r="A525" s="4">
        <v>37609</v>
      </c>
      <c r="B525" s="3" t="s">
        <v>2</v>
      </c>
      <c r="C525" s="3">
        <v>160</v>
      </c>
      <c r="D525" s="3">
        <v>94</v>
      </c>
      <c r="E525" s="3" t="s">
        <v>3097</v>
      </c>
      <c r="F525" s="5" t="s">
        <v>1717</v>
      </c>
      <c r="G525" s="3" t="s">
        <v>3098</v>
      </c>
      <c r="H525" s="3" t="s">
        <v>982</v>
      </c>
    </row>
    <row r="526" spans="1:8" ht="15.75" x14ac:dyDescent="0.25">
      <c r="A526" s="4">
        <v>37130</v>
      </c>
      <c r="B526" s="3" t="s">
        <v>2</v>
      </c>
      <c r="C526" s="3">
        <v>151</v>
      </c>
      <c r="D526" s="3">
        <v>69</v>
      </c>
      <c r="E526" s="3" t="s">
        <v>3105</v>
      </c>
      <c r="F526" s="5" t="s">
        <v>1401</v>
      </c>
      <c r="G526" s="3" t="s">
        <v>3106</v>
      </c>
      <c r="H526" s="3" t="s">
        <v>986</v>
      </c>
    </row>
    <row r="527" spans="1:8" ht="15.75" x14ac:dyDescent="0.25">
      <c r="A527" s="4">
        <v>37146</v>
      </c>
      <c r="B527" s="3" t="s">
        <v>2</v>
      </c>
      <c r="C527" s="3">
        <v>153</v>
      </c>
      <c r="D527" s="3">
        <v>68</v>
      </c>
      <c r="E527" s="3" t="s">
        <v>3132</v>
      </c>
      <c r="F527" s="5" t="s">
        <v>1449</v>
      </c>
      <c r="G527" s="3" t="s">
        <v>3133</v>
      </c>
      <c r="H527" s="3" t="s">
        <v>1000</v>
      </c>
    </row>
    <row r="528" spans="1:8" ht="15.75" x14ac:dyDescent="0.25">
      <c r="A528" s="4">
        <v>37254</v>
      </c>
      <c r="B528" s="3" t="s">
        <v>2</v>
      </c>
      <c r="C528" s="3">
        <v>166</v>
      </c>
      <c r="D528" s="3">
        <v>82</v>
      </c>
      <c r="E528" s="3" t="s">
        <v>3134</v>
      </c>
      <c r="F528" s="5" t="s">
        <v>1123</v>
      </c>
      <c r="G528" s="3" t="s">
        <v>3135</v>
      </c>
      <c r="H528" s="3" t="s">
        <v>1001</v>
      </c>
    </row>
    <row r="529" spans="1:8" ht="15.75" x14ac:dyDescent="0.25">
      <c r="A529" s="4">
        <v>37549</v>
      </c>
      <c r="B529" s="3" t="s">
        <v>4</v>
      </c>
      <c r="C529" s="3">
        <v>177</v>
      </c>
      <c r="D529" s="3">
        <v>57</v>
      </c>
      <c r="E529" s="3" t="s">
        <v>1097</v>
      </c>
      <c r="F529" s="5" t="s">
        <v>1069</v>
      </c>
      <c r="G529" s="3" t="s">
        <v>1098</v>
      </c>
      <c r="H529" s="3" t="s">
        <v>1003</v>
      </c>
    </row>
    <row r="530" spans="1:8" ht="15.75" x14ac:dyDescent="0.25">
      <c r="A530" s="4">
        <v>37037</v>
      </c>
      <c r="B530" s="3" t="s">
        <v>4</v>
      </c>
      <c r="C530" s="3">
        <v>163</v>
      </c>
      <c r="D530" s="3">
        <v>56</v>
      </c>
      <c r="E530" s="3" t="s">
        <v>1135</v>
      </c>
      <c r="F530" s="5" t="s">
        <v>1136</v>
      </c>
      <c r="G530" s="3" t="s">
        <v>1137</v>
      </c>
      <c r="H530" s="3" t="s">
        <v>43</v>
      </c>
    </row>
    <row r="531" spans="1:8" ht="15.75" x14ac:dyDescent="0.25">
      <c r="A531" s="4">
        <v>37612</v>
      </c>
      <c r="B531" s="3" t="s">
        <v>4</v>
      </c>
      <c r="C531" s="3">
        <v>155</v>
      </c>
      <c r="D531" s="3">
        <v>84</v>
      </c>
      <c r="E531" s="3" t="s">
        <v>1138</v>
      </c>
      <c r="F531" s="5" t="s">
        <v>1139</v>
      </c>
      <c r="G531" s="3" t="s">
        <v>1140</v>
      </c>
      <c r="H531" s="3" t="s">
        <v>44</v>
      </c>
    </row>
    <row r="532" spans="1:8" ht="15.75" x14ac:dyDescent="0.25">
      <c r="A532" s="4">
        <v>37761</v>
      </c>
      <c r="B532" s="3" t="s">
        <v>4</v>
      </c>
      <c r="C532" s="3">
        <v>158</v>
      </c>
      <c r="D532" s="3">
        <v>74</v>
      </c>
      <c r="E532" s="3" t="s">
        <v>1141</v>
      </c>
      <c r="F532" s="5" t="s">
        <v>1105</v>
      </c>
      <c r="G532" s="3" t="s">
        <v>1142</v>
      </c>
      <c r="H532" s="3" t="s">
        <v>45</v>
      </c>
    </row>
    <row r="533" spans="1:8" ht="15.75" x14ac:dyDescent="0.25">
      <c r="A533" s="4">
        <v>38070</v>
      </c>
      <c r="B533" s="3" t="s">
        <v>4</v>
      </c>
      <c r="C533" s="3">
        <v>178</v>
      </c>
      <c r="D533" s="3">
        <v>49</v>
      </c>
      <c r="E533" s="3" t="s">
        <v>1215</v>
      </c>
      <c r="F533" s="5" t="s">
        <v>1213</v>
      </c>
      <c r="G533" s="3" t="s">
        <v>1216</v>
      </c>
      <c r="H533" s="3" t="s">
        <v>73</v>
      </c>
    </row>
    <row r="534" spans="1:8" ht="15.75" x14ac:dyDescent="0.25">
      <c r="A534" s="4">
        <v>37331</v>
      </c>
      <c r="B534" s="3" t="s">
        <v>4</v>
      </c>
      <c r="C534" s="3">
        <v>180</v>
      </c>
      <c r="D534" s="3">
        <v>90</v>
      </c>
      <c r="E534" s="3" t="s">
        <v>1222</v>
      </c>
      <c r="F534" s="5" t="s">
        <v>1223</v>
      </c>
      <c r="G534" s="3" t="s">
        <v>1224</v>
      </c>
      <c r="H534" s="3" t="s">
        <v>76</v>
      </c>
    </row>
    <row r="535" spans="1:8" ht="15.75" x14ac:dyDescent="0.25">
      <c r="A535" s="4">
        <v>38171</v>
      </c>
      <c r="B535" s="3" t="s">
        <v>4</v>
      </c>
      <c r="C535" s="3">
        <v>177</v>
      </c>
      <c r="D535" s="3">
        <v>74</v>
      </c>
      <c r="E535" s="3" t="s">
        <v>1230</v>
      </c>
      <c r="F535" s="5" t="s">
        <v>1231</v>
      </c>
      <c r="G535" s="3" t="s">
        <v>1232</v>
      </c>
      <c r="H535" s="3" t="s">
        <v>79</v>
      </c>
    </row>
    <row r="536" spans="1:8" ht="15.75" x14ac:dyDescent="0.25">
      <c r="A536" s="4">
        <v>38092</v>
      </c>
      <c r="B536" s="3" t="s">
        <v>4</v>
      </c>
      <c r="C536" s="3">
        <v>155</v>
      </c>
      <c r="D536" s="3">
        <v>48</v>
      </c>
      <c r="E536" s="3" t="s">
        <v>1233</v>
      </c>
      <c r="F536" s="5" t="s">
        <v>1234</v>
      </c>
      <c r="G536" s="3" t="s">
        <v>1235</v>
      </c>
      <c r="H536" s="3" t="s">
        <v>80</v>
      </c>
    </row>
    <row r="537" spans="1:8" ht="15.75" x14ac:dyDescent="0.25">
      <c r="A537" s="4">
        <v>37459</v>
      </c>
      <c r="B537" s="3" t="s">
        <v>4</v>
      </c>
      <c r="C537" s="3">
        <v>155</v>
      </c>
      <c r="D537" s="3">
        <v>67</v>
      </c>
      <c r="E537" s="3" t="s">
        <v>1251</v>
      </c>
      <c r="F537" s="5" t="s">
        <v>1252</v>
      </c>
      <c r="G537" s="3" t="s">
        <v>1253</v>
      </c>
      <c r="H537" s="3" t="s">
        <v>87</v>
      </c>
    </row>
    <row r="538" spans="1:8" ht="15.75" x14ac:dyDescent="0.25">
      <c r="A538" s="4">
        <v>37881</v>
      </c>
      <c r="B538" s="3" t="s">
        <v>4</v>
      </c>
      <c r="C538" s="3">
        <v>157</v>
      </c>
      <c r="D538" s="3">
        <v>95</v>
      </c>
      <c r="E538" s="3" t="s">
        <v>1262</v>
      </c>
      <c r="F538" s="5" t="s">
        <v>1263</v>
      </c>
      <c r="G538" s="3" t="s">
        <v>1264</v>
      </c>
      <c r="H538" s="3" t="s">
        <v>91</v>
      </c>
    </row>
    <row r="539" spans="1:8" ht="15.75" x14ac:dyDescent="0.25">
      <c r="A539" s="4">
        <v>38072</v>
      </c>
      <c r="B539" s="3" t="s">
        <v>4</v>
      </c>
      <c r="C539" s="3">
        <v>179</v>
      </c>
      <c r="D539" s="3">
        <v>95</v>
      </c>
      <c r="E539" s="3" t="s">
        <v>1302</v>
      </c>
      <c r="F539" s="5" t="s">
        <v>1078</v>
      </c>
      <c r="G539" s="3" t="s">
        <v>1303</v>
      </c>
      <c r="H539" s="3" t="s">
        <v>107</v>
      </c>
    </row>
    <row r="540" spans="1:8" ht="15.75" x14ac:dyDescent="0.25">
      <c r="A540" s="4">
        <v>37515</v>
      </c>
      <c r="B540" s="3" t="s">
        <v>4</v>
      </c>
      <c r="C540" s="3">
        <v>174</v>
      </c>
      <c r="D540" s="3">
        <v>91</v>
      </c>
      <c r="E540" s="3" t="s">
        <v>1314</v>
      </c>
      <c r="F540" s="5" t="s">
        <v>1315</v>
      </c>
      <c r="G540" s="3" t="s">
        <v>1316</v>
      </c>
      <c r="H540" s="3" t="s">
        <v>112</v>
      </c>
    </row>
    <row r="541" spans="1:8" ht="15.75" x14ac:dyDescent="0.25">
      <c r="A541" s="4">
        <v>37170</v>
      </c>
      <c r="B541" s="3" t="s">
        <v>4</v>
      </c>
      <c r="C541" s="3">
        <v>166</v>
      </c>
      <c r="D541" s="3">
        <v>85</v>
      </c>
      <c r="E541" s="3" t="s">
        <v>1324</v>
      </c>
      <c r="F541" s="5" t="s">
        <v>1087</v>
      </c>
      <c r="G541" s="3" t="s">
        <v>1325</v>
      </c>
      <c r="H541" s="3" t="s">
        <v>116</v>
      </c>
    </row>
    <row r="542" spans="1:8" ht="15.75" x14ac:dyDescent="0.25">
      <c r="A542" s="4">
        <v>37192</v>
      </c>
      <c r="B542" s="3" t="s">
        <v>4</v>
      </c>
      <c r="C542" s="3">
        <v>162</v>
      </c>
      <c r="D542" s="3">
        <v>46</v>
      </c>
      <c r="E542" s="3" t="s">
        <v>1330</v>
      </c>
      <c r="F542" s="5" t="s">
        <v>1179</v>
      </c>
      <c r="G542" s="3" t="s">
        <v>1331</v>
      </c>
      <c r="H542" s="3" t="s">
        <v>119</v>
      </c>
    </row>
    <row r="543" spans="1:8" ht="15.75" x14ac:dyDescent="0.25">
      <c r="A543" s="4">
        <v>38039</v>
      </c>
      <c r="B543" s="3" t="s">
        <v>4</v>
      </c>
      <c r="C543" s="3">
        <v>152</v>
      </c>
      <c r="D543" s="3">
        <v>93</v>
      </c>
      <c r="E543" s="3" t="s">
        <v>1341</v>
      </c>
      <c r="F543" s="5" t="s">
        <v>1342</v>
      </c>
      <c r="G543" s="3" t="s">
        <v>1343</v>
      </c>
      <c r="H543" s="3" t="s">
        <v>123</v>
      </c>
    </row>
    <row r="544" spans="1:8" ht="15.75" x14ac:dyDescent="0.25">
      <c r="A544" s="4">
        <v>38339</v>
      </c>
      <c r="B544" s="3" t="s">
        <v>4</v>
      </c>
      <c r="C544" s="3">
        <v>152</v>
      </c>
      <c r="D544" s="3">
        <v>66</v>
      </c>
      <c r="E544" s="3" t="s">
        <v>1366</v>
      </c>
      <c r="F544" s="5" t="s">
        <v>1257</v>
      </c>
      <c r="G544" s="3" t="s">
        <v>1367</v>
      </c>
      <c r="H544" s="3" t="s">
        <v>134</v>
      </c>
    </row>
    <row r="545" spans="1:8" ht="15.75" x14ac:dyDescent="0.25">
      <c r="A545" s="4">
        <v>38019</v>
      </c>
      <c r="B545" s="3" t="s">
        <v>4</v>
      </c>
      <c r="C545" s="3">
        <v>170</v>
      </c>
      <c r="D545" s="3">
        <v>76</v>
      </c>
      <c r="E545" s="3" t="s">
        <v>1378</v>
      </c>
      <c r="F545" s="5" t="s">
        <v>1155</v>
      </c>
      <c r="G545" s="3" t="s">
        <v>1379</v>
      </c>
      <c r="H545" s="3" t="s">
        <v>139</v>
      </c>
    </row>
    <row r="546" spans="1:8" ht="15.75" x14ac:dyDescent="0.25">
      <c r="A546" s="4">
        <v>37329</v>
      </c>
      <c r="B546" s="3" t="s">
        <v>4</v>
      </c>
      <c r="C546" s="3">
        <v>156</v>
      </c>
      <c r="D546" s="3">
        <v>84</v>
      </c>
      <c r="E546" s="3" t="s">
        <v>1389</v>
      </c>
      <c r="F546" s="5" t="s">
        <v>1257</v>
      </c>
      <c r="G546" s="3" t="s">
        <v>1390</v>
      </c>
      <c r="H546" s="3" t="s">
        <v>144</v>
      </c>
    </row>
    <row r="547" spans="1:8" ht="15.75" x14ac:dyDescent="0.25">
      <c r="A547" s="4">
        <v>37919</v>
      </c>
      <c r="B547" s="3" t="s">
        <v>4</v>
      </c>
      <c r="C547" s="3">
        <v>172</v>
      </c>
      <c r="D547" s="3">
        <v>56</v>
      </c>
      <c r="E547" s="3" t="s">
        <v>1409</v>
      </c>
      <c r="F547" s="5" t="s">
        <v>1410</v>
      </c>
      <c r="G547" s="3" t="s">
        <v>1411</v>
      </c>
      <c r="H547" s="3" t="s">
        <v>153</v>
      </c>
    </row>
    <row r="548" spans="1:8" ht="15.75" x14ac:dyDescent="0.25">
      <c r="A548" s="4">
        <v>38184</v>
      </c>
      <c r="B548" s="3" t="s">
        <v>4</v>
      </c>
      <c r="C548" s="3">
        <v>176</v>
      </c>
      <c r="D548" s="3">
        <v>55</v>
      </c>
      <c r="E548" s="3" t="s">
        <v>1428</v>
      </c>
      <c r="F548" s="5" t="s">
        <v>1429</v>
      </c>
      <c r="G548" s="3" t="s">
        <v>1430</v>
      </c>
      <c r="H548" s="3" t="s">
        <v>162</v>
      </c>
    </row>
    <row r="549" spans="1:8" ht="15.75" x14ac:dyDescent="0.25">
      <c r="A549" s="4">
        <v>37072</v>
      </c>
      <c r="B549" s="3" t="s">
        <v>4</v>
      </c>
      <c r="C549" s="3">
        <v>168</v>
      </c>
      <c r="D549" s="3">
        <v>52</v>
      </c>
      <c r="E549" s="3" t="s">
        <v>1455</v>
      </c>
      <c r="F549" s="5" t="s">
        <v>1347</v>
      </c>
      <c r="G549" s="3" t="s">
        <v>1456</v>
      </c>
      <c r="H549" s="3" t="s">
        <v>174</v>
      </c>
    </row>
    <row r="550" spans="1:8" ht="15.75" x14ac:dyDescent="0.25">
      <c r="A550" s="4">
        <v>37101</v>
      </c>
      <c r="B550" s="3" t="s">
        <v>4</v>
      </c>
      <c r="C550" s="3">
        <v>150</v>
      </c>
      <c r="D550" s="3">
        <v>84</v>
      </c>
      <c r="E550" s="3" t="s">
        <v>1479</v>
      </c>
      <c r="F550" s="5" t="s">
        <v>1480</v>
      </c>
      <c r="G550" s="3" t="s">
        <v>1481</v>
      </c>
      <c r="H550" s="3" t="s">
        <v>186</v>
      </c>
    </row>
    <row r="551" spans="1:8" ht="15.75" x14ac:dyDescent="0.25">
      <c r="A551" s="4">
        <v>38226</v>
      </c>
      <c r="B551" s="3" t="s">
        <v>4</v>
      </c>
      <c r="C551" s="3">
        <v>158</v>
      </c>
      <c r="D551" s="3">
        <v>65</v>
      </c>
      <c r="E551" s="3" t="s">
        <v>1504</v>
      </c>
      <c r="F551" s="5" t="s">
        <v>1117</v>
      </c>
      <c r="G551" s="3" t="s">
        <v>1505</v>
      </c>
      <c r="H551" s="3" t="s">
        <v>197</v>
      </c>
    </row>
    <row r="552" spans="1:8" ht="15.75" x14ac:dyDescent="0.25">
      <c r="A552" s="4">
        <v>37644</v>
      </c>
      <c r="B552" s="3" t="s">
        <v>4</v>
      </c>
      <c r="C552" s="3">
        <v>174</v>
      </c>
      <c r="D552" s="3">
        <v>86</v>
      </c>
      <c r="E552" s="3" t="s">
        <v>1508</v>
      </c>
      <c r="F552" s="5" t="s">
        <v>1376</v>
      </c>
      <c r="G552" s="3" t="s">
        <v>1509</v>
      </c>
      <c r="H552" s="3" t="s">
        <v>199</v>
      </c>
    </row>
    <row r="553" spans="1:8" ht="15.75" x14ac:dyDescent="0.25">
      <c r="A553" s="4">
        <v>37163</v>
      </c>
      <c r="B553" s="3" t="s">
        <v>4</v>
      </c>
      <c r="C553" s="3">
        <v>158</v>
      </c>
      <c r="D553" s="3">
        <v>85</v>
      </c>
      <c r="E553" s="3" t="s">
        <v>1522</v>
      </c>
      <c r="F553" s="5" t="s">
        <v>1290</v>
      </c>
      <c r="G553" s="3" t="s">
        <v>1523</v>
      </c>
      <c r="H553" s="3" t="s">
        <v>206</v>
      </c>
    </row>
    <row r="554" spans="1:8" ht="15.75" x14ac:dyDescent="0.25">
      <c r="A554" s="4">
        <v>38076</v>
      </c>
      <c r="B554" s="3" t="s">
        <v>4</v>
      </c>
      <c r="C554" s="3">
        <v>152</v>
      </c>
      <c r="D554" s="3">
        <v>78</v>
      </c>
      <c r="E554" s="3" t="s">
        <v>1539</v>
      </c>
      <c r="F554" s="5" t="s">
        <v>1298</v>
      </c>
      <c r="G554" s="3" t="s">
        <v>1540</v>
      </c>
      <c r="H554" s="3" t="s">
        <v>213</v>
      </c>
    </row>
    <row r="555" spans="1:8" ht="15.75" x14ac:dyDescent="0.25">
      <c r="A555" s="4">
        <v>37845</v>
      </c>
      <c r="B555" s="3" t="s">
        <v>4</v>
      </c>
      <c r="C555" s="3">
        <v>173</v>
      </c>
      <c r="D555" s="3">
        <v>56</v>
      </c>
      <c r="E555" s="3" t="s">
        <v>1561</v>
      </c>
      <c r="F555" s="5" t="s">
        <v>1173</v>
      </c>
      <c r="G555" s="3" t="s">
        <v>1562</v>
      </c>
      <c r="H555" s="3" t="s">
        <v>224</v>
      </c>
    </row>
    <row r="556" spans="1:8" ht="15.75" x14ac:dyDescent="0.25">
      <c r="A556" s="4">
        <v>38449</v>
      </c>
      <c r="B556" s="3" t="s">
        <v>4</v>
      </c>
      <c r="C556" s="3">
        <v>171</v>
      </c>
      <c r="D556" s="3">
        <v>94</v>
      </c>
      <c r="E556" s="3" t="s">
        <v>1567</v>
      </c>
      <c r="F556" s="5" t="s">
        <v>1335</v>
      </c>
      <c r="G556" s="3" t="s">
        <v>1568</v>
      </c>
      <c r="H556" s="3" t="s">
        <v>227</v>
      </c>
    </row>
    <row r="557" spans="1:8" ht="15.75" x14ac:dyDescent="0.25">
      <c r="A557" s="4">
        <v>38419</v>
      </c>
      <c r="B557" s="3" t="s">
        <v>4</v>
      </c>
      <c r="C557" s="3">
        <v>155</v>
      </c>
      <c r="D557" s="3">
        <v>93</v>
      </c>
      <c r="E557" s="3" t="s">
        <v>1587</v>
      </c>
      <c r="F557" s="5" t="s">
        <v>1287</v>
      </c>
      <c r="G557" s="3" t="s">
        <v>1588</v>
      </c>
      <c r="H557" s="3" t="s">
        <v>236</v>
      </c>
    </row>
    <row r="558" spans="1:8" ht="15.75" x14ac:dyDescent="0.25">
      <c r="A558" s="4">
        <v>37618</v>
      </c>
      <c r="B558" s="3" t="s">
        <v>4</v>
      </c>
      <c r="C558" s="3">
        <v>159</v>
      </c>
      <c r="D558" s="3">
        <v>84</v>
      </c>
      <c r="E558" s="3" t="s">
        <v>1593</v>
      </c>
      <c r="F558" s="5" t="s">
        <v>1594</v>
      </c>
      <c r="G558" s="3" t="s">
        <v>1595</v>
      </c>
      <c r="H558" s="3" t="s">
        <v>239</v>
      </c>
    </row>
    <row r="559" spans="1:8" ht="15.75" x14ac:dyDescent="0.25">
      <c r="A559" s="4">
        <v>37050</v>
      </c>
      <c r="B559" s="3" t="s">
        <v>4</v>
      </c>
      <c r="C559" s="3">
        <v>179</v>
      </c>
      <c r="D559" s="3">
        <v>83</v>
      </c>
      <c r="E559" s="3" t="s">
        <v>1604</v>
      </c>
      <c r="F559" s="5" t="s">
        <v>1063</v>
      </c>
      <c r="G559" s="3" t="s">
        <v>1605</v>
      </c>
      <c r="H559" s="3" t="s">
        <v>244</v>
      </c>
    </row>
    <row r="560" spans="1:8" ht="15.75" x14ac:dyDescent="0.25">
      <c r="A560" s="4">
        <v>37637</v>
      </c>
      <c r="B560" s="3" t="s">
        <v>4</v>
      </c>
      <c r="C560" s="3">
        <v>172</v>
      </c>
      <c r="D560" s="3">
        <v>94</v>
      </c>
      <c r="E560" s="3" t="s">
        <v>1618</v>
      </c>
      <c r="F560" s="5" t="s">
        <v>1155</v>
      </c>
      <c r="G560" s="3" t="s">
        <v>1619</v>
      </c>
      <c r="H560" s="3" t="s">
        <v>251</v>
      </c>
    </row>
    <row r="561" spans="1:8" ht="15.75" x14ac:dyDescent="0.25">
      <c r="A561" s="4">
        <v>37802</v>
      </c>
      <c r="B561" s="3" t="s">
        <v>4</v>
      </c>
      <c r="C561" s="3">
        <v>154</v>
      </c>
      <c r="D561" s="3">
        <v>60</v>
      </c>
      <c r="E561" s="3" t="s">
        <v>1624</v>
      </c>
      <c r="F561" s="5" t="s">
        <v>1298</v>
      </c>
      <c r="G561" s="3" t="s">
        <v>1625</v>
      </c>
      <c r="H561" s="3" t="s">
        <v>254</v>
      </c>
    </row>
    <row r="562" spans="1:8" ht="15.75" x14ac:dyDescent="0.25">
      <c r="A562" s="4">
        <v>37040</v>
      </c>
      <c r="B562" s="3" t="s">
        <v>4</v>
      </c>
      <c r="C562" s="3">
        <v>164</v>
      </c>
      <c r="D562" s="3">
        <v>74</v>
      </c>
      <c r="E562" s="3" t="s">
        <v>1626</v>
      </c>
      <c r="F562" s="5" t="s">
        <v>1527</v>
      </c>
      <c r="G562" s="3" t="s">
        <v>1627</v>
      </c>
      <c r="H562" s="3" t="s">
        <v>255</v>
      </c>
    </row>
    <row r="563" spans="1:8" ht="15.75" x14ac:dyDescent="0.25">
      <c r="A563" s="4">
        <v>37678</v>
      </c>
      <c r="B563" s="3" t="s">
        <v>4</v>
      </c>
      <c r="C563" s="3">
        <v>168</v>
      </c>
      <c r="D563" s="3">
        <v>55</v>
      </c>
      <c r="E563" s="3" t="s">
        <v>1640</v>
      </c>
      <c r="F563" s="5" t="s">
        <v>1197</v>
      </c>
      <c r="G563" s="3" t="s">
        <v>1641</v>
      </c>
      <c r="H563" s="3" t="s">
        <v>262</v>
      </c>
    </row>
    <row r="564" spans="1:8" ht="15.75" x14ac:dyDescent="0.25">
      <c r="A564" s="4">
        <v>37088</v>
      </c>
      <c r="B564" s="3" t="s">
        <v>4</v>
      </c>
      <c r="C564" s="3">
        <v>160</v>
      </c>
      <c r="D564" s="3">
        <v>95</v>
      </c>
      <c r="E564" s="3" t="s">
        <v>1650</v>
      </c>
      <c r="F564" s="5" t="s">
        <v>1434</v>
      </c>
      <c r="G564" s="3" t="s">
        <v>1651</v>
      </c>
      <c r="H564" s="3" t="s">
        <v>267</v>
      </c>
    </row>
    <row r="565" spans="1:8" ht="15.75" x14ac:dyDescent="0.25">
      <c r="A565" s="4">
        <v>37459</v>
      </c>
      <c r="B565" s="3" t="s">
        <v>4</v>
      </c>
      <c r="C565" s="3">
        <v>163</v>
      </c>
      <c r="D565" s="3">
        <v>54</v>
      </c>
      <c r="E565" s="3" t="s">
        <v>1678</v>
      </c>
      <c r="F565" s="5" t="s">
        <v>1502</v>
      </c>
      <c r="G565" s="3" t="s">
        <v>1679</v>
      </c>
      <c r="H565" s="3" t="s">
        <v>281</v>
      </c>
    </row>
    <row r="566" spans="1:8" ht="15.75" x14ac:dyDescent="0.25">
      <c r="A566" s="4">
        <v>38272</v>
      </c>
      <c r="B566" s="3" t="s">
        <v>4</v>
      </c>
      <c r="C566" s="3">
        <v>175</v>
      </c>
      <c r="D566" s="3">
        <v>57</v>
      </c>
      <c r="E566" s="3" t="s">
        <v>1682</v>
      </c>
      <c r="F566" s="5" t="s">
        <v>1683</v>
      </c>
      <c r="G566" s="3" t="s">
        <v>1684</v>
      </c>
      <c r="H566" s="3" t="s">
        <v>283</v>
      </c>
    </row>
    <row r="567" spans="1:8" ht="15.75" x14ac:dyDescent="0.25">
      <c r="A567" s="4">
        <v>38148</v>
      </c>
      <c r="B567" s="3" t="s">
        <v>4</v>
      </c>
      <c r="C567" s="3">
        <v>175</v>
      </c>
      <c r="D567" s="3">
        <v>91</v>
      </c>
      <c r="E567" s="3" t="s">
        <v>1693</v>
      </c>
      <c r="F567" s="5" t="s">
        <v>1167</v>
      </c>
      <c r="G567" s="3" t="s">
        <v>1694</v>
      </c>
      <c r="H567" s="3" t="s">
        <v>288</v>
      </c>
    </row>
    <row r="568" spans="1:8" ht="15.75" x14ac:dyDescent="0.25">
      <c r="A568" s="4">
        <v>37951</v>
      </c>
      <c r="B568" s="3" t="s">
        <v>4</v>
      </c>
      <c r="C568" s="3">
        <v>172</v>
      </c>
      <c r="D568" s="3">
        <v>70</v>
      </c>
      <c r="E568" s="3" t="s">
        <v>1759</v>
      </c>
      <c r="F568" s="5" t="s">
        <v>1760</v>
      </c>
      <c r="G568" s="3" t="s">
        <v>1761</v>
      </c>
      <c r="H568" s="3" t="s">
        <v>320</v>
      </c>
    </row>
    <row r="569" spans="1:8" ht="15.75" x14ac:dyDescent="0.25">
      <c r="A569" s="4">
        <v>37515</v>
      </c>
      <c r="B569" s="3" t="s">
        <v>4</v>
      </c>
      <c r="C569" s="3">
        <v>161</v>
      </c>
      <c r="D569" s="3">
        <v>54</v>
      </c>
      <c r="E569" s="3" t="s">
        <v>1803</v>
      </c>
      <c r="F569" s="5" t="s">
        <v>1218</v>
      </c>
      <c r="G569" s="3" t="s">
        <v>1804</v>
      </c>
      <c r="H569" s="3" t="s">
        <v>341</v>
      </c>
    </row>
    <row r="570" spans="1:8" ht="15.75" x14ac:dyDescent="0.25">
      <c r="A570" s="4">
        <v>37032</v>
      </c>
      <c r="B570" s="3" t="s">
        <v>4</v>
      </c>
      <c r="C570" s="3">
        <v>166</v>
      </c>
      <c r="D570" s="3">
        <v>61</v>
      </c>
      <c r="E570" s="3" t="s">
        <v>1809</v>
      </c>
      <c r="F570" s="5" t="s">
        <v>1293</v>
      </c>
      <c r="G570" s="3" t="s">
        <v>1810</v>
      </c>
      <c r="H570" s="3" t="s">
        <v>344</v>
      </c>
    </row>
    <row r="571" spans="1:8" ht="15.75" x14ac:dyDescent="0.25">
      <c r="A571" s="4">
        <v>38412</v>
      </c>
      <c r="B571" s="3" t="s">
        <v>4</v>
      </c>
      <c r="C571" s="3">
        <v>173</v>
      </c>
      <c r="D571" s="3">
        <v>57</v>
      </c>
      <c r="E571" s="3" t="s">
        <v>1813</v>
      </c>
      <c r="F571" s="5" t="s">
        <v>1527</v>
      </c>
      <c r="G571" s="3" t="s">
        <v>1814</v>
      </c>
      <c r="H571" s="3" t="s">
        <v>346</v>
      </c>
    </row>
    <row r="572" spans="1:8" ht="15.75" x14ac:dyDescent="0.25">
      <c r="A572" s="4">
        <v>38221</v>
      </c>
      <c r="B572" s="3" t="s">
        <v>4</v>
      </c>
      <c r="C572" s="3">
        <v>157</v>
      </c>
      <c r="D572" s="3">
        <v>48</v>
      </c>
      <c r="E572" s="3" t="s">
        <v>1815</v>
      </c>
      <c r="F572" s="5" t="s">
        <v>1263</v>
      </c>
      <c r="G572" s="3" t="s">
        <v>1816</v>
      </c>
      <c r="H572" s="3" t="s">
        <v>347</v>
      </c>
    </row>
    <row r="573" spans="1:8" ht="15.75" x14ac:dyDescent="0.25">
      <c r="A573" s="4">
        <v>38340</v>
      </c>
      <c r="B573" s="3" t="s">
        <v>4</v>
      </c>
      <c r="C573" s="3">
        <v>153</v>
      </c>
      <c r="D573" s="3">
        <v>94</v>
      </c>
      <c r="E573" s="3" t="s">
        <v>1826</v>
      </c>
      <c r="F573" s="5" t="s">
        <v>1488</v>
      </c>
      <c r="G573" s="3" t="s">
        <v>1827</v>
      </c>
      <c r="H573" s="3" t="s">
        <v>10</v>
      </c>
    </row>
    <row r="574" spans="1:8" ht="15.75" x14ac:dyDescent="0.25">
      <c r="A574" s="4">
        <v>38000</v>
      </c>
      <c r="B574" s="3" t="s">
        <v>4</v>
      </c>
      <c r="C574" s="3">
        <v>160</v>
      </c>
      <c r="D574" s="3">
        <v>74</v>
      </c>
      <c r="E574" s="3" t="s">
        <v>1844</v>
      </c>
      <c r="F574" s="5" t="s">
        <v>1066</v>
      </c>
      <c r="G574" s="3" t="s">
        <v>1845</v>
      </c>
      <c r="H574" s="3" t="s">
        <v>359</v>
      </c>
    </row>
    <row r="575" spans="1:8" ht="15.75" x14ac:dyDescent="0.25">
      <c r="A575" s="4">
        <v>38407</v>
      </c>
      <c r="B575" s="3" t="s">
        <v>4</v>
      </c>
      <c r="C575" s="3">
        <v>169</v>
      </c>
      <c r="D575" s="3">
        <v>92</v>
      </c>
      <c r="E575" s="3" t="s">
        <v>1851</v>
      </c>
      <c r="F575" s="5" t="s">
        <v>1760</v>
      </c>
      <c r="G575" s="3" t="s">
        <v>1852</v>
      </c>
      <c r="H575" s="3" t="s">
        <v>362</v>
      </c>
    </row>
    <row r="576" spans="1:8" ht="15.75" x14ac:dyDescent="0.25">
      <c r="A576" s="4">
        <v>37447</v>
      </c>
      <c r="B576" s="3" t="s">
        <v>4</v>
      </c>
      <c r="C576" s="3">
        <v>177</v>
      </c>
      <c r="D576" s="3">
        <v>87</v>
      </c>
      <c r="E576" s="3" t="s">
        <v>1870</v>
      </c>
      <c r="F576" s="5" t="s">
        <v>1087</v>
      </c>
      <c r="G576" s="3" t="s">
        <v>1871</v>
      </c>
      <c r="H576" s="3" t="s">
        <v>371</v>
      </c>
    </row>
    <row r="577" spans="1:8" ht="15.75" x14ac:dyDescent="0.25">
      <c r="A577" s="4">
        <v>38360</v>
      </c>
      <c r="B577" s="3" t="s">
        <v>4</v>
      </c>
      <c r="C577" s="3">
        <v>177</v>
      </c>
      <c r="D577" s="3">
        <v>89</v>
      </c>
      <c r="E577" s="3" t="s">
        <v>1872</v>
      </c>
      <c r="F577" s="5" t="s">
        <v>1358</v>
      </c>
      <c r="G577" s="3" t="s">
        <v>1873</v>
      </c>
      <c r="H577" s="3" t="s">
        <v>372</v>
      </c>
    </row>
    <row r="578" spans="1:8" ht="15.75" x14ac:dyDescent="0.25">
      <c r="A578" s="4">
        <v>37628</v>
      </c>
      <c r="B578" s="3" t="s">
        <v>4</v>
      </c>
      <c r="C578" s="3">
        <v>161</v>
      </c>
      <c r="D578" s="3">
        <v>86</v>
      </c>
      <c r="E578" s="3" t="s">
        <v>1874</v>
      </c>
      <c r="F578" s="5" t="s">
        <v>1100</v>
      </c>
      <c r="G578" s="3" t="s">
        <v>1875</v>
      </c>
      <c r="H578" s="3" t="s">
        <v>373</v>
      </c>
    </row>
    <row r="579" spans="1:8" ht="15.75" x14ac:dyDescent="0.25">
      <c r="A579" s="4">
        <v>38171</v>
      </c>
      <c r="B579" s="3" t="s">
        <v>4</v>
      </c>
      <c r="C579" s="3">
        <v>176</v>
      </c>
      <c r="D579" s="3">
        <v>87</v>
      </c>
      <c r="E579" s="3" t="s">
        <v>1876</v>
      </c>
      <c r="F579" s="5" t="s">
        <v>1530</v>
      </c>
      <c r="G579" s="3" t="s">
        <v>1877</v>
      </c>
      <c r="H579" s="3" t="s">
        <v>374</v>
      </c>
    </row>
    <row r="580" spans="1:8" ht="15.75" x14ac:dyDescent="0.25">
      <c r="A580" s="4">
        <v>38241</v>
      </c>
      <c r="B580" s="3" t="s">
        <v>4</v>
      </c>
      <c r="C580" s="3">
        <v>173</v>
      </c>
      <c r="D580" s="3">
        <v>74</v>
      </c>
      <c r="E580" s="3" t="s">
        <v>1882</v>
      </c>
      <c r="F580" s="5" t="s">
        <v>1822</v>
      </c>
      <c r="G580" s="3" t="s">
        <v>1883</v>
      </c>
      <c r="H580" s="3" t="s">
        <v>377</v>
      </c>
    </row>
    <row r="581" spans="1:8" ht="15.75" x14ac:dyDescent="0.25">
      <c r="A581" s="4">
        <v>38273</v>
      </c>
      <c r="B581" s="3" t="s">
        <v>4</v>
      </c>
      <c r="C581" s="3">
        <v>163</v>
      </c>
      <c r="D581" s="3">
        <v>89</v>
      </c>
      <c r="E581" s="3" t="s">
        <v>1888</v>
      </c>
      <c r="F581" s="5" t="s">
        <v>1231</v>
      </c>
      <c r="G581" s="3" t="s">
        <v>1889</v>
      </c>
      <c r="H581" s="3" t="s">
        <v>380</v>
      </c>
    </row>
    <row r="582" spans="1:8" ht="15.75" x14ac:dyDescent="0.25">
      <c r="A582" s="4">
        <v>37483</v>
      </c>
      <c r="B582" s="3" t="s">
        <v>4</v>
      </c>
      <c r="C582" s="3">
        <v>159</v>
      </c>
      <c r="D582" s="3">
        <v>65</v>
      </c>
      <c r="E582" s="3" t="s">
        <v>1890</v>
      </c>
      <c r="F582" s="5" t="s">
        <v>1849</v>
      </c>
      <c r="G582" s="3" t="s">
        <v>1891</v>
      </c>
      <c r="H582" s="3" t="s">
        <v>381</v>
      </c>
    </row>
    <row r="583" spans="1:8" ht="15.75" x14ac:dyDescent="0.25">
      <c r="A583" s="4">
        <v>37712</v>
      </c>
      <c r="B583" s="3" t="s">
        <v>4</v>
      </c>
      <c r="C583" s="3">
        <v>168</v>
      </c>
      <c r="D583" s="3">
        <v>82</v>
      </c>
      <c r="E583" s="3" t="s">
        <v>1894</v>
      </c>
      <c r="F583" s="5" t="s">
        <v>1087</v>
      </c>
      <c r="G583" s="3" t="s">
        <v>1895</v>
      </c>
      <c r="H583" s="3" t="s">
        <v>383</v>
      </c>
    </row>
    <row r="584" spans="1:8" ht="15.75" x14ac:dyDescent="0.25">
      <c r="A584" s="4">
        <v>38134</v>
      </c>
      <c r="B584" s="3" t="s">
        <v>4</v>
      </c>
      <c r="C584" s="3">
        <v>170</v>
      </c>
      <c r="D584" s="3">
        <v>52</v>
      </c>
      <c r="E584" s="3" t="s">
        <v>1896</v>
      </c>
      <c r="F584" s="5" t="s">
        <v>1342</v>
      </c>
      <c r="G584" s="3" t="s">
        <v>1897</v>
      </c>
      <c r="H584" s="3" t="s">
        <v>384</v>
      </c>
    </row>
    <row r="585" spans="1:8" ht="15.75" x14ac:dyDescent="0.25">
      <c r="A585" s="4">
        <v>37728</v>
      </c>
      <c r="B585" s="3" t="s">
        <v>4</v>
      </c>
      <c r="C585" s="3">
        <v>164</v>
      </c>
      <c r="D585" s="3">
        <v>92</v>
      </c>
      <c r="E585" s="3" t="s">
        <v>1919</v>
      </c>
      <c r="F585" s="5" t="s">
        <v>1920</v>
      </c>
      <c r="G585" s="3" t="s">
        <v>1921</v>
      </c>
      <c r="H585" s="3" t="s">
        <v>396</v>
      </c>
    </row>
    <row r="586" spans="1:8" ht="15.75" x14ac:dyDescent="0.25">
      <c r="A586" s="4">
        <v>38411</v>
      </c>
      <c r="B586" s="3" t="s">
        <v>4</v>
      </c>
      <c r="C586" s="3">
        <v>173</v>
      </c>
      <c r="D586" s="3">
        <v>76</v>
      </c>
      <c r="E586" s="3" t="s">
        <v>1924</v>
      </c>
      <c r="F586" s="5" t="s">
        <v>1309</v>
      </c>
      <c r="G586" s="3" t="s">
        <v>1925</v>
      </c>
      <c r="H586" s="3" t="s">
        <v>398</v>
      </c>
    </row>
    <row r="587" spans="1:8" ht="15.75" x14ac:dyDescent="0.25">
      <c r="A587" s="4">
        <v>37413</v>
      </c>
      <c r="B587" s="3" t="s">
        <v>4</v>
      </c>
      <c r="C587" s="3">
        <v>156</v>
      </c>
      <c r="D587" s="3">
        <v>53</v>
      </c>
      <c r="E587" s="3" t="s">
        <v>1937</v>
      </c>
      <c r="F587" s="5" t="s">
        <v>1100</v>
      </c>
      <c r="G587" s="3" t="s">
        <v>1938</v>
      </c>
      <c r="H587" s="3" t="s">
        <v>404</v>
      </c>
    </row>
    <row r="588" spans="1:8" ht="15.75" x14ac:dyDescent="0.25">
      <c r="A588" s="4">
        <v>38325</v>
      </c>
      <c r="B588" s="3" t="s">
        <v>4</v>
      </c>
      <c r="C588" s="3">
        <v>169</v>
      </c>
      <c r="D588" s="3">
        <v>53</v>
      </c>
      <c r="E588" s="3" t="s">
        <v>1941</v>
      </c>
      <c r="F588" s="5" t="s">
        <v>1849</v>
      </c>
      <c r="G588" s="3" t="s">
        <v>1942</v>
      </c>
      <c r="H588" s="3" t="s">
        <v>406</v>
      </c>
    </row>
    <row r="589" spans="1:8" ht="15.75" x14ac:dyDescent="0.25">
      <c r="A589" s="4">
        <v>37018</v>
      </c>
      <c r="B589" s="3" t="s">
        <v>4</v>
      </c>
      <c r="C589" s="3">
        <v>164</v>
      </c>
      <c r="D589" s="3">
        <v>67</v>
      </c>
      <c r="E589" s="3" t="s">
        <v>1976</v>
      </c>
      <c r="F589" s="5" t="s">
        <v>1312</v>
      </c>
      <c r="G589" s="3" t="s">
        <v>1977</v>
      </c>
      <c r="H589" s="3" t="s">
        <v>422</v>
      </c>
    </row>
    <row r="590" spans="1:8" ht="15.75" x14ac:dyDescent="0.25">
      <c r="A590" s="4">
        <v>37266</v>
      </c>
      <c r="B590" s="3" t="s">
        <v>4</v>
      </c>
      <c r="C590" s="3">
        <v>165</v>
      </c>
      <c r="D590" s="3">
        <v>61</v>
      </c>
      <c r="E590" s="3" t="s">
        <v>1984</v>
      </c>
      <c r="F590" s="5" t="s">
        <v>1385</v>
      </c>
      <c r="G590" s="3" t="s">
        <v>1985</v>
      </c>
      <c r="H590" s="3" t="s">
        <v>426</v>
      </c>
    </row>
    <row r="591" spans="1:8" ht="15.75" x14ac:dyDescent="0.25">
      <c r="A591" s="4">
        <v>37033</v>
      </c>
      <c r="B591" s="3" t="s">
        <v>4</v>
      </c>
      <c r="C591" s="3">
        <v>162</v>
      </c>
      <c r="D591" s="3">
        <v>87</v>
      </c>
      <c r="E591" s="3" t="s">
        <v>2001</v>
      </c>
      <c r="F591" s="5" t="s">
        <v>1162</v>
      </c>
      <c r="G591" s="3" t="s">
        <v>2002</v>
      </c>
      <c r="H591" s="3" t="s">
        <v>435</v>
      </c>
    </row>
    <row r="592" spans="1:8" ht="15.75" x14ac:dyDescent="0.25">
      <c r="A592" s="4">
        <v>37845</v>
      </c>
      <c r="B592" s="3" t="s">
        <v>4</v>
      </c>
      <c r="C592" s="3">
        <v>180</v>
      </c>
      <c r="D592" s="3">
        <v>47</v>
      </c>
      <c r="E592" s="3" t="s">
        <v>2035</v>
      </c>
      <c r="F592" s="5" t="s">
        <v>1449</v>
      </c>
      <c r="G592" s="3" t="s">
        <v>2036</v>
      </c>
      <c r="H592" s="3" t="s">
        <v>451</v>
      </c>
    </row>
    <row r="593" spans="1:8" ht="15.75" x14ac:dyDescent="0.25">
      <c r="A593" s="4">
        <v>38017</v>
      </c>
      <c r="B593" s="3" t="s">
        <v>4</v>
      </c>
      <c r="C593" s="3">
        <v>173</v>
      </c>
      <c r="D593" s="3">
        <v>88</v>
      </c>
      <c r="E593" s="3" t="s">
        <v>2043</v>
      </c>
      <c r="F593" s="5" t="s">
        <v>1120</v>
      </c>
      <c r="G593" s="3" t="s">
        <v>2044</v>
      </c>
      <c r="H593" s="3" t="s">
        <v>455</v>
      </c>
    </row>
    <row r="594" spans="1:8" ht="15.75" x14ac:dyDescent="0.25">
      <c r="A594" s="4">
        <v>37610</v>
      </c>
      <c r="B594" s="3" t="s">
        <v>4</v>
      </c>
      <c r="C594" s="3">
        <v>173</v>
      </c>
      <c r="D594" s="3">
        <v>82</v>
      </c>
      <c r="E594" s="3" t="s">
        <v>2045</v>
      </c>
      <c r="F594" s="5" t="s">
        <v>1167</v>
      </c>
      <c r="G594" s="3" t="s">
        <v>2046</v>
      </c>
      <c r="H594" s="3" t="s">
        <v>456</v>
      </c>
    </row>
    <row r="595" spans="1:8" ht="15.75" x14ac:dyDescent="0.25">
      <c r="A595" s="4">
        <v>38153</v>
      </c>
      <c r="B595" s="3" t="s">
        <v>4</v>
      </c>
      <c r="C595" s="3">
        <v>158</v>
      </c>
      <c r="D595" s="3">
        <v>46</v>
      </c>
      <c r="E595" s="3" t="s">
        <v>2062</v>
      </c>
      <c r="F595" s="5" t="s">
        <v>1480</v>
      </c>
      <c r="G595" s="3" t="s">
        <v>2063</v>
      </c>
      <c r="H595" s="3" t="s">
        <v>465</v>
      </c>
    </row>
    <row r="596" spans="1:8" ht="15.75" x14ac:dyDescent="0.25">
      <c r="A596" s="4">
        <v>38299</v>
      </c>
      <c r="B596" s="3" t="s">
        <v>4</v>
      </c>
      <c r="C596" s="3">
        <v>156</v>
      </c>
      <c r="D596" s="3">
        <v>68</v>
      </c>
      <c r="E596" s="3" t="s">
        <v>2064</v>
      </c>
      <c r="F596" s="5" t="s">
        <v>1263</v>
      </c>
      <c r="G596" s="3" t="s">
        <v>2065</v>
      </c>
      <c r="H596" s="3" t="s">
        <v>466</v>
      </c>
    </row>
    <row r="597" spans="1:8" ht="15.75" x14ac:dyDescent="0.25">
      <c r="A597" s="4">
        <v>37316</v>
      </c>
      <c r="B597" s="3" t="s">
        <v>4</v>
      </c>
      <c r="C597" s="3">
        <v>179</v>
      </c>
      <c r="D597" s="3">
        <v>66</v>
      </c>
      <c r="E597" s="3" t="s">
        <v>2070</v>
      </c>
      <c r="F597" s="5" t="s">
        <v>1780</v>
      </c>
      <c r="G597" s="3" t="s">
        <v>2071</v>
      </c>
      <c r="H597" s="3" t="s">
        <v>469</v>
      </c>
    </row>
    <row r="598" spans="1:8" ht="15.75" x14ac:dyDescent="0.25">
      <c r="A598" s="4">
        <v>38433</v>
      </c>
      <c r="B598" s="3" t="s">
        <v>4</v>
      </c>
      <c r="C598" s="3">
        <v>180</v>
      </c>
      <c r="D598" s="3">
        <v>73</v>
      </c>
      <c r="E598" s="3" t="s">
        <v>2096</v>
      </c>
      <c r="F598" s="5" t="s">
        <v>1139</v>
      </c>
      <c r="G598" s="3" t="s">
        <v>2097</v>
      </c>
      <c r="H598" s="3" t="s">
        <v>482</v>
      </c>
    </row>
    <row r="599" spans="1:8" ht="15.75" x14ac:dyDescent="0.25">
      <c r="A599" s="4">
        <v>37865</v>
      </c>
      <c r="B599" s="3" t="s">
        <v>4</v>
      </c>
      <c r="C599" s="3">
        <v>178</v>
      </c>
      <c r="D599" s="3">
        <v>55</v>
      </c>
      <c r="E599" s="3" t="s">
        <v>2100</v>
      </c>
      <c r="F599" s="5" t="s">
        <v>1144</v>
      </c>
      <c r="G599" s="3" t="s">
        <v>2101</v>
      </c>
      <c r="H599" s="3" t="s">
        <v>484</v>
      </c>
    </row>
    <row r="600" spans="1:8" ht="15.75" x14ac:dyDescent="0.25">
      <c r="A600" s="4">
        <v>38078</v>
      </c>
      <c r="B600" s="3" t="s">
        <v>4</v>
      </c>
      <c r="C600" s="3">
        <v>154</v>
      </c>
      <c r="D600" s="3">
        <v>93</v>
      </c>
      <c r="E600" s="3" t="s">
        <v>2118</v>
      </c>
      <c r="F600" s="5" t="s">
        <v>1223</v>
      </c>
      <c r="G600" s="3" t="s">
        <v>2119</v>
      </c>
      <c r="H600" s="3" t="s">
        <v>493</v>
      </c>
    </row>
    <row r="601" spans="1:8" ht="15.75" x14ac:dyDescent="0.25">
      <c r="A601" s="4">
        <v>38373</v>
      </c>
      <c r="B601" s="3" t="s">
        <v>4</v>
      </c>
      <c r="C601" s="3">
        <v>151</v>
      </c>
      <c r="D601" s="3">
        <v>78</v>
      </c>
      <c r="E601" s="3" t="s">
        <v>2126</v>
      </c>
      <c r="F601" s="5" t="s">
        <v>1401</v>
      </c>
      <c r="G601" s="3" t="s">
        <v>2127</v>
      </c>
      <c r="H601" s="3" t="s">
        <v>497</v>
      </c>
    </row>
    <row r="602" spans="1:8" ht="15.75" x14ac:dyDescent="0.25">
      <c r="A602" s="4">
        <v>38069</v>
      </c>
      <c r="B602" s="3" t="s">
        <v>4</v>
      </c>
      <c r="C602" s="3">
        <v>153</v>
      </c>
      <c r="D602" s="3">
        <v>92</v>
      </c>
      <c r="E602" s="3" t="s">
        <v>2164</v>
      </c>
      <c r="F602" s="5" t="s">
        <v>1187</v>
      </c>
      <c r="G602" s="3" t="s">
        <v>2165</v>
      </c>
      <c r="H602" s="3" t="s">
        <v>516</v>
      </c>
    </row>
    <row r="603" spans="1:8" ht="15.75" x14ac:dyDescent="0.25">
      <c r="A603" s="4">
        <v>38089</v>
      </c>
      <c r="B603" s="3" t="s">
        <v>4</v>
      </c>
      <c r="C603" s="3">
        <v>156</v>
      </c>
      <c r="D603" s="3">
        <v>50</v>
      </c>
      <c r="E603" s="3" t="s">
        <v>1848</v>
      </c>
      <c r="F603" s="5" t="s">
        <v>1226</v>
      </c>
      <c r="G603" s="3" t="s">
        <v>2172</v>
      </c>
      <c r="H603" s="3" t="s">
        <v>520</v>
      </c>
    </row>
    <row r="604" spans="1:8" ht="15.75" x14ac:dyDescent="0.25">
      <c r="A604" s="4">
        <v>38302</v>
      </c>
      <c r="B604" s="3" t="s">
        <v>4</v>
      </c>
      <c r="C604" s="3">
        <v>179</v>
      </c>
      <c r="D604" s="3">
        <v>66</v>
      </c>
      <c r="E604" s="3" t="s">
        <v>2177</v>
      </c>
      <c r="F604" s="5" t="s">
        <v>1108</v>
      </c>
      <c r="G604" s="3" t="s">
        <v>2178</v>
      </c>
      <c r="H604" s="3" t="s">
        <v>523</v>
      </c>
    </row>
    <row r="605" spans="1:8" ht="15.75" x14ac:dyDescent="0.25">
      <c r="A605" s="4">
        <v>38429</v>
      </c>
      <c r="B605" s="3" t="s">
        <v>4</v>
      </c>
      <c r="C605" s="3">
        <v>161</v>
      </c>
      <c r="D605" s="3">
        <v>71</v>
      </c>
      <c r="E605" s="3" t="s">
        <v>2197</v>
      </c>
      <c r="F605" s="5" t="s">
        <v>1105</v>
      </c>
      <c r="G605" s="3" t="s">
        <v>2198</v>
      </c>
      <c r="H605" s="3" t="s">
        <v>533</v>
      </c>
    </row>
    <row r="606" spans="1:8" ht="15.75" x14ac:dyDescent="0.25">
      <c r="A606" s="4">
        <v>37467</v>
      </c>
      <c r="B606" s="3" t="s">
        <v>4</v>
      </c>
      <c r="C606" s="3">
        <v>180</v>
      </c>
      <c r="D606" s="3">
        <v>90</v>
      </c>
      <c r="E606" s="3" t="s">
        <v>2211</v>
      </c>
      <c r="F606" s="5" t="s">
        <v>1683</v>
      </c>
      <c r="G606" s="3" t="s">
        <v>2212</v>
      </c>
      <c r="H606" s="3" t="s">
        <v>540</v>
      </c>
    </row>
    <row r="607" spans="1:8" ht="15.75" x14ac:dyDescent="0.25">
      <c r="A607" s="4">
        <v>37982</v>
      </c>
      <c r="B607" s="3" t="s">
        <v>4</v>
      </c>
      <c r="C607" s="3">
        <v>161</v>
      </c>
      <c r="D607" s="3">
        <v>77</v>
      </c>
      <c r="E607" s="3" t="s">
        <v>2250</v>
      </c>
      <c r="F607" s="5" t="s">
        <v>1234</v>
      </c>
      <c r="G607" s="3" t="s">
        <v>2251</v>
      </c>
      <c r="H607" s="3" t="s">
        <v>559</v>
      </c>
    </row>
    <row r="608" spans="1:8" ht="15.75" x14ac:dyDescent="0.25">
      <c r="A608" s="4">
        <v>37828</v>
      </c>
      <c r="B608" s="3" t="s">
        <v>4</v>
      </c>
      <c r="C608" s="3">
        <v>169</v>
      </c>
      <c r="D608" s="3">
        <v>95</v>
      </c>
      <c r="E608" s="3" t="s">
        <v>2279</v>
      </c>
      <c r="F608" s="5" t="s">
        <v>1371</v>
      </c>
      <c r="G608" s="3" t="s">
        <v>2280</v>
      </c>
      <c r="H608" s="3" t="s">
        <v>574</v>
      </c>
    </row>
    <row r="609" spans="1:8" ht="15.75" x14ac:dyDescent="0.25">
      <c r="A609" s="4">
        <v>37066</v>
      </c>
      <c r="B609" s="3" t="s">
        <v>4</v>
      </c>
      <c r="C609" s="3">
        <v>174</v>
      </c>
      <c r="D609" s="3">
        <v>81</v>
      </c>
      <c r="E609" s="3" t="s">
        <v>2287</v>
      </c>
      <c r="F609" s="5" t="s">
        <v>1527</v>
      </c>
      <c r="G609" s="3" t="s">
        <v>2288</v>
      </c>
      <c r="H609" s="3" t="s">
        <v>578</v>
      </c>
    </row>
    <row r="610" spans="1:8" ht="15.75" x14ac:dyDescent="0.25">
      <c r="A610" s="4">
        <v>38429</v>
      </c>
      <c r="B610" s="3" t="s">
        <v>4</v>
      </c>
      <c r="C610" s="3">
        <v>151</v>
      </c>
      <c r="D610" s="3">
        <v>47</v>
      </c>
      <c r="E610" s="3" t="s">
        <v>2290</v>
      </c>
      <c r="F610" s="5" t="s">
        <v>1117</v>
      </c>
      <c r="G610" s="3" t="s">
        <v>2291</v>
      </c>
      <c r="H610" s="3" t="s">
        <v>580</v>
      </c>
    </row>
    <row r="611" spans="1:8" ht="15.75" x14ac:dyDescent="0.25">
      <c r="A611" s="4">
        <v>38319</v>
      </c>
      <c r="B611" s="3" t="s">
        <v>4</v>
      </c>
      <c r="C611" s="3">
        <v>150</v>
      </c>
      <c r="D611" s="3">
        <v>85</v>
      </c>
      <c r="E611" s="3" t="s">
        <v>2310</v>
      </c>
      <c r="F611" s="5" t="s">
        <v>1069</v>
      </c>
      <c r="G611" s="3" t="s">
        <v>2311</v>
      </c>
      <c r="H611" s="3" t="s">
        <v>589</v>
      </c>
    </row>
    <row r="612" spans="1:8" ht="15.75" x14ac:dyDescent="0.25">
      <c r="A612" s="4">
        <v>37447</v>
      </c>
      <c r="B612" s="3" t="s">
        <v>4</v>
      </c>
      <c r="C612" s="3">
        <v>177</v>
      </c>
      <c r="D612" s="3">
        <v>71</v>
      </c>
      <c r="E612" s="3" t="s">
        <v>2314</v>
      </c>
      <c r="F612" s="5" t="s">
        <v>1920</v>
      </c>
      <c r="G612" s="3" t="s">
        <v>2315</v>
      </c>
      <c r="H612" s="3" t="s">
        <v>591</v>
      </c>
    </row>
    <row r="613" spans="1:8" ht="15.75" x14ac:dyDescent="0.25">
      <c r="A613" s="4">
        <v>37012</v>
      </c>
      <c r="B613" s="3" t="s">
        <v>4</v>
      </c>
      <c r="C613" s="3">
        <v>180</v>
      </c>
      <c r="D613" s="3">
        <v>61</v>
      </c>
      <c r="E613" s="3" t="s">
        <v>2316</v>
      </c>
      <c r="F613" s="5" t="s">
        <v>1126</v>
      </c>
      <c r="G613" s="3" t="s">
        <v>2317</v>
      </c>
      <c r="H613" s="3" t="s">
        <v>592</v>
      </c>
    </row>
    <row r="614" spans="1:8" ht="15.75" x14ac:dyDescent="0.25">
      <c r="A614" s="4">
        <v>38104</v>
      </c>
      <c r="B614" s="3" t="s">
        <v>4</v>
      </c>
      <c r="C614" s="3">
        <v>158</v>
      </c>
      <c r="D614" s="3">
        <v>58</v>
      </c>
      <c r="E614" s="3" t="s">
        <v>2360</v>
      </c>
      <c r="F614" s="5" t="s">
        <v>1780</v>
      </c>
      <c r="G614" s="3" t="s">
        <v>2361</v>
      </c>
      <c r="H614" s="3" t="s">
        <v>613</v>
      </c>
    </row>
    <row r="615" spans="1:8" ht="15.75" x14ac:dyDescent="0.25">
      <c r="A615" s="4">
        <v>37508</v>
      </c>
      <c r="B615" s="3" t="s">
        <v>4</v>
      </c>
      <c r="C615" s="3">
        <v>176</v>
      </c>
      <c r="D615" s="3">
        <v>89</v>
      </c>
      <c r="E615" s="3" t="s">
        <v>2374</v>
      </c>
      <c r="F615" s="5" t="s">
        <v>1240</v>
      </c>
      <c r="G615" s="3" t="s">
        <v>2375</v>
      </c>
      <c r="H615" s="3" t="s">
        <v>620</v>
      </c>
    </row>
    <row r="616" spans="1:8" ht="15.75" x14ac:dyDescent="0.25">
      <c r="A616" s="4">
        <v>37827</v>
      </c>
      <c r="B616" s="3" t="s">
        <v>4</v>
      </c>
      <c r="C616" s="3">
        <v>180</v>
      </c>
      <c r="D616" s="3">
        <v>68</v>
      </c>
      <c r="E616" s="3" t="s">
        <v>2382</v>
      </c>
      <c r="F616" s="5" t="s">
        <v>1309</v>
      </c>
      <c r="G616" s="3" t="s">
        <v>2383</v>
      </c>
      <c r="H616" s="3" t="s">
        <v>624</v>
      </c>
    </row>
    <row r="617" spans="1:8" ht="15.75" x14ac:dyDescent="0.25">
      <c r="A617" s="4">
        <v>37325</v>
      </c>
      <c r="B617" s="3" t="s">
        <v>4</v>
      </c>
      <c r="C617" s="3">
        <v>180</v>
      </c>
      <c r="D617" s="3">
        <v>58</v>
      </c>
      <c r="E617" s="3" t="s">
        <v>2408</v>
      </c>
      <c r="F617" s="5" t="s">
        <v>1268</v>
      </c>
      <c r="G617" s="3" t="s">
        <v>2409</v>
      </c>
      <c r="H617" s="3" t="s">
        <v>637</v>
      </c>
    </row>
    <row r="618" spans="1:8" ht="15.75" x14ac:dyDescent="0.25">
      <c r="A618" s="4">
        <v>38376</v>
      </c>
      <c r="B618" s="3" t="s">
        <v>4</v>
      </c>
      <c r="C618" s="3">
        <v>160</v>
      </c>
      <c r="D618" s="3">
        <v>65</v>
      </c>
      <c r="E618" s="3" t="s">
        <v>2422</v>
      </c>
      <c r="F618" s="5" t="s">
        <v>1284</v>
      </c>
      <c r="G618" s="3" t="s">
        <v>2423</v>
      </c>
      <c r="H618" s="3" t="s">
        <v>644</v>
      </c>
    </row>
    <row r="619" spans="1:8" ht="15.75" x14ac:dyDescent="0.25">
      <c r="A619" s="4">
        <v>38134</v>
      </c>
      <c r="B619" s="3" t="s">
        <v>4</v>
      </c>
      <c r="C619" s="3">
        <v>153</v>
      </c>
      <c r="D619" s="3">
        <v>66</v>
      </c>
      <c r="E619" s="3" t="s">
        <v>2424</v>
      </c>
      <c r="F619" s="5" t="s">
        <v>1822</v>
      </c>
      <c r="G619" s="3" t="s">
        <v>2425</v>
      </c>
      <c r="H619" s="3" t="s">
        <v>645</v>
      </c>
    </row>
    <row r="620" spans="1:8" ht="15.75" x14ac:dyDescent="0.25">
      <c r="A620" s="4">
        <v>37779</v>
      </c>
      <c r="B620" s="3" t="s">
        <v>4</v>
      </c>
      <c r="C620" s="3">
        <v>151</v>
      </c>
      <c r="D620" s="3">
        <v>88</v>
      </c>
      <c r="E620" s="3" t="s">
        <v>2440</v>
      </c>
      <c r="F620" s="5" t="s">
        <v>1144</v>
      </c>
      <c r="G620" s="3" t="s">
        <v>2441</v>
      </c>
      <c r="H620" s="3" t="s">
        <v>653</v>
      </c>
    </row>
    <row r="621" spans="1:8" ht="15.75" x14ac:dyDescent="0.25">
      <c r="A621" s="4">
        <v>37751</v>
      </c>
      <c r="B621" s="3" t="s">
        <v>4</v>
      </c>
      <c r="C621" s="3">
        <v>178</v>
      </c>
      <c r="D621" s="3">
        <v>86</v>
      </c>
      <c r="E621" s="3" t="s">
        <v>2456</v>
      </c>
      <c r="F621" s="5" t="s">
        <v>1210</v>
      </c>
      <c r="G621" s="3" t="s">
        <v>2457</v>
      </c>
      <c r="H621" s="3" t="s">
        <v>661</v>
      </c>
    </row>
    <row r="622" spans="1:8" ht="15.75" x14ac:dyDescent="0.25">
      <c r="A622" s="4">
        <v>37166</v>
      </c>
      <c r="B622" s="3" t="s">
        <v>4</v>
      </c>
      <c r="C622" s="3">
        <v>170</v>
      </c>
      <c r="D622" s="3">
        <v>56</v>
      </c>
      <c r="E622" s="3" t="s">
        <v>2460</v>
      </c>
      <c r="F622" s="5" t="s">
        <v>1207</v>
      </c>
      <c r="G622" s="3" t="s">
        <v>2461</v>
      </c>
      <c r="H622" s="3" t="s">
        <v>663</v>
      </c>
    </row>
    <row r="623" spans="1:8" ht="15.75" x14ac:dyDescent="0.25">
      <c r="A623" s="4">
        <v>37878</v>
      </c>
      <c r="B623" s="3" t="s">
        <v>4</v>
      </c>
      <c r="C623" s="3">
        <v>179</v>
      </c>
      <c r="D623" s="3">
        <v>55</v>
      </c>
      <c r="E623" s="3" t="s">
        <v>2478</v>
      </c>
      <c r="F623" s="5" t="s">
        <v>1429</v>
      </c>
      <c r="G623" s="3" t="s">
        <v>2479</v>
      </c>
      <c r="H623" s="3" t="s">
        <v>672</v>
      </c>
    </row>
    <row r="624" spans="1:8" ht="15.75" x14ac:dyDescent="0.25">
      <c r="A624" s="4">
        <v>37607</v>
      </c>
      <c r="B624" s="3" t="s">
        <v>4</v>
      </c>
      <c r="C624" s="3">
        <v>172</v>
      </c>
      <c r="D624" s="3">
        <v>85</v>
      </c>
      <c r="E624" s="3" t="s">
        <v>2490</v>
      </c>
      <c r="F624" s="5" t="s">
        <v>1974</v>
      </c>
      <c r="G624" s="3" t="s">
        <v>2491</v>
      </c>
      <c r="H624" s="3" t="s">
        <v>678</v>
      </c>
    </row>
    <row r="625" spans="1:8" ht="15.75" x14ac:dyDescent="0.25">
      <c r="A625" s="4">
        <v>37749</v>
      </c>
      <c r="B625" s="3" t="s">
        <v>4</v>
      </c>
      <c r="C625" s="3">
        <v>162</v>
      </c>
      <c r="D625" s="3">
        <v>65</v>
      </c>
      <c r="E625" s="3" t="s">
        <v>2438</v>
      </c>
      <c r="F625" s="5" t="s">
        <v>1574</v>
      </c>
      <c r="G625" s="3" t="s">
        <v>2532</v>
      </c>
      <c r="H625" s="3" t="s">
        <v>699</v>
      </c>
    </row>
    <row r="626" spans="1:8" ht="15.75" x14ac:dyDescent="0.25">
      <c r="A626" s="4">
        <v>38251</v>
      </c>
      <c r="B626" s="3" t="s">
        <v>4</v>
      </c>
      <c r="C626" s="3">
        <v>152</v>
      </c>
      <c r="D626" s="3">
        <v>78</v>
      </c>
      <c r="E626" s="3" t="s">
        <v>2541</v>
      </c>
      <c r="F626" s="5" t="s">
        <v>1342</v>
      </c>
      <c r="G626" s="3" t="s">
        <v>2542</v>
      </c>
      <c r="H626" s="3" t="s">
        <v>704</v>
      </c>
    </row>
    <row r="627" spans="1:8" ht="15.75" x14ac:dyDescent="0.25">
      <c r="A627" s="4">
        <v>37489</v>
      </c>
      <c r="B627" s="3" t="s">
        <v>4</v>
      </c>
      <c r="C627" s="3">
        <v>179</v>
      </c>
      <c r="D627" s="3">
        <v>73</v>
      </c>
      <c r="E627" s="3" t="s">
        <v>2545</v>
      </c>
      <c r="F627" s="5" t="s">
        <v>1260</v>
      </c>
      <c r="G627" s="3" t="s">
        <v>2546</v>
      </c>
      <c r="H627" s="3" t="s">
        <v>706</v>
      </c>
    </row>
    <row r="628" spans="1:8" ht="15.75" x14ac:dyDescent="0.25">
      <c r="A628" s="4">
        <v>37918</v>
      </c>
      <c r="B628" s="3" t="s">
        <v>4</v>
      </c>
      <c r="C628" s="3">
        <v>151</v>
      </c>
      <c r="D628" s="3">
        <v>94</v>
      </c>
      <c r="E628" s="3" t="s">
        <v>2552</v>
      </c>
      <c r="F628" s="5" t="s">
        <v>1429</v>
      </c>
      <c r="G628" s="3" t="s">
        <v>2553</v>
      </c>
      <c r="H628" s="3" t="s">
        <v>710</v>
      </c>
    </row>
    <row r="629" spans="1:8" ht="15.75" x14ac:dyDescent="0.25">
      <c r="A629" s="4">
        <v>38404</v>
      </c>
      <c r="B629" s="3" t="s">
        <v>4</v>
      </c>
      <c r="C629" s="3">
        <v>163</v>
      </c>
      <c r="D629" s="3">
        <v>92</v>
      </c>
      <c r="E629" s="3" t="s">
        <v>2577</v>
      </c>
      <c r="F629" s="5" t="s">
        <v>1167</v>
      </c>
      <c r="G629" s="3" t="s">
        <v>2578</v>
      </c>
      <c r="H629" s="3" t="s">
        <v>723</v>
      </c>
    </row>
    <row r="630" spans="1:8" ht="15.75" x14ac:dyDescent="0.25">
      <c r="A630" s="4">
        <v>38449</v>
      </c>
      <c r="B630" s="3" t="s">
        <v>4</v>
      </c>
      <c r="C630" s="3">
        <v>150</v>
      </c>
      <c r="D630" s="3">
        <v>81</v>
      </c>
      <c r="E630" s="3" t="s">
        <v>2590</v>
      </c>
      <c r="F630" s="5" t="s">
        <v>1194</v>
      </c>
      <c r="G630" s="3" t="s">
        <v>2591</v>
      </c>
      <c r="H630" s="3" t="s">
        <v>1004</v>
      </c>
    </row>
    <row r="631" spans="1:8" ht="15.75" x14ac:dyDescent="0.25">
      <c r="A631" s="4">
        <v>37366</v>
      </c>
      <c r="B631" s="3" t="s">
        <v>4</v>
      </c>
      <c r="C631" s="3">
        <v>170</v>
      </c>
      <c r="D631" s="3">
        <v>78</v>
      </c>
      <c r="E631" s="3" t="s">
        <v>2608</v>
      </c>
      <c r="F631" s="5" t="s">
        <v>1780</v>
      </c>
      <c r="G631" s="3" t="s">
        <v>2609</v>
      </c>
      <c r="H631" s="3" t="s">
        <v>738</v>
      </c>
    </row>
    <row r="632" spans="1:8" ht="15.75" x14ac:dyDescent="0.25">
      <c r="A632" s="4">
        <v>37515</v>
      </c>
      <c r="B632" s="3" t="s">
        <v>4</v>
      </c>
      <c r="C632" s="3">
        <v>169</v>
      </c>
      <c r="D632" s="3">
        <v>86</v>
      </c>
      <c r="E632" s="3" t="s">
        <v>2652</v>
      </c>
      <c r="F632" s="5" t="s">
        <v>1087</v>
      </c>
      <c r="G632" s="3" t="s">
        <v>2653</v>
      </c>
      <c r="H632" s="3" t="s">
        <v>760</v>
      </c>
    </row>
    <row r="633" spans="1:8" ht="15.75" x14ac:dyDescent="0.25">
      <c r="A633" s="4">
        <v>37112</v>
      </c>
      <c r="B633" s="3" t="s">
        <v>4</v>
      </c>
      <c r="C633" s="3">
        <v>165</v>
      </c>
      <c r="D633" s="3">
        <v>84</v>
      </c>
      <c r="E633" s="3" t="s">
        <v>2654</v>
      </c>
      <c r="F633" s="5" t="s">
        <v>1483</v>
      </c>
      <c r="G633" s="3" t="s">
        <v>2655</v>
      </c>
      <c r="H633" s="3" t="s">
        <v>761</v>
      </c>
    </row>
    <row r="634" spans="1:8" ht="15.75" x14ac:dyDescent="0.25">
      <c r="A634" s="4">
        <v>37325</v>
      </c>
      <c r="B634" s="3" t="s">
        <v>4</v>
      </c>
      <c r="C634" s="3">
        <v>171</v>
      </c>
      <c r="D634" s="3">
        <v>58</v>
      </c>
      <c r="E634" s="3" t="s">
        <v>2658</v>
      </c>
      <c r="F634" s="5" t="s">
        <v>1226</v>
      </c>
      <c r="G634" s="3" t="s">
        <v>2659</v>
      </c>
      <c r="H634" s="3" t="s">
        <v>763</v>
      </c>
    </row>
    <row r="635" spans="1:8" ht="15.75" x14ac:dyDescent="0.25">
      <c r="A635" s="4">
        <v>38050</v>
      </c>
      <c r="B635" s="3" t="s">
        <v>4</v>
      </c>
      <c r="C635" s="3">
        <v>165</v>
      </c>
      <c r="D635" s="3">
        <v>56</v>
      </c>
      <c r="E635" s="3" t="s">
        <v>2662</v>
      </c>
      <c r="F635" s="5" t="s">
        <v>1213</v>
      </c>
      <c r="G635" s="3" t="s">
        <v>2663</v>
      </c>
      <c r="H635" s="3" t="s">
        <v>765</v>
      </c>
    </row>
    <row r="636" spans="1:8" ht="15.75" x14ac:dyDescent="0.25">
      <c r="A636" s="4">
        <v>37060</v>
      </c>
      <c r="B636" s="3" t="s">
        <v>4</v>
      </c>
      <c r="C636" s="3">
        <v>150</v>
      </c>
      <c r="D636" s="3">
        <v>92</v>
      </c>
      <c r="E636" s="3" t="s">
        <v>2664</v>
      </c>
      <c r="F636" s="5" t="s">
        <v>1200</v>
      </c>
      <c r="G636" s="3" t="s">
        <v>2665</v>
      </c>
      <c r="H636" s="3" t="s">
        <v>766</v>
      </c>
    </row>
    <row r="637" spans="1:8" ht="15.75" x14ac:dyDescent="0.25">
      <c r="A637" s="4">
        <v>38171</v>
      </c>
      <c r="B637" s="3" t="s">
        <v>4</v>
      </c>
      <c r="C637" s="3">
        <v>168</v>
      </c>
      <c r="D637" s="3">
        <v>86</v>
      </c>
      <c r="E637" s="3" t="s">
        <v>2686</v>
      </c>
      <c r="F637" s="5" t="s">
        <v>1194</v>
      </c>
      <c r="G637" s="3" t="s">
        <v>2687</v>
      </c>
      <c r="H637" s="3" t="s">
        <v>778</v>
      </c>
    </row>
    <row r="638" spans="1:8" ht="15.75" x14ac:dyDescent="0.25">
      <c r="A638" s="4">
        <v>38086</v>
      </c>
      <c r="B638" s="3" t="s">
        <v>4</v>
      </c>
      <c r="C638" s="3">
        <v>162</v>
      </c>
      <c r="D638" s="3">
        <v>79</v>
      </c>
      <c r="E638" s="3" t="s">
        <v>2696</v>
      </c>
      <c r="F638" s="5" t="s">
        <v>1822</v>
      </c>
      <c r="G638" s="3" t="s">
        <v>2697</v>
      </c>
      <c r="H638" s="3" t="s">
        <v>783</v>
      </c>
    </row>
    <row r="639" spans="1:8" ht="15.75" x14ac:dyDescent="0.25">
      <c r="A639" s="4">
        <v>37704</v>
      </c>
      <c r="B639" s="3" t="s">
        <v>4</v>
      </c>
      <c r="C639" s="3">
        <v>167</v>
      </c>
      <c r="D639" s="3">
        <v>80</v>
      </c>
      <c r="E639" s="3" t="s">
        <v>2708</v>
      </c>
      <c r="F639" s="5" t="s">
        <v>1136</v>
      </c>
      <c r="G639" s="3" t="s">
        <v>2709</v>
      </c>
      <c r="H639" s="3" t="s">
        <v>789</v>
      </c>
    </row>
    <row r="640" spans="1:8" ht="15.75" x14ac:dyDescent="0.25">
      <c r="A640" s="4">
        <v>37219</v>
      </c>
      <c r="B640" s="3" t="s">
        <v>4</v>
      </c>
      <c r="C640" s="3">
        <v>164</v>
      </c>
      <c r="D640" s="3">
        <v>49</v>
      </c>
      <c r="E640" s="3" t="s">
        <v>2823</v>
      </c>
      <c r="F640" s="5" t="s">
        <v>1594</v>
      </c>
      <c r="G640" s="3" t="s">
        <v>2824</v>
      </c>
      <c r="H640" s="3" t="s">
        <v>847</v>
      </c>
    </row>
    <row r="641" spans="1:8" ht="15.75" x14ac:dyDescent="0.25">
      <c r="A641" s="4">
        <v>37429</v>
      </c>
      <c r="B641" s="3" t="s">
        <v>4</v>
      </c>
      <c r="C641" s="3">
        <v>153</v>
      </c>
      <c r="D641" s="3">
        <v>89</v>
      </c>
      <c r="E641" s="3" t="s">
        <v>2853</v>
      </c>
      <c r="F641" s="5" t="s">
        <v>1385</v>
      </c>
      <c r="G641" s="3" t="s">
        <v>2854</v>
      </c>
      <c r="H641" s="3" t="s">
        <v>859</v>
      </c>
    </row>
    <row r="642" spans="1:8" ht="15.75" x14ac:dyDescent="0.25">
      <c r="A642" s="4">
        <v>37690</v>
      </c>
      <c r="B642" s="3" t="s">
        <v>4</v>
      </c>
      <c r="C642" s="3">
        <v>158</v>
      </c>
      <c r="D642" s="3">
        <v>64</v>
      </c>
      <c r="E642" s="3" t="s">
        <v>2863</v>
      </c>
      <c r="F642" s="5" t="s">
        <v>1120</v>
      </c>
      <c r="G642" s="3" t="s">
        <v>2864</v>
      </c>
      <c r="H642" s="3" t="s">
        <v>864</v>
      </c>
    </row>
    <row r="643" spans="1:8" ht="15.75" x14ac:dyDescent="0.25">
      <c r="A643" s="4">
        <v>37921</v>
      </c>
      <c r="B643" s="3" t="s">
        <v>4</v>
      </c>
      <c r="C643" s="3">
        <v>168</v>
      </c>
      <c r="D643" s="3">
        <v>67</v>
      </c>
      <c r="E643" s="3" t="s">
        <v>2883</v>
      </c>
      <c r="F643" s="5" t="s">
        <v>1162</v>
      </c>
      <c r="G643" s="3" t="s">
        <v>2884</v>
      </c>
      <c r="H643" s="3" t="s">
        <v>874</v>
      </c>
    </row>
    <row r="644" spans="1:8" ht="15.75" x14ac:dyDescent="0.25">
      <c r="A644" s="4">
        <v>37542</v>
      </c>
      <c r="B644" s="3" t="s">
        <v>4</v>
      </c>
      <c r="C644" s="3">
        <v>167</v>
      </c>
      <c r="D644" s="3">
        <v>72</v>
      </c>
      <c r="E644" s="3" t="s">
        <v>2893</v>
      </c>
      <c r="F644" s="5" t="s">
        <v>1120</v>
      </c>
      <c r="G644" s="3" t="s">
        <v>2894</v>
      </c>
      <c r="H644" s="3" t="s">
        <v>879</v>
      </c>
    </row>
    <row r="645" spans="1:8" ht="15.75" x14ac:dyDescent="0.25">
      <c r="A645" s="4">
        <v>38176</v>
      </c>
      <c r="B645" s="3" t="s">
        <v>4</v>
      </c>
      <c r="C645" s="3">
        <v>154</v>
      </c>
      <c r="D645" s="3">
        <v>47</v>
      </c>
      <c r="E645" s="3" t="s">
        <v>2915</v>
      </c>
      <c r="F645" s="5" t="s">
        <v>1290</v>
      </c>
      <c r="G645" s="3" t="s">
        <v>2916</v>
      </c>
      <c r="H645" s="3" t="s">
        <v>890</v>
      </c>
    </row>
    <row r="646" spans="1:8" ht="15.75" x14ac:dyDescent="0.25">
      <c r="A646" s="4">
        <v>37582</v>
      </c>
      <c r="B646" s="3" t="s">
        <v>4</v>
      </c>
      <c r="C646" s="3">
        <v>154</v>
      </c>
      <c r="D646" s="3">
        <v>87</v>
      </c>
      <c r="E646" s="3" t="s">
        <v>2937</v>
      </c>
      <c r="F646" s="5" t="s">
        <v>1090</v>
      </c>
      <c r="G646" s="3" t="s">
        <v>2938</v>
      </c>
      <c r="H646" s="3" t="s">
        <v>901</v>
      </c>
    </row>
    <row r="647" spans="1:8" ht="15.75" x14ac:dyDescent="0.25">
      <c r="A647" s="4">
        <v>37198</v>
      </c>
      <c r="B647" s="3" t="s">
        <v>4</v>
      </c>
      <c r="C647" s="3">
        <v>174</v>
      </c>
      <c r="D647" s="3">
        <v>78</v>
      </c>
      <c r="E647" s="3" t="s">
        <v>2953</v>
      </c>
      <c r="F647" s="5" t="s">
        <v>1284</v>
      </c>
      <c r="G647" s="3" t="s">
        <v>2954</v>
      </c>
      <c r="H647" s="3" t="s">
        <v>13</v>
      </c>
    </row>
    <row r="648" spans="1:8" ht="15.75" x14ac:dyDescent="0.25">
      <c r="A648" s="4">
        <v>37531</v>
      </c>
      <c r="B648" s="3" t="s">
        <v>4</v>
      </c>
      <c r="C648" s="3">
        <v>166</v>
      </c>
      <c r="D648" s="3">
        <v>80</v>
      </c>
      <c r="E648" s="3" t="s">
        <v>2981</v>
      </c>
      <c r="F648" s="5" t="s">
        <v>1200</v>
      </c>
      <c r="G648" s="3" t="s">
        <v>2982</v>
      </c>
      <c r="H648" s="3" t="s">
        <v>922</v>
      </c>
    </row>
    <row r="649" spans="1:8" ht="15.75" x14ac:dyDescent="0.25">
      <c r="A649" s="4">
        <v>37270</v>
      </c>
      <c r="B649" s="3" t="s">
        <v>4</v>
      </c>
      <c r="C649" s="3">
        <v>154</v>
      </c>
      <c r="D649" s="3">
        <v>50</v>
      </c>
      <c r="E649" s="3" t="s">
        <v>2989</v>
      </c>
      <c r="F649" s="5" t="s">
        <v>1862</v>
      </c>
      <c r="G649" s="3" t="s">
        <v>2990</v>
      </c>
      <c r="H649" s="3" t="s">
        <v>926</v>
      </c>
    </row>
    <row r="650" spans="1:8" ht="15.75" x14ac:dyDescent="0.25">
      <c r="A650" s="4">
        <v>37891</v>
      </c>
      <c r="B650" s="3" t="s">
        <v>4</v>
      </c>
      <c r="C650" s="3">
        <v>156</v>
      </c>
      <c r="D650" s="3">
        <v>63</v>
      </c>
      <c r="E650" s="3" t="s">
        <v>2993</v>
      </c>
      <c r="F650" s="5" t="s">
        <v>1594</v>
      </c>
      <c r="G650" s="3" t="s">
        <v>2994</v>
      </c>
      <c r="H650" s="3" t="s">
        <v>928</v>
      </c>
    </row>
    <row r="651" spans="1:8" ht="15.75" x14ac:dyDescent="0.25">
      <c r="A651" s="4">
        <v>37027</v>
      </c>
      <c r="B651" s="3" t="s">
        <v>4</v>
      </c>
      <c r="C651" s="3">
        <v>157</v>
      </c>
      <c r="D651" s="3">
        <v>61</v>
      </c>
      <c r="E651" s="3" t="s">
        <v>3019</v>
      </c>
      <c r="F651" s="5" t="s">
        <v>1126</v>
      </c>
      <c r="G651" s="3" t="s">
        <v>3020</v>
      </c>
      <c r="H651" s="3" t="s">
        <v>942</v>
      </c>
    </row>
    <row r="652" spans="1:8" ht="15.75" x14ac:dyDescent="0.25">
      <c r="A652" s="4">
        <v>37683</v>
      </c>
      <c r="B652" s="3" t="s">
        <v>4</v>
      </c>
      <c r="C652" s="3">
        <v>153</v>
      </c>
      <c r="D652" s="3">
        <v>69</v>
      </c>
      <c r="E652" s="3" t="s">
        <v>3021</v>
      </c>
      <c r="F652" s="5" t="s">
        <v>1120</v>
      </c>
      <c r="G652" s="3" t="s">
        <v>3022</v>
      </c>
      <c r="H652" s="3" t="s">
        <v>943</v>
      </c>
    </row>
    <row r="653" spans="1:8" ht="15.75" x14ac:dyDescent="0.25">
      <c r="A653" s="4">
        <v>38369</v>
      </c>
      <c r="B653" s="3" t="s">
        <v>4</v>
      </c>
      <c r="C653" s="3">
        <v>155</v>
      </c>
      <c r="D653" s="3">
        <v>73</v>
      </c>
      <c r="E653" s="3" t="s">
        <v>3046</v>
      </c>
      <c r="F653" s="5" t="s">
        <v>1257</v>
      </c>
      <c r="G653" s="3" t="s">
        <v>3047</v>
      </c>
      <c r="H653" s="3" t="s">
        <v>956</v>
      </c>
    </row>
    <row r="654" spans="1:8" ht="15.75" x14ac:dyDescent="0.25">
      <c r="A654" s="4">
        <v>37931</v>
      </c>
      <c r="B654" s="3" t="s">
        <v>4</v>
      </c>
      <c r="C654" s="3">
        <v>175</v>
      </c>
      <c r="D654" s="3">
        <v>73</v>
      </c>
      <c r="E654" s="3" t="s">
        <v>3081</v>
      </c>
      <c r="F654" s="5" t="s">
        <v>1081</v>
      </c>
      <c r="G654" s="3" t="s">
        <v>3082</v>
      </c>
      <c r="H654" s="3" t="s">
        <v>974</v>
      </c>
    </row>
    <row r="655" spans="1:8" ht="15.75" x14ac:dyDescent="0.25">
      <c r="A655" s="4">
        <v>37038</v>
      </c>
      <c r="B655" s="3" t="s">
        <v>4</v>
      </c>
      <c r="C655" s="3">
        <v>157</v>
      </c>
      <c r="D655" s="3">
        <v>54</v>
      </c>
      <c r="E655" s="3" t="s">
        <v>3099</v>
      </c>
      <c r="F655" s="5" t="s">
        <v>1081</v>
      </c>
      <c r="G655" s="3" t="s">
        <v>3100</v>
      </c>
      <c r="H655" s="3" t="s">
        <v>983</v>
      </c>
    </row>
    <row r="656" spans="1:8" ht="15.75" x14ac:dyDescent="0.25">
      <c r="A656" s="4">
        <v>37968</v>
      </c>
      <c r="B656" s="3" t="s">
        <v>4</v>
      </c>
      <c r="C656" s="3">
        <v>180</v>
      </c>
      <c r="D656" s="3">
        <v>55</v>
      </c>
      <c r="E656" s="3" t="s">
        <v>3101</v>
      </c>
      <c r="F656" s="5" t="s">
        <v>1449</v>
      </c>
      <c r="G656" s="3" t="s">
        <v>3102</v>
      </c>
      <c r="H656" s="3" t="s">
        <v>984</v>
      </c>
    </row>
    <row r="657" spans="1:8" ht="15.75" x14ac:dyDescent="0.25">
      <c r="A657" s="4">
        <v>38374</v>
      </c>
      <c r="B657" s="3" t="s">
        <v>4</v>
      </c>
      <c r="C657" s="3">
        <v>173</v>
      </c>
      <c r="D657" s="3">
        <v>55</v>
      </c>
      <c r="E657" s="3" t="s">
        <v>3136</v>
      </c>
      <c r="F657" s="5" t="s">
        <v>1084</v>
      </c>
      <c r="G657" s="3" t="s">
        <v>3137</v>
      </c>
      <c r="H657" s="3" t="s">
        <v>1002</v>
      </c>
    </row>
    <row r="658" spans="1:8" ht="15.75" x14ac:dyDescent="0.25">
      <c r="A658" s="4">
        <v>37449</v>
      </c>
      <c r="B658" s="3" t="s">
        <v>7</v>
      </c>
      <c r="C658" s="3">
        <v>167</v>
      </c>
      <c r="D658" s="3">
        <v>45</v>
      </c>
      <c r="E658" s="3" t="s">
        <v>1089</v>
      </c>
      <c r="F658" s="5" t="s">
        <v>1090</v>
      </c>
      <c r="G658" s="3" t="s">
        <v>1091</v>
      </c>
      <c r="H658" s="3" t="s">
        <v>27</v>
      </c>
    </row>
    <row r="659" spans="1:8" ht="15.75" x14ac:dyDescent="0.25">
      <c r="A659" s="4">
        <v>38132</v>
      </c>
      <c r="B659" s="3" t="s">
        <v>7</v>
      </c>
      <c r="C659" s="3">
        <v>151</v>
      </c>
      <c r="D659" s="3">
        <v>59</v>
      </c>
      <c r="E659" s="3" t="s">
        <v>1102</v>
      </c>
      <c r="F659" s="5" t="s">
        <v>1078</v>
      </c>
      <c r="G659" s="3" t="s">
        <v>1103</v>
      </c>
      <c r="H659" s="3" t="s">
        <v>31</v>
      </c>
    </row>
    <row r="660" spans="1:8" ht="15.75" x14ac:dyDescent="0.25">
      <c r="A660" s="4">
        <v>37397</v>
      </c>
      <c r="B660" s="3" t="s">
        <v>7</v>
      </c>
      <c r="C660" s="3">
        <v>173</v>
      </c>
      <c r="D660" s="3">
        <v>74</v>
      </c>
      <c r="E660" s="3" t="s">
        <v>1116</v>
      </c>
      <c r="F660" s="5" t="s">
        <v>1117</v>
      </c>
      <c r="G660" s="3" t="s">
        <v>1118</v>
      </c>
      <c r="H660" s="3" t="s">
        <v>36</v>
      </c>
    </row>
    <row r="661" spans="1:8" ht="15.75" x14ac:dyDescent="0.25">
      <c r="A661" s="4">
        <v>37682</v>
      </c>
      <c r="B661" s="3" t="s">
        <v>7</v>
      </c>
      <c r="C661" s="3">
        <v>180</v>
      </c>
      <c r="D661" s="3">
        <v>74</v>
      </c>
      <c r="E661" s="3" t="s">
        <v>1172</v>
      </c>
      <c r="F661" s="5" t="s">
        <v>1173</v>
      </c>
      <c r="G661" s="3" t="s">
        <v>1174</v>
      </c>
      <c r="H661" s="3" t="s">
        <v>57</v>
      </c>
    </row>
    <row r="662" spans="1:8" ht="15.75" x14ac:dyDescent="0.25">
      <c r="A662" s="4">
        <v>37728</v>
      </c>
      <c r="B662" s="3" t="s">
        <v>7</v>
      </c>
      <c r="C662" s="3">
        <v>175</v>
      </c>
      <c r="D662" s="3">
        <v>77</v>
      </c>
      <c r="E662" s="3" t="s">
        <v>1196</v>
      </c>
      <c r="F662" s="5" t="s">
        <v>1197</v>
      </c>
      <c r="G662" s="3" t="s">
        <v>1198</v>
      </c>
      <c r="H662" s="3" t="s">
        <v>66</v>
      </c>
    </row>
    <row r="663" spans="1:8" ht="15.75" x14ac:dyDescent="0.25">
      <c r="A663" s="4">
        <v>37023</v>
      </c>
      <c r="B663" s="3" t="s">
        <v>7</v>
      </c>
      <c r="C663" s="3">
        <v>165</v>
      </c>
      <c r="D663" s="3">
        <v>56</v>
      </c>
      <c r="E663" s="3" t="s">
        <v>1225</v>
      </c>
      <c r="F663" s="5" t="s">
        <v>1226</v>
      </c>
      <c r="G663" s="3" t="s">
        <v>1227</v>
      </c>
      <c r="H663" s="3" t="s">
        <v>77</v>
      </c>
    </row>
    <row r="664" spans="1:8" ht="15.75" x14ac:dyDescent="0.25">
      <c r="A664" s="4">
        <v>37222</v>
      </c>
      <c r="B664" s="3" t="s">
        <v>7</v>
      </c>
      <c r="C664" s="3">
        <v>178</v>
      </c>
      <c r="D664" s="3">
        <v>91</v>
      </c>
      <c r="E664" s="3" t="s">
        <v>1228</v>
      </c>
      <c r="F664" s="5" t="s">
        <v>1147</v>
      </c>
      <c r="G664" s="3" t="s">
        <v>1229</v>
      </c>
      <c r="H664" s="3" t="s">
        <v>78</v>
      </c>
    </row>
    <row r="665" spans="1:8" ht="15.75" x14ac:dyDescent="0.25">
      <c r="A665" s="4">
        <v>38109</v>
      </c>
      <c r="B665" s="3" t="s">
        <v>7</v>
      </c>
      <c r="C665" s="3">
        <v>175</v>
      </c>
      <c r="D665" s="3">
        <v>52</v>
      </c>
      <c r="E665" s="3" t="s">
        <v>1236</v>
      </c>
      <c r="F665" s="5" t="s">
        <v>1237</v>
      </c>
      <c r="G665" s="3" t="s">
        <v>1238</v>
      </c>
      <c r="H665" s="3" t="s">
        <v>81</v>
      </c>
    </row>
    <row r="666" spans="1:8" ht="15.75" x14ac:dyDescent="0.25">
      <c r="A666" s="4">
        <v>37476</v>
      </c>
      <c r="B666" s="3" t="s">
        <v>7</v>
      </c>
      <c r="C666" s="3">
        <v>173</v>
      </c>
      <c r="D666" s="3">
        <v>69</v>
      </c>
      <c r="E666" s="3" t="s">
        <v>1259</v>
      </c>
      <c r="F666" s="5" t="s">
        <v>1260</v>
      </c>
      <c r="G666" s="3" t="s">
        <v>1261</v>
      </c>
      <c r="H666" s="3" t="s">
        <v>90</v>
      </c>
    </row>
    <row r="667" spans="1:8" ht="15.75" x14ac:dyDescent="0.25">
      <c r="A667" s="4">
        <v>37351</v>
      </c>
      <c r="B667" s="3" t="s">
        <v>7</v>
      </c>
      <c r="C667" s="3">
        <v>174</v>
      </c>
      <c r="D667" s="3">
        <v>92</v>
      </c>
      <c r="E667" s="3" t="s">
        <v>1274</v>
      </c>
      <c r="F667" s="5" t="s">
        <v>1275</v>
      </c>
      <c r="G667" s="3" t="s">
        <v>1276</v>
      </c>
      <c r="H667" s="3" t="s">
        <v>96</v>
      </c>
    </row>
    <row r="668" spans="1:8" ht="15.75" x14ac:dyDescent="0.25">
      <c r="A668" s="4">
        <v>37962</v>
      </c>
      <c r="B668" s="3" t="s">
        <v>7</v>
      </c>
      <c r="C668" s="3">
        <v>151</v>
      </c>
      <c r="D668" s="3">
        <v>50</v>
      </c>
      <c r="E668" s="3" t="s">
        <v>1292</v>
      </c>
      <c r="F668" s="5" t="s">
        <v>1293</v>
      </c>
      <c r="G668" s="3" t="s">
        <v>1294</v>
      </c>
      <c r="H668" s="3" t="s">
        <v>103</v>
      </c>
    </row>
    <row r="669" spans="1:8" ht="15.75" x14ac:dyDescent="0.25">
      <c r="A669" s="4">
        <v>37090</v>
      </c>
      <c r="B669" s="3" t="s">
        <v>7</v>
      </c>
      <c r="C669" s="3">
        <v>159</v>
      </c>
      <c r="D669" s="3">
        <v>89</v>
      </c>
      <c r="E669" s="3" t="s">
        <v>1436</v>
      </c>
      <c r="F669" s="5" t="s">
        <v>1150</v>
      </c>
      <c r="G669" s="3" t="s">
        <v>1437</v>
      </c>
      <c r="H669" s="3" t="s">
        <v>165</v>
      </c>
    </row>
    <row r="670" spans="1:8" ht="15.75" x14ac:dyDescent="0.25">
      <c r="A670" s="4">
        <v>38314</v>
      </c>
      <c r="B670" s="3" t="s">
        <v>7</v>
      </c>
      <c r="C670" s="3">
        <v>153</v>
      </c>
      <c r="D670" s="3">
        <v>84</v>
      </c>
      <c r="E670" s="3" t="s">
        <v>1440</v>
      </c>
      <c r="F670" s="5" t="s">
        <v>1347</v>
      </c>
      <c r="G670" s="3" t="s">
        <v>1441</v>
      </c>
      <c r="H670" s="3" t="s">
        <v>167</v>
      </c>
    </row>
    <row r="671" spans="1:8" ht="15.75" x14ac:dyDescent="0.25">
      <c r="A671" s="4">
        <v>37953</v>
      </c>
      <c r="B671" s="3" t="s">
        <v>7</v>
      </c>
      <c r="C671" s="3">
        <v>162</v>
      </c>
      <c r="D671" s="3">
        <v>78</v>
      </c>
      <c r="E671" s="3" t="s">
        <v>1451</v>
      </c>
      <c r="F671" s="5" t="s">
        <v>1207</v>
      </c>
      <c r="G671" s="3" t="s">
        <v>1452</v>
      </c>
      <c r="H671" s="3" t="s">
        <v>172</v>
      </c>
    </row>
    <row r="672" spans="1:8" ht="15.75" x14ac:dyDescent="0.25">
      <c r="A672" s="4">
        <v>37119</v>
      </c>
      <c r="B672" s="3" t="s">
        <v>7</v>
      </c>
      <c r="C672" s="3">
        <v>179</v>
      </c>
      <c r="D672" s="3">
        <v>74</v>
      </c>
      <c r="E672" s="3" t="s">
        <v>1485</v>
      </c>
      <c r="F672" s="5" t="s">
        <v>1315</v>
      </c>
      <c r="G672" s="3" t="s">
        <v>1486</v>
      </c>
      <c r="H672" s="3" t="s">
        <v>188</v>
      </c>
    </row>
    <row r="673" spans="1:8" ht="15.75" x14ac:dyDescent="0.25">
      <c r="A673" s="4">
        <v>37613</v>
      </c>
      <c r="B673" s="3" t="s">
        <v>7</v>
      </c>
      <c r="C673" s="3">
        <v>176</v>
      </c>
      <c r="D673" s="3">
        <v>63</v>
      </c>
      <c r="E673" s="3" t="s">
        <v>1516</v>
      </c>
      <c r="F673" s="5" t="s">
        <v>1322</v>
      </c>
      <c r="G673" s="3" t="s">
        <v>1517</v>
      </c>
      <c r="H673" s="3" t="s">
        <v>203</v>
      </c>
    </row>
    <row r="674" spans="1:8" ht="15.75" x14ac:dyDescent="0.25">
      <c r="A674" s="4">
        <v>37674</v>
      </c>
      <c r="B674" s="3" t="s">
        <v>7</v>
      </c>
      <c r="C674" s="3">
        <v>160</v>
      </c>
      <c r="D674" s="3">
        <v>57</v>
      </c>
      <c r="E674" s="3" t="s">
        <v>1534</v>
      </c>
      <c r="F674" s="5" t="s">
        <v>1449</v>
      </c>
      <c r="G674" s="3" t="s">
        <v>1535</v>
      </c>
      <c r="H674" s="3" t="s">
        <v>211</v>
      </c>
    </row>
    <row r="675" spans="1:8" ht="15.75" x14ac:dyDescent="0.25">
      <c r="A675" s="4">
        <v>37405</v>
      </c>
      <c r="B675" s="3" t="s">
        <v>7</v>
      </c>
      <c r="C675" s="3">
        <v>176</v>
      </c>
      <c r="D675" s="3">
        <v>63</v>
      </c>
      <c r="E675" s="3" t="s">
        <v>1545</v>
      </c>
      <c r="F675" s="5" t="s">
        <v>1268</v>
      </c>
      <c r="G675" s="3" t="s">
        <v>1546</v>
      </c>
      <c r="H675" s="3" t="s">
        <v>216</v>
      </c>
    </row>
    <row r="676" spans="1:8" ht="15.75" x14ac:dyDescent="0.25">
      <c r="A676" s="4">
        <v>37983</v>
      </c>
      <c r="B676" s="3" t="s">
        <v>7</v>
      </c>
      <c r="C676" s="3">
        <v>178</v>
      </c>
      <c r="D676" s="3">
        <v>79</v>
      </c>
      <c r="E676" s="3" t="s">
        <v>1547</v>
      </c>
      <c r="F676" s="5" t="s">
        <v>1309</v>
      </c>
      <c r="G676" s="3" t="s">
        <v>1548</v>
      </c>
      <c r="H676" s="3" t="s">
        <v>217</v>
      </c>
    </row>
    <row r="677" spans="1:8" ht="15.75" x14ac:dyDescent="0.25">
      <c r="A677" s="4">
        <v>38115</v>
      </c>
      <c r="B677" s="3" t="s">
        <v>7</v>
      </c>
      <c r="C677" s="3">
        <v>161</v>
      </c>
      <c r="D677" s="3">
        <v>78</v>
      </c>
      <c r="E677" s="3" t="s">
        <v>1571</v>
      </c>
      <c r="F677" s="5" t="s">
        <v>1084</v>
      </c>
      <c r="G677" s="3" t="s">
        <v>1572</v>
      </c>
      <c r="H677" s="3" t="s">
        <v>229</v>
      </c>
    </row>
    <row r="678" spans="1:8" ht="15.75" x14ac:dyDescent="0.25">
      <c r="A678" s="4">
        <v>38121</v>
      </c>
      <c r="B678" s="3" t="s">
        <v>7</v>
      </c>
      <c r="C678" s="3">
        <v>151</v>
      </c>
      <c r="D678" s="3">
        <v>61</v>
      </c>
      <c r="E678" s="3" t="s">
        <v>1585</v>
      </c>
      <c r="F678" s="5" t="s">
        <v>1207</v>
      </c>
      <c r="G678" s="3" t="s">
        <v>1586</v>
      </c>
      <c r="H678" s="3" t="s">
        <v>235</v>
      </c>
    </row>
    <row r="679" spans="1:8" ht="15.75" x14ac:dyDescent="0.25">
      <c r="A679" s="4">
        <v>37054</v>
      </c>
      <c r="B679" s="3" t="s">
        <v>7</v>
      </c>
      <c r="C679" s="3">
        <v>165</v>
      </c>
      <c r="D679" s="3">
        <v>89</v>
      </c>
      <c r="E679" s="3" t="s">
        <v>1596</v>
      </c>
      <c r="F679" s="5" t="s">
        <v>1429</v>
      </c>
      <c r="G679" s="3" t="s">
        <v>1597</v>
      </c>
      <c r="H679" s="3" t="s">
        <v>240</v>
      </c>
    </row>
    <row r="680" spans="1:8" ht="15.75" x14ac:dyDescent="0.25">
      <c r="A680" s="4">
        <v>37537</v>
      </c>
      <c r="B680" s="3" t="s">
        <v>7</v>
      </c>
      <c r="C680" s="3">
        <v>152</v>
      </c>
      <c r="D680" s="3">
        <v>79</v>
      </c>
      <c r="E680" s="3" t="s">
        <v>1610</v>
      </c>
      <c r="F680" s="5" t="s">
        <v>1084</v>
      </c>
      <c r="G680" s="3" t="s">
        <v>1611</v>
      </c>
      <c r="H680" s="3" t="s">
        <v>247</v>
      </c>
    </row>
    <row r="681" spans="1:8" ht="15.75" x14ac:dyDescent="0.25">
      <c r="A681" s="4">
        <v>38232</v>
      </c>
      <c r="B681" s="3" t="s">
        <v>7</v>
      </c>
      <c r="C681" s="3">
        <v>171</v>
      </c>
      <c r="D681" s="3">
        <v>68</v>
      </c>
      <c r="E681" s="3" t="s">
        <v>1632</v>
      </c>
      <c r="F681" s="5" t="s">
        <v>1144</v>
      </c>
      <c r="G681" s="3" t="s">
        <v>1633</v>
      </c>
      <c r="H681" s="3" t="s">
        <v>258</v>
      </c>
    </row>
    <row r="682" spans="1:8" ht="15.75" x14ac:dyDescent="0.25">
      <c r="A682" s="4">
        <v>37365</v>
      </c>
      <c r="B682" s="3" t="s">
        <v>7</v>
      </c>
      <c r="C682" s="3">
        <v>175</v>
      </c>
      <c r="D682" s="3">
        <v>46</v>
      </c>
      <c r="E682" s="3" t="s">
        <v>1648</v>
      </c>
      <c r="F682" s="5" t="s">
        <v>1066</v>
      </c>
      <c r="G682" s="3" t="s">
        <v>1649</v>
      </c>
      <c r="H682" s="3" t="s">
        <v>266</v>
      </c>
    </row>
    <row r="683" spans="1:8" ht="15.75" x14ac:dyDescent="0.25">
      <c r="A683" s="4">
        <v>38455</v>
      </c>
      <c r="B683" s="3" t="s">
        <v>7</v>
      </c>
      <c r="C683" s="3">
        <v>153</v>
      </c>
      <c r="D683" s="3">
        <v>51</v>
      </c>
      <c r="E683" s="3" t="s">
        <v>1656</v>
      </c>
      <c r="F683" s="5" t="s">
        <v>1358</v>
      </c>
      <c r="G683" s="3" t="s">
        <v>1657</v>
      </c>
      <c r="H683" s="3" t="s">
        <v>270</v>
      </c>
    </row>
    <row r="684" spans="1:8" ht="15.75" x14ac:dyDescent="0.25">
      <c r="A684" s="4">
        <v>37118</v>
      </c>
      <c r="B684" s="3" t="s">
        <v>7</v>
      </c>
      <c r="C684" s="3">
        <v>169</v>
      </c>
      <c r="D684" s="3">
        <v>83</v>
      </c>
      <c r="E684" s="3" t="s">
        <v>1666</v>
      </c>
      <c r="F684" s="5" t="s">
        <v>1237</v>
      </c>
      <c r="G684" s="3" t="s">
        <v>1667</v>
      </c>
      <c r="H684" s="3" t="s">
        <v>275</v>
      </c>
    </row>
    <row r="685" spans="1:8" ht="15.75" x14ac:dyDescent="0.25">
      <c r="A685" s="4">
        <v>37703</v>
      </c>
      <c r="B685" s="3" t="s">
        <v>7</v>
      </c>
      <c r="C685" s="3">
        <v>159</v>
      </c>
      <c r="D685" s="3">
        <v>82</v>
      </c>
      <c r="E685" s="3" t="s">
        <v>1701</v>
      </c>
      <c r="F685" s="5" t="s">
        <v>1150</v>
      </c>
      <c r="G685" s="3" t="s">
        <v>1702</v>
      </c>
      <c r="H685" s="3" t="s">
        <v>292</v>
      </c>
    </row>
    <row r="686" spans="1:8" ht="15.75" x14ac:dyDescent="0.25">
      <c r="A686" s="4">
        <v>38260</v>
      </c>
      <c r="B686" s="3" t="s">
        <v>7</v>
      </c>
      <c r="C686" s="3">
        <v>153</v>
      </c>
      <c r="D686" s="3">
        <v>69</v>
      </c>
      <c r="E686" s="3" t="s">
        <v>1739</v>
      </c>
      <c r="F686" s="5" t="s">
        <v>1309</v>
      </c>
      <c r="G686" s="3" t="s">
        <v>1740</v>
      </c>
      <c r="H686" s="3" t="s">
        <v>310</v>
      </c>
    </row>
    <row r="687" spans="1:8" ht="15.75" x14ac:dyDescent="0.25">
      <c r="A687" s="4">
        <v>38176</v>
      </c>
      <c r="B687" s="3" t="s">
        <v>7</v>
      </c>
      <c r="C687" s="3">
        <v>161</v>
      </c>
      <c r="D687" s="3">
        <v>49</v>
      </c>
      <c r="E687" s="3" t="s">
        <v>1753</v>
      </c>
      <c r="F687" s="5" t="s">
        <v>1315</v>
      </c>
      <c r="G687" s="3" t="s">
        <v>1754</v>
      </c>
      <c r="H687" s="3" t="s">
        <v>317</v>
      </c>
    </row>
    <row r="688" spans="1:8" ht="15.75" x14ac:dyDescent="0.25">
      <c r="A688" s="4">
        <v>38176</v>
      </c>
      <c r="B688" s="3" t="s">
        <v>7</v>
      </c>
      <c r="C688" s="3">
        <v>154</v>
      </c>
      <c r="D688" s="3">
        <v>68</v>
      </c>
      <c r="E688" s="3" t="s">
        <v>1773</v>
      </c>
      <c r="F688" s="5" t="s">
        <v>1298</v>
      </c>
      <c r="G688" s="3" t="s">
        <v>1774</v>
      </c>
      <c r="H688" s="3" t="s">
        <v>326</v>
      </c>
    </row>
    <row r="689" spans="1:8" ht="15.75" x14ac:dyDescent="0.25">
      <c r="A689" s="4">
        <v>37800</v>
      </c>
      <c r="B689" s="3" t="s">
        <v>7</v>
      </c>
      <c r="C689" s="3">
        <v>175</v>
      </c>
      <c r="D689" s="3">
        <v>70</v>
      </c>
      <c r="E689" s="3" t="s">
        <v>1819</v>
      </c>
      <c r="F689" s="5" t="s">
        <v>1075</v>
      </c>
      <c r="G689" s="3" t="s">
        <v>1820</v>
      </c>
      <c r="H689" s="3" t="s">
        <v>349</v>
      </c>
    </row>
    <row r="690" spans="1:8" ht="15.75" x14ac:dyDescent="0.25">
      <c r="A690" s="4">
        <v>37596</v>
      </c>
      <c r="B690" s="3" t="s">
        <v>7</v>
      </c>
      <c r="C690" s="3">
        <v>156</v>
      </c>
      <c r="D690" s="3">
        <v>70</v>
      </c>
      <c r="E690" s="3" t="s">
        <v>1830</v>
      </c>
      <c r="F690" s="5" t="s">
        <v>1072</v>
      </c>
      <c r="G690" s="3" t="s">
        <v>1831</v>
      </c>
      <c r="H690" s="3" t="s">
        <v>352</v>
      </c>
    </row>
    <row r="691" spans="1:8" ht="15.75" x14ac:dyDescent="0.25">
      <c r="A691" s="4">
        <v>38078</v>
      </c>
      <c r="B691" s="3" t="s">
        <v>7</v>
      </c>
      <c r="C691" s="3">
        <v>174</v>
      </c>
      <c r="D691" s="3">
        <v>87</v>
      </c>
      <c r="E691" s="3" t="s">
        <v>1832</v>
      </c>
      <c r="F691" s="5" t="s">
        <v>1197</v>
      </c>
      <c r="G691" s="3" t="s">
        <v>1833</v>
      </c>
      <c r="H691" s="3" t="s">
        <v>353</v>
      </c>
    </row>
    <row r="692" spans="1:8" ht="15.75" x14ac:dyDescent="0.25">
      <c r="A692" s="4">
        <v>37504</v>
      </c>
      <c r="B692" s="3" t="s">
        <v>7</v>
      </c>
      <c r="C692" s="3">
        <v>156</v>
      </c>
      <c r="D692" s="3">
        <v>95</v>
      </c>
      <c r="E692" s="3" t="s">
        <v>1834</v>
      </c>
      <c r="F692" s="5" t="s">
        <v>1213</v>
      </c>
      <c r="G692" s="3" t="s">
        <v>1835</v>
      </c>
      <c r="H692" s="3" t="s">
        <v>354</v>
      </c>
    </row>
    <row r="693" spans="1:8" ht="15.75" x14ac:dyDescent="0.25">
      <c r="A693" s="4">
        <v>37453</v>
      </c>
      <c r="B693" s="3" t="s">
        <v>7</v>
      </c>
      <c r="C693" s="3">
        <v>175</v>
      </c>
      <c r="D693" s="3">
        <v>86</v>
      </c>
      <c r="E693" s="3" t="s">
        <v>1846</v>
      </c>
      <c r="F693" s="5" t="s">
        <v>1780</v>
      </c>
      <c r="G693" s="3" t="s">
        <v>1847</v>
      </c>
      <c r="H693" s="3" t="s">
        <v>360</v>
      </c>
    </row>
    <row r="694" spans="1:8" ht="15.75" x14ac:dyDescent="0.25">
      <c r="A694" s="4">
        <v>38230</v>
      </c>
      <c r="B694" s="3" t="s">
        <v>7</v>
      </c>
      <c r="C694" s="3">
        <v>153</v>
      </c>
      <c r="D694" s="3">
        <v>82</v>
      </c>
      <c r="E694" s="3" t="s">
        <v>1878</v>
      </c>
      <c r="F694" s="5" t="s">
        <v>1105</v>
      </c>
      <c r="G694" s="3" t="s">
        <v>1879</v>
      </c>
      <c r="H694" s="3" t="s">
        <v>375</v>
      </c>
    </row>
    <row r="695" spans="1:8" ht="15.75" x14ac:dyDescent="0.25">
      <c r="A695" s="4">
        <v>37256</v>
      </c>
      <c r="B695" s="3" t="s">
        <v>7</v>
      </c>
      <c r="C695" s="3">
        <v>172</v>
      </c>
      <c r="D695" s="3">
        <v>48</v>
      </c>
      <c r="E695" s="3" t="s">
        <v>1905</v>
      </c>
      <c r="F695" s="5" t="s">
        <v>1136</v>
      </c>
      <c r="G695" s="3" t="s">
        <v>1906</v>
      </c>
      <c r="H695" s="3" t="s">
        <v>389</v>
      </c>
    </row>
    <row r="696" spans="1:8" ht="15.75" x14ac:dyDescent="0.25">
      <c r="A696" s="4">
        <v>37530</v>
      </c>
      <c r="B696" s="3" t="s">
        <v>7</v>
      </c>
      <c r="C696" s="3">
        <v>174</v>
      </c>
      <c r="D696" s="3">
        <v>59</v>
      </c>
      <c r="E696" s="3" t="s">
        <v>1931</v>
      </c>
      <c r="F696" s="5" t="s">
        <v>1290</v>
      </c>
      <c r="G696" s="3" t="s">
        <v>1932</v>
      </c>
      <c r="H696" s="3" t="s">
        <v>401</v>
      </c>
    </row>
    <row r="697" spans="1:8" ht="15.75" x14ac:dyDescent="0.25">
      <c r="A697" s="4">
        <v>37466</v>
      </c>
      <c r="B697" s="3" t="s">
        <v>7</v>
      </c>
      <c r="C697" s="3">
        <v>161</v>
      </c>
      <c r="D697" s="3">
        <v>69</v>
      </c>
      <c r="E697" s="3" t="s">
        <v>1943</v>
      </c>
      <c r="F697" s="5" t="s">
        <v>1155</v>
      </c>
      <c r="G697" s="3" t="s">
        <v>1944</v>
      </c>
      <c r="H697" s="3" t="s">
        <v>407</v>
      </c>
    </row>
    <row r="698" spans="1:8" ht="15.75" x14ac:dyDescent="0.25">
      <c r="A698" s="4">
        <v>37271</v>
      </c>
      <c r="B698" s="3" t="s">
        <v>7</v>
      </c>
      <c r="C698" s="3">
        <v>169</v>
      </c>
      <c r="D698" s="3">
        <v>90</v>
      </c>
      <c r="E698" s="3" t="s">
        <v>1963</v>
      </c>
      <c r="F698" s="5" t="s">
        <v>1170</v>
      </c>
      <c r="G698" s="3" t="s">
        <v>1964</v>
      </c>
      <c r="H698" s="3" t="s">
        <v>417</v>
      </c>
    </row>
    <row r="699" spans="1:8" ht="15.75" x14ac:dyDescent="0.25">
      <c r="A699" s="4">
        <v>37925</v>
      </c>
      <c r="B699" s="3" t="s">
        <v>7</v>
      </c>
      <c r="C699" s="3">
        <v>174</v>
      </c>
      <c r="D699" s="3">
        <v>66</v>
      </c>
      <c r="E699" s="3" t="s">
        <v>2025</v>
      </c>
      <c r="F699" s="5" t="s">
        <v>1234</v>
      </c>
      <c r="G699" s="3" t="s">
        <v>2026</v>
      </c>
      <c r="H699" s="3" t="s">
        <v>446</v>
      </c>
    </row>
    <row r="700" spans="1:8" ht="15.75" x14ac:dyDescent="0.25">
      <c r="A700" s="4">
        <v>37631</v>
      </c>
      <c r="B700" s="3" t="s">
        <v>7</v>
      </c>
      <c r="C700" s="3">
        <v>166</v>
      </c>
      <c r="D700" s="3">
        <v>78</v>
      </c>
      <c r="E700" s="3" t="s">
        <v>2027</v>
      </c>
      <c r="F700" s="5" t="s">
        <v>1087</v>
      </c>
      <c r="G700" s="3" t="s">
        <v>2028</v>
      </c>
      <c r="H700" s="3" t="s">
        <v>447</v>
      </c>
    </row>
    <row r="701" spans="1:8" ht="15.75" x14ac:dyDescent="0.25">
      <c r="A701" s="4">
        <v>38244</v>
      </c>
      <c r="B701" s="3" t="s">
        <v>7</v>
      </c>
      <c r="C701" s="3">
        <v>151</v>
      </c>
      <c r="D701" s="3">
        <v>50</v>
      </c>
      <c r="E701" s="3" t="s">
        <v>2029</v>
      </c>
      <c r="F701" s="5" t="s">
        <v>1226</v>
      </c>
      <c r="G701" s="3" t="s">
        <v>2030</v>
      </c>
      <c r="H701" s="3" t="s">
        <v>448</v>
      </c>
    </row>
    <row r="702" spans="1:8" ht="15.75" x14ac:dyDescent="0.25">
      <c r="A702" s="4">
        <v>38069</v>
      </c>
      <c r="B702" s="3" t="s">
        <v>7</v>
      </c>
      <c r="C702" s="3">
        <v>174</v>
      </c>
      <c r="D702" s="3">
        <v>49</v>
      </c>
      <c r="E702" s="3" t="s">
        <v>2092</v>
      </c>
      <c r="F702" s="5" t="s">
        <v>1090</v>
      </c>
      <c r="G702" s="3" t="s">
        <v>2093</v>
      </c>
      <c r="H702" s="3" t="s">
        <v>480</v>
      </c>
    </row>
    <row r="703" spans="1:8" ht="15.75" x14ac:dyDescent="0.25">
      <c r="A703" s="4">
        <v>37752</v>
      </c>
      <c r="B703" s="3" t="s">
        <v>7</v>
      </c>
      <c r="C703" s="3">
        <v>161</v>
      </c>
      <c r="D703" s="3">
        <v>62</v>
      </c>
      <c r="E703" s="3" t="s">
        <v>2110</v>
      </c>
      <c r="F703" s="5" t="s">
        <v>1298</v>
      </c>
      <c r="G703" s="3" t="s">
        <v>2111</v>
      </c>
      <c r="H703" s="3" t="s">
        <v>489</v>
      </c>
    </row>
    <row r="704" spans="1:8" ht="15.75" x14ac:dyDescent="0.25">
      <c r="A704" s="4">
        <v>37142</v>
      </c>
      <c r="B704" s="3" t="s">
        <v>7</v>
      </c>
      <c r="C704" s="3">
        <v>169</v>
      </c>
      <c r="D704" s="3">
        <v>81</v>
      </c>
      <c r="E704" s="3" t="s">
        <v>2128</v>
      </c>
      <c r="F704" s="5" t="s">
        <v>1760</v>
      </c>
      <c r="G704" s="3" t="s">
        <v>2129</v>
      </c>
      <c r="H704" s="3" t="s">
        <v>498</v>
      </c>
    </row>
    <row r="705" spans="1:8" ht="15.75" x14ac:dyDescent="0.25">
      <c r="A705" s="4">
        <v>37656</v>
      </c>
      <c r="B705" s="3" t="s">
        <v>7</v>
      </c>
      <c r="C705" s="3">
        <v>151</v>
      </c>
      <c r="D705" s="3">
        <v>88</v>
      </c>
      <c r="E705" s="3" t="s">
        <v>2148</v>
      </c>
      <c r="F705" s="5" t="s">
        <v>1284</v>
      </c>
      <c r="G705" s="3" t="s">
        <v>2149</v>
      </c>
      <c r="H705" s="3" t="s">
        <v>508</v>
      </c>
    </row>
    <row r="706" spans="1:8" ht="15.75" x14ac:dyDescent="0.25">
      <c r="A706" s="4">
        <v>38336</v>
      </c>
      <c r="B706" s="3" t="s">
        <v>7</v>
      </c>
      <c r="C706" s="3">
        <v>173</v>
      </c>
      <c r="D706" s="3">
        <v>80</v>
      </c>
      <c r="E706" s="3" t="s">
        <v>2170</v>
      </c>
      <c r="F706" s="5" t="s">
        <v>1530</v>
      </c>
      <c r="G706" s="3" t="s">
        <v>2171</v>
      </c>
      <c r="H706" s="3" t="s">
        <v>519</v>
      </c>
    </row>
    <row r="707" spans="1:8" ht="15.75" x14ac:dyDescent="0.25">
      <c r="A707" s="4">
        <v>37201</v>
      </c>
      <c r="B707" s="3" t="s">
        <v>7</v>
      </c>
      <c r="C707" s="3">
        <v>177</v>
      </c>
      <c r="D707" s="3">
        <v>89</v>
      </c>
      <c r="E707" s="3" t="s">
        <v>2189</v>
      </c>
      <c r="F707" s="5" t="s">
        <v>1335</v>
      </c>
      <c r="G707" s="3" t="s">
        <v>2190</v>
      </c>
      <c r="H707" s="3" t="s">
        <v>529</v>
      </c>
    </row>
    <row r="708" spans="1:8" ht="15.75" x14ac:dyDescent="0.25">
      <c r="A708" s="4">
        <v>37326</v>
      </c>
      <c r="B708" s="3" t="s">
        <v>7</v>
      </c>
      <c r="C708" s="3">
        <v>162</v>
      </c>
      <c r="D708" s="3">
        <v>94</v>
      </c>
      <c r="E708" s="3" t="s">
        <v>2252</v>
      </c>
      <c r="F708" s="5" t="s">
        <v>1434</v>
      </c>
      <c r="G708" s="3" t="s">
        <v>2253</v>
      </c>
      <c r="H708" s="3" t="s">
        <v>560</v>
      </c>
    </row>
    <row r="709" spans="1:8" ht="15.75" x14ac:dyDescent="0.25">
      <c r="A709" s="4">
        <v>37469</v>
      </c>
      <c r="B709" s="3" t="s">
        <v>7</v>
      </c>
      <c r="C709" s="3">
        <v>173</v>
      </c>
      <c r="D709" s="3">
        <v>60</v>
      </c>
      <c r="E709" s="3" t="s">
        <v>2257</v>
      </c>
      <c r="F709" s="5" t="s">
        <v>1170</v>
      </c>
      <c r="G709" s="3" t="s">
        <v>2258</v>
      </c>
      <c r="H709" s="3" t="s">
        <v>563</v>
      </c>
    </row>
    <row r="710" spans="1:8" ht="15.75" x14ac:dyDescent="0.25">
      <c r="A710" s="4">
        <v>37650</v>
      </c>
      <c r="B710" s="3" t="s">
        <v>7</v>
      </c>
      <c r="C710" s="3">
        <v>171</v>
      </c>
      <c r="D710" s="3">
        <v>87</v>
      </c>
      <c r="E710" s="3" t="s">
        <v>2312</v>
      </c>
      <c r="F710" s="5" t="s">
        <v>1287</v>
      </c>
      <c r="G710" s="3" t="s">
        <v>2313</v>
      </c>
      <c r="H710" s="3" t="s">
        <v>590</v>
      </c>
    </row>
    <row r="711" spans="1:8" ht="15.75" x14ac:dyDescent="0.25">
      <c r="A711" s="4">
        <v>37251</v>
      </c>
      <c r="B711" s="3" t="s">
        <v>7</v>
      </c>
      <c r="C711" s="3">
        <v>164</v>
      </c>
      <c r="D711" s="3">
        <v>92</v>
      </c>
      <c r="E711" s="3" t="s">
        <v>2354</v>
      </c>
      <c r="F711" s="5" t="s">
        <v>1293</v>
      </c>
      <c r="G711" s="3" t="s">
        <v>2355</v>
      </c>
      <c r="H711" s="3" t="s">
        <v>610</v>
      </c>
    </row>
    <row r="712" spans="1:8" ht="15.75" x14ac:dyDescent="0.25">
      <c r="A712" s="4">
        <v>37481</v>
      </c>
      <c r="B712" s="3" t="s">
        <v>7</v>
      </c>
      <c r="C712" s="3">
        <v>161</v>
      </c>
      <c r="D712" s="3">
        <v>57</v>
      </c>
      <c r="E712" s="3" t="s">
        <v>2358</v>
      </c>
      <c r="F712" s="5" t="s">
        <v>1100</v>
      </c>
      <c r="G712" s="3" t="s">
        <v>2359</v>
      </c>
      <c r="H712" s="3" t="s">
        <v>612</v>
      </c>
    </row>
    <row r="713" spans="1:8" ht="15.75" x14ac:dyDescent="0.25">
      <c r="A713" s="4">
        <v>38125</v>
      </c>
      <c r="B713" s="3" t="s">
        <v>7</v>
      </c>
      <c r="C713" s="3">
        <v>171</v>
      </c>
      <c r="D713" s="3">
        <v>61</v>
      </c>
      <c r="E713" s="3" t="s">
        <v>2386</v>
      </c>
      <c r="F713" s="5" t="s">
        <v>1207</v>
      </c>
      <c r="G713" s="3" t="s">
        <v>2387</v>
      </c>
      <c r="H713" s="3" t="s">
        <v>626</v>
      </c>
    </row>
    <row r="714" spans="1:8" ht="15.75" x14ac:dyDescent="0.25">
      <c r="A714" s="4">
        <v>37139</v>
      </c>
      <c r="B714" s="3" t="s">
        <v>7</v>
      </c>
      <c r="C714" s="3">
        <v>166</v>
      </c>
      <c r="D714" s="3">
        <v>60</v>
      </c>
      <c r="E714" s="3" t="s">
        <v>2406</v>
      </c>
      <c r="F714" s="5" t="s">
        <v>1429</v>
      </c>
      <c r="G714" s="3" t="s">
        <v>2407</v>
      </c>
      <c r="H714" s="3" t="s">
        <v>636</v>
      </c>
    </row>
    <row r="715" spans="1:8" ht="15.75" x14ac:dyDescent="0.25">
      <c r="A715" s="4">
        <v>37686</v>
      </c>
      <c r="B715" s="3" t="s">
        <v>7</v>
      </c>
      <c r="C715" s="3">
        <v>159</v>
      </c>
      <c r="D715" s="3">
        <v>62</v>
      </c>
      <c r="E715" s="3" t="s">
        <v>2414</v>
      </c>
      <c r="F715" s="5" t="s">
        <v>1257</v>
      </c>
      <c r="G715" s="3" t="s">
        <v>2415</v>
      </c>
      <c r="H715" s="3" t="s">
        <v>640</v>
      </c>
    </row>
    <row r="716" spans="1:8" ht="15.75" x14ac:dyDescent="0.25">
      <c r="A716" s="4">
        <v>38406</v>
      </c>
      <c r="B716" s="3" t="s">
        <v>7</v>
      </c>
      <c r="C716" s="3">
        <v>152</v>
      </c>
      <c r="D716" s="3">
        <v>80</v>
      </c>
      <c r="E716" s="3" t="s">
        <v>2426</v>
      </c>
      <c r="F716" s="5" t="s">
        <v>1335</v>
      </c>
      <c r="G716" s="3" t="s">
        <v>2427</v>
      </c>
      <c r="H716" s="3" t="s">
        <v>646</v>
      </c>
    </row>
    <row r="717" spans="1:8" ht="15.75" x14ac:dyDescent="0.25">
      <c r="A717" s="4">
        <v>37918</v>
      </c>
      <c r="B717" s="3" t="s">
        <v>7</v>
      </c>
      <c r="C717" s="3">
        <v>158</v>
      </c>
      <c r="D717" s="3">
        <v>92</v>
      </c>
      <c r="E717" s="3" t="s">
        <v>2428</v>
      </c>
      <c r="F717" s="5" t="s">
        <v>1147</v>
      </c>
      <c r="G717" s="3" t="s">
        <v>2429</v>
      </c>
      <c r="H717" s="3" t="s">
        <v>647</v>
      </c>
    </row>
    <row r="718" spans="1:8" ht="15.75" x14ac:dyDescent="0.25">
      <c r="A718" s="4">
        <v>38149</v>
      </c>
      <c r="B718" s="3" t="s">
        <v>7</v>
      </c>
      <c r="C718" s="3">
        <v>178</v>
      </c>
      <c r="D718" s="3">
        <v>82</v>
      </c>
      <c r="E718" s="3" t="s">
        <v>2430</v>
      </c>
      <c r="F718" s="5" t="s">
        <v>1257</v>
      </c>
      <c r="G718" s="3" t="s">
        <v>2431</v>
      </c>
      <c r="H718" s="3" t="s">
        <v>648</v>
      </c>
    </row>
    <row r="719" spans="1:8" ht="15.75" x14ac:dyDescent="0.25">
      <c r="A719" s="4">
        <v>37415</v>
      </c>
      <c r="B719" s="3" t="s">
        <v>7</v>
      </c>
      <c r="C719" s="3">
        <v>171</v>
      </c>
      <c r="D719" s="3">
        <v>63</v>
      </c>
      <c r="E719" s="3" t="s">
        <v>2434</v>
      </c>
      <c r="F719" s="5" t="s">
        <v>1184</v>
      </c>
      <c r="G719" s="3" t="s">
        <v>2435</v>
      </c>
      <c r="H719" s="3" t="s">
        <v>650</v>
      </c>
    </row>
    <row r="720" spans="1:8" ht="15.75" x14ac:dyDescent="0.25">
      <c r="A720" s="4">
        <v>37301</v>
      </c>
      <c r="B720" s="3" t="s">
        <v>7</v>
      </c>
      <c r="C720" s="3">
        <v>174</v>
      </c>
      <c r="D720" s="3">
        <v>91</v>
      </c>
      <c r="E720" s="3" t="s">
        <v>2436</v>
      </c>
      <c r="F720" s="5" t="s">
        <v>1200</v>
      </c>
      <c r="G720" s="3" t="s">
        <v>2437</v>
      </c>
      <c r="H720" s="3" t="s">
        <v>651</v>
      </c>
    </row>
    <row r="721" spans="1:8" ht="15.75" x14ac:dyDescent="0.25">
      <c r="A721" s="4">
        <v>37288</v>
      </c>
      <c r="B721" s="3" t="s">
        <v>7</v>
      </c>
      <c r="C721" s="3">
        <v>158</v>
      </c>
      <c r="D721" s="3">
        <v>71</v>
      </c>
      <c r="E721" s="3" t="s">
        <v>2452</v>
      </c>
      <c r="F721" s="5" t="s">
        <v>1298</v>
      </c>
      <c r="G721" s="3" t="s">
        <v>2453</v>
      </c>
      <c r="H721" s="3" t="s">
        <v>659</v>
      </c>
    </row>
    <row r="722" spans="1:8" ht="15.75" x14ac:dyDescent="0.25">
      <c r="A722" s="4">
        <v>37920</v>
      </c>
      <c r="B722" s="3" t="s">
        <v>7</v>
      </c>
      <c r="C722" s="3">
        <v>178</v>
      </c>
      <c r="D722" s="3">
        <v>68</v>
      </c>
      <c r="E722" s="3" t="s">
        <v>2474</v>
      </c>
      <c r="F722" s="5" t="s">
        <v>1322</v>
      </c>
      <c r="G722" s="3" t="s">
        <v>2475</v>
      </c>
      <c r="H722" s="3" t="s">
        <v>670</v>
      </c>
    </row>
    <row r="723" spans="1:8" ht="15.75" x14ac:dyDescent="0.25">
      <c r="A723" s="4">
        <v>37122</v>
      </c>
      <c r="B723" s="3" t="s">
        <v>7</v>
      </c>
      <c r="C723" s="3">
        <v>169</v>
      </c>
      <c r="D723" s="3">
        <v>70</v>
      </c>
      <c r="E723" s="3" t="s">
        <v>2484</v>
      </c>
      <c r="F723" s="5" t="s">
        <v>1167</v>
      </c>
      <c r="G723" s="3" t="s">
        <v>2485</v>
      </c>
      <c r="H723" s="3" t="s">
        <v>675</v>
      </c>
    </row>
    <row r="724" spans="1:8" ht="15.75" x14ac:dyDescent="0.25">
      <c r="A724" s="4">
        <v>37583</v>
      </c>
      <c r="B724" s="3" t="s">
        <v>7</v>
      </c>
      <c r="C724" s="3">
        <v>168</v>
      </c>
      <c r="D724" s="3">
        <v>87</v>
      </c>
      <c r="E724" s="3" t="s">
        <v>2504</v>
      </c>
      <c r="F724" s="5" t="s">
        <v>1434</v>
      </c>
      <c r="G724" s="3" t="s">
        <v>2505</v>
      </c>
      <c r="H724" s="3" t="s">
        <v>685</v>
      </c>
    </row>
    <row r="725" spans="1:8" ht="15.75" x14ac:dyDescent="0.25">
      <c r="A725" s="4">
        <v>38092</v>
      </c>
      <c r="B725" s="3" t="s">
        <v>7</v>
      </c>
      <c r="C725" s="3">
        <v>160</v>
      </c>
      <c r="D725" s="3">
        <v>59</v>
      </c>
      <c r="E725" s="3" t="s">
        <v>2518</v>
      </c>
      <c r="F725" s="5" t="s">
        <v>1410</v>
      </c>
      <c r="G725" s="3" t="s">
        <v>2519</v>
      </c>
      <c r="H725" s="3" t="s">
        <v>692</v>
      </c>
    </row>
    <row r="726" spans="1:8" ht="15.75" x14ac:dyDescent="0.25">
      <c r="A726" s="4">
        <v>38273</v>
      </c>
      <c r="B726" s="3" t="s">
        <v>7</v>
      </c>
      <c r="C726" s="3">
        <v>180</v>
      </c>
      <c r="D726" s="3">
        <v>84</v>
      </c>
      <c r="E726" s="3" t="s">
        <v>2522</v>
      </c>
      <c r="F726" s="5" t="s">
        <v>1275</v>
      </c>
      <c r="G726" s="3" t="s">
        <v>2523</v>
      </c>
      <c r="H726" s="3" t="s">
        <v>694</v>
      </c>
    </row>
    <row r="727" spans="1:8" ht="15.75" x14ac:dyDescent="0.25">
      <c r="A727" s="4">
        <v>38238</v>
      </c>
      <c r="B727" s="3" t="s">
        <v>7</v>
      </c>
      <c r="C727" s="3">
        <v>157</v>
      </c>
      <c r="D727" s="3">
        <v>72</v>
      </c>
      <c r="E727" s="3" t="s">
        <v>2547</v>
      </c>
      <c r="F727" s="5" t="s">
        <v>1483</v>
      </c>
      <c r="G727" s="3" t="s">
        <v>2548</v>
      </c>
      <c r="H727" s="3" t="s">
        <v>707</v>
      </c>
    </row>
    <row r="728" spans="1:8" ht="15.75" x14ac:dyDescent="0.25">
      <c r="A728" s="4">
        <v>37053</v>
      </c>
      <c r="B728" s="3" t="s">
        <v>7</v>
      </c>
      <c r="C728" s="3">
        <v>152</v>
      </c>
      <c r="D728" s="3">
        <v>58</v>
      </c>
      <c r="E728" s="3" t="s">
        <v>2550</v>
      </c>
      <c r="F728" s="5" t="s">
        <v>1429</v>
      </c>
      <c r="G728" s="3" t="s">
        <v>2551</v>
      </c>
      <c r="H728" s="3" t="s">
        <v>709</v>
      </c>
    </row>
    <row r="729" spans="1:8" ht="15.75" x14ac:dyDescent="0.25">
      <c r="A729" s="4">
        <v>37528</v>
      </c>
      <c r="B729" s="3" t="s">
        <v>7</v>
      </c>
      <c r="C729" s="3">
        <v>160</v>
      </c>
      <c r="D729" s="3">
        <v>63</v>
      </c>
      <c r="E729" s="3" t="s">
        <v>2554</v>
      </c>
      <c r="F729" s="5" t="s">
        <v>1129</v>
      </c>
      <c r="G729" s="3" t="s">
        <v>2555</v>
      </c>
      <c r="H729" s="3" t="s">
        <v>711</v>
      </c>
    </row>
    <row r="730" spans="1:8" ht="15.75" x14ac:dyDescent="0.25">
      <c r="A730" s="4">
        <v>38030</v>
      </c>
      <c r="B730" s="3" t="s">
        <v>7</v>
      </c>
      <c r="C730" s="3">
        <v>163</v>
      </c>
      <c r="D730" s="3">
        <v>48</v>
      </c>
      <c r="E730" s="3" t="s">
        <v>2566</v>
      </c>
      <c r="F730" s="5" t="s">
        <v>1197</v>
      </c>
      <c r="G730" s="3" t="s">
        <v>2567</v>
      </c>
      <c r="H730" s="3" t="s">
        <v>717</v>
      </c>
    </row>
    <row r="731" spans="1:8" ht="15.75" x14ac:dyDescent="0.25">
      <c r="A731" s="4">
        <v>37567</v>
      </c>
      <c r="B731" s="3" t="s">
        <v>7</v>
      </c>
      <c r="C731" s="3">
        <v>177</v>
      </c>
      <c r="D731" s="3">
        <v>68</v>
      </c>
      <c r="E731" s="3" t="s">
        <v>2596</v>
      </c>
      <c r="F731" s="5" t="s">
        <v>1136</v>
      </c>
      <c r="G731" s="3" t="s">
        <v>2597</v>
      </c>
      <c r="H731" s="3" t="s">
        <v>732</v>
      </c>
    </row>
    <row r="732" spans="1:8" ht="15.75" x14ac:dyDescent="0.25">
      <c r="A732" s="4">
        <v>38042</v>
      </c>
      <c r="B732" s="3" t="s">
        <v>7</v>
      </c>
      <c r="C732" s="3">
        <v>168</v>
      </c>
      <c r="D732" s="3">
        <v>45</v>
      </c>
      <c r="E732" s="3" t="s">
        <v>2600</v>
      </c>
      <c r="F732" s="5" t="s">
        <v>1218</v>
      </c>
      <c r="G732" s="3" t="s">
        <v>2601</v>
      </c>
      <c r="H732" s="3" t="s">
        <v>734</v>
      </c>
    </row>
    <row r="733" spans="1:8" ht="15.75" x14ac:dyDescent="0.25">
      <c r="A733" s="4">
        <v>38268</v>
      </c>
      <c r="B733" s="3" t="s">
        <v>7</v>
      </c>
      <c r="C733" s="3">
        <v>178</v>
      </c>
      <c r="D733" s="3">
        <v>57</v>
      </c>
      <c r="E733" s="3" t="s">
        <v>2610</v>
      </c>
      <c r="F733" s="5" t="s">
        <v>1223</v>
      </c>
      <c r="G733" s="3" t="s">
        <v>2611</v>
      </c>
      <c r="H733" s="3" t="s">
        <v>739</v>
      </c>
    </row>
    <row r="734" spans="1:8" ht="15.75" x14ac:dyDescent="0.25">
      <c r="A734" s="4">
        <v>37637</v>
      </c>
      <c r="B734" s="3" t="s">
        <v>7</v>
      </c>
      <c r="C734" s="3">
        <v>173</v>
      </c>
      <c r="D734" s="3">
        <v>64</v>
      </c>
      <c r="E734" s="3" t="s">
        <v>2628</v>
      </c>
      <c r="F734" s="5" t="s">
        <v>1150</v>
      </c>
      <c r="G734" s="3" t="s">
        <v>2629</v>
      </c>
      <c r="H734" s="3" t="s">
        <v>748</v>
      </c>
    </row>
    <row r="735" spans="1:8" ht="15.75" x14ac:dyDescent="0.25">
      <c r="A735" s="4">
        <v>37380</v>
      </c>
      <c r="B735" s="3" t="s">
        <v>7</v>
      </c>
      <c r="C735" s="3">
        <v>173</v>
      </c>
      <c r="D735" s="3">
        <v>93</v>
      </c>
      <c r="E735" s="3" t="s">
        <v>2660</v>
      </c>
      <c r="F735" s="5" t="s">
        <v>1111</v>
      </c>
      <c r="G735" s="3" t="s">
        <v>2661</v>
      </c>
      <c r="H735" s="3" t="s">
        <v>764</v>
      </c>
    </row>
    <row r="736" spans="1:8" ht="15.75" x14ac:dyDescent="0.25">
      <c r="A736" s="4">
        <v>38221</v>
      </c>
      <c r="B736" s="3" t="s">
        <v>7</v>
      </c>
      <c r="C736" s="3">
        <v>160</v>
      </c>
      <c r="D736" s="3">
        <v>72</v>
      </c>
      <c r="E736" s="3" t="s">
        <v>2675</v>
      </c>
      <c r="F736" s="5" t="s">
        <v>1275</v>
      </c>
      <c r="G736" s="3" t="s">
        <v>2676</v>
      </c>
      <c r="H736" s="3" t="s">
        <v>772</v>
      </c>
    </row>
    <row r="737" spans="1:8" ht="15.75" x14ac:dyDescent="0.25">
      <c r="A737" s="4">
        <v>38163</v>
      </c>
      <c r="B737" s="3" t="s">
        <v>7</v>
      </c>
      <c r="C737" s="3">
        <v>172</v>
      </c>
      <c r="D737" s="3">
        <v>54</v>
      </c>
      <c r="E737" s="3" t="s">
        <v>2690</v>
      </c>
      <c r="F737" s="5" t="s">
        <v>1240</v>
      </c>
      <c r="G737" s="3" t="s">
        <v>2691</v>
      </c>
      <c r="H737" s="3" t="s">
        <v>780</v>
      </c>
    </row>
    <row r="738" spans="1:8" ht="15.75" x14ac:dyDescent="0.25">
      <c r="A738" s="4">
        <v>37988</v>
      </c>
      <c r="B738" s="3" t="s">
        <v>7</v>
      </c>
      <c r="C738" s="3">
        <v>177</v>
      </c>
      <c r="D738" s="3">
        <v>67</v>
      </c>
      <c r="E738" s="3" t="s">
        <v>2692</v>
      </c>
      <c r="F738" s="5" t="s">
        <v>2246</v>
      </c>
      <c r="G738" s="3" t="s">
        <v>2693</v>
      </c>
      <c r="H738" s="3" t="s">
        <v>781</v>
      </c>
    </row>
    <row r="739" spans="1:8" ht="15.75" x14ac:dyDescent="0.25">
      <c r="A739" s="4">
        <v>37915</v>
      </c>
      <c r="B739" s="3" t="s">
        <v>7</v>
      </c>
      <c r="C739" s="3">
        <v>166</v>
      </c>
      <c r="D739" s="3">
        <v>61</v>
      </c>
      <c r="E739" s="3" t="s">
        <v>2761</v>
      </c>
      <c r="F739" s="5" t="s">
        <v>1200</v>
      </c>
      <c r="G739" s="3" t="s">
        <v>2762</v>
      </c>
      <c r="H739" s="3" t="s">
        <v>816</v>
      </c>
    </row>
    <row r="740" spans="1:8" ht="15.75" x14ac:dyDescent="0.25">
      <c r="A740" s="4">
        <v>37685</v>
      </c>
      <c r="B740" s="3" t="s">
        <v>7</v>
      </c>
      <c r="C740" s="3">
        <v>157</v>
      </c>
      <c r="D740" s="3">
        <v>89</v>
      </c>
      <c r="E740" s="3" t="s">
        <v>2794</v>
      </c>
      <c r="F740" s="5" t="s">
        <v>1594</v>
      </c>
      <c r="G740" s="3" t="s">
        <v>2795</v>
      </c>
      <c r="H740" s="3" t="s">
        <v>832</v>
      </c>
    </row>
    <row r="741" spans="1:8" ht="15.75" x14ac:dyDescent="0.25">
      <c r="A741" s="4">
        <v>38120</v>
      </c>
      <c r="B741" s="3" t="s">
        <v>7</v>
      </c>
      <c r="C741" s="3">
        <v>178</v>
      </c>
      <c r="D741" s="3">
        <v>89</v>
      </c>
      <c r="E741" s="3" t="s">
        <v>2814</v>
      </c>
      <c r="F741" s="5" t="s">
        <v>1315</v>
      </c>
      <c r="G741" s="3" t="s">
        <v>2815</v>
      </c>
      <c r="H741" s="3" t="s">
        <v>842</v>
      </c>
    </row>
    <row r="742" spans="1:8" ht="15.75" x14ac:dyDescent="0.25">
      <c r="A742" s="4">
        <v>38437</v>
      </c>
      <c r="B742" s="3" t="s">
        <v>7</v>
      </c>
      <c r="C742" s="3">
        <v>175</v>
      </c>
      <c r="D742" s="3">
        <v>49</v>
      </c>
      <c r="E742" s="3" t="s">
        <v>2825</v>
      </c>
      <c r="F742" s="5" t="s">
        <v>1309</v>
      </c>
      <c r="G742" s="3" t="s">
        <v>2826</v>
      </c>
      <c r="H742" s="3" t="s">
        <v>848</v>
      </c>
    </row>
    <row r="743" spans="1:8" ht="15.75" x14ac:dyDescent="0.25">
      <c r="A743" s="4">
        <v>38124</v>
      </c>
      <c r="B743" s="3" t="s">
        <v>7</v>
      </c>
      <c r="C743" s="3">
        <v>166</v>
      </c>
      <c r="D743" s="3">
        <v>46</v>
      </c>
      <c r="E743" s="3" t="s">
        <v>2831</v>
      </c>
      <c r="F743" s="5" t="s">
        <v>1710</v>
      </c>
      <c r="G743" s="3" t="s">
        <v>2832</v>
      </c>
      <c r="H743" s="3" t="s">
        <v>851</v>
      </c>
    </row>
    <row r="744" spans="1:8" ht="15.75" x14ac:dyDescent="0.25">
      <c r="A744" s="4">
        <v>37623</v>
      </c>
      <c r="B744" s="3" t="s">
        <v>7</v>
      </c>
      <c r="C744" s="3">
        <v>159</v>
      </c>
      <c r="D744" s="3">
        <v>87</v>
      </c>
      <c r="E744" s="3" t="s">
        <v>2837</v>
      </c>
      <c r="F744" s="5" t="s">
        <v>1176</v>
      </c>
      <c r="G744" s="3" t="s">
        <v>2838</v>
      </c>
      <c r="H744" s="3" t="s">
        <v>853</v>
      </c>
    </row>
    <row r="745" spans="1:8" ht="15.75" x14ac:dyDescent="0.25">
      <c r="A745" s="4">
        <v>37998</v>
      </c>
      <c r="B745" s="3" t="s">
        <v>7</v>
      </c>
      <c r="C745" s="3">
        <v>153</v>
      </c>
      <c r="D745" s="3">
        <v>48</v>
      </c>
      <c r="E745" s="3" t="s">
        <v>2841</v>
      </c>
      <c r="F745" s="5" t="s">
        <v>1371</v>
      </c>
      <c r="G745" s="3" t="s">
        <v>2842</v>
      </c>
      <c r="H745" s="3" t="s">
        <v>854</v>
      </c>
    </row>
    <row r="746" spans="1:8" ht="15.75" x14ac:dyDescent="0.25">
      <c r="A746" s="4">
        <v>37268</v>
      </c>
      <c r="B746" s="3" t="s">
        <v>7</v>
      </c>
      <c r="C746" s="3">
        <v>152</v>
      </c>
      <c r="D746" s="3">
        <v>84</v>
      </c>
      <c r="E746" s="3" t="s">
        <v>2849</v>
      </c>
      <c r="F746" s="5" t="s">
        <v>1394</v>
      </c>
      <c r="G746" s="3" t="s">
        <v>2850</v>
      </c>
      <c r="H746" s="3" t="s">
        <v>857</v>
      </c>
    </row>
    <row r="747" spans="1:8" ht="15.75" x14ac:dyDescent="0.25">
      <c r="A747" s="4">
        <v>37544</v>
      </c>
      <c r="B747" s="3" t="s">
        <v>7</v>
      </c>
      <c r="C747" s="3">
        <v>160</v>
      </c>
      <c r="D747" s="3">
        <v>56</v>
      </c>
      <c r="E747" s="3" t="s">
        <v>2855</v>
      </c>
      <c r="F747" s="5" t="s">
        <v>1376</v>
      </c>
      <c r="G747" s="3" t="s">
        <v>2856</v>
      </c>
      <c r="H747" s="3" t="s">
        <v>860</v>
      </c>
    </row>
    <row r="748" spans="1:8" ht="15.75" x14ac:dyDescent="0.25">
      <c r="A748" s="4">
        <v>37375</v>
      </c>
      <c r="B748" s="3" t="s">
        <v>7</v>
      </c>
      <c r="C748" s="3">
        <v>180</v>
      </c>
      <c r="D748" s="3">
        <v>68</v>
      </c>
      <c r="E748" s="3" t="s">
        <v>2859</v>
      </c>
      <c r="F748" s="5" t="s">
        <v>1488</v>
      </c>
      <c r="G748" s="3" t="s">
        <v>2860</v>
      </c>
      <c r="H748" s="3" t="s">
        <v>862</v>
      </c>
    </row>
    <row r="749" spans="1:8" ht="15.75" x14ac:dyDescent="0.25">
      <c r="A749" s="4">
        <v>37321</v>
      </c>
      <c r="B749" s="3" t="s">
        <v>7</v>
      </c>
      <c r="C749" s="3">
        <v>177</v>
      </c>
      <c r="D749" s="3">
        <v>66</v>
      </c>
      <c r="E749" s="3" t="s">
        <v>2861</v>
      </c>
      <c r="F749" s="5" t="s">
        <v>1347</v>
      </c>
      <c r="G749" s="3" t="s">
        <v>2862</v>
      </c>
      <c r="H749" s="3" t="s">
        <v>863</v>
      </c>
    </row>
    <row r="750" spans="1:8" ht="15.75" x14ac:dyDescent="0.25">
      <c r="A750" s="4">
        <v>37256</v>
      </c>
      <c r="B750" s="3" t="s">
        <v>7</v>
      </c>
      <c r="C750" s="3">
        <v>171</v>
      </c>
      <c r="D750" s="3">
        <v>81</v>
      </c>
      <c r="E750" s="3" t="s">
        <v>2887</v>
      </c>
      <c r="F750" s="5" t="s">
        <v>1066</v>
      </c>
      <c r="G750" s="3" t="s">
        <v>2888</v>
      </c>
      <c r="H750" s="3" t="s">
        <v>876</v>
      </c>
    </row>
    <row r="751" spans="1:8" ht="15.75" x14ac:dyDescent="0.25">
      <c r="A751" s="4">
        <v>38416</v>
      </c>
      <c r="B751" s="3" t="s">
        <v>7</v>
      </c>
      <c r="C751" s="3">
        <v>155</v>
      </c>
      <c r="D751" s="3">
        <v>71</v>
      </c>
      <c r="E751" s="3" t="s">
        <v>2931</v>
      </c>
      <c r="F751" s="5" t="s">
        <v>1257</v>
      </c>
      <c r="G751" s="3" t="s">
        <v>2932</v>
      </c>
      <c r="H751" s="3" t="s">
        <v>898</v>
      </c>
    </row>
    <row r="752" spans="1:8" ht="15.75" x14ac:dyDescent="0.25">
      <c r="A752" s="4">
        <v>37680</v>
      </c>
      <c r="B752" s="3" t="s">
        <v>7</v>
      </c>
      <c r="C752" s="3">
        <v>175</v>
      </c>
      <c r="D752" s="3">
        <v>57</v>
      </c>
      <c r="E752" s="3" t="s">
        <v>2959</v>
      </c>
      <c r="F752" s="5" t="s">
        <v>1173</v>
      </c>
      <c r="G752" s="3" t="s">
        <v>2960</v>
      </c>
      <c r="H752" s="3" t="s">
        <v>911</v>
      </c>
    </row>
    <row r="753" spans="1:8" ht="15.75" x14ac:dyDescent="0.25">
      <c r="A753" s="4">
        <v>37463</v>
      </c>
      <c r="B753" s="3" t="s">
        <v>7</v>
      </c>
      <c r="C753" s="3">
        <v>167</v>
      </c>
      <c r="D753" s="3">
        <v>78</v>
      </c>
      <c r="E753" s="3" t="s">
        <v>2965</v>
      </c>
      <c r="F753" s="5" t="s">
        <v>1176</v>
      </c>
      <c r="G753" s="3" t="s">
        <v>2966</v>
      </c>
      <c r="H753" s="3" t="s">
        <v>914</v>
      </c>
    </row>
    <row r="754" spans="1:8" ht="15.75" x14ac:dyDescent="0.25">
      <c r="A754" s="4">
        <v>37455</v>
      </c>
      <c r="B754" s="3" t="s">
        <v>7</v>
      </c>
      <c r="C754" s="3">
        <v>172</v>
      </c>
      <c r="D754" s="3">
        <v>77</v>
      </c>
      <c r="E754" s="3" t="s">
        <v>1125</v>
      </c>
      <c r="F754" s="5" t="s">
        <v>1780</v>
      </c>
      <c r="G754" s="3" t="s">
        <v>3009</v>
      </c>
      <c r="H754" s="3" t="s">
        <v>936</v>
      </c>
    </row>
    <row r="755" spans="1:8" ht="15.75" x14ac:dyDescent="0.25">
      <c r="A755" s="4">
        <v>37530</v>
      </c>
      <c r="B755" s="3" t="s">
        <v>7</v>
      </c>
      <c r="C755" s="3">
        <v>155</v>
      </c>
      <c r="D755" s="3">
        <v>72</v>
      </c>
      <c r="E755" s="3" t="s">
        <v>3013</v>
      </c>
      <c r="F755" s="5" t="s">
        <v>1063</v>
      </c>
      <c r="G755" s="3" t="s">
        <v>3014</v>
      </c>
      <c r="H755" s="3" t="s">
        <v>939</v>
      </c>
    </row>
    <row r="756" spans="1:8" ht="15.75" x14ac:dyDescent="0.25">
      <c r="A756" s="4">
        <v>37200</v>
      </c>
      <c r="B756" s="3" t="s">
        <v>7</v>
      </c>
      <c r="C756" s="3">
        <v>154</v>
      </c>
      <c r="D756" s="3">
        <v>50</v>
      </c>
      <c r="E756" s="3" t="s">
        <v>3032</v>
      </c>
      <c r="F756" s="5" t="s">
        <v>1150</v>
      </c>
      <c r="G756" s="3" t="s">
        <v>3033</v>
      </c>
      <c r="H756" s="3" t="s">
        <v>949</v>
      </c>
    </row>
    <row r="757" spans="1:8" ht="15.75" x14ac:dyDescent="0.25">
      <c r="A757" s="4">
        <v>38005</v>
      </c>
      <c r="B757" s="3" t="s">
        <v>7</v>
      </c>
      <c r="C757" s="3">
        <v>168</v>
      </c>
      <c r="D757" s="3">
        <v>64</v>
      </c>
      <c r="E757" s="3" t="s">
        <v>3038</v>
      </c>
      <c r="F757" s="5" t="s">
        <v>1252</v>
      </c>
      <c r="G757" s="3" t="s">
        <v>3039</v>
      </c>
      <c r="H757" s="3" t="s">
        <v>952</v>
      </c>
    </row>
    <row r="758" spans="1:8" ht="15.75" x14ac:dyDescent="0.25">
      <c r="A758" s="4">
        <v>37646</v>
      </c>
      <c r="B758" s="3" t="s">
        <v>7</v>
      </c>
      <c r="C758" s="3">
        <v>167</v>
      </c>
      <c r="D758" s="3">
        <v>95</v>
      </c>
      <c r="E758" s="3" t="s">
        <v>3042</v>
      </c>
      <c r="F758" s="5" t="s">
        <v>1240</v>
      </c>
      <c r="G758" s="3" t="s">
        <v>3043</v>
      </c>
      <c r="H758" s="3" t="s">
        <v>954</v>
      </c>
    </row>
    <row r="759" spans="1:8" ht="15.75" x14ac:dyDescent="0.25">
      <c r="A759" s="4">
        <v>37153</v>
      </c>
      <c r="B759" s="3" t="s">
        <v>7</v>
      </c>
      <c r="C759" s="3">
        <v>180</v>
      </c>
      <c r="D759" s="3">
        <v>73</v>
      </c>
      <c r="E759" s="3" t="s">
        <v>3054</v>
      </c>
      <c r="F759" s="5" t="s">
        <v>1710</v>
      </c>
      <c r="G759" s="3" t="s">
        <v>3055</v>
      </c>
      <c r="H759" s="3" t="s">
        <v>960</v>
      </c>
    </row>
    <row r="760" spans="1:8" ht="15.75" x14ac:dyDescent="0.25">
      <c r="A760" s="4">
        <v>37610</v>
      </c>
      <c r="B760" s="3" t="s">
        <v>7</v>
      </c>
      <c r="C760" s="3">
        <v>166</v>
      </c>
      <c r="D760" s="3">
        <v>78</v>
      </c>
      <c r="E760" s="3" t="s">
        <v>3060</v>
      </c>
      <c r="F760" s="5" t="s">
        <v>1069</v>
      </c>
      <c r="G760" s="3" t="s">
        <v>3061</v>
      </c>
      <c r="H760" s="3" t="s">
        <v>963</v>
      </c>
    </row>
    <row r="761" spans="1:8" ht="15.75" x14ac:dyDescent="0.25">
      <c r="A761" s="4">
        <v>37245</v>
      </c>
      <c r="B761" s="3" t="s">
        <v>7</v>
      </c>
      <c r="C761" s="3">
        <v>161</v>
      </c>
      <c r="D761" s="3">
        <v>53</v>
      </c>
      <c r="E761" s="3" t="s">
        <v>3064</v>
      </c>
      <c r="F761" s="5" t="s">
        <v>1197</v>
      </c>
      <c r="G761" s="3" t="s">
        <v>3065</v>
      </c>
      <c r="H761" s="3" t="s">
        <v>965</v>
      </c>
    </row>
    <row r="762" spans="1:8" ht="15.75" x14ac:dyDescent="0.25">
      <c r="A762" s="4">
        <v>37597</v>
      </c>
      <c r="B762" s="3" t="s">
        <v>7</v>
      </c>
      <c r="C762" s="3">
        <v>151</v>
      </c>
      <c r="D762" s="3">
        <v>65</v>
      </c>
      <c r="E762" s="3" t="s">
        <v>3109</v>
      </c>
      <c r="F762" s="5" t="s">
        <v>1139</v>
      </c>
      <c r="G762" s="3" t="s">
        <v>3110</v>
      </c>
      <c r="H762" s="3" t="s">
        <v>988</v>
      </c>
    </row>
    <row r="763" spans="1:8" ht="15.75" x14ac:dyDescent="0.25">
      <c r="A763" s="4">
        <v>38306</v>
      </c>
      <c r="B763" s="3" t="s">
        <v>7</v>
      </c>
      <c r="C763" s="3">
        <v>176</v>
      </c>
      <c r="D763" s="3">
        <v>75</v>
      </c>
      <c r="E763" s="3" t="s">
        <v>3114</v>
      </c>
      <c r="F763" s="5" t="s">
        <v>1237</v>
      </c>
      <c r="G763" s="3" t="s">
        <v>3115</v>
      </c>
      <c r="H763" s="3" t="s">
        <v>991</v>
      </c>
    </row>
    <row r="764" spans="1:8" ht="15.75" x14ac:dyDescent="0.25">
      <c r="A764" s="4">
        <v>37534</v>
      </c>
      <c r="B764" s="3" t="s">
        <v>7</v>
      </c>
      <c r="C764" s="3">
        <v>154</v>
      </c>
      <c r="D764" s="3">
        <v>48</v>
      </c>
      <c r="E764" s="3" t="s">
        <v>3120</v>
      </c>
      <c r="F764" s="5" t="s">
        <v>1298</v>
      </c>
      <c r="G764" s="3" t="s">
        <v>3121</v>
      </c>
      <c r="H764" s="3" t="s">
        <v>994</v>
      </c>
    </row>
    <row r="765" spans="1:8" ht="15.75" x14ac:dyDescent="0.25">
      <c r="A765" s="4">
        <v>38061</v>
      </c>
      <c r="B765" s="3" t="s">
        <v>7</v>
      </c>
      <c r="C765" s="3">
        <v>152</v>
      </c>
      <c r="D765" s="3">
        <v>91</v>
      </c>
      <c r="E765" s="3" t="s">
        <v>3122</v>
      </c>
      <c r="F765" s="5" t="s">
        <v>1822</v>
      </c>
      <c r="G765" s="3" t="s">
        <v>3123</v>
      </c>
      <c r="H765" s="3" t="s">
        <v>995</v>
      </c>
    </row>
    <row r="766" spans="1:8" ht="15.75" x14ac:dyDescent="0.25">
      <c r="A766" s="4">
        <v>37887</v>
      </c>
      <c r="B766" s="3" t="s">
        <v>6</v>
      </c>
      <c r="C766" s="3">
        <v>153</v>
      </c>
      <c r="D766" s="3">
        <v>60</v>
      </c>
      <c r="E766" s="3" t="s">
        <v>1122</v>
      </c>
      <c r="F766" s="5" t="s">
        <v>1123</v>
      </c>
      <c r="G766" s="3" t="s">
        <v>1124</v>
      </c>
      <c r="H766" s="3" t="s">
        <v>38</v>
      </c>
    </row>
    <row r="767" spans="1:8" ht="15.75" x14ac:dyDescent="0.25">
      <c r="A767" s="4">
        <v>37408</v>
      </c>
      <c r="B767" s="3" t="s">
        <v>6</v>
      </c>
      <c r="C767" s="3">
        <v>176</v>
      </c>
      <c r="D767" s="3">
        <v>80</v>
      </c>
      <c r="E767" s="3" t="s">
        <v>1128</v>
      </c>
      <c r="F767" s="5" t="s">
        <v>1129</v>
      </c>
      <c r="G767" s="3" t="s">
        <v>1130</v>
      </c>
      <c r="H767" s="3" t="s">
        <v>40</v>
      </c>
    </row>
    <row r="768" spans="1:8" ht="15.75" x14ac:dyDescent="0.25">
      <c r="A768" s="4">
        <v>38262</v>
      </c>
      <c r="B768" s="3" t="s">
        <v>6</v>
      </c>
      <c r="C768" s="3">
        <v>165</v>
      </c>
      <c r="D768" s="3">
        <v>89</v>
      </c>
      <c r="E768" s="3" t="s">
        <v>1154</v>
      </c>
      <c r="F768" s="5" t="s">
        <v>1155</v>
      </c>
      <c r="G768" s="3" t="s">
        <v>1156</v>
      </c>
      <c r="H768" s="3" t="s">
        <v>50</v>
      </c>
    </row>
    <row r="769" spans="1:8" ht="15.75" x14ac:dyDescent="0.25">
      <c r="A769" s="4">
        <v>37739</v>
      </c>
      <c r="B769" s="3" t="s">
        <v>6</v>
      </c>
      <c r="C769" s="3">
        <v>159</v>
      </c>
      <c r="D769" s="3">
        <v>77</v>
      </c>
      <c r="E769" s="3" t="s">
        <v>1178</v>
      </c>
      <c r="F769" s="5" t="s">
        <v>1179</v>
      </c>
      <c r="G769" s="3" t="s">
        <v>1180</v>
      </c>
      <c r="H769" s="3" t="s">
        <v>59</v>
      </c>
    </row>
    <row r="770" spans="1:8" ht="15.75" x14ac:dyDescent="0.25">
      <c r="A770" s="4">
        <v>37481</v>
      </c>
      <c r="B770" s="3" t="s">
        <v>6</v>
      </c>
      <c r="C770" s="3">
        <v>164</v>
      </c>
      <c r="D770" s="3">
        <v>94</v>
      </c>
      <c r="E770" s="3" t="s">
        <v>1191</v>
      </c>
      <c r="F770" s="5" t="s">
        <v>1066</v>
      </c>
      <c r="G770" s="3" t="s">
        <v>1192</v>
      </c>
      <c r="H770" s="3" t="s">
        <v>64</v>
      </c>
    </row>
    <row r="771" spans="1:8" ht="15.75" x14ac:dyDescent="0.25">
      <c r="A771" s="4">
        <v>37896</v>
      </c>
      <c r="B771" s="3" t="s">
        <v>6</v>
      </c>
      <c r="C771" s="3">
        <v>150</v>
      </c>
      <c r="D771" s="3">
        <v>63</v>
      </c>
      <c r="E771" s="3" t="s">
        <v>1209</v>
      </c>
      <c r="F771" s="5" t="s">
        <v>1210</v>
      </c>
      <c r="G771" s="3" t="s">
        <v>1211</v>
      </c>
      <c r="H771" s="3" t="s">
        <v>71</v>
      </c>
    </row>
    <row r="772" spans="1:8" ht="15.75" x14ac:dyDescent="0.25">
      <c r="A772" s="4">
        <v>37098</v>
      </c>
      <c r="B772" s="3" t="s">
        <v>6</v>
      </c>
      <c r="C772" s="3">
        <v>172</v>
      </c>
      <c r="D772" s="3">
        <v>49</v>
      </c>
      <c r="E772" s="3" t="s">
        <v>1239</v>
      </c>
      <c r="F772" s="5" t="s">
        <v>1240</v>
      </c>
      <c r="G772" s="3" t="s">
        <v>1241</v>
      </c>
      <c r="H772" s="3" t="s">
        <v>82</v>
      </c>
    </row>
    <row r="773" spans="1:8" ht="15.75" x14ac:dyDescent="0.25">
      <c r="A773" s="4">
        <v>37554</v>
      </c>
      <c r="B773" s="3" t="s">
        <v>6</v>
      </c>
      <c r="C773" s="3">
        <v>166</v>
      </c>
      <c r="D773" s="3">
        <v>48</v>
      </c>
      <c r="E773" s="3" t="s">
        <v>1267</v>
      </c>
      <c r="F773" s="5" t="s">
        <v>1268</v>
      </c>
      <c r="G773" s="3" t="s">
        <v>1269</v>
      </c>
      <c r="H773" s="3" t="s">
        <v>93</v>
      </c>
    </row>
    <row r="774" spans="1:8" ht="15.75" x14ac:dyDescent="0.25">
      <c r="A774" s="4">
        <v>38162</v>
      </c>
      <c r="B774" s="3" t="s">
        <v>6</v>
      </c>
      <c r="C774" s="3">
        <v>169</v>
      </c>
      <c r="D774" s="3">
        <v>88</v>
      </c>
      <c r="E774" s="3" t="s">
        <v>1270</v>
      </c>
      <c r="F774" s="5" t="s">
        <v>1087</v>
      </c>
      <c r="G774" s="3" t="s">
        <v>1271</v>
      </c>
      <c r="H774" s="3" t="s">
        <v>94</v>
      </c>
    </row>
    <row r="775" spans="1:8" ht="15.75" x14ac:dyDescent="0.25">
      <c r="A775" s="4">
        <v>37182</v>
      </c>
      <c r="B775" s="3" t="s">
        <v>6</v>
      </c>
      <c r="C775" s="3">
        <v>171</v>
      </c>
      <c r="D775" s="3">
        <v>45</v>
      </c>
      <c r="E775" s="3" t="s">
        <v>1304</v>
      </c>
      <c r="F775" s="5" t="s">
        <v>1184</v>
      </c>
      <c r="G775" s="3" t="s">
        <v>1305</v>
      </c>
      <c r="H775" s="3" t="s">
        <v>108</v>
      </c>
    </row>
    <row r="776" spans="1:8" ht="15.75" x14ac:dyDescent="0.25">
      <c r="A776" s="4">
        <v>37754</v>
      </c>
      <c r="B776" s="3" t="s">
        <v>6</v>
      </c>
      <c r="C776" s="3">
        <v>172</v>
      </c>
      <c r="D776" s="3">
        <v>63</v>
      </c>
      <c r="E776" s="3" t="s">
        <v>1311</v>
      </c>
      <c r="F776" s="5" t="s">
        <v>1312</v>
      </c>
      <c r="G776" s="3" t="s">
        <v>1313</v>
      </c>
      <c r="H776" s="3" t="s">
        <v>111</v>
      </c>
    </row>
    <row r="777" spans="1:8" ht="15.75" x14ac:dyDescent="0.25">
      <c r="A777" s="4">
        <v>37464</v>
      </c>
      <c r="B777" s="3" t="s">
        <v>6</v>
      </c>
      <c r="C777" s="3">
        <v>159</v>
      </c>
      <c r="D777" s="3">
        <v>56</v>
      </c>
      <c r="E777" s="3" t="s">
        <v>1321</v>
      </c>
      <c r="F777" s="5" t="s">
        <v>1322</v>
      </c>
      <c r="G777" s="3" t="s">
        <v>1323</v>
      </c>
      <c r="H777" s="3" t="s">
        <v>115</v>
      </c>
    </row>
    <row r="778" spans="1:8" ht="15.75" x14ac:dyDescent="0.25">
      <c r="A778" s="4">
        <v>37147</v>
      </c>
      <c r="B778" s="3" t="s">
        <v>6</v>
      </c>
      <c r="C778" s="3">
        <v>178</v>
      </c>
      <c r="D778" s="3">
        <v>59</v>
      </c>
      <c r="E778" s="3" t="s">
        <v>1328</v>
      </c>
      <c r="F778" s="5" t="s">
        <v>1290</v>
      </c>
      <c r="G778" s="3" t="s">
        <v>1329</v>
      </c>
      <c r="H778" s="3" t="s">
        <v>118</v>
      </c>
    </row>
    <row r="779" spans="1:8" ht="15.75" x14ac:dyDescent="0.25">
      <c r="A779" s="4">
        <v>37927</v>
      </c>
      <c r="B779" s="3" t="s">
        <v>6</v>
      </c>
      <c r="C779" s="3">
        <v>178</v>
      </c>
      <c r="D779" s="3">
        <v>86</v>
      </c>
      <c r="E779" s="3" t="s">
        <v>1337</v>
      </c>
      <c r="F779" s="5" t="s">
        <v>1069</v>
      </c>
      <c r="G779" s="3" t="s">
        <v>1338</v>
      </c>
      <c r="H779" s="3" t="s">
        <v>1006</v>
      </c>
    </row>
    <row r="780" spans="1:8" ht="15.75" x14ac:dyDescent="0.25">
      <c r="A780" s="4">
        <v>37052</v>
      </c>
      <c r="B780" s="3" t="s">
        <v>6</v>
      </c>
      <c r="C780" s="3">
        <v>153</v>
      </c>
      <c r="D780" s="3">
        <v>91</v>
      </c>
      <c r="E780" s="3" t="s">
        <v>1362</v>
      </c>
      <c r="F780" s="5" t="s">
        <v>1111</v>
      </c>
      <c r="G780" s="3" t="s">
        <v>1363</v>
      </c>
      <c r="H780" s="3" t="s">
        <v>132</v>
      </c>
    </row>
    <row r="781" spans="1:8" ht="15.75" x14ac:dyDescent="0.25">
      <c r="A781" s="4">
        <v>38024</v>
      </c>
      <c r="B781" s="3" t="s">
        <v>6</v>
      </c>
      <c r="C781" s="3">
        <v>170</v>
      </c>
      <c r="D781" s="3">
        <v>63</v>
      </c>
      <c r="E781" s="3" t="s">
        <v>1370</v>
      </c>
      <c r="F781" s="5" t="s">
        <v>1371</v>
      </c>
      <c r="G781" s="3" t="s">
        <v>1372</v>
      </c>
      <c r="H781" s="3" t="s">
        <v>136</v>
      </c>
    </row>
    <row r="782" spans="1:8" ht="15.75" x14ac:dyDescent="0.25">
      <c r="A782" s="4">
        <v>37407</v>
      </c>
      <c r="B782" s="3" t="s">
        <v>6</v>
      </c>
      <c r="C782" s="3">
        <v>175</v>
      </c>
      <c r="D782" s="3">
        <v>87</v>
      </c>
      <c r="E782" s="3" t="s">
        <v>1373</v>
      </c>
      <c r="F782" s="5" t="s">
        <v>1162</v>
      </c>
      <c r="G782" s="3" t="s">
        <v>1374</v>
      </c>
      <c r="H782" s="3" t="s">
        <v>137</v>
      </c>
    </row>
    <row r="783" spans="1:8" ht="15.75" x14ac:dyDescent="0.25">
      <c r="A783" s="4">
        <v>37463</v>
      </c>
      <c r="B783" s="3" t="s">
        <v>6</v>
      </c>
      <c r="C783" s="3">
        <v>171</v>
      </c>
      <c r="D783" s="3">
        <v>76</v>
      </c>
      <c r="E783" s="3" t="s">
        <v>1412</v>
      </c>
      <c r="F783" s="5" t="s">
        <v>1298</v>
      </c>
      <c r="G783" s="3" t="s">
        <v>1413</v>
      </c>
      <c r="H783" s="3" t="s">
        <v>154</v>
      </c>
    </row>
    <row r="784" spans="1:8" ht="15.75" x14ac:dyDescent="0.25">
      <c r="A784" s="4">
        <v>37355</v>
      </c>
      <c r="B784" s="3" t="s">
        <v>6</v>
      </c>
      <c r="C784" s="3">
        <v>178</v>
      </c>
      <c r="D784" s="3">
        <v>69</v>
      </c>
      <c r="E784" s="3" t="s">
        <v>1442</v>
      </c>
      <c r="F784" s="5" t="s">
        <v>1155</v>
      </c>
      <c r="G784" s="3" t="s">
        <v>1443</v>
      </c>
      <c r="H784" s="3" t="s">
        <v>168</v>
      </c>
    </row>
    <row r="785" spans="1:8" ht="15.75" x14ac:dyDescent="0.25">
      <c r="A785" s="4">
        <v>38304</v>
      </c>
      <c r="B785" s="3" t="s">
        <v>6</v>
      </c>
      <c r="C785" s="3">
        <v>178</v>
      </c>
      <c r="D785" s="3">
        <v>59</v>
      </c>
      <c r="E785" s="3" t="s">
        <v>1469</v>
      </c>
      <c r="F785" s="5" t="s">
        <v>1385</v>
      </c>
      <c r="G785" s="3" t="s">
        <v>1470</v>
      </c>
      <c r="H785" s="3" t="s">
        <v>181</v>
      </c>
    </row>
    <row r="786" spans="1:8" ht="15.75" x14ac:dyDescent="0.25">
      <c r="A786" s="4">
        <v>37538</v>
      </c>
      <c r="B786" s="3" t="s">
        <v>6</v>
      </c>
      <c r="C786" s="3">
        <v>155</v>
      </c>
      <c r="D786" s="3">
        <v>68</v>
      </c>
      <c r="E786" s="3" t="s">
        <v>1501</v>
      </c>
      <c r="F786" s="5" t="s">
        <v>1502</v>
      </c>
      <c r="G786" s="3" t="s">
        <v>1503</v>
      </c>
      <c r="H786" s="3" t="s">
        <v>196</v>
      </c>
    </row>
    <row r="787" spans="1:8" ht="15.75" x14ac:dyDescent="0.25">
      <c r="A787" s="4">
        <v>37768</v>
      </c>
      <c r="B787" s="3" t="s">
        <v>6</v>
      </c>
      <c r="C787" s="3">
        <v>173</v>
      </c>
      <c r="D787" s="3">
        <v>76</v>
      </c>
      <c r="E787" s="3" t="s">
        <v>1518</v>
      </c>
      <c r="F787" s="5" t="s">
        <v>1167</v>
      </c>
      <c r="G787" s="3" t="s">
        <v>1519</v>
      </c>
      <c r="H787" s="3" t="s">
        <v>204</v>
      </c>
    </row>
    <row r="788" spans="1:8" ht="15.75" x14ac:dyDescent="0.25">
      <c r="A788" s="4">
        <v>37556</v>
      </c>
      <c r="B788" s="3" t="s">
        <v>6</v>
      </c>
      <c r="C788" s="3">
        <v>167</v>
      </c>
      <c r="D788" s="3">
        <v>55</v>
      </c>
      <c r="E788" s="3" t="s">
        <v>1541</v>
      </c>
      <c r="F788" s="5" t="s">
        <v>1063</v>
      </c>
      <c r="G788" s="3" t="s">
        <v>1542</v>
      </c>
      <c r="H788" s="3" t="s">
        <v>214</v>
      </c>
    </row>
    <row r="789" spans="1:8" ht="15.75" x14ac:dyDescent="0.25">
      <c r="A789" s="4">
        <v>37425</v>
      </c>
      <c r="B789" s="3" t="s">
        <v>6</v>
      </c>
      <c r="C789" s="3">
        <v>170</v>
      </c>
      <c r="D789" s="3">
        <v>65</v>
      </c>
      <c r="E789" s="3" t="s">
        <v>1543</v>
      </c>
      <c r="F789" s="5" t="s">
        <v>1537</v>
      </c>
      <c r="G789" s="3" t="s">
        <v>1544</v>
      </c>
      <c r="H789" s="3" t="s">
        <v>215</v>
      </c>
    </row>
    <row r="790" spans="1:8" ht="15.75" x14ac:dyDescent="0.25">
      <c r="A790" s="4">
        <v>37179</v>
      </c>
      <c r="B790" s="3" t="s">
        <v>6</v>
      </c>
      <c r="C790" s="3">
        <v>158</v>
      </c>
      <c r="D790" s="3">
        <v>53</v>
      </c>
      <c r="E790" s="3" t="s">
        <v>1553</v>
      </c>
      <c r="F790" s="5" t="s">
        <v>1335</v>
      </c>
      <c r="G790" s="3" t="s">
        <v>1554</v>
      </c>
      <c r="H790" s="3" t="s">
        <v>220</v>
      </c>
    </row>
    <row r="791" spans="1:8" ht="15.75" x14ac:dyDescent="0.25">
      <c r="A791" s="4">
        <v>37907</v>
      </c>
      <c r="B791" s="3" t="s">
        <v>6</v>
      </c>
      <c r="C791" s="3">
        <v>169</v>
      </c>
      <c r="D791" s="3">
        <v>70</v>
      </c>
      <c r="E791" s="3" t="s">
        <v>1569</v>
      </c>
      <c r="F791" s="5" t="s">
        <v>1252</v>
      </c>
      <c r="G791" s="3" t="s">
        <v>1570</v>
      </c>
      <c r="H791" s="3" t="s">
        <v>228</v>
      </c>
    </row>
    <row r="792" spans="1:8" ht="15.75" x14ac:dyDescent="0.25">
      <c r="A792" s="4">
        <v>37105</v>
      </c>
      <c r="B792" s="3" t="s">
        <v>6</v>
      </c>
      <c r="C792" s="3">
        <v>171</v>
      </c>
      <c r="D792" s="3">
        <v>69</v>
      </c>
      <c r="E792" s="3" t="s">
        <v>1602</v>
      </c>
      <c r="F792" s="5" t="s">
        <v>1105</v>
      </c>
      <c r="G792" s="3" t="s">
        <v>1603</v>
      </c>
      <c r="H792" s="3" t="s">
        <v>243</v>
      </c>
    </row>
    <row r="793" spans="1:8" ht="15.75" x14ac:dyDescent="0.25">
      <c r="A793" s="4">
        <v>37780</v>
      </c>
      <c r="B793" s="3" t="s">
        <v>6</v>
      </c>
      <c r="C793" s="3">
        <v>178</v>
      </c>
      <c r="D793" s="3">
        <v>77</v>
      </c>
      <c r="E793" s="3" t="s">
        <v>1616</v>
      </c>
      <c r="F793" s="5" t="s">
        <v>1147</v>
      </c>
      <c r="G793" s="3" t="s">
        <v>1617</v>
      </c>
      <c r="H793" s="3" t="s">
        <v>250</v>
      </c>
    </row>
    <row r="794" spans="1:8" ht="15.75" x14ac:dyDescent="0.25">
      <c r="A794" s="4">
        <v>37902</v>
      </c>
      <c r="B794" s="3" t="s">
        <v>6</v>
      </c>
      <c r="C794" s="3">
        <v>157</v>
      </c>
      <c r="D794" s="3">
        <v>79</v>
      </c>
      <c r="E794" s="3" t="s">
        <v>1642</v>
      </c>
      <c r="F794" s="5" t="s">
        <v>1105</v>
      </c>
      <c r="G794" s="3" t="s">
        <v>1643</v>
      </c>
      <c r="H794" s="3" t="s">
        <v>263</v>
      </c>
    </row>
    <row r="795" spans="1:8" ht="15.75" x14ac:dyDescent="0.25">
      <c r="A795" s="4">
        <v>37125</v>
      </c>
      <c r="B795" s="3" t="s">
        <v>6</v>
      </c>
      <c r="C795" s="3">
        <v>164</v>
      </c>
      <c r="D795" s="3">
        <v>76</v>
      </c>
      <c r="E795" s="3" t="s">
        <v>1670</v>
      </c>
      <c r="F795" s="5" t="s">
        <v>1284</v>
      </c>
      <c r="G795" s="3" t="s">
        <v>1671</v>
      </c>
      <c r="H795" s="3" t="s">
        <v>277</v>
      </c>
    </row>
    <row r="796" spans="1:8" ht="15.75" x14ac:dyDescent="0.25">
      <c r="A796" s="4">
        <v>38341</v>
      </c>
      <c r="B796" s="3" t="s">
        <v>6</v>
      </c>
      <c r="C796" s="3">
        <v>177</v>
      </c>
      <c r="D796" s="3">
        <v>70</v>
      </c>
      <c r="E796" s="3" t="s">
        <v>1680</v>
      </c>
      <c r="F796" s="5" t="s">
        <v>1293</v>
      </c>
      <c r="G796" s="3" t="s">
        <v>1681</v>
      </c>
      <c r="H796" s="3" t="s">
        <v>282</v>
      </c>
    </row>
    <row r="797" spans="1:8" ht="15.75" x14ac:dyDescent="0.25">
      <c r="A797" s="4">
        <v>38002</v>
      </c>
      <c r="B797" s="3" t="s">
        <v>6</v>
      </c>
      <c r="C797" s="3">
        <v>165</v>
      </c>
      <c r="D797" s="3">
        <v>93</v>
      </c>
      <c r="E797" s="3" t="s">
        <v>1687</v>
      </c>
      <c r="F797" s="5" t="s">
        <v>1401</v>
      </c>
      <c r="G797" s="3" t="s">
        <v>1688</v>
      </c>
      <c r="H797" s="3" t="s">
        <v>285</v>
      </c>
    </row>
    <row r="798" spans="1:8" ht="15.75" x14ac:dyDescent="0.25">
      <c r="A798" s="4">
        <v>38141</v>
      </c>
      <c r="B798" s="3" t="s">
        <v>6</v>
      </c>
      <c r="C798" s="3">
        <v>172</v>
      </c>
      <c r="D798" s="3">
        <v>74</v>
      </c>
      <c r="E798" s="3" t="s">
        <v>1691</v>
      </c>
      <c r="F798" s="5" t="s">
        <v>1434</v>
      </c>
      <c r="G798" s="3" t="s">
        <v>1692</v>
      </c>
      <c r="H798" s="3" t="s">
        <v>287</v>
      </c>
    </row>
    <row r="799" spans="1:8" ht="15.75" x14ac:dyDescent="0.25">
      <c r="A799" s="4">
        <v>37793</v>
      </c>
      <c r="B799" s="3" t="s">
        <v>6</v>
      </c>
      <c r="C799" s="3">
        <v>167</v>
      </c>
      <c r="D799" s="3">
        <v>76</v>
      </c>
      <c r="E799" s="3" t="s">
        <v>1703</v>
      </c>
      <c r="F799" s="5" t="s">
        <v>1434</v>
      </c>
      <c r="G799" s="3" t="s">
        <v>1704</v>
      </c>
      <c r="H799" s="3" t="s">
        <v>293</v>
      </c>
    </row>
    <row r="800" spans="1:8" ht="15.75" x14ac:dyDescent="0.25">
      <c r="A800" s="4">
        <v>37820</v>
      </c>
      <c r="B800" s="3" t="s">
        <v>6</v>
      </c>
      <c r="C800" s="3">
        <v>153</v>
      </c>
      <c r="D800" s="3">
        <v>49</v>
      </c>
      <c r="E800" s="3" t="s">
        <v>1709</v>
      </c>
      <c r="F800" s="5" t="s">
        <v>1710</v>
      </c>
      <c r="G800" s="3" t="s">
        <v>1711</v>
      </c>
      <c r="H800" s="3" t="s">
        <v>296</v>
      </c>
    </row>
    <row r="801" spans="1:8" ht="15.75" x14ac:dyDescent="0.25">
      <c r="A801" s="4">
        <v>37125</v>
      </c>
      <c r="B801" s="3" t="s">
        <v>6</v>
      </c>
      <c r="C801" s="3">
        <v>158</v>
      </c>
      <c r="D801" s="3">
        <v>64</v>
      </c>
      <c r="E801" s="3" t="s">
        <v>1727</v>
      </c>
      <c r="F801" s="5" t="s">
        <v>1063</v>
      </c>
      <c r="G801" s="3" t="s">
        <v>1728</v>
      </c>
      <c r="H801" s="3" t="s">
        <v>304</v>
      </c>
    </row>
    <row r="802" spans="1:8" ht="15.75" x14ac:dyDescent="0.25">
      <c r="A802" s="4">
        <v>37438</v>
      </c>
      <c r="B802" s="3" t="s">
        <v>6</v>
      </c>
      <c r="C802" s="3">
        <v>158</v>
      </c>
      <c r="D802" s="3">
        <v>89</v>
      </c>
      <c r="E802" s="3" t="s">
        <v>1729</v>
      </c>
      <c r="F802" s="5" t="s">
        <v>1322</v>
      </c>
      <c r="G802" s="3" t="s">
        <v>1730</v>
      </c>
      <c r="H802" s="3" t="s">
        <v>305</v>
      </c>
    </row>
    <row r="803" spans="1:8" ht="15.75" x14ac:dyDescent="0.25">
      <c r="A803" s="4">
        <v>37364</v>
      </c>
      <c r="B803" s="3" t="s">
        <v>6</v>
      </c>
      <c r="C803" s="3">
        <v>172</v>
      </c>
      <c r="D803" s="3">
        <v>76</v>
      </c>
      <c r="E803" s="3" t="s">
        <v>1743</v>
      </c>
      <c r="F803" s="5" t="s">
        <v>1322</v>
      </c>
      <c r="G803" s="3" t="s">
        <v>1744</v>
      </c>
      <c r="H803" s="3" t="s">
        <v>312</v>
      </c>
    </row>
    <row r="804" spans="1:8" ht="15.75" x14ac:dyDescent="0.25">
      <c r="A804" s="4">
        <v>38125</v>
      </c>
      <c r="B804" s="3" t="s">
        <v>6</v>
      </c>
      <c r="C804" s="3">
        <v>168</v>
      </c>
      <c r="D804" s="3">
        <v>88</v>
      </c>
      <c r="E804" s="3" t="s">
        <v>1766</v>
      </c>
      <c r="F804" s="5" t="s">
        <v>1247</v>
      </c>
      <c r="G804" s="3" t="s">
        <v>1767</v>
      </c>
      <c r="H804" s="3" t="s">
        <v>322</v>
      </c>
    </row>
    <row r="805" spans="1:8" ht="15.75" x14ac:dyDescent="0.25">
      <c r="A805" s="4">
        <v>37390</v>
      </c>
      <c r="B805" s="3" t="s">
        <v>6</v>
      </c>
      <c r="C805" s="3">
        <v>153</v>
      </c>
      <c r="D805" s="3">
        <v>49</v>
      </c>
      <c r="E805" s="3" t="s">
        <v>1685</v>
      </c>
      <c r="F805" s="5" t="s">
        <v>1298</v>
      </c>
      <c r="G805" s="3" t="s">
        <v>1772</v>
      </c>
      <c r="H805" s="3" t="s">
        <v>325</v>
      </c>
    </row>
    <row r="806" spans="1:8" ht="15.75" x14ac:dyDescent="0.25">
      <c r="A806" s="4">
        <v>37667</v>
      </c>
      <c r="B806" s="3" t="s">
        <v>6</v>
      </c>
      <c r="C806" s="3">
        <v>151</v>
      </c>
      <c r="D806" s="3">
        <v>59</v>
      </c>
      <c r="E806" s="3" t="s">
        <v>1801</v>
      </c>
      <c r="F806" s="5" t="s">
        <v>1207</v>
      </c>
      <c r="G806" s="3" t="s">
        <v>1802</v>
      </c>
      <c r="H806" s="3" t="s">
        <v>340</v>
      </c>
    </row>
    <row r="807" spans="1:8" ht="15.75" x14ac:dyDescent="0.25">
      <c r="A807" s="4">
        <v>37431</v>
      </c>
      <c r="B807" s="3" t="s">
        <v>6</v>
      </c>
      <c r="C807" s="3">
        <v>169</v>
      </c>
      <c r="D807" s="3">
        <v>94</v>
      </c>
      <c r="E807" s="3" t="s">
        <v>1807</v>
      </c>
      <c r="F807" s="5" t="s">
        <v>1162</v>
      </c>
      <c r="G807" s="3" t="s">
        <v>1808</v>
      </c>
      <c r="H807" s="3" t="s">
        <v>343</v>
      </c>
    </row>
    <row r="808" spans="1:8" ht="15.75" x14ac:dyDescent="0.25">
      <c r="A808" s="4">
        <v>37131</v>
      </c>
      <c r="B808" s="3" t="s">
        <v>6</v>
      </c>
      <c r="C808" s="3">
        <v>172</v>
      </c>
      <c r="D808" s="3">
        <v>95</v>
      </c>
      <c r="E808" s="3" t="s">
        <v>1838</v>
      </c>
      <c r="F808" s="5" t="s">
        <v>1090</v>
      </c>
      <c r="G808" s="3" t="s">
        <v>1839</v>
      </c>
      <c r="H808" s="3" t="s">
        <v>356</v>
      </c>
    </row>
    <row r="809" spans="1:8" ht="15.75" x14ac:dyDescent="0.25">
      <c r="A809" s="4">
        <v>37540</v>
      </c>
      <c r="B809" s="3" t="s">
        <v>6</v>
      </c>
      <c r="C809" s="3">
        <v>170</v>
      </c>
      <c r="D809" s="3">
        <v>63</v>
      </c>
      <c r="E809" s="3" t="s">
        <v>1900</v>
      </c>
      <c r="F809" s="5" t="s">
        <v>1078</v>
      </c>
      <c r="G809" s="3" t="s">
        <v>1901</v>
      </c>
      <c r="H809" s="3" t="s">
        <v>386</v>
      </c>
    </row>
    <row r="810" spans="1:8" ht="15.75" x14ac:dyDescent="0.25">
      <c r="A810" s="4">
        <v>37579</v>
      </c>
      <c r="B810" s="3" t="s">
        <v>6</v>
      </c>
      <c r="C810" s="3">
        <v>165</v>
      </c>
      <c r="D810" s="3">
        <v>73</v>
      </c>
      <c r="E810" s="3" t="s">
        <v>1909</v>
      </c>
      <c r="F810" s="5" t="s">
        <v>1147</v>
      </c>
      <c r="G810" s="3" t="s">
        <v>1910</v>
      </c>
      <c r="H810" s="3" t="s">
        <v>391</v>
      </c>
    </row>
    <row r="811" spans="1:8" ht="15.75" x14ac:dyDescent="0.25">
      <c r="A811" s="4">
        <v>37485</v>
      </c>
      <c r="B811" s="3" t="s">
        <v>6</v>
      </c>
      <c r="C811" s="3">
        <v>175</v>
      </c>
      <c r="D811" s="3">
        <v>75</v>
      </c>
      <c r="E811" s="3" t="s">
        <v>1957</v>
      </c>
      <c r="F811" s="5" t="s">
        <v>1108</v>
      </c>
      <c r="G811" s="3" t="s">
        <v>1958</v>
      </c>
      <c r="H811" s="3" t="s">
        <v>414</v>
      </c>
    </row>
    <row r="812" spans="1:8" ht="15.75" x14ac:dyDescent="0.25">
      <c r="A812" s="4">
        <v>38152</v>
      </c>
      <c r="B812" s="3" t="s">
        <v>6</v>
      </c>
      <c r="C812" s="3">
        <v>159</v>
      </c>
      <c r="D812" s="3">
        <v>47</v>
      </c>
      <c r="E812" s="3" t="s">
        <v>1986</v>
      </c>
      <c r="F812" s="5" t="s">
        <v>1252</v>
      </c>
      <c r="G812" s="3" t="s">
        <v>1987</v>
      </c>
      <c r="H812" s="3" t="s">
        <v>427</v>
      </c>
    </row>
    <row r="813" spans="1:8" ht="15.75" x14ac:dyDescent="0.25">
      <c r="A813" s="4">
        <v>38466</v>
      </c>
      <c r="B813" s="3" t="s">
        <v>6</v>
      </c>
      <c r="C813" s="3">
        <v>159</v>
      </c>
      <c r="D813" s="3">
        <v>71</v>
      </c>
      <c r="E813" s="3" t="s">
        <v>2007</v>
      </c>
      <c r="F813" s="5" t="s">
        <v>1184</v>
      </c>
      <c r="G813" s="3" t="s">
        <v>2008</v>
      </c>
      <c r="H813" s="3" t="s">
        <v>438</v>
      </c>
    </row>
    <row r="814" spans="1:8" ht="15.75" x14ac:dyDescent="0.25">
      <c r="A814" s="4">
        <v>37258</v>
      </c>
      <c r="B814" s="3" t="s">
        <v>6</v>
      </c>
      <c r="C814" s="3">
        <v>174</v>
      </c>
      <c r="D814" s="3">
        <v>47</v>
      </c>
      <c r="E814" s="3" t="s">
        <v>2015</v>
      </c>
      <c r="F814" s="5" t="s">
        <v>1822</v>
      </c>
      <c r="G814" s="3" t="s">
        <v>2016</v>
      </c>
      <c r="H814" s="3" t="s">
        <v>441</v>
      </c>
    </row>
    <row r="815" spans="1:8" ht="15.75" x14ac:dyDescent="0.25">
      <c r="A815" s="4">
        <v>37018</v>
      </c>
      <c r="B815" s="3" t="s">
        <v>6</v>
      </c>
      <c r="C815" s="3">
        <v>178</v>
      </c>
      <c r="D815" s="3">
        <v>82</v>
      </c>
      <c r="E815" s="3" t="s">
        <v>2037</v>
      </c>
      <c r="F815" s="5" t="s">
        <v>1780</v>
      </c>
      <c r="G815" s="3" t="s">
        <v>2038</v>
      </c>
      <c r="H815" s="3" t="s">
        <v>452</v>
      </c>
    </row>
    <row r="816" spans="1:8" ht="15.75" x14ac:dyDescent="0.25">
      <c r="A816" s="4">
        <v>37873</v>
      </c>
      <c r="B816" s="3" t="s">
        <v>6</v>
      </c>
      <c r="C816" s="3">
        <v>151</v>
      </c>
      <c r="D816" s="3">
        <v>48</v>
      </c>
      <c r="E816" s="3" t="s">
        <v>2078</v>
      </c>
      <c r="F816" s="5" t="s">
        <v>1150</v>
      </c>
      <c r="G816" s="3" t="s">
        <v>2079</v>
      </c>
      <c r="H816" s="3" t="s">
        <v>473</v>
      </c>
    </row>
    <row r="817" spans="1:8" ht="15.75" x14ac:dyDescent="0.25">
      <c r="A817" s="4">
        <v>37996</v>
      </c>
      <c r="B817" s="3" t="s">
        <v>6</v>
      </c>
      <c r="C817" s="3">
        <v>168</v>
      </c>
      <c r="D817" s="3">
        <v>62</v>
      </c>
      <c r="E817" s="3" t="s">
        <v>2086</v>
      </c>
      <c r="F817" s="5" t="s">
        <v>1287</v>
      </c>
      <c r="G817" s="3" t="s">
        <v>2087</v>
      </c>
      <c r="H817" s="3" t="s">
        <v>477</v>
      </c>
    </row>
    <row r="818" spans="1:8" ht="15.75" x14ac:dyDescent="0.25">
      <c r="A818" s="4">
        <v>37479</v>
      </c>
      <c r="B818" s="3" t="s">
        <v>6</v>
      </c>
      <c r="C818" s="3">
        <v>158</v>
      </c>
      <c r="D818" s="3">
        <v>45</v>
      </c>
      <c r="E818" s="3" t="s">
        <v>2094</v>
      </c>
      <c r="F818" s="5" t="s">
        <v>1309</v>
      </c>
      <c r="G818" s="3" t="s">
        <v>2095</v>
      </c>
      <c r="H818" s="3" t="s">
        <v>481</v>
      </c>
    </row>
    <row r="819" spans="1:8" ht="15.75" x14ac:dyDescent="0.25">
      <c r="A819" s="4">
        <v>37117</v>
      </c>
      <c r="B819" s="3" t="s">
        <v>6</v>
      </c>
      <c r="C819" s="3">
        <v>170</v>
      </c>
      <c r="D819" s="3">
        <v>48</v>
      </c>
      <c r="E819" s="3" t="s">
        <v>2122</v>
      </c>
      <c r="F819" s="5" t="s">
        <v>1139</v>
      </c>
      <c r="G819" s="3" t="s">
        <v>2123</v>
      </c>
      <c r="H819" s="3" t="s">
        <v>495</v>
      </c>
    </row>
    <row r="820" spans="1:8" ht="15.75" x14ac:dyDescent="0.25">
      <c r="A820" s="4">
        <v>37870</v>
      </c>
      <c r="B820" s="3" t="s">
        <v>6</v>
      </c>
      <c r="C820" s="3">
        <v>177</v>
      </c>
      <c r="D820" s="3">
        <v>69</v>
      </c>
      <c r="E820" s="3" t="s">
        <v>2134</v>
      </c>
      <c r="F820" s="5" t="s">
        <v>1410</v>
      </c>
      <c r="G820" s="3" t="s">
        <v>2135</v>
      </c>
      <c r="H820" s="3" t="s">
        <v>501</v>
      </c>
    </row>
    <row r="821" spans="1:8" ht="15.75" x14ac:dyDescent="0.25">
      <c r="A821" s="4">
        <v>37629</v>
      </c>
      <c r="B821" s="3" t="s">
        <v>6</v>
      </c>
      <c r="C821" s="3">
        <v>180</v>
      </c>
      <c r="D821" s="3">
        <v>53</v>
      </c>
      <c r="E821" s="3" t="s">
        <v>2152</v>
      </c>
      <c r="F821" s="5" t="s">
        <v>1527</v>
      </c>
      <c r="G821" s="3" t="s">
        <v>2153</v>
      </c>
      <c r="H821" s="3" t="s">
        <v>510</v>
      </c>
    </row>
    <row r="822" spans="1:8" ht="15.75" x14ac:dyDescent="0.25">
      <c r="A822" s="4">
        <v>38157</v>
      </c>
      <c r="B822" s="3" t="s">
        <v>6</v>
      </c>
      <c r="C822" s="3">
        <v>173</v>
      </c>
      <c r="D822" s="3">
        <v>63</v>
      </c>
      <c r="E822" s="3" t="s">
        <v>2175</v>
      </c>
      <c r="F822" s="5" t="s">
        <v>1257</v>
      </c>
      <c r="G822" s="3" t="s">
        <v>2176</v>
      </c>
      <c r="H822" s="3" t="s">
        <v>522</v>
      </c>
    </row>
    <row r="823" spans="1:8" ht="15.75" x14ac:dyDescent="0.25">
      <c r="A823" s="4">
        <v>37443</v>
      </c>
      <c r="B823" s="3" t="s">
        <v>6</v>
      </c>
      <c r="C823" s="3">
        <v>161</v>
      </c>
      <c r="D823" s="3">
        <v>74</v>
      </c>
      <c r="E823" s="3" t="s">
        <v>2213</v>
      </c>
      <c r="F823" s="5" t="s">
        <v>1252</v>
      </c>
      <c r="G823" s="3" t="s">
        <v>2214</v>
      </c>
      <c r="H823" s="3" t="s">
        <v>541</v>
      </c>
    </row>
    <row r="824" spans="1:8" ht="15.75" x14ac:dyDescent="0.25">
      <c r="A824" s="4">
        <v>37637</v>
      </c>
      <c r="B824" s="3" t="s">
        <v>6</v>
      </c>
      <c r="C824" s="3">
        <v>175</v>
      </c>
      <c r="D824" s="3">
        <v>76</v>
      </c>
      <c r="E824" s="3" t="s">
        <v>2223</v>
      </c>
      <c r="F824" s="5" t="s">
        <v>1394</v>
      </c>
      <c r="G824" s="3" t="s">
        <v>2224</v>
      </c>
      <c r="H824" s="3" t="s">
        <v>546</v>
      </c>
    </row>
    <row r="825" spans="1:8" ht="15.75" x14ac:dyDescent="0.25">
      <c r="A825" s="4">
        <v>37566</v>
      </c>
      <c r="B825" s="3" t="s">
        <v>6</v>
      </c>
      <c r="C825" s="3">
        <v>170</v>
      </c>
      <c r="D825" s="3">
        <v>52</v>
      </c>
      <c r="E825" s="3" t="s">
        <v>2225</v>
      </c>
      <c r="F825" s="5" t="s">
        <v>1167</v>
      </c>
      <c r="G825" s="3" t="s">
        <v>2226</v>
      </c>
      <c r="H825" s="3" t="s">
        <v>547</v>
      </c>
    </row>
    <row r="826" spans="1:8" ht="15.75" x14ac:dyDescent="0.25">
      <c r="A826" s="4">
        <v>37705</v>
      </c>
      <c r="B826" s="3" t="s">
        <v>6</v>
      </c>
      <c r="C826" s="3">
        <v>155</v>
      </c>
      <c r="D826" s="3">
        <v>87</v>
      </c>
      <c r="E826" s="3" t="s">
        <v>2233</v>
      </c>
      <c r="F826" s="5" t="s">
        <v>1268</v>
      </c>
      <c r="G826" s="3" t="s">
        <v>2234</v>
      </c>
      <c r="H826" s="3" t="s">
        <v>551</v>
      </c>
    </row>
    <row r="827" spans="1:8" ht="15.75" x14ac:dyDescent="0.25">
      <c r="A827" s="4">
        <v>37022</v>
      </c>
      <c r="B827" s="3" t="s">
        <v>6</v>
      </c>
      <c r="C827" s="3">
        <v>161</v>
      </c>
      <c r="D827" s="3">
        <v>58</v>
      </c>
      <c r="E827" s="3" t="s">
        <v>2237</v>
      </c>
      <c r="F827" s="5" t="s">
        <v>1194</v>
      </c>
      <c r="G827" s="3" t="s">
        <v>2238</v>
      </c>
      <c r="H827" s="3" t="s">
        <v>553</v>
      </c>
    </row>
    <row r="828" spans="1:8" ht="15.75" x14ac:dyDescent="0.25">
      <c r="A828" s="4">
        <v>37703</v>
      </c>
      <c r="B828" s="3" t="s">
        <v>6</v>
      </c>
      <c r="C828" s="3">
        <v>168</v>
      </c>
      <c r="D828" s="3">
        <v>64</v>
      </c>
      <c r="E828" s="3" t="s">
        <v>2245</v>
      </c>
      <c r="F828" s="5" t="s">
        <v>2246</v>
      </c>
      <c r="G828" s="3" t="s">
        <v>2247</v>
      </c>
      <c r="H828" s="3" t="s">
        <v>557</v>
      </c>
    </row>
    <row r="829" spans="1:8" ht="15.75" x14ac:dyDescent="0.25">
      <c r="A829" s="4">
        <v>38089</v>
      </c>
      <c r="B829" s="3" t="s">
        <v>6</v>
      </c>
      <c r="C829" s="3">
        <v>171</v>
      </c>
      <c r="D829" s="3">
        <v>57</v>
      </c>
      <c r="E829" s="3" t="s">
        <v>2269</v>
      </c>
      <c r="F829" s="5" t="s">
        <v>1347</v>
      </c>
      <c r="G829" s="3" t="s">
        <v>2270</v>
      </c>
      <c r="H829" s="3" t="s">
        <v>569</v>
      </c>
    </row>
    <row r="830" spans="1:8" ht="15.75" x14ac:dyDescent="0.25">
      <c r="A830" s="4">
        <v>37964</v>
      </c>
      <c r="B830" s="3" t="s">
        <v>6</v>
      </c>
      <c r="C830" s="3">
        <v>174</v>
      </c>
      <c r="D830" s="3">
        <v>49</v>
      </c>
      <c r="E830" s="3" t="s">
        <v>1375</v>
      </c>
      <c r="F830" s="5" t="s">
        <v>1312</v>
      </c>
      <c r="G830" s="3" t="s">
        <v>2289</v>
      </c>
      <c r="H830" s="3" t="s">
        <v>579</v>
      </c>
    </row>
    <row r="831" spans="1:8" ht="15.75" x14ac:dyDescent="0.25">
      <c r="A831" s="4">
        <v>37196</v>
      </c>
      <c r="B831" s="3" t="s">
        <v>6</v>
      </c>
      <c r="C831" s="3">
        <v>174</v>
      </c>
      <c r="D831" s="3">
        <v>45</v>
      </c>
      <c r="E831" s="3" t="s">
        <v>2296</v>
      </c>
      <c r="F831" s="5" t="s">
        <v>1200</v>
      </c>
      <c r="G831" s="3" t="s">
        <v>2297</v>
      </c>
      <c r="H831" s="3" t="s">
        <v>583</v>
      </c>
    </row>
    <row r="832" spans="1:8" ht="15.75" x14ac:dyDescent="0.25">
      <c r="A832" s="4">
        <v>37753</v>
      </c>
      <c r="B832" s="3" t="s">
        <v>6</v>
      </c>
      <c r="C832" s="3">
        <v>172</v>
      </c>
      <c r="D832" s="3">
        <v>62</v>
      </c>
      <c r="E832" s="3" t="s">
        <v>2308</v>
      </c>
      <c r="F832" s="5" t="s">
        <v>1095</v>
      </c>
      <c r="G832" s="3" t="s">
        <v>2309</v>
      </c>
      <c r="H832" s="3" t="s">
        <v>588</v>
      </c>
    </row>
    <row r="833" spans="1:8" ht="15.75" x14ac:dyDescent="0.25">
      <c r="A833" s="4">
        <v>38232</v>
      </c>
      <c r="B833" s="3" t="s">
        <v>6</v>
      </c>
      <c r="C833" s="3">
        <v>159</v>
      </c>
      <c r="D833" s="3">
        <v>46</v>
      </c>
      <c r="E833" s="3" t="s">
        <v>2322</v>
      </c>
      <c r="F833" s="5" t="s">
        <v>1063</v>
      </c>
      <c r="G833" s="3" t="s">
        <v>2323</v>
      </c>
      <c r="H833" s="3" t="s">
        <v>595</v>
      </c>
    </row>
    <row r="834" spans="1:8" ht="15.75" x14ac:dyDescent="0.25">
      <c r="A834" s="4">
        <v>37506</v>
      </c>
      <c r="B834" s="3" t="s">
        <v>6</v>
      </c>
      <c r="C834" s="3">
        <v>155</v>
      </c>
      <c r="D834" s="3">
        <v>69</v>
      </c>
      <c r="E834" s="3" t="s">
        <v>2340</v>
      </c>
      <c r="F834" s="5" t="s">
        <v>1069</v>
      </c>
      <c r="G834" s="3" t="s">
        <v>2341</v>
      </c>
      <c r="H834" s="3" t="s">
        <v>604</v>
      </c>
    </row>
    <row r="835" spans="1:8" ht="15.75" x14ac:dyDescent="0.25">
      <c r="A835" s="4">
        <v>37273</v>
      </c>
      <c r="B835" s="3" t="s">
        <v>6</v>
      </c>
      <c r="C835" s="3">
        <v>156</v>
      </c>
      <c r="D835" s="3">
        <v>62</v>
      </c>
      <c r="E835" s="3" t="s">
        <v>2356</v>
      </c>
      <c r="F835" s="5" t="s">
        <v>1929</v>
      </c>
      <c r="G835" s="3" t="s">
        <v>2357</v>
      </c>
      <c r="H835" s="3" t="s">
        <v>611</v>
      </c>
    </row>
    <row r="836" spans="1:8" ht="15.75" x14ac:dyDescent="0.25">
      <c r="A836" s="4">
        <v>37574</v>
      </c>
      <c r="B836" s="3" t="s">
        <v>6</v>
      </c>
      <c r="C836" s="3">
        <v>158</v>
      </c>
      <c r="D836" s="3">
        <v>92</v>
      </c>
      <c r="E836" s="3" t="s">
        <v>2378</v>
      </c>
      <c r="F836" s="5" t="s">
        <v>1376</v>
      </c>
      <c r="G836" s="3" t="s">
        <v>2379</v>
      </c>
      <c r="H836" s="3" t="s">
        <v>622</v>
      </c>
    </row>
    <row r="837" spans="1:8" ht="15.75" x14ac:dyDescent="0.25">
      <c r="A837" s="4">
        <v>37041</v>
      </c>
      <c r="B837" s="3" t="s">
        <v>6</v>
      </c>
      <c r="C837" s="3">
        <v>153</v>
      </c>
      <c r="D837" s="3">
        <v>52</v>
      </c>
      <c r="E837" s="3" t="s">
        <v>2470</v>
      </c>
      <c r="F837" s="5" t="s">
        <v>1223</v>
      </c>
      <c r="G837" s="3" t="s">
        <v>2471</v>
      </c>
      <c r="H837" s="3" t="s">
        <v>668</v>
      </c>
    </row>
    <row r="838" spans="1:8" ht="15.75" x14ac:dyDescent="0.25">
      <c r="A838" s="4">
        <v>37556</v>
      </c>
      <c r="B838" s="3" t="s">
        <v>6</v>
      </c>
      <c r="C838" s="3">
        <v>171</v>
      </c>
      <c r="D838" s="3">
        <v>83</v>
      </c>
      <c r="E838" s="3" t="s">
        <v>2494</v>
      </c>
      <c r="F838" s="5" t="s">
        <v>1075</v>
      </c>
      <c r="G838" s="3" t="s">
        <v>2495</v>
      </c>
      <c r="H838" s="3" t="s">
        <v>680</v>
      </c>
    </row>
    <row r="839" spans="1:8" ht="15.75" x14ac:dyDescent="0.25">
      <c r="A839" s="4">
        <v>38077</v>
      </c>
      <c r="B839" s="3" t="s">
        <v>6</v>
      </c>
      <c r="C839" s="3">
        <v>164</v>
      </c>
      <c r="D839" s="3">
        <v>78</v>
      </c>
      <c r="E839" s="3" t="s">
        <v>2498</v>
      </c>
      <c r="F839" s="5" t="s">
        <v>1100</v>
      </c>
      <c r="G839" s="3" t="s">
        <v>2499</v>
      </c>
      <c r="H839" s="3" t="s">
        <v>682</v>
      </c>
    </row>
    <row r="840" spans="1:8" ht="15.75" x14ac:dyDescent="0.25">
      <c r="A840" s="4">
        <v>37235</v>
      </c>
      <c r="B840" s="3" t="s">
        <v>6</v>
      </c>
      <c r="C840" s="3">
        <v>154</v>
      </c>
      <c r="D840" s="3">
        <v>71</v>
      </c>
      <c r="E840" s="3" t="s">
        <v>2510</v>
      </c>
      <c r="F840" s="5" t="s">
        <v>1483</v>
      </c>
      <c r="G840" s="3" t="s">
        <v>2511</v>
      </c>
      <c r="H840" s="3" t="s">
        <v>688</v>
      </c>
    </row>
    <row r="841" spans="1:8" ht="15.75" x14ac:dyDescent="0.25">
      <c r="A841" s="4">
        <v>37900</v>
      </c>
      <c r="B841" s="3" t="s">
        <v>6</v>
      </c>
      <c r="C841" s="3">
        <v>162</v>
      </c>
      <c r="D841" s="3">
        <v>57</v>
      </c>
      <c r="E841" s="3" t="s">
        <v>2530</v>
      </c>
      <c r="F841" s="5" t="s">
        <v>1108</v>
      </c>
      <c r="G841" s="3" t="s">
        <v>2531</v>
      </c>
      <c r="H841" s="3" t="s">
        <v>698</v>
      </c>
    </row>
    <row r="842" spans="1:8" ht="15.75" x14ac:dyDescent="0.25">
      <c r="A842" s="4">
        <v>37668</v>
      </c>
      <c r="B842" s="3" t="s">
        <v>6</v>
      </c>
      <c r="C842" s="3">
        <v>174</v>
      </c>
      <c r="D842" s="3">
        <v>49</v>
      </c>
      <c r="E842" s="3" t="s">
        <v>2533</v>
      </c>
      <c r="F842" s="5" t="s">
        <v>1173</v>
      </c>
      <c r="G842" s="3" t="s">
        <v>2534</v>
      </c>
      <c r="H842" s="3" t="s">
        <v>700</v>
      </c>
    </row>
    <row r="843" spans="1:8" ht="15.75" x14ac:dyDescent="0.25">
      <c r="A843" s="4">
        <v>37435</v>
      </c>
      <c r="B843" s="3" t="s">
        <v>6</v>
      </c>
      <c r="C843" s="3">
        <v>166</v>
      </c>
      <c r="D843" s="3">
        <v>73</v>
      </c>
      <c r="E843" s="3" t="s">
        <v>2537</v>
      </c>
      <c r="F843" s="5" t="s">
        <v>1072</v>
      </c>
      <c r="G843" s="3" t="s">
        <v>2538</v>
      </c>
      <c r="H843" s="3" t="s">
        <v>702</v>
      </c>
    </row>
    <row r="844" spans="1:8" ht="15.75" x14ac:dyDescent="0.25">
      <c r="A844" s="4">
        <v>37163</v>
      </c>
      <c r="B844" s="3" t="s">
        <v>6</v>
      </c>
      <c r="C844" s="3">
        <v>179</v>
      </c>
      <c r="D844" s="3">
        <v>92</v>
      </c>
      <c r="E844" s="3" t="s">
        <v>2543</v>
      </c>
      <c r="F844" s="5" t="s">
        <v>1167</v>
      </c>
      <c r="G844" s="3" t="s">
        <v>2544</v>
      </c>
      <c r="H844" s="3" t="s">
        <v>705</v>
      </c>
    </row>
    <row r="845" spans="1:8" ht="15.75" x14ac:dyDescent="0.25">
      <c r="A845" s="4">
        <v>38028</v>
      </c>
      <c r="B845" s="3" t="s">
        <v>6</v>
      </c>
      <c r="C845" s="3">
        <v>171</v>
      </c>
      <c r="D845" s="3">
        <v>73</v>
      </c>
      <c r="E845" s="3" t="s">
        <v>2581</v>
      </c>
      <c r="F845" s="5" t="s">
        <v>1480</v>
      </c>
      <c r="G845" s="3" t="s">
        <v>2582</v>
      </c>
      <c r="H845" s="3" t="s">
        <v>725</v>
      </c>
    </row>
    <row r="846" spans="1:8" ht="15.75" x14ac:dyDescent="0.25">
      <c r="A846" s="4">
        <v>38048</v>
      </c>
      <c r="B846" s="3" t="s">
        <v>6</v>
      </c>
      <c r="C846" s="3">
        <v>165</v>
      </c>
      <c r="D846" s="3">
        <v>75</v>
      </c>
      <c r="E846" s="3" t="s">
        <v>2604</v>
      </c>
      <c r="F846" s="5" t="s">
        <v>1284</v>
      </c>
      <c r="G846" s="3" t="s">
        <v>2605</v>
      </c>
      <c r="H846" s="3" t="s">
        <v>736</v>
      </c>
    </row>
    <row r="847" spans="1:8" ht="15.75" x14ac:dyDescent="0.25">
      <c r="A847" s="4">
        <v>37436</v>
      </c>
      <c r="B847" s="3" t="s">
        <v>6</v>
      </c>
      <c r="C847" s="3">
        <v>155</v>
      </c>
      <c r="D847" s="3">
        <v>58</v>
      </c>
      <c r="E847" s="3" t="s">
        <v>2648</v>
      </c>
      <c r="F847" s="5" t="s">
        <v>1260</v>
      </c>
      <c r="G847" s="3" t="s">
        <v>2649</v>
      </c>
      <c r="H847" s="3" t="s">
        <v>758</v>
      </c>
    </row>
    <row r="848" spans="1:8" ht="15.75" x14ac:dyDescent="0.25">
      <c r="A848" s="4">
        <v>37987</v>
      </c>
      <c r="B848" s="3" t="s">
        <v>6</v>
      </c>
      <c r="C848" s="3">
        <v>167</v>
      </c>
      <c r="D848" s="3">
        <v>75</v>
      </c>
      <c r="E848" s="3" t="s">
        <v>2677</v>
      </c>
      <c r="F848" s="5" t="s">
        <v>1218</v>
      </c>
      <c r="G848" s="3" t="s">
        <v>2678</v>
      </c>
      <c r="H848" s="3" t="s">
        <v>773</v>
      </c>
    </row>
    <row r="849" spans="1:8" ht="15.75" x14ac:dyDescent="0.25">
      <c r="A849" s="4">
        <v>37084</v>
      </c>
      <c r="B849" s="3" t="s">
        <v>6</v>
      </c>
      <c r="C849" s="3">
        <v>150</v>
      </c>
      <c r="D849" s="3">
        <v>48</v>
      </c>
      <c r="E849" s="3" t="s">
        <v>2682</v>
      </c>
      <c r="F849" s="5" t="s">
        <v>1347</v>
      </c>
      <c r="G849" s="3" t="s">
        <v>2683</v>
      </c>
      <c r="H849" s="3" t="s">
        <v>776</v>
      </c>
    </row>
    <row r="850" spans="1:8" ht="15.75" x14ac:dyDescent="0.25">
      <c r="A850" s="4">
        <v>37422</v>
      </c>
      <c r="B850" s="3" t="s">
        <v>6</v>
      </c>
      <c r="C850" s="3">
        <v>150</v>
      </c>
      <c r="D850" s="3">
        <v>68</v>
      </c>
      <c r="E850" s="3" t="s">
        <v>2684</v>
      </c>
      <c r="F850" s="5" t="s">
        <v>1167</v>
      </c>
      <c r="G850" s="3" t="s">
        <v>2685</v>
      </c>
      <c r="H850" s="3" t="s">
        <v>777</v>
      </c>
    </row>
    <row r="851" spans="1:8" ht="15.75" x14ac:dyDescent="0.25">
      <c r="A851" s="4">
        <v>37047</v>
      </c>
      <c r="B851" s="3" t="s">
        <v>6</v>
      </c>
      <c r="C851" s="3">
        <v>172</v>
      </c>
      <c r="D851" s="3">
        <v>85</v>
      </c>
      <c r="E851" s="3" t="s">
        <v>2702</v>
      </c>
      <c r="F851" s="5" t="s">
        <v>1213</v>
      </c>
      <c r="G851" s="3" t="s">
        <v>2703</v>
      </c>
      <c r="H851" s="3" t="s">
        <v>786</v>
      </c>
    </row>
    <row r="852" spans="1:8" ht="15.75" x14ac:dyDescent="0.25">
      <c r="A852" s="4">
        <v>37885</v>
      </c>
      <c r="B852" s="3" t="s">
        <v>6</v>
      </c>
      <c r="C852" s="3">
        <v>163</v>
      </c>
      <c r="D852" s="3">
        <v>85</v>
      </c>
      <c r="E852" s="3" t="s">
        <v>2704</v>
      </c>
      <c r="F852" s="5" t="s">
        <v>1530</v>
      </c>
      <c r="G852" s="3" t="s">
        <v>2705</v>
      </c>
      <c r="H852" s="3" t="s">
        <v>787</v>
      </c>
    </row>
    <row r="853" spans="1:8" ht="15.75" x14ac:dyDescent="0.25">
      <c r="A853" s="4">
        <v>37113</v>
      </c>
      <c r="B853" s="3" t="s">
        <v>6</v>
      </c>
      <c r="C853" s="3">
        <v>179</v>
      </c>
      <c r="D853" s="3">
        <v>57</v>
      </c>
      <c r="E853" s="3" t="s">
        <v>2718</v>
      </c>
      <c r="F853" s="5" t="s">
        <v>1090</v>
      </c>
      <c r="G853" s="3" t="s">
        <v>2719</v>
      </c>
      <c r="H853" s="3" t="s">
        <v>794</v>
      </c>
    </row>
    <row r="854" spans="1:8" ht="15.75" x14ac:dyDescent="0.25">
      <c r="A854" s="4">
        <v>37424</v>
      </c>
      <c r="B854" s="3" t="s">
        <v>6</v>
      </c>
      <c r="C854" s="3">
        <v>180</v>
      </c>
      <c r="D854" s="3">
        <v>81</v>
      </c>
      <c r="E854" s="3" t="s">
        <v>2723</v>
      </c>
      <c r="F854" s="5" t="s">
        <v>1170</v>
      </c>
      <c r="G854" s="3" t="s">
        <v>2724</v>
      </c>
      <c r="H854" s="3" t="s">
        <v>797</v>
      </c>
    </row>
    <row r="855" spans="1:8" ht="15.75" x14ac:dyDescent="0.25">
      <c r="A855" s="4">
        <v>37149</v>
      </c>
      <c r="B855" s="3" t="s">
        <v>6</v>
      </c>
      <c r="C855" s="3">
        <v>170</v>
      </c>
      <c r="D855" s="3">
        <v>50</v>
      </c>
      <c r="E855" s="3" t="s">
        <v>2725</v>
      </c>
      <c r="F855" s="5" t="s">
        <v>1247</v>
      </c>
      <c r="G855" s="3" t="s">
        <v>2726</v>
      </c>
      <c r="H855" s="3" t="s">
        <v>798</v>
      </c>
    </row>
    <row r="856" spans="1:8" ht="15.75" x14ac:dyDescent="0.25">
      <c r="A856" s="4">
        <v>38330</v>
      </c>
      <c r="B856" s="3" t="s">
        <v>6</v>
      </c>
      <c r="C856" s="3">
        <v>161</v>
      </c>
      <c r="D856" s="3">
        <v>77</v>
      </c>
      <c r="E856" s="3" t="s">
        <v>2737</v>
      </c>
      <c r="F856" s="5" t="s">
        <v>1176</v>
      </c>
      <c r="G856" s="3" t="s">
        <v>2738</v>
      </c>
      <c r="H856" s="3" t="s">
        <v>804</v>
      </c>
    </row>
    <row r="857" spans="1:8" ht="15.75" x14ac:dyDescent="0.25">
      <c r="A857" s="4">
        <v>37157</v>
      </c>
      <c r="B857" s="3" t="s">
        <v>6</v>
      </c>
      <c r="C857" s="3">
        <v>180</v>
      </c>
      <c r="D857" s="3">
        <v>93</v>
      </c>
      <c r="E857" s="3" t="s">
        <v>2753</v>
      </c>
      <c r="F857" s="5" t="s">
        <v>1315</v>
      </c>
      <c r="G857" s="3" t="s">
        <v>2754</v>
      </c>
      <c r="H857" s="3" t="s">
        <v>812</v>
      </c>
    </row>
    <row r="858" spans="1:8" ht="15.75" x14ac:dyDescent="0.25">
      <c r="A858" s="4">
        <v>38339</v>
      </c>
      <c r="B858" s="3" t="s">
        <v>6</v>
      </c>
      <c r="C858" s="3">
        <v>180</v>
      </c>
      <c r="D858" s="3">
        <v>61</v>
      </c>
      <c r="E858" s="3" t="s">
        <v>2380</v>
      </c>
      <c r="F858" s="5" t="s">
        <v>1309</v>
      </c>
      <c r="G858" s="3" t="s">
        <v>2822</v>
      </c>
      <c r="H858" s="3" t="s">
        <v>846</v>
      </c>
    </row>
    <row r="859" spans="1:8" ht="15.75" x14ac:dyDescent="0.25">
      <c r="A859" s="4">
        <v>37711</v>
      </c>
      <c r="B859" s="3" t="s">
        <v>6</v>
      </c>
      <c r="C859" s="3">
        <v>175</v>
      </c>
      <c r="D859" s="3">
        <v>84</v>
      </c>
      <c r="E859" s="3" t="s">
        <v>2835</v>
      </c>
      <c r="F859" s="5" t="s">
        <v>1176</v>
      </c>
      <c r="G859" s="3" t="s">
        <v>2836</v>
      </c>
      <c r="H859" s="3" t="s">
        <v>852</v>
      </c>
    </row>
    <row r="860" spans="1:8" ht="15.75" x14ac:dyDescent="0.25">
      <c r="A860" s="4">
        <v>37945</v>
      </c>
      <c r="B860" s="3" t="s">
        <v>6</v>
      </c>
      <c r="C860" s="3">
        <v>163</v>
      </c>
      <c r="D860" s="3">
        <v>94</v>
      </c>
      <c r="E860" s="3" t="s">
        <v>2881</v>
      </c>
      <c r="F860" s="5" t="s">
        <v>1210</v>
      </c>
      <c r="G860" s="3" t="s">
        <v>2882</v>
      </c>
      <c r="H860" s="3" t="s">
        <v>873</v>
      </c>
    </row>
    <row r="861" spans="1:8" ht="15.75" x14ac:dyDescent="0.25">
      <c r="A861" s="4">
        <v>38462</v>
      </c>
      <c r="B861" s="3" t="s">
        <v>6</v>
      </c>
      <c r="C861" s="3">
        <v>159</v>
      </c>
      <c r="D861" s="3">
        <v>63</v>
      </c>
      <c r="E861" s="3" t="s">
        <v>2901</v>
      </c>
      <c r="F861" s="5" t="s">
        <v>1483</v>
      </c>
      <c r="G861" s="3" t="s">
        <v>2902</v>
      </c>
      <c r="H861" s="3" t="s">
        <v>883</v>
      </c>
    </row>
    <row r="862" spans="1:8" ht="15.75" x14ac:dyDescent="0.25">
      <c r="A862" s="4">
        <v>38441</v>
      </c>
      <c r="B862" s="3" t="s">
        <v>6</v>
      </c>
      <c r="C862" s="3">
        <v>164</v>
      </c>
      <c r="D862" s="3">
        <v>83</v>
      </c>
      <c r="E862" s="3" t="s">
        <v>2907</v>
      </c>
      <c r="F862" s="5" t="s">
        <v>1371</v>
      </c>
      <c r="G862" s="3" t="s">
        <v>2908</v>
      </c>
      <c r="H862" s="3" t="s">
        <v>886</v>
      </c>
    </row>
    <row r="863" spans="1:8" ht="15.75" x14ac:dyDescent="0.25">
      <c r="A863" s="4">
        <v>37317</v>
      </c>
      <c r="B863" s="3" t="s">
        <v>6</v>
      </c>
      <c r="C863" s="3">
        <v>179</v>
      </c>
      <c r="D863" s="3">
        <v>69</v>
      </c>
      <c r="E863" s="3" t="s">
        <v>2911</v>
      </c>
      <c r="F863" s="5" t="s">
        <v>1284</v>
      </c>
      <c r="G863" s="3" t="s">
        <v>2912</v>
      </c>
      <c r="H863" s="3" t="s">
        <v>888</v>
      </c>
    </row>
    <row r="864" spans="1:8" ht="15.75" x14ac:dyDescent="0.25">
      <c r="A864" s="4">
        <v>37398</v>
      </c>
      <c r="B864" s="3" t="s">
        <v>6</v>
      </c>
      <c r="C864" s="3">
        <v>178</v>
      </c>
      <c r="D864" s="3">
        <v>49</v>
      </c>
      <c r="E864" s="3" t="s">
        <v>2913</v>
      </c>
      <c r="F864" s="5" t="s">
        <v>1072</v>
      </c>
      <c r="G864" s="3" t="s">
        <v>2914</v>
      </c>
      <c r="H864" s="3" t="s">
        <v>889</v>
      </c>
    </row>
    <row r="865" spans="1:8" ht="15.75" x14ac:dyDescent="0.25">
      <c r="A865" s="4">
        <v>37479</v>
      </c>
      <c r="B865" s="3" t="s">
        <v>6</v>
      </c>
      <c r="C865" s="3">
        <v>173</v>
      </c>
      <c r="D865" s="3">
        <v>78</v>
      </c>
      <c r="E865" s="3" t="s">
        <v>2923</v>
      </c>
      <c r="F865" s="5" t="s">
        <v>1429</v>
      </c>
      <c r="G865" s="3" t="s">
        <v>2924</v>
      </c>
      <c r="H865" s="3" t="s">
        <v>894</v>
      </c>
    </row>
    <row r="866" spans="1:8" ht="15.75" x14ac:dyDescent="0.25">
      <c r="A866" s="4">
        <v>38223</v>
      </c>
      <c r="B866" s="3" t="s">
        <v>6</v>
      </c>
      <c r="C866" s="3">
        <v>173</v>
      </c>
      <c r="D866" s="3">
        <v>89</v>
      </c>
      <c r="E866" s="3" t="s">
        <v>2925</v>
      </c>
      <c r="F866" s="5" t="s">
        <v>1120</v>
      </c>
      <c r="G866" s="3" t="s">
        <v>2926</v>
      </c>
      <c r="H866" s="3" t="s">
        <v>895</v>
      </c>
    </row>
    <row r="867" spans="1:8" ht="15.75" x14ac:dyDescent="0.25">
      <c r="A867" s="4">
        <v>37084</v>
      </c>
      <c r="B867" s="3" t="s">
        <v>6</v>
      </c>
      <c r="C867" s="3">
        <v>156</v>
      </c>
      <c r="D867" s="3">
        <v>78</v>
      </c>
      <c r="E867" s="3" t="s">
        <v>2941</v>
      </c>
      <c r="F867" s="5" t="s">
        <v>1371</v>
      </c>
      <c r="G867" s="3" t="s">
        <v>2942</v>
      </c>
      <c r="H867" s="3" t="s">
        <v>903</v>
      </c>
    </row>
    <row r="868" spans="1:8" ht="15.75" x14ac:dyDescent="0.25">
      <c r="A868" s="4">
        <v>37478</v>
      </c>
      <c r="B868" s="3" t="s">
        <v>6</v>
      </c>
      <c r="C868" s="3">
        <v>180</v>
      </c>
      <c r="D868" s="3">
        <v>84</v>
      </c>
      <c r="E868" s="3" t="s">
        <v>2955</v>
      </c>
      <c r="F868" s="5" t="s">
        <v>1200</v>
      </c>
      <c r="G868" s="3" t="s">
        <v>2956</v>
      </c>
      <c r="H868" s="3" t="s">
        <v>909</v>
      </c>
    </row>
    <row r="869" spans="1:8" ht="15.75" x14ac:dyDescent="0.25">
      <c r="A869" s="4">
        <v>37502</v>
      </c>
      <c r="B869" s="3" t="s">
        <v>6</v>
      </c>
      <c r="C869" s="3">
        <v>172</v>
      </c>
      <c r="D869" s="3">
        <v>74</v>
      </c>
      <c r="E869" s="3" t="s">
        <v>2963</v>
      </c>
      <c r="F869" s="5" t="s">
        <v>1309</v>
      </c>
      <c r="G869" s="3" t="s">
        <v>2964</v>
      </c>
      <c r="H869" s="3" t="s">
        <v>913</v>
      </c>
    </row>
    <row r="870" spans="1:8" ht="15.75" x14ac:dyDescent="0.25">
      <c r="A870" s="4">
        <v>38331</v>
      </c>
      <c r="B870" s="3" t="s">
        <v>6</v>
      </c>
      <c r="C870" s="3">
        <v>161</v>
      </c>
      <c r="D870" s="3">
        <v>55</v>
      </c>
      <c r="E870" s="3" t="s">
        <v>2979</v>
      </c>
      <c r="F870" s="5" t="s">
        <v>1717</v>
      </c>
      <c r="G870" s="3" t="s">
        <v>2980</v>
      </c>
      <c r="H870" s="3" t="s">
        <v>921</v>
      </c>
    </row>
    <row r="871" spans="1:8" ht="15.75" x14ac:dyDescent="0.25">
      <c r="A871" s="4">
        <v>37988</v>
      </c>
      <c r="B871" s="3" t="s">
        <v>6</v>
      </c>
      <c r="C871" s="3">
        <v>158</v>
      </c>
      <c r="D871" s="3">
        <v>95</v>
      </c>
      <c r="E871" s="3" t="s">
        <v>2995</v>
      </c>
      <c r="F871" s="5" t="s">
        <v>1502</v>
      </c>
      <c r="G871" s="3" t="s">
        <v>2996</v>
      </c>
      <c r="H871" s="3" t="s">
        <v>929</v>
      </c>
    </row>
    <row r="872" spans="1:8" ht="15.75" x14ac:dyDescent="0.25">
      <c r="A872" s="4">
        <v>38366</v>
      </c>
      <c r="B872" s="3" t="s">
        <v>6</v>
      </c>
      <c r="C872" s="3">
        <v>167</v>
      </c>
      <c r="D872" s="3">
        <v>55</v>
      </c>
      <c r="E872" s="3" t="s">
        <v>3015</v>
      </c>
      <c r="F872" s="5" t="s">
        <v>1929</v>
      </c>
      <c r="G872" s="3" t="s">
        <v>3016</v>
      </c>
      <c r="H872" s="3" t="s">
        <v>940</v>
      </c>
    </row>
    <row r="873" spans="1:8" ht="15.75" x14ac:dyDescent="0.25">
      <c r="A873" s="4">
        <v>37699</v>
      </c>
      <c r="B873" s="3" t="s">
        <v>6</v>
      </c>
      <c r="C873" s="3">
        <v>164</v>
      </c>
      <c r="D873" s="3">
        <v>52</v>
      </c>
      <c r="E873" s="3" t="s">
        <v>3017</v>
      </c>
      <c r="F873" s="5" t="s">
        <v>1822</v>
      </c>
      <c r="G873" s="3" t="s">
        <v>3018</v>
      </c>
      <c r="H873" s="3" t="s">
        <v>941</v>
      </c>
    </row>
    <row r="874" spans="1:8" ht="15.75" x14ac:dyDescent="0.25">
      <c r="A874" s="4">
        <v>37817</v>
      </c>
      <c r="B874" s="3" t="s">
        <v>6</v>
      </c>
      <c r="C874" s="3">
        <v>163</v>
      </c>
      <c r="D874" s="3">
        <v>55</v>
      </c>
      <c r="E874" s="3" t="s">
        <v>3027</v>
      </c>
      <c r="F874" s="5" t="s">
        <v>1312</v>
      </c>
      <c r="G874" s="3" t="s">
        <v>3028</v>
      </c>
      <c r="H874" s="3" t="s">
        <v>946</v>
      </c>
    </row>
    <row r="875" spans="1:8" ht="15.75" x14ac:dyDescent="0.25">
      <c r="A875" s="4">
        <v>38066</v>
      </c>
      <c r="B875" s="3" t="s">
        <v>6</v>
      </c>
      <c r="C875" s="3">
        <v>166</v>
      </c>
      <c r="D875" s="3">
        <v>50</v>
      </c>
      <c r="E875" s="3" t="s">
        <v>1821</v>
      </c>
      <c r="F875" s="5" t="s">
        <v>1488</v>
      </c>
      <c r="G875" s="3" t="s">
        <v>3031</v>
      </c>
      <c r="H875" s="3" t="s">
        <v>948</v>
      </c>
    </row>
    <row r="876" spans="1:8" ht="15.75" x14ac:dyDescent="0.25">
      <c r="A876" s="4">
        <v>37184</v>
      </c>
      <c r="B876" s="3" t="s">
        <v>6</v>
      </c>
      <c r="C876" s="3">
        <v>156</v>
      </c>
      <c r="D876" s="3">
        <v>54</v>
      </c>
      <c r="E876" s="3" t="s">
        <v>3036</v>
      </c>
      <c r="F876" s="5" t="s">
        <v>1287</v>
      </c>
      <c r="G876" s="3" t="s">
        <v>3037</v>
      </c>
      <c r="H876" s="3" t="s">
        <v>951</v>
      </c>
    </row>
    <row r="877" spans="1:8" ht="15.75" x14ac:dyDescent="0.25">
      <c r="A877" s="4">
        <v>37028</v>
      </c>
      <c r="B877" s="3" t="s">
        <v>6</v>
      </c>
      <c r="C877" s="3">
        <v>178</v>
      </c>
      <c r="D877" s="3">
        <v>70</v>
      </c>
      <c r="E877" s="3" t="s">
        <v>3040</v>
      </c>
      <c r="F877" s="5" t="s">
        <v>1069</v>
      </c>
      <c r="G877" s="3" t="s">
        <v>3041</v>
      </c>
      <c r="H877" s="3" t="s">
        <v>953</v>
      </c>
    </row>
    <row r="878" spans="1:8" ht="15.75" x14ac:dyDescent="0.25">
      <c r="A878" s="4">
        <v>37653</v>
      </c>
      <c r="B878" s="3" t="s">
        <v>6</v>
      </c>
      <c r="C878" s="3">
        <v>163</v>
      </c>
      <c r="D878" s="3">
        <v>56</v>
      </c>
      <c r="E878" s="3" t="s">
        <v>3050</v>
      </c>
      <c r="F878" s="5" t="s">
        <v>1342</v>
      </c>
      <c r="G878" s="3" t="s">
        <v>3051</v>
      </c>
      <c r="H878" s="3" t="s">
        <v>958</v>
      </c>
    </row>
    <row r="879" spans="1:8" ht="15.75" x14ac:dyDescent="0.25">
      <c r="A879" s="4">
        <v>37625</v>
      </c>
      <c r="B879" s="3" t="s">
        <v>6</v>
      </c>
      <c r="C879" s="3">
        <v>154</v>
      </c>
      <c r="D879" s="3">
        <v>91</v>
      </c>
      <c r="E879" s="3" t="s">
        <v>3062</v>
      </c>
      <c r="F879" s="5" t="s">
        <v>1105</v>
      </c>
      <c r="G879" s="3" t="s">
        <v>3063</v>
      </c>
      <c r="H879" s="3" t="s">
        <v>964</v>
      </c>
    </row>
    <row r="880" spans="1:8" ht="15.75" x14ac:dyDescent="0.25">
      <c r="A880" s="4">
        <v>38363</v>
      </c>
      <c r="B880" s="3" t="s">
        <v>6</v>
      </c>
      <c r="C880" s="3">
        <v>172</v>
      </c>
      <c r="D880" s="3">
        <v>83</v>
      </c>
      <c r="E880" s="3" t="s">
        <v>3072</v>
      </c>
      <c r="F880" s="5" t="s">
        <v>1822</v>
      </c>
      <c r="G880" s="3" t="s">
        <v>3073</v>
      </c>
      <c r="H880" s="3" t="s">
        <v>969</v>
      </c>
    </row>
    <row r="881" spans="1:8" ht="15.75" x14ac:dyDescent="0.25">
      <c r="A881" s="4">
        <v>37647</v>
      </c>
      <c r="B881" s="3" t="s">
        <v>6</v>
      </c>
      <c r="C881" s="3">
        <v>170</v>
      </c>
      <c r="D881" s="3">
        <v>81</v>
      </c>
      <c r="E881" s="3" t="s">
        <v>3085</v>
      </c>
      <c r="F881" s="5" t="s">
        <v>1139</v>
      </c>
      <c r="G881" s="3" t="s">
        <v>3086</v>
      </c>
      <c r="H881" s="3" t="s">
        <v>976</v>
      </c>
    </row>
    <row r="882" spans="1:8" ht="15.75" x14ac:dyDescent="0.25">
      <c r="A882" s="4">
        <v>37558</v>
      </c>
      <c r="B882" s="3" t="s">
        <v>6</v>
      </c>
      <c r="C882" s="3">
        <v>179</v>
      </c>
      <c r="D882" s="3">
        <v>68</v>
      </c>
      <c r="E882" s="3" t="s">
        <v>3095</v>
      </c>
      <c r="F882" s="5" t="s">
        <v>1263</v>
      </c>
      <c r="G882" s="3" t="s">
        <v>3096</v>
      </c>
      <c r="H882" s="3" t="s">
        <v>981</v>
      </c>
    </row>
    <row r="883" spans="1:8" ht="15.75" x14ac:dyDescent="0.25">
      <c r="A883" s="4">
        <v>38468</v>
      </c>
      <c r="B883" s="3" t="s">
        <v>6</v>
      </c>
      <c r="C883" s="3">
        <v>177</v>
      </c>
      <c r="D883" s="3">
        <v>90</v>
      </c>
      <c r="E883" s="3" t="s">
        <v>3111</v>
      </c>
      <c r="F883" s="5" t="s">
        <v>1108</v>
      </c>
      <c r="G883" s="3" t="s">
        <v>3112</v>
      </c>
      <c r="H883" s="3" t="s">
        <v>989</v>
      </c>
    </row>
    <row r="884" spans="1:8" ht="15.75" x14ac:dyDescent="0.25">
      <c r="A884" s="4">
        <v>37983</v>
      </c>
      <c r="B884" s="3" t="s">
        <v>6</v>
      </c>
      <c r="C884" s="3">
        <v>152</v>
      </c>
      <c r="D884" s="3">
        <v>89</v>
      </c>
      <c r="E884" s="3" t="s">
        <v>2554</v>
      </c>
      <c r="F884" s="5" t="s">
        <v>1207</v>
      </c>
      <c r="G884" s="3" t="s">
        <v>3113</v>
      </c>
      <c r="H884" s="3" t="s">
        <v>990</v>
      </c>
    </row>
    <row r="885" spans="1:8" ht="15.75" x14ac:dyDescent="0.25">
      <c r="A885" s="4">
        <v>37970</v>
      </c>
      <c r="B885" s="3" t="s">
        <v>6</v>
      </c>
      <c r="C885" s="3">
        <v>172</v>
      </c>
      <c r="D885" s="3">
        <v>49</v>
      </c>
      <c r="E885" s="3" t="s">
        <v>3124</v>
      </c>
      <c r="F885" s="5" t="s">
        <v>1347</v>
      </c>
      <c r="G885" s="3" t="s">
        <v>3125</v>
      </c>
      <c r="H885" s="3" t="s">
        <v>996</v>
      </c>
    </row>
    <row r="886" spans="1:8" ht="15.75" x14ac:dyDescent="0.25">
      <c r="A886" s="4">
        <v>37974</v>
      </c>
      <c r="B886" s="3" t="s">
        <v>0</v>
      </c>
      <c r="C886" s="3">
        <v>161</v>
      </c>
      <c r="D886" s="3">
        <v>84</v>
      </c>
      <c r="E886" s="3" t="s">
        <v>1071</v>
      </c>
      <c r="F886" s="5" t="s">
        <v>1072</v>
      </c>
      <c r="G886" s="3" t="s">
        <v>1073</v>
      </c>
      <c r="H886" s="3" t="s">
        <v>21</v>
      </c>
    </row>
    <row r="887" spans="1:8" ht="15.75" x14ac:dyDescent="0.25">
      <c r="A887" s="4">
        <v>38212</v>
      </c>
      <c r="B887" s="3" t="s">
        <v>0</v>
      </c>
      <c r="C887" s="3">
        <v>166</v>
      </c>
      <c r="D887" s="3">
        <v>81</v>
      </c>
      <c r="E887" s="3" t="s">
        <v>1133</v>
      </c>
      <c r="F887" s="5" t="s">
        <v>1129</v>
      </c>
      <c r="G887" s="3" t="s">
        <v>1134</v>
      </c>
      <c r="H887" s="3" t="s">
        <v>42</v>
      </c>
    </row>
    <row r="888" spans="1:8" ht="15.75" x14ac:dyDescent="0.25">
      <c r="A888" s="4">
        <v>38394</v>
      </c>
      <c r="B888" s="3" t="s">
        <v>0</v>
      </c>
      <c r="C888" s="3">
        <v>176</v>
      </c>
      <c r="D888" s="3">
        <v>91</v>
      </c>
      <c r="E888" s="3" t="s">
        <v>1146</v>
      </c>
      <c r="F888" s="5" t="s">
        <v>1147</v>
      </c>
      <c r="G888" s="3" t="s">
        <v>1148</v>
      </c>
      <c r="H888" s="3" t="s">
        <v>47</v>
      </c>
    </row>
    <row r="889" spans="1:8" ht="15.75" x14ac:dyDescent="0.25">
      <c r="A889" s="4">
        <v>37977</v>
      </c>
      <c r="B889" s="3" t="s">
        <v>0</v>
      </c>
      <c r="C889" s="3">
        <v>173</v>
      </c>
      <c r="D889" s="3">
        <v>75</v>
      </c>
      <c r="E889" s="3" t="s">
        <v>1157</v>
      </c>
      <c r="F889" s="5" t="s">
        <v>1144</v>
      </c>
      <c r="G889" s="3" t="s">
        <v>1158</v>
      </c>
      <c r="H889" s="3" t="s">
        <v>51</v>
      </c>
    </row>
    <row r="890" spans="1:8" ht="15.75" x14ac:dyDescent="0.25">
      <c r="A890" s="4">
        <v>38454</v>
      </c>
      <c r="B890" s="3" t="s">
        <v>0</v>
      </c>
      <c r="C890" s="3">
        <v>155</v>
      </c>
      <c r="D890" s="3">
        <v>82</v>
      </c>
      <c r="E890" s="3" t="s">
        <v>1161</v>
      </c>
      <c r="F890" s="5" t="s">
        <v>1162</v>
      </c>
      <c r="G890" s="3" t="s">
        <v>1163</v>
      </c>
      <c r="H890" s="3" t="s">
        <v>53</v>
      </c>
    </row>
    <row r="891" spans="1:8" ht="15.75" x14ac:dyDescent="0.25">
      <c r="A891" s="4">
        <v>38404</v>
      </c>
      <c r="B891" s="3" t="s">
        <v>0</v>
      </c>
      <c r="C891" s="3">
        <v>163</v>
      </c>
      <c r="D891" s="3">
        <v>51</v>
      </c>
      <c r="E891" s="3" t="s">
        <v>1175</v>
      </c>
      <c r="F891" s="5" t="s">
        <v>1176</v>
      </c>
      <c r="G891" s="3" t="s">
        <v>1177</v>
      </c>
      <c r="H891" s="3" t="s">
        <v>58</v>
      </c>
    </row>
    <row r="892" spans="1:8" ht="15.75" x14ac:dyDescent="0.25">
      <c r="A892" s="4">
        <v>38456</v>
      </c>
      <c r="B892" s="3" t="s">
        <v>0</v>
      </c>
      <c r="C892" s="3">
        <v>175</v>
      </c>
      <c r="D892" s="3">
        <v>60</v>
      </c>
      <c r="E892" s="3" t="s">
        <v>1189</v>
      </c>
      <c r="F892" s="5" t="s">
        <v>1123</v>
      </c>
      <c r="G892" s="3" t="s">
        <v>1190</v>
      </c>
      <c r="H892" s="3" t="s">
        <v>63</v>
      </c>
    </row>
    <row r="893" spans="1:8" ht="15.75" x14ac:dyDescent="0.25">
      <c r="A893" s="4">
        <v>38096</v>
      </c>
      <c r="B893" s="3" t="s">
        <v>0</v>
      </c>
      <c r="C893" s="3">
        <v>150</v>
      </c>
      <c r="D893" s="3">
        <v>83</v>
      </c>
      <c r="E893" s="3" t="s">
        <v>1212</v>
      </c>
      <c r="F893" s="5" t="s">
        <v>1213</v>
      </c>
      <c r="G893" s="3" t="s">
        <v>1214</v>
      </c>
      <c r="H893" s="3" t="s">
        <v>72</v>
      </c>
    </row>
    <row r="894" spans="1:8" ht="15.75" x14ac:dyDescent="0.25">
      <c r="A894" s="4">
        <v>38431</v>
      </c>
      <c r="B894" s="3" t="s">
        <v>0</v>
      </c>
      <c r="C894" s="3">
        <v>159</v>
      </c>
      <c r="D894" s="3">
        <v>86</v>
      </c>
      <c r="E894" s="3" t="s">
        <v>1220</v>
      </c>
      <c r="F894" s="5" t="s">
        <v>1210</v>
      </c>
      <c r="G894" s="3" t="s">
        <v>1221</v>
      </c>
      <c r="H894" s="3" t="s">
        <v>75</v>
      </c>
    </row>
    <row r="895" spans="1:8" ht="15.75" x14ac:dyDescent="0.25">
      <c r="A895" s="4">
        <v>37836</v>
      </c>
      <c r="B895" s="3" t="s">
        <v>0</v>
      </c>
      <c r="C895" s="3">
        <v>154</v>
      </c>
      <c r="D895" s="3">
        <v>85</v>
      </c>
      <c r="E895" s="3" t="s">
        <v>1242</v>
      </c>
      <c r="F895" s="5" t="s">
        <v>1120</v>
      </c>
      <c r="G895" s="3" t="s">
        <v>1243</v>
      </c>
      <c r="H895" s="3" t="s">
        <v>83</v>
      </c>
    </row>
    <row r="896" spans="1:8" ht="15.75" x14ac:dyDescent="0.25">
      <c r="A896" s="4">
        <v>38340</v>
      </c>
      <c r="B896" s="3" t="s">
        <v>0</v>
      </c>
      <c r="C896" s="3">
        <v>168</v>
      </c>
      <c r="D896" s="3">
        <v>95</v>
      </c>
      <c r="E896" s="3" t="s">
        <v>1246</v>
      </c>
      <c r="F896" s="5" t="s">
        <v>1247</v>
      </c>
      <c r="G896" s="3" t="s">
        <v>1248</v>
      </c>
      <c r="H896" s="3" t="s">
        <v>85</v>
      </c>
    </row>
    <row r="897" spans="1:8" ht="15.75" x14ac:dyDescent="0.25">
      <c r="A897" s="4">
        <v>37738</v>
      </c>
      <c r="B897" s="3" t="s">
        <v>0</v>
      </c>
      <c r="C897" s="3">
        <v>155</v>
      </c>
      <c r="D897" s="3">
        <v>45</v>
      </c>
      <c r="E897" s="3" t="s">
        <v>1272</v>
      </c>
      <c r="F897" s="5" t="s">
        <v>1260</v>
      </c>
      <c r="G897" s="3" t="s">
        <v>1273</v>
      </c>
      <c r="H897" s="3" t="s">
        <v>95</v>
      </c>
    </row>
    <row r="898" spans="1:8" ht="15.75" x14ac:dyDescent="0.25">
      <c r="A898" s="4">
        <v>38441</v>
      </c>
      <c r="B898" s="3" t="s">
        <v>0</v>
      </c>
      <c r="C898" s="3">
        <v>169</v>
      </c>
      <c r="D898" s="3">
        <v>71</v>
      </c>
      <c r="E898" s="3" t="s">
        <v>1283</v>
      </c>
      <c r="F898" s="5" t="s">
        <v>1284</v>
      </c>
      <c r="G898" s="3" t="s">
        <v>1285</v>
      </c>
      <c r="H898" s="3" t="s">
        <v>100</v>
      </c>
    </row>
    <row r="899" spans="1:8" ht="15.75" x14ac:dyDescent="0.25">
      <c r="A899" s="4">
        <v>37180</v>
      </c>
      <c r="B899" s="3" t="s">
        <v>0</v>
      </c>
      <c r="C899" s="3">
        <v>157</v>
      </c>
      <c r="D899" s="3">
        <v>48</v>
      </c>
      <c r="E899" s="3" t="s">
        <v>1300</v>
      </c>
      <c r="F899" s="5" t="s">
        <v>1252</v>
      </c>
      <c r="G899" s="3" t="s">
        <v>1301</v>
      </c>
      <c r="H899" s="3" t="s">
        <v>106</v>
      </c>
    </row>
    <row r="900" spans="1:8" ht="15.75" x14ac:dyDescent="0.25">
      <c r="A900" s="4">
        <v>38226</v>
      </c>
      <c r="B900" s="3" t="s">
        <v>0</v>
      </c>
      <c r="C900" s="3">
        <v>160</v>
      </c>
      <c r="D900" s="3">
        <v>46</v>
      </c>
      <c r="E900" s="3" t="s">
        <v>1326</v>
      </c>
      <c r="F900" s="5" t="s">
        <v>1120</v>
      </c>
      <c r="G900" s="3" t="s">
        <v>1327</v>
      </c>
      <c r="H900" s="3" t="s">
        <v>117</v>
      </c>
    </row>
    <row r="901" spans="1:8" ht="15.75" x14ac:dyDescent="0.25">
      <c r="A901" s="4">
        <v>37629</v>
      </c>
      <c r="B901" s="3" t="s">
        <v>0</v>
      </c>
      <c r="C901" s="3">
        <v>162</v>
      </c>
      <c r="D901" s="3">
        <v>95</v>
      </c>
      <c r="E901" s="3" t="s">
        <v>1387</v>
      </c>
      <c r="F901" s="5" t="s">
        <v>1139</v>
      </c>
      <c r="G901" s="3" t="s">
        <v>1388</v>
      </c>
      <c r="H901" s="3" t="s">
        <v>143</v>
      </c>
    </row>
    <row r="902" spans="1:8" ht="15.75" x14ac:dyDescent="0.25">
      <c r="A902" s="4">
        <v>37865</v>
      </c>
      <c r="B902" s="3" t="s">
        <v>0</v>
      </c>
      <c r="C902" s="3">
        <v>167</v>
      </c>
      <c r="D902" s="3">
        <v>56</v>
      </c>
      <c r="E902" s="3" t="s">
        <v>1400</v>
      </c>
      <c r="F902" s="5" t="s">
        <v>1401</v>
      </c>
      <c r="G902" s="3" t="s">
        <v>1402</v>
      </c>
      <c r="H902" s="3" t="s">
        <v>149</v>
      </c>
    </row>
    <row r="903" spans="1:8" ht="15.75" x14ac:dyDescent="0.25">
      <c r="A903" s="4">
        <v>38087</v>
      </c>
      <c r="B903" s="3" t="s">
        <v>0</v>
      </c>
      <c r="C903" s="3">
        <v>150</v>
      </c>
      <c r="D903" s="3">
        <v>59</v>
      </c>
      <c r="E903" s="3" t="s">
        <v>1407</v>
      </c>
      <c r="F903" s="5" t="s">
        <v>1213</v>
      </c>
      <c r="G903" s="3" t="s">
        <v>1408</v>
      </c>
      <c r="H903" s="3" t="s">
        <v>152</v>
      </c>
    </row>
    <row r="904" spans="1:8" ht="15.75" x14ac:dyDescent="0.25">
      <c r="A904" s="4">
        <v>37950</v>
      </c>
      <c r="B904" s="3" t="s">
        <v>0</v>
      </c>
      <c r="C904" s="3">
        <v>161</v>
      </c>
      <c r="D904" s="3">
        <v>72</v>
      </c>
      <c r="E904" s="3" t="s">
        <v>1448</v>
      </c>
      <c r="F904" s="5" t="s">
        <v>1449</v>
      </c>
      <c r="G904" s="3" t="s">
        <v>1450</v>
      </c>
      <c r="H904" s="3" t="s">
        <v>171</v>
      </c>
    </row>
    <row r="905" spans="1:8" ht="15.75" x14ac:dyDescent="0.25">
      <c r="A905" s="4">
        <v>37012</v>
      </c>
      <c r="B905" s="3" t="s">
        <v>0</v>
      </c>
      <c r="C905" s="3">
        <v>177</v>
      </c>
      <c r="D905" s="3">
        <v>87</v>
      </c>
      <c r="E905" s="3" t="s">
        <v>1467</v>
      </c>
      <c r="F905" s="5" t="s">
        <v>1385</v>
      </c>
      <c r="G905" s="3" t="s">
        <v>1468</v>
      </c>
      <c r="H905" s="3" t="s">
        <v>180</v>
      </c>
    </row>
    <row r="906" spans="1:8" ht="15.75" x14ac:dyDescent="0.25">
      <c r="A906" s="4">
        <v>37393</v>
      </c>
      <c r="B906" s="3" t="s">
        <v>0</v>
      </c>
      <c r="C906" s="3">
        <v>160</v>
      </c>
      <c r="D906" s="3">
        <v>47</v>
      </c>
      <c r="E906" s="3" t="s">
        <v>1490</v>
      </c>
      <c r="F906" s="5" t="s">
        <v>1090</v>
      </c>
      <c r="G906" s="3" t="s">
        <v>1491</v>
      </c>
      <c r="H906" s="3" t="s">
        <v>190</v>
      </c>
    </row>
    <row r="907" spans="1:8" ht="15.75" x14ac:dyDescent="0.25">
      <c r="A907" s="4">
        <v>38158</v>
      </c>
      <c r="B907" s="3" t="s">
        <v>0</v>
      </c>
      <c r="C907" s="3">
        <v>155</v>
      </c>
      <c r="D907" s="3">
        <v>61</v>
      </c>
      <c r="E907" s="3" t="s">
        <v>1532</v>
      </c>
      <c r="F907" s="5" t="s">
        <v>1226</v>
      </c>
      <c r="G907" s="3" t="s">
        <v>1533</v>
      </c>
      <c r="H907" s="3" t="s">
        <v>210</v>
      </c>
    </row>
    <row r="908" spans="1:8" ht="15.75" x14ac:dyDescent="0.25">
      <c r="A908" s="4">
        <v>37960</v>
      </c>
      <c r="B908" s="3" t="s">
        <v>0</v>
      </c>
      <c r="C908" s="3">
        <v>174</v>
      </c>
      <c r="D908" s="3">
        <v>61</v>
      </c>
      <c r="E908" s="3" t="s">
        <v>1536</v>
      </c>
      <c r="F908" s="5" t="s">
        <v>1537</v>
      </c>
      <c r="G908" s="3" t="s">
        <v>1538</v>
      </c>
      <c r="H908" s="3" t="s">
        <v>212</v>
      </c>
    </row>
    <row r="909" spans="1:8" ht="15.75" x14ac:dyDescent="0.25">
      <c r="A909" s="4">
        <v>37920</v>
      </c>
      <c r="B909" s="3" t="s">
        <v>0</v>
      </c>
      <c r="C909" s="3">
        <v>164</v>
      </c>
      <c r="D909" s="3">
        <v>80</v>
      </c>
      <c r="E909" s="3" t="s">
        <v>1555</v>
      </c>
      <c r="F909" s="5" t="s">
        <v>1200</v>
      </c>
      <c r="G909" s="3" t="s">
        <v>1556</v>
      </c>
      <c r="H909" s="3" t="s">
        <v>221</v>
      </c>
    </row>
    <row r="910" spans="1:8" ht="15.75" x14ac:dyDescent="0.25">
      <c r="A910" s="4">
        <v>37662</v>
      </c>
      <c r="B910" s="3" t="s">
        <v>0</v>
      </c>
      <c r="C910" s="3">
        <v>159</v>
      </c>
      <c r="D910" s="3">
        <v>58</v>
      </c>
      <c r="E910" s="3" t="s">
        <v>1557</v>
      </c>
      <c r="F910" s="5" t="s">
        <v>1123</v>
      </c>
      <c r="G910" s="3" t="s">
        <v>1558</v>
      </c>
      <c r="H910" s="3" t="s">
        <v>222</v>
      </c>
    </row>
    <row r="911" spans="1:8" ht="15.75" x14ac:dyDescent="0.25">
      <c r="A911" s="4">
        <v>38005</v>
      </c>
      <c r="B911" s="3" t="s">
        <v>0</v>
      </c>
      <c r="C911" s="3">
        <v>180</v>
      </c>
      <c r="D911" s="3">
        <v>55</v>
      </c>
      <c r="E911" s="3" t="s">
        <v>1608</v>
      </c>
      <c r="F911" s="5" t="s">
        <v>1583</v>
      </c>
      <c r="G911" s="3" t="s">
        <v>1609</v>
      </c>
      <c r="H911" s="3" t="s">
        <v>246</v>
      </c>
    </row>
    <row r="912" spans="1:8" ht="15.75" x14ac:dyDescent="0.25">
      <c r="A912" s="4">
        <v>38079</v>
      </c>
      <c r="B912" s="3" t="s">
        <v>0</v>
      </c>
      <c r="C912" s="3">
        <v>180</v>
      </c>
      <c r="D912" s="3">
        <v>80</v>
      </c>
      <c r="E912" s="3" t="s">
        <v>1612</v>
      </c>
      <c r="F912" s="5" t="s">
        <v>1358</v>
      </c>
      <c r="G912" s="3" t="s">
        <v>1613</v>
      </c>
      <c r="H912" s="3" t="s">
        <v>248</v>
      </c>
    </row>
    <row r="913" spans="1:8" ht="15.75" x14ac:dyDescent="0.25">
      <c r="A913" s="4">
        <v>38141</v>
      </c>
      <c r="B913" s="3" t="s">
        <v>0</v>
      </c>
      <c r="C913" s="3">
        <v>168</v>
      </c>
      <c r="D913" s="3">
        <v>77</v>
      </c>
      <c r="E913" s="3" t="s">
        <v>1620</v>
      </c>
      <c r="F913" s="5" t="s">
        <v>1114</v>
      </c>
      <c r="G913" s="3" t="s">
        <v>1621</v>
      </c>
      <c r="H913" s="3" t="s">
        <v>252</v>
      </c>
    </row>
    <row r="914" spans="1:8" ht="15.75" x14ac:dyDescent="0.25">
      <c r="A914" s="4">
        <v>37705</v>
      </c>
      <c r="B914" s="3" t="s">
        <v>0</v>
      </c>
      <c r="C914" s="3">
        <v>157</v>
      </c>
      <c r="D914" s="3">
        <v>91</v>
      </c>
      <c r="E914" s="3" t="s">
        <v>1638</v>
      </c>
      <c r="F914" s="5" t="s">
        <v>1084</v>
      </c>
      <c r="G914" s="3" t="s">
        <v>1639</v>
      </c>
      <c r="H914" s="3" t="s">
        <v>261</v>
      </c>
    </row>
    <row r="915" spans="1:8" ht="15.75" x14ac:dyDescent="0.25">
      <c r="A915" s="4">
        <v>38072</v>
      </c>
      <c r="B915" s="3" t="s">
        <v>0</v>
      </c>
      <c r="C915" s="3">
        <v>152</v>
      </c>
      <c r="D915" s="3">
        <v>76</v>
      </c>
      <c r="E915" s="3" t="s">
        <v>1644</v>
      </c>
      <c r="F915" s="5" t="s">
        <v>1298</v>
      </c>
      <c r="G915" s="3" t="s">
        <v>1645</v>
      </c>
      <c r="H915" s="3" t="s">
        <v>264</v>
      </c>
    </row>
    <row r="916" spans="1:8" ht="15.75" x14ac:dyDescent="0.25">
      <c r="A916" s="4">
        <v>37433</v>
      </c>
      <c r="B916" s="3" t="s">
        <v>0</v>
      </c>
      <c r="C916" s="3">
        <v>166</v>
      </c>
      <c r="D916" s="3">
        <v>67</v>
      </c>
      <c r="E916" s="3" t="s">
        <v>1658</v>
      </c>
      <c r="F916" s="5" t="s">
        <v>1087</v>
      </c>
      <c r="G916" s="3" t="s">
        <v>1659</v>
      </c>
      <c r="H916" s="3" t="s">
        <v>271</v>
      </c>
    </row>
    <row r="917" spans="1:8" ht="15.75" x14ac:dyDescent="0.25">
      <c r="A917" s="4">
        <v>37324</v>
      </c>
      <c r="B917" s="3" t="s">
        <v>0</v>
      </c>
      <c r="C917" s="3">
        <v>167</v>
      </c>
      <c r="D917" s="3">
        <v>66</v>
      </c>
      <c r="E917" s="3" t="s">
        <v>1697</v>
      </c>
      <c r="F917" s="5" t="s">
        <v>1394</v>
      </c>
      <c r="G917" s="3" t="s">
        <v>1698</v>
      </c>
      <c r="H917" s="3" t="s">
        <v>290</v>
      </c>
    </row>
    <row r="918" spans="1:8" ht="15.75" x14ac:dyDescent="0.25">
      <c r="A918" s="4">
        <v>37186</v>
      </c>
      <c r="B918" s="3" t="s">
        <v>0</v>
      </c>
      <c r="C918" s="3">
        <v>167</v>
      </c>
      <c r="D918" s="3">
        <v>51</v>
      </c>
      <c r="E918" s="3" t="s">
        <v>1716</v>
      </c>
      <c r="F918" s="5" t="s">
        <v>1717</v>
      </c>
      <c r="G918" s="3" t="s">
        <v>1718</v>
      </c>
      <c r="H918" s="3" t="s">
        <v>299</v>
      </c>
    </row>
    <row r="919" spans="1:8" ht="15.75" x14ac:dyDescent="0.25">
      <c r="A919" s="4">
        <v>37906</v>
      </c>
      <c r="B919" s="3" t="s">
        <v>0</v>
      </c>
      <c r="C919" s="3">
        <v>171</v>
      </c>
      <c r="D919" s="3">
        <v>67</v>
      </c>
      <c r="E919" s="3" t="s">
        <v>1723</v>
      </c>
      <c r="F919" s="5" t="s">
        <v>1287</v>
      </c>
      <c r="G919" s="3" t="s">
        <v>1724</v>
      </c>
      <c r="H919" s="3" t="s">
        <v>302</v>
      </c>
    </row>
    <row r="920" spans="1:8" ht="15.75" x14ac:dyDescent="0.25">
      <c r="A920" s="4">
        <v>37590</v>
      </c>
      <c r="B920" s="3" t="s">
        <v>0</v>
      </c>
      <c r="C920" s="3">
        <v>150</v>
      </c>
      <c r="D920" s="3">
        <v>86</v>
      </c>
      <c r="E920" s="3" t="s">
        <v>1731</v>
      </c>
      <c r="F920" s="5" t="s">
        <v>1231</v>
      </c>
      <c r="G920" s="3" t="s">
        <v>1732</v>
      </c>
      <c r="H920" s="3" t="s">
        <v>306</v>
      </c>
    </row>
    <row r="921" spans="1:8" ht="15.75" x14ac:dyDescent="0.25">
      <c r="A921" s="4">
        <v>37552</v>
      </c>
      <c r="B921" s="3" t="s">
        <v>0</v>
      </c>
      <c r="C921" s="3">
        <v>160</v>
      </c>
      <c r="D921" s="3">
        <v>51</v>
      </c>
      <c r="E921" s="3" t="s">
        <v>1749</v>
      </c>
      <c r="F921" s="5" t="s">
        <v>1342</v>
      </c>
      <c r="G921" s="3" t="s">
        <v>1750</v>
      </c>
      <c r="H921" s="3" t="s">
        <v>315</v>
      </c>
    </row>
    <row r="922" spans="1:8" ht="15.75" x14ac:dyDescent="0.25">
      <c r="A922" s="4">
        <v>37701</v>
      </c>
      <c r="B922" s="3" t="s">
        <v>0</v>
      </c>
      <c r="C922" s="3">
        <v>162</v>
      </c>
      <c r="D922" s="3">
        <v>66</v>
      </c>
      <c r="E922" s="3" t="s">
        <v>1779</v>
      </c>
      <c r="F922" s="5" t="s">
        <v>1780</v>
      </c>
      <c r="G922" s="3" t="s">
        <v>1781</v>
      </c>
      <c r="H922" s="3" t="s">
        <v>329</v>
      </c>
    </row>
    <row r="923" spans="1:8" ht="15.75" x14ac:dyDescent="0.25">
      <c r="A923" s="4">
        <v>37502</v>
      </c>
      <c r="B923" s="3" t="s">
        <v>0</v>
      </c>
      <c r="C923" s="3">
        <v>173</v>
      </c>
      <c r="D923" s="3">
        <v>62</v>
      </c>
      <c r="E923" s="3" t="s">
        <v>1789</v>
      </c>
      <c r="F923" s="5" t="s">
        <v>1197</v>
      </c>
      <c r="G923" s="3" t="s">
        <v>1790</v>
      </c>
      <c r="H923" s="3" t="s">
        <v>334</v>
      </c>
    </row>
    <row r="924" spans="1:8" ht="15.75" x14ac:dyDescent="0.25">
      <c r="A924" s="4">
        <v>38394</v>
      </c>
      <c r="B924" s="3" t="s">
        <v>0</v>
      </c>
      <c r="C924" s="3">
        <v>167</v>
      </c>
      <c r="D924" s="3">
        <v>91</v>
      </c>
      <c r="E924" s="3" t="s">
        <v>1805</v>
      </c>
      <c r="F924" s="5" t="s">
        <v>1179</v>
      </c>
      <c r="G924" s="3" t="s">
        <v>1806</v>
      </c>
      <c r="H924" s="3" t="s">
        <v>342</v>
      </c>
    </row>
    <row r="925" spans="1:8" ht="15.75" x14ac:dyDescent="0.25">
      <c r="A925" s="4">
        <v>37817</v>
      </c>
      <c r="B925" s="3" t="s">
        <v>0</v>
      </c>
      <c r="C925" s="3">
        <v>163</v>
      </c>
      <c r="D925" s="3">
        <v>64</v>
      </c>
      <c r="E925" s="3" t="s">
        <v>1811</v>
      </c>
      <c r="F925" s="5" t="s">
        <v>1129</v>
      </c>
      <c r="G925" s="3" t="s">
        <v>1812</v>
      </c>
      <c r="H925" s="3" t="s">
        <v>345</v>
      </c>
    </row>
    <row r="926" spans="1:8" ht="15.75" x14ac:dyDescent="0.25">
      <c r="A926" s="4">
        <v>37748</v>
      </c>
      <c r="B926" s="3" t="s">
        <v>0</v>
      </c>
      <c r="C926" s="3">
        <v>157</v>
      </c>
      <c r="D926" s="3">
        <v>87</v>
      </c>
      <c r="E926" s="3" t="s">
        <v>1824</v>
      </c>
      <c r="F926" s="5" t="s">
        <v>1257</v>
      </c>
      <c r="G926" s="3" t="s">
        <v>1825</v>
      </c>
      <c r="H926" s="3" t="s">
        <v>350</v>
      </c>
    </row>
    <row r="927" spans="1:8" ht="15.75" x14ac:dyDescent="0.25">
      <c r="A927" s="4">
        <v>37330</v>
      </c>
      <c r="B927" s="3" t="s">
        <v>0</v>
      </c>
      <c r="C927" s="3">
        <v>167</v>
      </c>
      <c r="D927" s="3">
        <v>45</v>
      </c>
      <c r="E927" s="3" t="s">
        <v>1857</v>
      </c>
      <c r="F927" s="5" t="s">
        <v>1376</v>
      </c>
      <c r="G927" s="3" t="s">
        <v>1858</v>
      </c>
      <c r="H927" s="3" t="s">
        <v>365</v>
      </c>
    </row>
    <row r="928" spans="1:8" ht="15.75" x14ac:dyDescent="0.25">
      <c r="A928" s="4">
        <v>37473</v>
      </c>
      <c r="B928" s="3" t="s">
        <v>0</v>
      </c>
      <c r="C928" s="3">
        <v>162</v>
      </c>
      <c r="D928" s="3">
        <v>78</v>
      </c>
      <c r="E928" s="3" t="s">
        <v>1884</v>
      </c>
      <c r="F928" s="5" t="s">
        <v>1322</v>
      </c>
      <c r="G928" s="3" t="s">
        <v>1885</v>
      </c>
      <c r="H928" s="3" t="s">
        <v>378</v>
      </c>
    </row>
    <row r="929" spans="1:8" ht="15.75" x14ac:dyDescent="0.25">
      <c r="A929" s="4">
        <v>37957</v>
      </c>
      <c r="B929" s="3" t="s">
        <v>0</v>
      </c>
      <c r="C929" s="3">
        <v>160</v>
      </c>
      <c r="D929" s="3">
        <v>73</v>
      </c>
      <c r="E929" s="3" t="s">
        <v>1892</v>
      </c>
      <c r="F929" s="5" t="s">
        <v>1275</v>
      </c>
      <c r="G929" s="3" t="s">
        <v>1893</v>
      </c>
      <c r="H929" s="3" t="s">
        <v>382</v>
      </c>
    </row>
    <row r="930" spans="1:8" ht="15.75" x14ac:dyDescent="0.25">
      <c r="A930" s="4">
        <v>37905</v>
      </c>
      <c r="B930" s="3" t="s">
        <v>0</v>
      </c>
      <c r="C930" s="3">
        <v>164</v>
      </c>
      <c r="D930" s="3">
        <v>94</v>
      </c>
      <c r="E930" s="3" t="s">
        <v>1917</v>
      </c>
      <c r="F930" s="5" t="s">
        <v>1268</v>
      </c>
      <c r="G930" s="3" t="s">
        <v>1918</v>
      </c>
      <c r="H930" s="3" t="s">
        <v>395</v>
      </c>
    </row>
    <row r="931" spans="1:8" ht="15.75" x14ac:dyDescent="0.25">
      <c r="A931" s="4">
        <v>37437</v>
      </c>
      <c r="B931" s="3" t="s">
        <v>0</v>
      </c>
      <c r="C931" s="3">
        <v>153</v>
      </c>
      <c r="D931" s="3">
        <v>54</v>
      </c>
      <c r="E931" s="3" t="s">
        <v>1928</v>
      </c>
      <c r="F931" s="5" t="s">
        <v>1929</v>
      </c>
      <c r="G931" s="3" t="s">
        <v>1930</v>
      </c>
      <c r="H931" s="3" t="s">
        <v>400</v>
      </c>
    </row>
    <row r="932" spans="1:8" ht="15.75" x14ac:dyDescent="0.25">
      <c r="A932" s="4">
        <v>37357</v>
      </c>
      <c r="B932" s="3" t="s">
        <v>0</v>
      </c>
      <c r="C932" s="3">
        <v>173</v>
      </c>
      <c r="D932" s="3">
        <v>61</v>
      </c>
      <c r="E932" s="3" t="s">
        <v>1945</v>
      </c>
      <c r="F932" s="5" t="s">
        <v>1210</v>
      </c>
      <c r="G932" s="3" t="s">
        <v>1946</v>
      </c>
      <c r="H932" s="3" t="s">
        <v>408</v>
      </c>
    </row>
    <row r="933" spans="1:8" ht="15.75" x14ac:dyDescent="0.25">
      <c r="A933" s="4">
        <v>37857</v>
      </c>
      <c r="B933" s="3" t="s">
        <v>0</v>
      </c>
      <c r="C933" s="3">
        <v>151</v>
      </c>
      <c r="D933" s="3">
        <v>85</v>
      </c>
      <c r="E933" s="3" t="s">
        <v>1959</v>
      </c>
      <c r="F933" s="5" t="s">
        <v>1114</v>
      </c>
      <c r="G933" s="3" t="s">
        <v>1960</v>
      </c>
      <c r="H933" s="3" t="s">
        <v>415</v>
      </c>
    </row>
    <row r="934" spans="1:8" ht="15.75" x14ac:dyDescent="0.25">
      <c r="A934" s="4">
        <v>37910</v>
      </c>
      <c r="B934" s="3" t="s">
        <v>0</v>
      </c>
      <c r="C934" s="3">
        <v>158</v>
      </c>
      <c r="D934" s="3">
        <v>63</v>
      </c>
      <c r="E934" s="3" t="s">
        <v>1996</v>
      </c>
      <c r="F934" s="5" t="s">
        <v>1287</v>
      </c>
      <c r="G934" s="3" t="s">
        <v>1997</v>
      </c>
      <c r="H934" s="3" t="s">
        <v>432</v>
      </c>
    </row>
    <row r="935" spans="1:8" ht="15.75" x14ac:dyDescent="0.25">
      <c r="A935" s="4">
        <v>37083</v>
      </c>
      <c r="B935" s="3" t="s">
        <v>0</v>
      </c>
      <c r="C935" s="3">
        <v>162</v>
      </c>
      <c r="D935" s="3">
        <v>46</v>
      </c>
      <c r="E935" s="3" t="s">
        <v>1978</v>
      </c>
      <c r="F935" s="5" t="s">
        <v>1862</v>
      </c>
      <c r="G935" s="3" t="s">
        <v>2000</v>
      </c>
      <c r="H935" s="3" t="s">
        <v>434</v>
      </c>
    </row>
    <row r="936" spans="1:8" ht="15.75" x14ac:dyDescent="0.25">
      <c r="A936" s="4">
        <v>37517</v>
      </c>
      <c r="B936" s="3" t="s">
        <v>0</v>
      </c>
      <c r="C936" s="3">
        <v>172</v>
      </c>
      <c r="D936" s="3">
        <v>55</v>
      </c>
      <c r="E936" s="3" t="s">
        <v>2031</v>
      </c>
      <c r="F936" s="5" t="s">
        <v>1170</v>
      </c>
      <c r="G936" s="3" t="s">
        <v>2032</v>
      </c>
      <c r="H936" s="3" t="s">
        <v>449</v>
      </c>
    </row>
    <row r="937" spans="1:8" ht="15.75" x14ac:dyDescent="0.25">
      <c r="A937" s="4">
        <v>37333</v>
      </c>
      <c r="B937" s="3" t="s">
        <v>0</v>
      </c>
      <c r="C937" s="3">
        <v>171</v>
      </c>
      <c r="D937" s="3">
        <v>65</v>
      </c>
      <c r="E937" s="3" t="s">
        <v>2054</v>
      </c>
      <c r="F937" s="5" t="s">
        <v>1187</v>
      </c>
      <c r="G937" s="3" t="s">
        <v>2055</v>
      </c>
      <c r="H937" s="3" t="s">
        <v>461</v>
      </c>
    </row>
    <row r="938" spans="1:8" ht="15.75" x14ac:dyDescent="0.25">
      <c r="A938" s="4">
        <v>37172</v>
      </c>
      <c r="B938" s="3" t="s">
        <v>0</v>
      </c>
      <c r="C938" s="3">
        <v>177</v>
      </c>
      <c r="D938" s="3">
        <v>69</v>
      </c>
      <c r="E938" s="3" t="s">
        <v>2060</v>
      </c>
      <c r="F938" s="5" t="s">
        <v>1263</v>
      </c>
      <c r="G938" s="3" t="s">
        <v>2061</v>
      </c>
      <c r="H938" s="3" t="s">
        <v>464</v>
      </c>
    </row>
    <row r="939" spans="1:8" ht="15.75" x14ac:dyDescent="0.25">
      <c r="A939" s="4">
        <v>37719</v>
      </c>
      <c r="B939" s="3" t="s">
        <v>0</v>
      </c>
      <c r="C939" s="3">
        <v>171</v>
      </c>
      <c r="D939" s="3">
        <v>79</v>
      </c>
      <c r="E939" s="3" t="s">
        <v>2076</v>
      </c>
      <c r="F939" s="5" t="s">
        <v>1394</v>
      </c>
      <c r="G939" s="3" t="s">
        <v>2077</v>
      </c>
      <c r="H939" s="3" t="s">
        <v>472</v>
      </c>
    </row>
    <row r="940" spans="1:8" ht="15.75" x14ac:dyDescent="0.25">
      <c r="A940" s="4">
        <v>37836</v>
      </c>
      <c r="B940" s="3" t="s">
        <v>0</v>
      </c>
      <c r="C940" s="3">
        <v>158</v>
      </c>
      <c r="D940" s="3">
        <v>65</v>
      </c>
      <c r="E940" s="3" t="s">
        <v>2080</v>
      </c>
      <c r="F940" s="5" t="s">
        <v>1105</v>
      </c>
      <c r="G940" s="3" t="s">
        <v>2081</v>
      </c>
      <c r="H940" s="3" t="s">
        <v>474</v>
      </c>
    </row>
    <row r="941" spans="1:8" ht="15.75" x14ac:dyDescent="0.25">
      <c r="A941" s="4">
        <v>37238</v>
      </c>
      <c r="B941" s="3" t="s">
        <v>0</v>
      </c>
      <c r="C941" s="3">
        <v>154</v>
      </c>
      <c r="D941" s="3">
        <v>73</v>
      </c>
      <c r="E941" s="3" t="s">
        <v>2090</v>
      </c>
      <c r="F941" s="5" t="s">
        <v>1247</v>
      </c>
      <c r="G941" s="3" t="s">
        <v>2091</v>
      </c>
      <c r="H941" s="3" t="s">
        <v>479</v>
      </c>
    </row>
    <row r="942" spans="1:8" ht="15.75" x14ac:dyDescent="0.25">
      <c r="A942" s="4">
        <v>37806</v>
      </c>
      <c r="B942" s="3" t="s">
        <v>0</v>
      </c>
      <c r="C942" s="3">
        <v>168</v>
      </c>
      <c r="D942" s="3">
        <v>47</v>
      </c>
      <c r="E942" s="3" t="s">
        <v>2112</v>
      </c>
      <c r="F942" s="5" t="s">
        <v>1095</v>
      </c>
      <c r="G942" s="3" t="s">
        <v>2113</v>
      </c>
      <c r="H942" s="3" t="s">
        <v>490</v>
      </c>
    </row>
    <row r="943" spans="1:8" ht="15.75" x14ac:dyDescent="0.25">
      <c r="A943" s="4">
        <v>37691</v>
      </c>
      <c r="B943" s="3" t="s">
        <v>0</v>
      </c>
      <c r="C943" s="3">
        <v>156</v>
      </c>
      <c r="D943" s="3">
        <v>65</v>
      </c>
      <c r="E943" s="3" t="s">
        <v>2138</v>
      </c>
      <c r="F943" s="5" t="s">
        <v>1483</v>
      </c>
      <c r="G943" s="3" t="s">
        <v>2139</v>
      </c>
      <c r="H943" s="3" t="s">
        <v>503</v>
      </c>
    </row>
    <row r="944" spans="1:8" ht="15.75" x14ac:dyDescent="0.25">
      <c r="A944" s="4">
        <v>37472</v>
      </c>
      <c r="B944" s="3" t="s">
        <v>0</v>
      </c>
      <c r="C944" s="3">
        <v>165</v>
      </c>
      <c r="D944" s="3">
        <v>50</v>
      </c>
      <c r="E944" s="3" t="s">
        <v>2160</v>
      </c>
      <c r="F944" s="5" t="s">
        <v>1530</v>
      </c>
      <c r="G944" s="3" t="s">
        <v>2161</v>
      </c>
      <c r="H944" s="3" t="s">
        <v>514</v>
      </c>
    </row>
    <row r="945" spans="1:8" ht="15.75" x14ac:dyDescent="0.25">
      <c r="A945" s="4">
        <v>37454</v>
      </c>
      <c r="B945" s="3" t="s">
        <v>0</v>
      </c>
      <c r="C945" s="3">
        <v>167</v>
      </c>
      <c r="D945" s="3">
        <v>52</v>
      </c>
      <c r="E945" s="3" t="s">
        <v>2209</v>
      </c>
      <c r="F945" s="5" t="s">
        <v>1234</v>
      </c>
      <c r="G945" s="3" t="s">
        <v>2210</v>
      </c>
      <c r="H945" s="3" t="s">
        <v>539</v>
      </c>
    </row>
    <row r="946" spans="1:8" ht="15.75" x14ac:dyDescent="0.25">
      <c r="A946" s="4">
        <v>38372</v>
      </c>
      <c r="B946" s="3" t="s">
        <v>0</v>
      </c>
      <c r="C946" s="3">
        <v>162</v>
      </c>
      <c r="D946" s="3">
        <v>68</v>
      </c>
      <c r="E946" s="3" t="s">
        <v>2217</v>
      </c>
      <c r="F946" s="5" t="s">
        <v>1717</v>
      </c>
      <c r="G946" s="3" t="s">
        <v>2218</v>
      </c>
      <c r="H946" s="3" t="s">
        <v>543</v>
      </c>
    </row>
    <row r="947" spans="1:8" ht="15.75" x14ac:dyDescent="0.25">
      <c r="A947" s="4">
        <v>37921</v>
      </c>
      <c r="B947" s="3" t="s">
        <v>0</v>
      </c>
      <c r="C947" s="3">
        <v>154</v>
      </c>
      <c r="D947" s="3">
        <v>73</v>
      </c>
      <c r="E947" s="3" t="s">
        <v>2221</v>
      </c>
      <c r="F947" s="5" t="s">
        <v>1760</v>
      </c>
      <c r="G947" s="3" t="s">
        <v>2222</v>
      </c>
      <c r="H947" s="3" t="s">
        <v>545</v>
      </c>
    </row>
    <row r="948" spans="1:8" ht="15.75" x14ac:dyDescent="0.25">
      <c r="A948" s="4">
        <v>37497</v>
      </c>
      <c r="B948" s="3" t="s">
        <v>0</v>
      </c>
      <c r="C948" s="3">
        <v>151</v>
      </c>
      <c r="D948" s="3">
        <v>87</v>
      </c>
      <c r="E948" s="3" t="s">
        <v>2227</v>
      </c>
      <c r="F948" s="5" t="s">
        <v>1347</v>
      </c>
      <c r="G948" s="3" t="s">
        <v>2228</v>
      </c>
      <c r="H948" s="3" t="s">
        <v>548</v>
      </c>
    </row>
    <row r="949" spans="1:8" ht="15.75" x14ac:dyDescent="0.25">
      <c r="A949" s="4">
        <v>37903</v>
      </c>
      <c r="B949" s="3" t="s">
        <v>0</v>
      </c>
      <c r="C949" s="3">
        <v>158</v>
      </c>
      <c r="D949" s="3">
        <v>50</v>
      </c>
      <c r="E949" s="3" t="s">
        <v>2231</v>
      </c>
      <c r="F949" s="5" t="s">
        <v>1275</v>
      </c>
      <c r="G949" s="3" t="s">
        <v>2232</v>
      </c>
      <c r="H949" s="3" t="s">
        <v>550</v>
      </c>
    </row>
    <row r="950" spans="1:8" ht="15.75" x14ac:dyDescent="0.25">
      <c r="A950" s="4">
        <v>38316</v>
      </c>
      <c r="B950" s="3" t="s">
        <v>0</v>
      </c>
      <c r="C950" s="3">
        <v>175</v>
      </c>
      <c r="D950" s="3">
        <v>87</v>
      </c>
      <c r="E950" s="3" t="s">
        <v>2292</v>
      </c>
      <c r="F950" s="5" t="s">
        <v>1147</v>
      </c>
      <c r="G950" s="3" t="s">
        <v>2293</v>
      </c>
      <c r="H950" s="3" t="s">
        <v>581</v>
      </c>
    </row>
    <row r="951" spans="1:8" ht="15.75" x14ac:dyDescent="0.25">
      <c r="A951" s="4">
        <v>38303</v>
      </c>
      <c r="B951" s="3" t="s">
        <v>0</v>
      </c>
      <c r="C951" s="3">
        <v>158</v>
      </c>
      <c r="D951" s="3">
        <v>66</v>
      </c>
      <c r="E951" s="3" t="s">
        <v>2334</v>
      </c>
      <c r="F951" s="5" t="s">
        <v>1760</v>
      </c>
      <c r="G951" s="3" t="s">
        <v>2335</v>
      </c>
      <c r="H951" s="3" t="s">
        <v>601</v>
      </c>
    </row>
    <row r="952" spans="1:8" ht="15.75" x14ac:dyDescent="0.25">
      <c r="A952" s="4">
        <v>38049</v>
      </c>
      <c r="B952" s="3" t="s">
        <v>0</v>
      </c>
      <c r="C952" s="3">
        <v>171</v>
      </c>
      <c r="D952" s="3">
        <v>53</v>
      </c>
      <c r="E952" s="3" t="s">
        <v>2346</v>
      </c>
      <c r="F952" s="5" t="s">
        <v>1252</v>
      </c>
      <c r="G952" s="3" t="s">
        <v>2347</v>
      </c>
      <c r="H952" s="3" t="s">
        <v>606</v>
      </c>
    </row>
    <row r="953" spans="1:8" ht="15.75" x14ac:dyDescent="0.25">
      <c r="A953" s="4">
        <v>37726</v>
      </c>
      <c r="B953" s="3" t="s">
        <v>0</v>
      </c>
      <c r="C953" s="3">
        <v>179</v>
      </c>
      <c r="D953" s="3">
        <v>45</v>
      </c>
      <c r="E953" s="3" t="s">
        <v>2352</v>
      </c>
      <c r="F953" s="5" t="s">
        <v>1147</v>
      </c>
      <c r="G953" s="3" t="s">
        <v>2353</v>
      </c>
      <c r="H953" s="3" t="s">
        <v>609</v>
      </c>
    </row>
    <row r="954" spans="1:8" ht="15.75" x14ac:dyDescent="0.25">
      <c r="A954" s="4">
        <v>38051</v>
      </c>
      <c r="B954" s="3" t="s">
        <v>0</v>
      </c>
      <c r="C954" s="3">
        <v>155</v>
      </c>
      <c r="D954" s="3">
        <v>59</v>
      </c>
      <c r="E954" s="3" t="s">
        <v>2362</v>
      </c>
      <c r="F954" s="5" t="s">
        <v>1187</v>
      </c>
      <c r="G954" s="3" t="s">
        <v>2363</v>
      </c>
      <c r="H954" s="3" t="s">
        <v>614</v>
      </c>
    </row>
    <row r="955" spans="1:8" ht="15.75" x14ac:dyDescent="0.25">
      <c r="A955" s="4">
        <v>37112</v>
      </c>
      <c r="B955" s="3" t="s">
        <v>0</v>
      </c>
      <c r="C955" s="3">
        <v>158</v>
      </c>
      <c r="D955" s="3">
        <v>50</v>
      </c>
      <c r="E955" s="3" t="s">
        <v>2372</v>
      </c>
      <c r="F955" s="5" t="s">
        <v>1483</v>
      </c>
      <c r="G955" s="3" t="s">
        <v>2373</v>
      </c>
      <c r="H955" s="3" t="s">
        <v>619</v>
      </c>
    </row>
    <row r="956" spans="1:8" ht="15.75" x14ac:dyDescent="0.25">
      <c r="A956" s="4">
        <v>37464</v>
      </c>
      <c r="B956" s="3" t="s">
        <v>0</v>
      </c>
      <c r="C956" s="3">
        <v>163</v>
      </c>
      <c r="D956" s="3">
        <v>50</v>
      </c>
      <c r="E956" s="3" t="s">
        <v>2380</v>
      </c>
      <c r="F956" s="5" t="s">
        <v>1862</v>
      </c>
      <c r="G956" s="3" t="s">
        <v>2381</v>
      </c>
      <c r="H956" s="3" t="s">
        <v>623</v>
      </c>
    </row>
    <row r="957" spans="1:8" ht="15.75" x14ac:dyDescent="0.25">
      <c r="A957" s="4">
        <v>38272</v>
      </c>
      <c r="B957" s="3" t="s">
        <v>0</v>
      </c>
      <c r="C957" s="3">
        <v>175</v>
      </c>
      <c r="D957" s="3">
        <v>93</v>
      </c>
      <c r="E957" s="3" t="s">
        <v>2384</v>
      </c>
      <c r="F957" s="5" t="s">
        <v>1226</v>
      </c>
      <c r="G957" s="3" t="s">
        <v>2385</v>
      </c>
      <c r="H957" s="3" t="s">
        <v>625</v>
      </c>
    </row>
    <row r="958" spans="1:8" ht="15.75" x14ac:dyDescent="0.25">
      <c r="A958" s="4">
        <v>37263</v>
      </c>
      <c r="B958" s="3" t="s">
        <v>0</v>
      </c>
      <c r="C958" s="3">
        <v>173</v>
      </c>
      <c r="D958" s="3">
        <v>53</v>
      </c>
      <c r="E958" s="3" t="s">
        <v>2398</v>
      </c>
      <c r="F958" s="5" t="s">
        <v>1449</v>
      </c>
      <c r="G958" s="3" t="s">
        <v>2399</v>
      </c>
      <c r="H958" s="3" t="s">
        <v>632</v>
      </c>
    </row>
    <row r="959" spans="1:8" ht="15.75" x14ac:dyDescent="0.25">
      <c r="A959" s="4">
        <v>37605</v>
      </c>
      <c r="B959" s="3" t="s">
        <v>0</v>
      </c>
      <c r="C959" s="3">
        <v>172</v>
      </c>
      <c r="D959" s="3">
        <v>65</v>
      </c>
      <c r="E959" s="3" t="s">
        <v>2420</v>
      </c>
      <c r="F959" s="5" t="s">
        <v>1483</v>
      </c>
      <c r="G959" s="3" t="s">
        <v>2421</v>
      </c>
      <c r="H959" s="3" t="s">
        <v>643</v>
      </c>
    </row>
    <row r="960" spans="1:8" ht="15.75" x14ac:dyDescent="0.25">
      <c r="A960" s="4">
        <v>37912</v>
      </c>
      <c r="B960" s="3" t="s">
        <v>0</v>
      </c>
      <c r="C960" s="3">
        <v>178</v>
      </c>
      <c r="D960" s="3">
        <v>81</v>
      </c>
      <c r="E960" s="3" t="s">
        <v>2480</v>
      </c>
      <c r="F960" s="5" t="s">
        <v>1223</v>
      </c>
      <c r="G960" s="3" t="s">
        <v>2481</v>
      </c>
      <c r="H960" s="3" t="s">
        <v>673</v>
      </c>
    </row>
    <row r="961" spans="1:8" ht="15.75" x14ac:dyDescent="0.25">
      <c r="A961" s="4">
        <v>37173</v>
      </c>
      <c r="B961" s="3" t="s">
        <v>0</v>
      </c>
      <c r="C961" s="3">
        <v>159</v>
      </c>
      <c r="D961" s="3">
        <v>75</v>
      </c>
      <c r="E961" s="3" t="s">
        <v>2482</v>
      </c>
      <c r="F961" s="5" t="s">
        <v>1862</v>
      </c>
      <c r="G961" s="3" t="s">
        <v>2483</v>
      </c>
      <c r="H961" s="3" t="s">
        <v>674</v>
      </c>
    </row>
    <row r="962" spans="1:8" ht="15.75" x14ac:dyDescent="0.25">
      <c r="A962" s="4">
        <v>37057</v>
      </c>
      <c r="B962" s="3" t="s">
        <v>0</v>
      </c>
      <c r="C962" s="3">
        <v>169</v>
      </c>
      <c r="D962" s="3">
        <v>87</v>
      </c>
      <c r="E962" s="3" t="s">
        <v>2496</v>
      </c>
      <c r="F962" s="5" t="s">
        <v>1078</v>
      </c>
      <c r="G962" s="3" t="s">
        <v>2497</v>
      </c>
      <c r="H962" s="3" t="s">
        <v>681</v>
      </c>
    </row>
    <row r="963" spans="1:8" ht="15.75" x14ac:dyDescent="0.25">
      <c r="A963" s="4">
        <v>38301</v>
      </c>
      <c r="B963" s="3" t="s">
        <v>0</v>
      </c>
      <c r="C963" s="3">
        <v>157</v>
      </c>
      <c r="D963" s="3">
        <v>65</v>
      </c>
      <c r="E963" s="3" t="s">
        <v>2506</v>
      </c>
      <c r="F963" s="5" t="s">
        <v>1184</v>
      </c>
      <c r="G963" s="3" t="s">
        <v>2507</v>
      </c>
      <c r="H963" s="3" t="s">
        <v>686</v>
      </c>
    </row>
    <row r="964" spans="1:8" ht="15.75" x14ac:dyDescent="0.25">
      <c r="A964" s="4">
        <v>38130</v>
      </c>
      <c r="B964" s="3" t="s">
        <v>0</v>
      </c>
      <c r="C964" s="3">
        <v>161</v>
      </c>
      <c r="D964" s="3">
        <v>86</v>
      </c>
      <c r="E964" s="3" t="s">
        <v>2512</v>
      </c>
      <c r="F964" s="5" t="s">
        <v>1150</v>
      </c>
      <c r="G964" s="3" t="s">
        <v>2513</v>
      </c>
      <c r="H964" s="3" t="s">
        <v>689</v>
      </c>
    </row>
    <row r="965" spans="1:8" ht="15.75" x14ac:dyDescent="0.25">
      <c r="A965" s="4">
        <v>37605</v>
      </c>
      <c r="B965" s="3" t="s">
        <v>0</v>
      </c>
      <c r="C965" s="3">
        <v>159</v>
      </c>
      <c r="D965" s="3">
        <v>88</v>
      </c>
      <c r="E965" s="3" t="s">
        <v>2520</v>
      </c>
      <c r="F965" s="5" t="s">
        <v>1502</v>
      </c>
      <c r="G965" s="3" t="s">
        <v>2521</v>
      </c>
      <c r="H965" s="3" t="s">
        <v>693</v>
      </c>
    </row>
    <row r="966" spans="1:8" ht="15.75" x14ac:dyDescent="0.25">
      <c r="A966" s="4">
        <v>37618</v>
      </c>
      <c r="B966" s="3" t="s">
        <v>0</v>
      </c>
      <c r="C966" s="3">
        <v>159</v>
      </c>
      <c r="D966" s="3">
        <v>68</v>
      </c>
      <c r="E966" s="3" t="s">
        <v>2526</v>
      </c>
      <c r="F966" s="5" t="s">
        <v>1139</v>
      </c>
      <c r="G966" s="3" t="s">
        <v>2527</v>
      </c>
      <c r="H966" s="3" t="s">
        <v>696</v>
      </c>
    </row>
    <row r="967" spans="1:8" ht="15.75" x14ac:dyDescent="0.25">
      <c r="A967" s="4">
        <v>37593</v>
      </c>
      <c r="B967" s="3" t="s">
        <v>0</v>
      </c>
      <c r="C967" s="3">
        <v>165</v>
      </c>
      <c r="D967" s="3">
        <v>85</v>
      </c>
      <c r="E967" s="3" t="s">
        <v>2539</v>
      </c>
      <c r="F967" s="5" t="s">
        <v>1822</v>
      </c>
      <c r="G967" s="3" t="s">
        <v>2540</v>
      </c>
      <c r="H967" s="3" t="s">
        <v>703</v>
      </c>
    </row>
    <row r="968" spans="1:8" ht="15.75" x14ac:dyDescent="0.25">
      <c r="A968" s="4">
        <v>38392</v>
      </c>
      <c r="B968" s="3" t="s">
        <v>0</v>
      </c>
      <c r="C968" s="3">
        <v>151</v>
      </c>
      <c r="D968" s="3">
        <v>78</v>
      </c>
      <c r="E968" s="3" t="s">
        <v>2556</v>
      </c>
      <c r="F968" s="5" t="s">
        <v>1207</v>
      </c>
      <c r="G968" s="3" t="s">
        <v>2557</v>
      </c>
      <c r="H968" s="3" t="s">
        <v>712</v>
      </c>
    </row>
    <row r="969" spans="1:8" ht="15.75" x14ac:dyDescent="0.25">
      <c r="A969" s="4">
        <v>38375</v>
      </c>
      <c r="B969" s="3" t="s">
        <v>0</v>
      </c>
      <c r="C969" s="3">
        <v>168</v>
      </c>
      <c r="D969" s="3">
        <v>93</v>
      </c>
      <c r="E969" s="3" t="s">
        <v>2568</v>
      </c>
      <c r="F969" s="5" t="s">
        <v>1488</v>
      </c>
      <c r="G969" s="3" t="s">
        <v>2569</v>
      </c>
      <c r="H969" s="3" t="s">
        <v>718</v>
      </c>
    </row>
    <row r="970" spans="1:8" ht="15.75" x14ac:dyDescent="0.25">
      <c r="A970" s="4">
        <v>37572</v>
      </c>
      <c r="B970" s="3" t="s">
        <v>0</v>
      </c>
      <c r="C970" s="3">
        <v>157</v>
      </c>
      <c r="D970" s="3">
        <v>93</v>
      </c>
      <c r="E970" s="3" t="s">
        <v>2585</v>
      </c>
      <c r="F970" s="5" t="s">
        <v>1129</v>
      </c>
      <c r="G970" s="3" t="s">
        <v>2586</v>
      </c>
      <c r="H970" s="3" t="s">
        <v>727</v>
      </c>
    </row>
    <row r="971" spans="1:8" ht="15.75" x14ac:dyDescent="0.25">
      <c r="A971" s="4">
        <v>37255</v>
      </c>
      <c r="B971" s="3" t="s">
        <v>0</v>
      </c>
      <c r="C971" s="3">
        <v>159</v>
      </c>
      <c r="D971" s="3">
        <v>56</v>
      </c>
      <c r="E971" s="3" t="s">
        <v>2626</v>
      </c>
      <c r="F971" s="5" t="s">
        <v>1342</v>
      </c>
      <c r="G971" s="3" t="s">
        <v>2627</v>
      </c>
      <c r="H971" s="3" t="s">
        <v>747</v>
      </c>
    </row>
    <row r="972" spans="1:8" ht="15.75" x14ac:dyDescent="0.25">
      <c r="A972" s="4">
        <v>37517</v>
      </c>
      <c r="B972" s="3" t="s">
        <v>0</v>
      </c>
      <c r="C972" s="3">
        <v>158</v>
      </c>
      <c r="D972" s="3">
        <v>62</v>
      </c>
      <c r="E972" s="3" t="s">
        <v>2630</v>
      </c>
      <c r="F972" s="5" t="s">
        <v>1095</v>
      </c>
      <c r="G972" s="3" t="s">
        <v>2631</v>
      </c>
      <c r="H972" s="3" t="s">
        <v>749</v>
      </c>
    </row>
    <row r="973" spans="1:8" ht="15.75" x14ac:dyDescent="0.25">
      <c r="A973" s="4">
        <v>38358</v>
      </c>
      <c r="B973" s="3" t="s">
        <v>0</v>
      </c>
      <c r="C973" s="3">
        <v>177</v>
      </c>
      <c r="D973" s="3">
        <v>62</v>
      </c>
      <c r="E973" s="3" t="s">
        <v>2632</v>
      </c>
      <c r="F973" s="5" t="s">
        <v>1139</v>
      </c>
      <c r="G973" s="3" t="s">
        <v>2633</v>
      </c>
      <c r="H973" s="3" t="s">
        <v>750</v>
      </c>
    </row>
    <row r="974" spans="1:8" ht="15.75" x14ac:dyDescent="0.25">
      <c r="A974" s="4">
        <v>37135</v>
      </c>
      <c r="B974" s="3" t="s">
        <v>0</v>
      </c>
      <c r="C974" s="3">
        <v>180</v>
      </c>
      <c r="D974" s="3">
        <v>90</v>
      </c>
      <c r="E974" s="3" t="s">
        <v>2656</v>
      </c>
      <c r="F974" s="5" t="s">
        <v>1123</v>
      </c>
      <c r="G974" s="3" t="s">
        <v>2657</v>
      </c>
      <c r="H974" s="3" t="s">
        <v>762</v>
      </c>
    </row>
    <row r="975" spans="1:8" ht="15.75" x14ac:dyDescent="0.25">
      <c r="A975" s="4">
        <v>38323</v>
      </c>
      <c r="B975" s="3" t="s">
        <v>0</v>
      </c>
      <c r="C975" s="3">
        <v>150</v>
      </c>
      <c r="D975" s="3">
        <v>70</v>
      </c>
      <c r="E975" s="3" t="s">
        <v>2668</v>
      </c>
      <c r="F975" s="5" t="s">
        <v>1502</v>
      </c>
      <c r="G975" s="3" t="s">
        <v>2669</v>
      </c>
      <c r="H975" s="3" t="s">
        <v>768</v>
      </c>
    </row>
    <row r="976" spans="1:8" ht="15.75" x14ac:dyDescent="0.25">
      <c r="A976" s="4">
        <v>37259</v>
      </c>
      <c r="B976" s="3" t="s">
        <v>0</v>
      </c>
      <c r="C976" s="3">
        <v>167</v>
      </c>
      <c r="D976" s="3">
        <v>67</v>
      </c>
      <c r="E976" s="3" t="s">
        <v>2694</v>
      </c>
      <c r="F976" s="5" t="s">
        <v>1483</v>
      </c>
      <c r="G976" s="3" t="s">
        <v>2695</v>
      </c>
      <c r="H976" s="3" t="s">
        <v>782</v>
      </c>
    </row>
    <row r="977" spans="1:8" ht="15.75" x14ac:dyDescent="0.25">
      <c r="A977" s="4">
        <v>37335</v>
      </c>
      <c r="B977" s="3" t="s">
        <v>0</v>
      </c>
      <c r="C977" s="3">
        <v>153</v>
      </c>
      <c r="D977" s="3">
        <v>70</v>
      </c>
      <c r="E977" s="3" t="s">
        <v>2700</v>
      </c>
      <c r="F977" s="5" t="s">
        <v>1207</v>
      </c>
      <c r="G977" s="3" t="s">
        <v>2701</v>
      </c>
      <c r="H977" s="3" t="s">
        <v>785</v>
      </c>
    </row>
    <row r="978" spans="1:8" ht="15.75" x14ac:dyDescent="0.25">
      <c r="A978" s="4">
        <v>37099</v>
      </c>
      <c r="B978" s="3" t="s">
        <v>0</v>
      </c>
      <c r="C978" s="3">
        <v>176</v>
      </c>
      <c r="D978" s="3">
        <v>78</v>
      </c>
      <c r="E978" s="3" t="s">
        <v>2714</v>
      </c>
      <c r="F978" s="5" t="s">
        <v>1179</v>
      </c>
      <c r="G978" s="3" t="s">
        <v>2715</v>
      </c>
      <c r="H978" s="3" t="s">
        <v>792</v>
      </c>
    </row>
    <row r="979" spans="1:8" ht="15.75" x14ac:dyDescent="0.25">
      <c r="A979" s="4">
        <v>37866</v>
      </c>
      <c r="B979" s="3" t="s">
        <v>0</v>
      </c>
      <c r="C979" s="3">
        <v>175</v>
      </c>
      <c r="D979" s="3">
        <v>58</v>
      </c>
      <c r="E979" s="3" t="s">
        <v>2716</v>
      </c>
      <c r="F979" s="5" t="s">
        <v>1123</v>
      </c>
      <c r="G979" s="3" t="s">
        <v>2717</v>
      </c>
      <c r="H979" s="3" t="s">
        <v>793</v>
      </c>
    </row>
    <row r="980" spans="1:8" ht="15.75" x14ac:dyDescent="0.25">
      <c r="A980" s="4">
        <v>37263</v>
      </c>
      <c r="B980" s="3" t="s">
        <v>0</v>
      </c>
      <c r="C980" s="3">
        <v>180</v>
      </c>
      <c r="D980" s="3">
        <v>89</v>
      </c>
      <c r="E980" s="3" t="s">
        <v>2727</v>
      </c>
      <c r="F980" s="5" t="s">
        <v>1583</v>
      </c>
      <c r="G980" s="3" t="s">
        <v>2728</v>
      </c>
      <c r="H980" s="3" t="s">
        <v>799</v>
      </c>
    </row>
    <row r="981" spans="1:8" ht="15.75" x14ac:dyDescent="0.25">
      <c r="A981" s="4">
        <v>37986</v>
      </c>
      <c r="B981" s="3" t="s">
        <v>0</v>
      </c>
      <c r="C981" s="3">
        <v>176</v>
      </c>
      <c r="D981" s="3">
        <v>49</v>
      </c>
      <c r="E981" s="3" t="s">
        <v>2759</v>
      </c>
      <c r="F981" s="5" t="s">
        <v>1401</v>
      </c>
      <c r="G981" s="3" t="s">
        <v>2760</v>
      </c>
      <c r="H981" s="3" t="s">
        <v>815</v>
      </c>
    </row>
    <row r="982" spans="1:8" ht="15.75" x14ac:dyDescent="0.25">
      <c r="A982" s="4">
        <v>37998</v>
      </c>
      <c r="B982" s="3" t="s">
        <v>0</v>
      </c>
      <c r="C982" s="3">
        <v>168</v>
      </c>
      <c r="D982" s="3">
        <v>56</v>
      </c>
      <c r="E982" s="3" t="s">
        <v>2763</v>
      </c>
      <c r="F982" s="5" t="s">
        <v>1063</v>
      </c>
      <c r="G982" s="3" t="s">
        <v>2764</v>
      </c>
      <c r="H982" s="3" t="s">
        <v>817</v>
      </c>
    </row>
    <row r="983" spans="1:8" ht="15.75" x14ac:dyDescent="0.25">
      <c r="A983" s="4">
        <v>38037</v>
      </c>
      <c r="B983" s="3" t="s">
        <v>0</v>
      </c>
      <c r="C983" s="3">
        <v>153</v>
      </c>
      <c r="D983" s="3">
        <v>65</v>
      </c>
      <c r="E983" s="3" t="s">
        <v>2767</v>
      </c>
      <c r="F983" s="5" t="s">
        <v>1268</v>
      </c>
      <c r="G983" s="3" t="s">
        <v>2768</v>
      </c>
      <c r="H983" s="3" t="s">
        <v>8</v>
      </c>
    </row>
    <row r="984" spans="1:8" ht="15.75" x14ac:dyDescent="0.25">
      <c r="A984" s="4">
        <v>38053</v>
      </c>
      <c r="B984" s="3" t="s">
        <v>0</v>
      </c>
      <c r="C984" s="3">
        <v>173</v>
      </c>
      <c r="D984" s="3">
        <v>65</v>
      </c>
      <c r="E984" s="3" t="s">
        <v>2774</v>
      </c>
      <c r="F984" s="5" t="s">
        <v>1123</v>
      </c>
      <c r="G984" s="3" t="s">
        <v>2775</v>
      </c>
      <c r="H984" s="3" t="s">
        <v>822</v>
      </c>
    </row>
    <row r="985" spans="1:8" ht="15.75" x14ac:dyDescent="0.25">
      <c r="A985" s="4">
        <v>37291</v>
      </c>
      <c r="B985" s="3" t="s">
        <v>0</v>
      </c>
      <c r="C985" s="3">
        <v>174</v>
      </c>
      <c r="D985" s="3">
        <v>83</v>
      </c>
      <c r="E985" s="3" t="s">
        <v>2780</v>
      </c>
      <c r="F985" s="5" t="s">
        <v>1974</v>
      </c>
      <c r="G985" s="3" t="s">
        <v>2781</v>
      </c>
      <c r="H985" s="3" t="s">
        <v>825</v>
      </c>
    </row>
    <row r="986" spans="1:8" ht="15.75" x14ac:dyDescent="0.25">
      <c r="A986" s="4">
        <v>37685</v>
      </c>
      <c r="B986" s="3" t="s">
        <v>0</v>
      </c>
      <c r="C986" s="3">
        <v>164</v>
      </c>
      <c r="D986" s="3">
        <v>54</v>
      </c>
      <c r="E986" s="3" t="s">
        <v>2782</v>
      </c>
      <c r="F986" s="5" t="s">
        <v>1114</v>
      </c>
      <c r="G986" s="3" t="s">
        <v>2783</v>
      </c>
      <c r="H986" s="3" t="s">
        <v>826</v>
      </c>
    </row>
    <row r="987" spans="1:8" ht="15.75" x14ac:dyDescent="0.25">
      <c r="A987" s="4">
        <v>37728</v>
      </c>
      <c r="B987" s="3" t="s">
        <v>0</v>
      </c>
      <c r="C987" s="3">
        <v>172</v>
      </c>
      <c r="D987" s="3">
        <v>78</v>
      </c>
      <c r="E987" s="3" t="s">
        <v>2796</v>
      </c>
      <c r="F987" s="5" t="s">
        <v>1078</v>
      </c>
      <c r="G987" s="3" t="s">
        <v>2797</v>
      </c>
      <c r="H987" s="3" t="s">
        <v>833</v>
      </c>
    </row>
    <row r="988" spans="1:8" ht="15.75" x14ac:dyDescent="0.25">
      <c r="A988" s="4">
        <v>37139</v>
      </c>
      <c r="B988" s="3" t="s">
        <v>0</v>
      </c>
      <c r="C988" s="3">
        <v>166</v>
      </c>
      <c r="D988" s="3">
        <v>90</v>
      </c>
      <c r="E988" s="3" t="s">
        <v>2802</v>
      </c>
      <c r="F988" s="5" t="s">
        <v>1920</v>
      </c>
      <c r="G988" s="3" t="s">
        <v>2803</v>
      </c>
      <c r="H988" s="3" t="s">
        <v>836</v>
      </c>
    </row>
    <row r="989" spans="1:8" ht="15.75" x14ac:dyDescent="0.25">
      <c r="A989" s="4">
        <v>37116</v>
      </c>
      <c r="B989" s="3" t="s">
        <v>0</v>
      </c>
      <c r="C989" s="3">
        <v>153</v>
      </c>
      <c r="D989" s="3">
        <v>95</v>
      </c>
      <c r="E989" s="3" t="s">
        <v>2808</v>
      </c>
      <c r="F989" s="5" t="s">
        <v>1170</v>
      </c>
      <c r="G989" s="3" t="s">
        <v>2809</v>
      </c>
      <c r="H989" s="3" t="s">
        <v>839</v>
      </c>
    </row>
    <row r="990" spans="1:8" ht="15.75" x14ac:dyDescent="0.25">
      <c r="A990" s="4">
        <v>38408</v>
      </c>
      <c r="B990" s="3" t="s">
        <v>0</v>
      </c>
      <c r="C990" s="3">
        <v>157</v>
      </c>
      <c r="D990" s="3">
        <v>65</v>
      </c>
      <c r="E990" s="3" t="s">
        <v>2827</v>
      </c>
      <c r="F990" s="5" t="s">
        <v>1394</v>
      </c>
      <c r="G990" s="3" t="s">
        <v>2828</v>
      </c>
      <c r="H990" s="3" t="s">
        <v>849</v>
      </c>
    </row>
    <row r="991" spans="1:8" ht="15.75" x14ac:dyDescent="0.25">
      <c r="A991" s="4">
        <v>37464</v>
      </c>
      <c r="B991" s="3" t="s">
        <v>0</v>
      </c>
      <c r="C991" s="3">
        <v>155</v>
      </c>
      <c r="D991" s="3">
        <v>89</v>
      </c>
      <c r="E991" s="3" t="s">
        <v>2871</v>
      </c>
      <c r="F991" s="5" t="s">
        <v>1822</v>
      </c>
      <c r="G991" s="3" t="s">
        <v>2872</v>
      </c>
      <c r="H991" s="3" t="s">
        <v>868</v>
      </c>
    </row>
    <row r="992" spans="1:8" ht="15.75" x14ac:dyDescent="0.25">
      <c r="A992" s="4">
        <v>37222</v>
      </c>
      <c r="B992" s="3" t="s">
        <v>0</v>
      </c>
      <c r="C992" s="3">
        <v>160</v>
      </c>
      <c r="D992" s="3">
        <v>58</v>
      </c>
      <c r="E992" s="3" t="s">
        <v>2885</v>
      </c>
      <c r="F992" s="5" t="s">
        <v>1480</v>
      </c>
      <c r="G992" s="3" t="s">
        <v>2886</v>
      </c>
      <c r="H992" s="3" t="s">
        <v>875</v>
      </c>
    </row>
    <row r="993" spans="1:8" ht="15.75" x14ac:dyDescent="0.25">
      <c r="A993" s="4">
        <v>37694</v>
      </c>
      <c r="B993" s="3" t="s">
        <v>0</v>
      </c>
      <c r="C993" s="3">
        <v>157</v>
      </c>
      <c r="D993" s="3">
        <v>61</v>
      </c>
      <c r="E993" s="3" t="s">
        <v>2889</v>
      </c>
      <c r="F993" s="5" t="s">
        <v>1072</v>
      </c>
      <c r="G993" s="3" t="s">
        <v>2890</v>
      </c>
      <c r="H993" s="3" t="s">
        <v>877</v>
      </c>
    </row>
    <row r="994" spans="1:8" ht="15.75" x14ac:dyDescent="0.25">
      <c r="A994" s="4">
        <v>37015</v>
      </c>
      <c r="B994" s="3" t="s">
        <v>0</v>
      </c>
      <c r="C994" s="3">
        <v>167</v>
      </c>
      <c r="D994" s="3">
        <v>50</v>
      </c>
      <c r="E994" s="3" t="s">
        <v>2891</v>
      </c>
      <c r="F994" s="5" t="s">
        <v>1126</v>
      </c>
      <c r="G994" s="3" t="s">
        <v>2892</v>
      </c>
      <c r="H994" s="3" t="s">
        <v>878</v>
      </c>
    </row>
    <row r="995" spans="1:8" ht="15.75" x14ac:dyDescent="0.25">
      <c r="A995" s="4">
        <v>37282</v>
      </c>
      <c r="B995" s="3" t="s">
        <v>0</v>
      </c>
      <c r="C995" s="3">
        <v>179</v>
      </c>
      <c r="D995" s="3">
        <v>48</v>
      </c>
      <c r="E995" s="3" t="s">
        <v>2903</v>
      </c>
      <c r="F995" s="5" t="s">
        <v>1683</v>
      </c>
      <c r="G995" s="3" t="s">
        <v>2904</v>
      </c>
      <c r="H995" s="3" t="s">
        <v>884</v>
      </c>
    </row>
    <row r="996" spans="1:8" ht="15.75" x14ac:dyDescent="0.25">
      <c r="A996" s="4">
        <v>37478</v>
      </c>
      <c r="B996" s="3" t="s">
        <v>0</v>
      </c>
      <c r="C996" s="3">
        <v>178</v>
      </c>
      <c r="D996" s="3">
        <v>51</v>
      </c>
      <c r="E996" s="3" t="s">
        <v>2999</v>
      </c>
      <c r="F996" s="5" t="s">
        <v>1090</v>
      </c>
      <c r="G996" s="3" t="s">
        <v>3000</v>
      </c>
      <c r="H996" s="3" t="s">
        <v>931</v>
      </c>
    </row>
    <row r="997" spans="1:8" ht="15.75" x14ac:dyDescent="0.25">
      <c r="A997" s="4">
        <v>37927</v>
      </c>
      <c r="B997" s="3" t="s">
        <v>0</v>
      </c>
      <c r="C997" s="3">
        <v>173</v>
      </c>
      <c r="D997" s="3">
        <v>76</v>
      </c>
      <c r="E997" s="3" t="s">
        <v>3005</v>
      </c>
      <c r="F997" s="5" t="s">
        <v>1263</v>
      </c>
      <c r="G997" s="3" t="s">
        <v>3006</v>
      </c>
      <c r="H997" s="3" t="s">
        <v>934</v>
      </c>
    </row>
    <row r="998" spans="1:8" ht="15.75" x14ac:dyDescent="0.25">
      <c r="A998" s="4">
        <v>37423</v>
      </c>
      <c r="B998" s="3" t="s">
        <v>0</v>
      </c>
      <c r="C998" s="3">
        <v>170</v>
      </c>
      <c r="D998" s="3">
        <v>64</v>
      </c>
      <c r="E998" s="3" t="s">
        <v>3044</v>
      </c>
      <c r="F998" s="5" t="s">
        <v>1920</v>
      </c>
      <c r="G998" s="3" t="s">
        <v>3045</v>
      </c>
      <c r="H998" s="3" t="s">
        <v>955</v>
      </c>
    </row>
    <row r="999" spans="1:8" ht="15.75" x14ac:dyDescent="0.25">
      <c r="A999" s="4">
        <v>37543</v>
      </c>
      <c r="B999" s="3" t="s">
        <v>0</v>
      </c>
      <c r="C999" s="3">
        <v>154</v>
      </c>
      <c r="D999" s="3">
        <v>60</v>
      </c>
      <c r="E999" s="3" t="s">
        <v>3068</v>
      </c>
      <c r="F999" s="5" t="s">
        <v>1213</v>
      </c>
      <c r="G999" s="3" t="s">
        <v>3069</v>
      </c>
      <c r="H999" s="3" t="s">
        <v>967</v>
      </c>
    </row>
    <row r="1000" spans="1:8" ht="15.75" x14ac:dyDescent="0.25">
      <c r="A1000" s="4">
        <v>37777</v>
      </c>
      <c r="B1000" s="3" t="s">
        <v>0</v>
      </c>
      <c r="C1000" s="3">
        <v>157</v>
      </c>
      <c r="D1000" s="3">
        <v>68</v>
      </c>
      <c r="E1000" s="3" t="s">
        <v>3089</v>
      </c>
      <c r="F1000" s="5" t="s">
        <v>1822</v>
      </c>
      <c r="G1000" s="3" t="s">
        <v>3090</v>
      </c>
      <c r="H1000" s="3" t="s">
        <v>978</v>
      </c>
    </row>
    <row r="1001" spans="1:8" ht="15.75" x14ac:dyDescent="0.25">
      <c r="A1001" s="4">
        <v>37641</v>
      </c>
      <c r="B1001" s="3" t="s">
        <v>0</v>
      </c>
      <c r="C1001" s="3">
        <v>179</v>
      </c>
      <c r="D1001" s="3">
        <v>76</v>
      </c>
      <c r="E1001" s="3" t="s">
        <v>3126</v>
      </c>
      <c r="F1001" s="5" t="s">
        <v>1184</v>
      </c>
      <c r="G1001" s="3" t="s">
        <v>3127</v>
      </c>
      <c r="H1001" s="3" t="s">
        <v>997</v>
      </c>
    </row>
  </sheetData>
  <sheetProtection algorithmName="SHA-512" hashValue="8aThqOreMSxwSCrfr01lkeaAne9VfRN1/te6abcRtRW71Pty6eus/EWe6WHT+rcbhQ3gK80DYdyiaIce4OjfVw==" saltValue="pFfuZr9k5XqYP/XQUqsELg==" spinCount="100000" sheet="1" objects="1" scenarios="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892A-6F5E-424E-9F4E-7F7032F95A88}">
  <dimension ref="A1:U1013"/>
  <sheetViews>
    <sheetView zoomScale="54" workbookViewId="0">
      <selection activeCell="C15" sqref="C15"/>
    </sheetView>
  </sheetViews>
  <sheetFormatPr defaultRowHeight="15" x14ac:dyDescent="0.25"/>
  <cols>
    <col min="1" max="1" width="14.7109375" customWidth="1"/>
    <col min="2" max="2" width="18.42578125" customWidth="1"/>
    <col min="3" max="3" width="20.7109375" customWidth="1"/>
    <col min="4" max="4" width="14.85546875" customWidth="1"/>
    <col min="5" max="5" width="14.7109375" customWidth="1"/>
    <col min="6" max="6" width="16" customWidth="1"/>
    <col min="7" max="7" width="20" customWidth="1"/>
    <col min="8" max="8" width="20.140625" customWidth="1"/>
    <col min="9" max="9" width="13.42578125" customWidth="1"/>
    <col min="11" max="11" width="12.42578125" customWidth="1"/>
    <col min="12" max="12" width="14" customWidth="1"/>
    <col min="18" max="18" width="13.5703125" customWidth="1"/>
    <col min="19" max="19" width="15.5703125" customWidth="1"/>
    <col min="20" max="20" width="15.28515625" customWidth="1"/>
  </cols>
  <sheetData>
    <row r="1" spans="1:21" ht="15.75" x14ac:dyDescent="0.25">
      <c r="A1" s="31" t="s">
        <v>3141</v>
      </c>
      <c r="B1" s="38" t="s">
        <v>3178</v>
      </c>
      <c r="K1" s="7" t="s">
        <v>1009</v>
      </c>
      <c r="L1" s="7" t="s">
        <v>3179</v>
      </c>
      <c r="R1" s="7" t="s">
        <v>3180</v>
      </c>
      <c r="S1" s="7" t="s">
        <v>3182</v>
      </c>
      <c r="T1" s="7" t="s">
        <v>3181</v>
      </c>
    </row>
    <row r="2" spans="1:21" ht="15.75" x14ac:dyDescent="0.25">
      <c r="A2" s="32" t="s">
        <v>1011</v>
      </c>
      <c r="B2" s="39">
        <f>AVERAGEIFS(Main!$G$1:$G$1001,Main!$C$1:$C$1001,Helper!A14)</f>
        <v>65.128834355828218</v>
      </c>
      <c r="C2" s="35"/>
      <c r="K2" s="33" t="s">
        <v>1013</v>
      </c>
      <c r="L2" s="37">
        <f>SUMIFS(Main!$F$1:$F$1001,Main!$C$1:$C$1001,Helper!A14)</f>
        <v>9493</v>
      </c>
      <c r="R2" s="33" t="s">
        <v>1013</v>
      </c>
      <c r="S2" s="36">
        <f>AVERAGEIFS(Main!$H$1:$H$1001,Main!$C$1:$C$1001,Helper!R2)</f>
        <v>62.494623655913976</v>
      </c>
      <c r="T2" s="36">
        <f>AVERAGEIFS(Main!$I$1:$I$1001,Main!$C$1:$C$1001,Helper!R2)</f>
        <v>71.005376344086017</v>
      </c>
    </row>
    <row r="3" spans="1:21" ht="15.75" x14ac:dyDescent="0.25">
      <c r="A3" s="33" t="s">
        <v>1015</v>
      </c>
      <c r="B3" s="39">
        <f>AVERAGEIFS(Main!$G$1:$G$1001,Main!$C$1:$C$1001,Helper!A15)</f>
        <v>63.874213836477985</v>
      </c>
      <c r="C3" s="35"/>
      <c r="K3" s="32" t="s">
        <v>1011</v>
      </c>
      <c r="L3" s="37">
        <f>SUMIFS(Main!$F$1:$F$1001,Main!$C$1:$C$1001,Helper!A15)</f>
        <v>9075</v>
      </c>
      <c r="R3" s="32" t="s">
        <v>1011</v>
      </c>
      <c r="S3" s="36">
        <f>AVERAGEIFS(Main!$H$1:$H$1001,Main!$C$1:$C$1001,Helper!R3)</f>
        <v>62.128834355828218</v>
      </c>
      <c r="T3" s="36">
        <f>AVERAGEIFS(Main!$I$1:$I$1001,Main!$C$1:$C$1001,Helper!R3)</f>
        <v>73.521472392638032</v>
      </c>
      <c r="U3" s="40">
        <f>T3-S3</f>
        <v>11.392638036809814</v>
      </c>
    </row>
    <row r="4" spans="1:21" ht="15.75" x14ac:dyDescent="0.25">
      <c r="A4" s="33" t="s">
        <v>1012</v>
      </c>
      <c r="B4" s="39">
        <f>AVERAGEIFS(Main!$G$1:$G$1001,Main!$C$1:$C$1001,Helper!A16)</f>
        <v>63.645348837209305</v>
      </c>
      <c r="C4" s="35"/>
      <c r="K4" s="33" t="s">
        <v>1014</v>
      </c>
      <c r="L4" s="37">
        <f>SUMIFS(Main!$F$1:$F$1001,Main!$C$1:$C$1001,Helper!A16)</f>
        <v>10010</v>
      </c>
      <c r="R4" s="33" t="s">
        <v>1014</v>
      </c>
      <c r="S4" s="36">
        <f>AVERAGEIFS(Main!$H$1:$H$1001,Main!$C$1:$C$1001,Helper!R4)</f>
        <v>63.106250000000003</v>
      </c>
      <c r="T4" s="36">
        <f>AVERAGEIFS(Main!$I$1:$I$1001,Main!$C$1:$C$1001,Helper!R4)</f>
        <v>71.206249999999997</v>
      </c>
    </row>
    <row r="5" spans="1:21" ht="15.75" x14ac:dyDescent="0.25">
      <c r="A5" s="33" t="s">
        <v>1014</v>
      </c>
      <c r="B5" s="39">
        <f>AVERAGEIFS(Main!$G$1:$G$1001,Main!$C$1:$C$1001,Helper!A17)</f>
        <v>62.825000000000003</v>
      </c>
      <c r="C5" s="35"/>
      <c r="K5" s="33" t="s">
        <v>1010</v>
      </c>
      <c r="L5" s="37">
        <f>SUMIFS(Main!$F$1:$F$1001,Main!$C$1:$C$1001,Helper!A17)</f>
        <v>9022</v>
      </c>
      <c r="R5" s="33" t="s">
        <v>1010</v>
      </c>
      <c r="S5" s="36">
        <f>AVERAGEIFS(Main!$H$1:$H$1001,Main!$C$1:$C$1001,Helper!R5)</f>
        <v>62.362499999999997</v>
      </c>
      <c r="T5" s="36">
        <f>AVERAGEIFS(Main!$I$1:$I$1001,Main!$C$1:$C$1001,Helper!R5)</f>
        <v>72.025000000000006</v>
      </c>
    </row>
    <row r="6" spans="1:21" ht="15.75" x14ac:dyDescent="0.25">
      <c r="A6" s="33" t="s">
        <v>1013</v>
      </c>
      <c r="B6" s="39">
        <f>AVERAGEIFS(Main!$G$1:$G$1001,Main!$C$1:$C$1001,Helper!A18)</f>
        <v>62.322580645161288</v>
      </c>
      <c r="C6" s="35"/>
      <c r="K6" s="33" t="s">
        <v>1015</v>
      </c>
      <c r="L6" s="37">
        <f>SUMIFS(Main!$F$1:$F$1001,Main!$C$1:$C$1001,Helper!A18)</f>
        <v>10745</v>
      </c>
      <c r="R6" s="33" t="s">
        <v>1015</v>
      </c>
      <c r="S6" s="36">
        <f>AVERAGEIFS(Main!$H$1:$H$1001,Main!$C$1:$C$1001,Helper!R6)</f>
        <v>62.654088050314463</v>
      </c>
      <c r="T6" s="36">
        <f>AVERAGEIFS(Main!$I$1:$I$1001,Main!$C$1:$C$1001,Helper!R6)</f>
        <v>73.440251572327043</v>
      </c>
    </row>
    <row r="7" spans="1:21" ht="15.75" x14ac:dyDescent="0.25">
      <c r="A7" s="33" t="s">
        <v>1010</v>
      </c>
      <c r="B7" s="39">
        <f>AVERAGEIFS(Main!$G$1:$G$1001,Main!$C$1:$C$1001,Helper!A19)</f>
        <v>62.193750000000001</v>
      </c>
      <c r="C7" s="35"/>
      <c r="K7" s="33" t="s">
        <v>1012</v>
      </c>
      <c r="L7" s="37">
        <f>SUMIFS(Main!F1:F1001,Main!C1:C1001,Helper!A19)</f>
        <v>8949</v>
      </c>
      <c r="R7" s="33" t="s">
        <v>1012</v>
      </c>
      <c r="S7" s="36">
        <f>AVERAGEIFS(Main!$H$1:$H$1001,Main!$C$1:$C$1001,Helper!R7)</f>
        <v>62.087209302325583</v>
      </c>
      <c r="T7" s="36">
        <f>AVERAGEIFS(Main!$I$1:$I$1001,Main!$C$1:$C$1001,Helper!R7)</f>
        <v>73.354651162790702</v>
      </c>
    </row>
    <row r="8" spans="1:21" ht="15.75" x14ac:dyDescent="0.25">
      <c r="A8" s="3"/>
      <c r="R8" t="str">
        <f ca="1">_xlfn.FORMULATEXT(S2)</f>
        <v>=AVERAGEIFS(Main!$H$1:$H$1001;Main!$C$1:$C$1001;Helper!R2)</v>
      </c>
    </row>
    <row r="13" spans="1:21" ht="15.75" x14ac:dyDescent="0.25">
      <c r="A13" s="31" t="s">
        <v>3141</v>
      </c>
      <c r="B13" s="7" t="s">
        <v>3183</v>
      </c>
      <c r="C13" s="7" t="s">
        <v>3184</v>
      </c>
      <c r="D13" s="50" t="s">
        <v>3185</v>
      </c>
      <c r="E13" s="50" t="s">
        <v>3186</v>
      </c>
      <c r="F13" s="50" t="s">
        <v>3197</v>
      </c>
      <c r="G13" s="6"/>
      <c r="H13" s="3"/>
      <c r="I13" s="2"/>
      <c r="J13" s="3"/>
      <c r="K13" s="3"/>
      <c r="L13" s="3"/>
      <c r="M13" s="3"/>
    </row>
    <row r="14" spans="1:21" ht="15.75" x14ac:dyDescent="0.25">
      <c r="A14" s="32" t="s">
        <v>1011</v>
      </c>
      <c r="B14" s="7">
        <f>COUNTIFS(Main!$C$1:$C$1001,Helper!A14)</f>
        <v>163</v>
      </c>
      <c r="C14" s="7">
        <f>COUNTIFS(Main!$C$1:$C$1001,Helper!A14,Main!$L$1:$L$1001,"no")</f>
        <v>80</v>
      </c>
      <c r="D14" s="7">
        <f>B14-C14</f>
        <v>83</v>
      </c>
      <c r="E14" s="7">
        <f>COUNTIF(Absen!C1:C501,10)</f>
        <v>104</v>
      </c>
      <c r="F14" s="7">
        <f>COUNTIF(Absen!C1:C501,9)</f>
        <v>94</v>
      </c>
      <c r="H14" s="3"/>
      <c r="I14" s="4"/>
      <c r="J14" s="3"/>
      <c r="K14" s="5"/>
      <c r="L14" s="3"/>
      <c r="M14" s="3"/>
    </row>
    <row r="15" spans="1:21" ht="15.75" x14ac:dyDescent="0.25">
      <c r="A15" s="33" t="s">
        <v>1015</v>
      </c>
      <c r="B15" s="7">
        <f>COUNTIFS(Main!$C$1:$C$1001,Helper!A15)</f>
        <v>159</v>
      </c>
      <c r="C15" s="7">
        <f>COUNTIFS(Main!$C$1:$C$1001,Helper!A15,Main!$L$1:$L$1001,"no")</f>
        <v>76</v>
      </c>
      <c r="D15" s="7">
        <f t="shared" ref="D15:D19" si="0">B15-C15</f>
        <v>83</v>
      </c>
      <c r="E15" s="7"/>
      <c r="F15" s="7"/>
      <c r="H15" s="3"/>
      <c r="I15" s="4"/>
      <c r="J15" s="3"/>
      <c r="K15" s="5"/>
      <c r="L15" s="3"/>
      <c r="M15" s="3"/>
    </row>
    <row r="16" spans="1:21" ht="15.75" x14ac:dyDescent="0.25">
      <c r="A16" s="33" t="s">
        <v>1012</v>
      </c>
      <c r="B16" s="7">
        <f>COUNTIFS(Main!$C$1:$C$1001,Helper!A16)</f>
        <v>172</v>
      </c>
      <c r="C16" s="7">
        <f>COUNTIFS(Main!$C$1:$C$1001,Helper!A16,Main!$L$1:$L$1001,"no")</f>
        <v>77</v>
      </c>
      <c r="D16" s="7">
        <f t="shared" si="0"/>
        <v>95</v>
      </c>
      <c r="E16" s="7"/>
      <c r="F16" s="7"/>
      <c r="H16" s="3"/>
      <c r="I16" s="4"/>
      <c r="J16" s="3"/>
      <c r="K16" s="5"/>
      <c r="L16" s="3"/>
      <c r="M16" s="3"/>
    </row>
    <row r="17" spans="1:13" ht="15.75" x14ac:dyDescent="0.25">
      <c r="A17" s="33" t="s">
        <v>1014</v>
      </c>
      <c r="B17" s="7">
        <f>COUNTIFS(Main!$C$1:$C$1001,Helper!A17)</f>
        <v>160</v>
      </c>
      <c r="C17" s="7">
        <f>COUNTIFS(Main!$C$1:$C$1001,Helper!A17,Main!$L$1:$L$1001,"no")</f>
        <v>85</v>
      </c>
      <c r="D17" s="7">
        <f t="shared" si="0"/>
        <v>75</v>
      </c>
      <c r="E17" s="7"/>
      <c r="F17" s="7"/>
      <c r="H17" s="3"/>
      <c r="I17" s="4"/>
      <c r="J17" s="3"/>
      <c r="K17" s="5"/>
      <c r="L17" s="3"/>
      <c r="M17" s="3"/>
    </row>
    <row r="18" spans="1:13" ht="15.75" x14ac:dyDescent="0.25">
      <c r="A18" s="33" t="s">
        <v>1013</v>
      </c>
      <c r="B18" s="7">
        <f>COUNTIFS(Main!$C$1:$C$1001,Helper!A18)</f>
        <v>186</v>
      </c>
      <c r="C18" s="7">
        <f>COUNTIFS(Main!$C$1:$C$1001,Helper!A18,Main!$L$1:$L$1001,"no")</f>
        <v>98</v>
      </c>
      <c r="D18" s="7">
        <f t="shared" si="0"/>
        <v>88</v>
      </c>
      <c r="E18" s="7"/>
      <c r="F18" s="63"/>
      <c r="H18" s="3"/>
      <c r="I18" s="4"/>
      <c r="J18" s="3"/>
      <c r="K18" s="5"/>
      <c r="L18" s="3"/>
      <c r="M18" s="3"/>
    </row>
    <row r="19" spans="1:13" ht="15.75" x14ac:dyDescent="0.25">
      <c r="A19" s="33" t="s">
        <v>1010</v>
      </c>
      <c r="B19" s="7">
        <f>COUNTIFS(Main!$C$1:$C$1001,Helper!A19)</f>
        <v>160</v>
      </c>
      <c r="C19" s="7">
        <f>COUNTIFS(Main!$C$1:$C$1001,Helper!A19,Main!$L$1:$L$1001,"no")</f>
        <v>84</v>
      </c>
      <c r="D19" s="7">
        <f t="shared" si="0"/>
        <v>76</v>
      </c>
      <c r="E19" s="7"/>
      <c r="F19" s="7"/>
      <c r="H19" s="3"/>
      <c r="I19" s="4"/>
      <c r="J19" s="3"/>
      <c r="K19" s="5"/>
      <c r="L19" s="3"/>
      <c r="M19" s="3"/>
    </row>
    <row r="20" spans="1:13" ht="15.75" x14ac:dyDescent="0.25">
      <c r="B20">
        <f>SUM(B14:B19)</f>
        <v>1000</v>
      </c>
      <c r="C20">
        <f>SUM(C14:C19)</f>
        <v>500</v>
      </c>
      <c r="D20" s="41"/>
      <c r="H20" s="3"/>
      <c r="I20" s="4"/>
      <c r="J20" s="3"/>
      <c r="K20" s="5"/>
      <c r="L20" s="3"/>
      <c r="M20" s="3"/>
    </row>
    <row r="21" spans="1:13" ht="15.75" x14ac:dyDescent="0.25">
      <c r="C21" s="41"/>
      <c r="H21" s="3"/>
      <c r="I21" s="4"/>
      <c r="J21" s="3"/>
      <c r="K21" s="5"/>
      <c r="L21" s="3"/>
      <c r="M21" s="3"/>
    </row>
    <row r="22" spans="1:13" ht="15.75" x14ac:dyDescent="0.25">
      <c r="A22" s="42" t="s">
        <v>1009</v>
      </c>
      <c r="B22" s="7" t="s">
        <v>3187</v>
      </c>
      <c r="C22" s="7" t="s">
        <v>3191</v>
      </c>
      <c r="D22" s="7" t="s">
        <v>3192</v>
      </c>
      <c r="E22" s="7" t="s">
        <v>3193</v>
      </c>
      <c r="F22" s="7" t="s">
        <v>3194</v>
      </c>
      <c r="G22" s="7" t="s">
        <v>3195</v>
      </c>
      <c r="H22" s="33" t="s">
        <v>3196</v>
      </c>
      <c r="I22" s="4"/>
      <c r="J22" s="3"/>
      <c r="K22" s="5"/>
      <c r="L22" s="3"/>
      <c r="M22" s="3"/>
    </row>
    <row r="23" spans="1:13" ht="15.75" x14ac:dyDescent="0.25">
      <c r="A23" s="43" t="s">
        <v>1015</v>
      </c>
      <c r="B23" s="58">
        <f>AVERAGEIF(Main!$C$1:$C$1001,Helper!A23,Main!$N$1:$N$1001)</f>
        <v>67.472484276729574</v>
      </c>
      <c r="C23" s="7">
        <f>SUMIFS(Main!$E$1:$E$1001,Main!$C$1:$C$1001,A23)</f>
        <v>11547</v>
      </c>
      <c r="D23" s="36">
        <f>AVERAGEIFS(Main!$E$1:$E$1001,Main!$C$1:$C$1001,Helper!A23)</f>
        <v>72.622641509433961</v>
      </c>
      <c r="E23" s="36">
        <f>AVERAGEIFS(Main!$F$1:$F$1001,Main!$C$1:$C$1001,Helper!A23)</f>
        <v>57.075471698113205</v>
      </c>
      <c r="F23" s="36">
        <f>AVERAGEIFS(Main!$H$1:$H$1001,Main!$C$1:$C$1001,Helper!A23)</f>
        <v>62.654088050314463</v>
      </c>
      <c r="G23" s="36">
        <f>D23-E23</f>
        <v>15.547169811320757</v>
      </c>
      <c r="H23" s="64">
        <f>F23-E23</f>
        <v>5.5786163522012586</v>
      </c>
      <c r="I23" s="4"/>
      <c r="J23" s="3"/>
      <c r="K23" s="5"/>
      <c r="L23" s="3"/>
      <c r="M23" s="3"/>
    </row>
    <row r="24" spans="1:13" ht="15.75" x14ac:dyDescent="0.25">
      <c r="A24" s="43" t="s">
        <v>1014</v>
      </c>
      <c r="B24" s="58">
        <f>AVERAGEIF(Main!$C$1:$C$1001,Helper!A24,Main!$N$1:$N$1001)</f>
        <v>67.2109375</v>
      </c>
      <c r="C24" s="7">
        <f>SUMIFS(Main!$E$1:$E$1001,Main!$C$1:$C$1001,A24)</f>
        <v>11462</v>
      </c>
      <c r="D24" s="36">
        <f>AVERAGEIFS(Main!$E$1:$E$1001,Main!$C$1:$C$1001,Helper!A24)</f>
        <v>71.637500000000003</v>
      </c>
      <c r="E24" s="36">
        <f>AVERAGEIFS(Main!$F$1:$F$1001,Main!$C$1:$C$1001,Helper!A24)</f>
        <v>56.387500000000003</v>
      </c>
      <c r="F24" s="36">
        <f>AVERAGEIFS(Main!$H$1:$H$1001,Main!$C$1:$C$1001,Helper!A24)</f>
        <v>63.106250000000003</v>
      </c>
      <c r="G24" s="36">
        <f t="shared" ref="G24:G28" si="1">D24-E24</f>
        <v>15.25</v>
      </c>
      <c r="H24" s="64">
        <f t="shared" ref="H24:H28" si="2">F24-E24</f>
        <v>6.71875</v>
      </c>
      <c r="I24" s="4"/>
      <c r="J24" s="3"/>
      <c r="K24" s="5"/>
      <c r="L24" s="3"/>
      <c r="M24" s="3"/>
    </row>
    <row r="25" spans="1:13" ht="15.75" x14ac:dyDescent="0.25">
      <c r="A25" s="43" t="s">
        <v>1012</v>
      </c>
      <c r="B25" s="58">
        <f>AVERAGEIF(Main!$C$1:$C$1001,Helper!A25,Main!$N$1:$N$1001)</f>
        <v>67.426162790697632</v>
      </c>
      <c r="C25" s="7">
        <f>SUMIFS(Main!$E$1:$E$1001,Main!$C$1:$C$1001,A25)</f>
        <v>12426</v>
      </c>
      <c r="D25" s="36">
        <f>AVERAGEIFS(Main!$E$1:$E$1001,Main!$C$1:$C$1001,Helper!A25)</f>
        <v>72.244186046511629</v>
      </c>
      <c r="E25" s="36">
        <f>AVERAGEIFS(Main!$F$1:$F$1001,Main!$C$1:$C$1001,Helper!A25)</f>
        <v>58.197674418604649</v>
      </c>
      <c r="F25" s="36">
        <f>AVERAGEIFS(Main!$H$1:$H$1001,Main!$C$1:$C$1001,Helper!A25)</f>
        <v>62.087209302325583</v>
      </c>
      <c r="G25" s="36">
        <f t="shared" si="1"/>
        <v>14.04651162790698</v>
      </c>
      <c r="H25" s="64">
        <f t="shared" si="2"/>
        <v>3.889534883720934</v>
      </c>
      <c r="I25" s="4"/>
      <c r="J25" s="3"/>
      <c r="K25" s="5"/>
      <c r="L25" s="3"/>
      <c r="M25" s="3"/>
    </row>
    <row r="26" spans="1:13" ht="15.75" x14ac:dyDescent="0.25">
      <c r="A26" s="43" t="s">
        <v>1013</v>
      </c>
      <c r="B26" s="58">
        <f>AVERAGEIF(Main!$C$1:$C$1001,Helper!A26,Main!$N$1:$N$1001)</f>
        <v>66.926344086021544</v>
      </c>
      <c r="C26" s="7">
        <f>SUMIFS(Main!$E$1:$E$1001,Main!$C$1:$C$1001,A26)</f>
        <v>13592</v>
      </c>
      <c r="D26" s="36">
        <f>AVERAGEIFS(Main!$E$1:$E$1001,Main!$C$1:$C$1001,Helper!A26)</f>
        <v>73.075268817204304</v>
      </c>
      <c r="E26" s="36">
        <f>AVERAGEIFS(Main!$F$1:$F$1001,Main!$C$1:$C$1001,Helper!A26)</f>
        <v>57.768817204301072</v>
      </c>
      <c r="F26" s="36">
        <f>AVERAGEIFS(Main!$H$1:$H$1001,Main!$C$1:$C$1001,Helper!A26)</f>
        <v>62.494623655913976</v>
      </c>
      <c r="G26" s="36">
        <f t="shared" si="1"/>
        <v>15.306451612903231</v>
      </c>
      <c r="H26" s="64">
        <f t="shared" si="2"/>
        <v>4.7258064516129039</v>
      </c>
      <c r="I26" s="4"/>
      <c r="J26" s="3"/>
      <c r="K26" s="5"/>
      <c r="L26" s="3"/>
      <c r="M26" s="3"/>
    </row>
    <row r="27" spans="1:13" ht="15.75" x14ac:dyDescent="0.25">
      <c r="A27" s="43" t="s">
        <v>1010</v>
      </c>
      <c r="B27" s="58">
        <f>AVERAGEIF(Main!$C$1:$C$1001,Helper!A27,Main!$N$1:$N$1001)</f>
        <v>66.756562499999973</v>
      </c>
      <c r="C27" s="7">
        <f>SUMIFS(Main!$E$1:$E$1001,Main!$C$1:$C$1001,A27)</f>
        <v>11771</v>
      </c>
      <c r="D27" s="36">
        <f>AVERAGEIFS(Main!$E$1:$E$1001,Main!$C$1:$C$1001,Helper!A27)</f>
        <v>73.568749999999994</v>
      </c>
      <c r="E27" s="36">
        <f>AVERAGEIFS(Main!$F$1:$F$1001,Main!$C$1:$C$1001,Helper!A27)</f>
        <v>55.931249999999999</v>
      </c>
      <c r="F27" s="36">
        <f>AVERAGEIFS(Main!$H$1:$H$1001,Main!$C$1:$C$1001,Helper!A27)</f>
        <v>62.362499999999997</v>
      </c>
      <c r="G27" s="36">
        <f t="shared" si="1"/>
        <v>17.637499999999996</v>
      </c>
      <c r="H27" s="64">
        <f t="shared" si="2"/>
        <v>6.4312499999999986</v>
      </c>
      <c r="I27" s="4"/>
      <c r="J27" s="3"/>
      <c r="K27" s="5"/>
      <c r="L27" s="3"/>
      <c r="M27" s="3"/>
    </row>
    <row r="28" spans="1:13" ht="15.75" x14ac:dyDescent="0.25">
      <c r="A28" s="43" t="s">
        <v>1011</v>
      </c>
      <c r="B28" s="58">
        <f>AVERAGEIF(Main!$C$1:$C$1001,Helper!A28,Main!$N$1:$N$1001)</f>
        <v>67.564110429447837</v>
      </c>
      <c r="C28" s="7">
        <f>SUMIFS(Main!$E$1:$E$1001,Main!$C$1:$C$1001,A28)</f>
        <v>12042</v>
      </c>
      <c r="D28" s="36">
        <f>AVERAGEIFS(Main!$E$1:$E$1001,Main!$C$1:$C$1001,Helper!A28)</f>
        <v>73.877300613496928</v>
      </c>
      <c r="E28" s="36">
        <f>AVERAGEIFS(Main!$F$1:$F$1001,Main!$C$1:$C$1001,Helper!A28)</f>
        <v>58.239263803680984</v>
      </c>
      <c r="F28" s="36">
        <f>AVERAGEIFS(Main!$H$1:$H$1001,Main!$C$1:$C$1001,Helper!A28)</f>
        <v>62.128834355828218</v>
      </c>
      <c r="G28" s="36">
        <f t="shared" si="1"/>
        <v>15.638036809815944</v>
      </c>
      <c r="H28" s="64">
        <f t="shared" si="2"/>
        <v>3.8895705521472337</v>
      </c>
      <c r="I28" s="4"/>
      <c r="J28" s="3"/>
      <c r="K28" s="5"/>
      <c r="L28" s="3"/>
      <c r="M28" s="3"/>
    </row>
    <row r="29" spans="1:13" ht="15.75" x14ac:dyDescent="0.25">
      <c r="A29" s="49"/>
      <c r="B29" s="44"/>
      <c r="H29" s="3"/>
      <c r="I29" s="4"/>
      <c r="J29" s="3"/>
      <c r="K29" s="5"/>
      <c r="L29" s="3"/>
      <c r="M29" s="3"/>
    </row>
    <row r="30" spans="1:13" ht="15.75" x14ac:dyDescent="0.25">
      <c r="B30" s="7">
        <v>0</v>
      </c>
      <c r="C30" s="7" t="s">
        <v>1053</v>
      </c>
      <c r="D30" s="7" t="s">
        <v>3198</v>
      </c>
      <c r="E30" s="7" t="s">
        <v>3199</v>
      </c>
      <c r="F30" s="7" t="s">
        <v>1035</v>
      </c>
      <c r="H30" s="3"/>
      <c r="I30" s="4"/>
      <c r="J30" s="3"/>
      <c r="K30" s="5"/>
      <c r="L30" s="3"/>
      <c r="M30" s="3"/>
    </row>
    <row r="31" spans="1:13" ht="15.75" x14ac:dyDescent="0.25">
      <c r="B31" s="7">
        <v>40.01</v>
      </c>
      <c r="C31" s="7" t="s">
        <v>1051</v>
      </c>
      <c r="D31" s="7">
        <f>COUNTIF(Main!O1:O1001,"A")</f>
        <v>17</v>
      </c>
      <c r="E31" s="7">
        <f>COUNTIF(Main!O1:O1001,"c")</f>
        <v>556</v>
      </c>
      <c r="F31" s="7">
        <f>COUNTIF(Main!O1:O1001,"D")</f>
        <v>123</v>
      </c>
      <c r="H31" s="3"/>
      <c r="I31" s="4"/>
      <c r="J31" s="3"/>
      <c r="K31" s="5"/>
      <c r="L31" s="3"/>
      <c r="M31" s="3"/>
    </row>
    <row r="32" spans="1:13" ht="15.75" x14ac:dyDescent="0.25">
      <c r="B32" s="7">
        <v>60.01</v>
      </c>
      <c r="C32" s="7" t="s">
        <v>1047</v>
      </c>
      <c r="D32" s="7"/>
      <c r="E32" s="63">
        <f>E31*100%/1000</f>
        <v>0.55600000000000005</v>
      </c>
      <c r="F32" s="7"/>
      <c r="H32" s="3"/>
      <c r="I32" s="4"/>
      <c r="J32" s="3"/>
      <c r="K32" s="5"/>
      <c r="L32" s="3"/>
      <c r="M32" s="3"/>
    </row>
    <row r="33" spans="1:13" ht="15.75" x14ac:dyDescent="0.25">
      <c r="B33" s="7">
        <v>70.010000000000005</v>
      </c>
      <c r="C33" s="7" t="s">
        <v>1046</v>
      </c>
      <c r="D33" s="7"/>
      <c r="E33" s="7"/>
      <c r="F33" s="7"/>
      <c r="H33" s="3"/>
      <c r="I33" s="4"/>
      <c r="J33" s="3"/>
      <c r="K33" s="5"/>
      <c r="L33" s="3"/>
      <c r="M33" s="3"/>
    </row>
    <row r="34" spans="1:13" ht="15.75" x14ac:dyDescent="0.25">
      <c r="B34" s="7">
        <v>80.010000000000005</v>
      </c>
      <c r="C34" s="7" t="s">
        <v>1045</v>
      </c>
      <c r="D34" s="7"/>
      <c r="E34" s="7"/>
      <c r="F34" s="7"/>
      <c r="H34" s="3"/>
      <c r="I34" s="4"/>
      <c r="J34" s="3"/>
      <c r="K34" s="5"/>
      <c r="L34" s="3"/>
      <c r="M34" s="3"/>
    </row>
    <row r="35" spans="1:13" ht="15.75" x14ac:dyDescent="0.25">
      <c r="B35" s="7">
        <v>90.01</v>
      </c>
      <c r="C35" s="7" t="s">
        <v>1</v>
      </c>
      <c r="D35" s="7"/>
      <c r="E35" s="7"/>
      <c r="F35" s="7"/>
      <c r="H35" s="3"/>
      <c r="I35" s="4"/>
      <c r="J35" s="3"/>
      <c r="K35" s="5"/>
      <c r="L35" s="3"/>
      <c r="M35" s="3"/>
    </row>
    <row r="36" spans="1:13" ht="15.75" x14ac:dyDescent="0.25">
      <c r="H36" s="3"/>
      <c r="I36" s="4"/>
      <c r="J36" s="3"/>
      <c r="K36" s="5"/>
      <c r="L36" s="3"/>
      <c r="M36" s="3"/>
    </row>
    <row r="37" spans="1:13" ht="15.75" x14ac:dyDescent="0.25">
      <c r="A37" t="s">
        <v>3200</v>
      </c>
      <c r="H37" s="3"/>
      <c r="I37" s="4"/>
      <c r="J37" s="3"/>
      <c r="K37" s="5"/>
      <c r="L37" s="3"/>
      <c r="M37" s="3"/>
    </row>
    <row r="38" spans="1:13" ht="15.75" x14ac:dyDescent="0.25">
      <c r="A38">
        <f>AVERAGEIFS(Main!R1:R1001,Main!Q1:Q1001,"Surabaya")</f>
        <v>161</v>
      </c>
      <c r="H38" s="3"/>
      <c r="I38" s="4"/>
      <c r="J38" s="3"/>
      <c r="K38" s="5"/>
      <c r="L38" s="3"/>
      <c r="M38" s="3"/>
    </row>
    <row r="39" spans="1:13" ht="15.75" x14ac:dyDescent="0.25">
      <c r="H39" s="3"/>
      <c r="I39" s="4"/>
      <c r="J39" s="3"/>
      <c r="K39" s="5"/>
      <c r="L39" s="3"/>
      <c r="M39" s="3"/>
    </row>
    <row r="40" spans="1:13" ht="15.75" x14ac:dyDescent="0.25">
      <c r="H40" s="3"/>
      <c r="I40" s="4"/>
      <c r="J40" s="3"/>
      <c r="K40" s="5"/>
      <c r="L40" s="3"/>
      <c r="M40" s="3"/>
    </row>
    <row r="41" spans="1:13" ht="15.75" x14ac:dyDescent="0.25">
      <c r="H41" s="3"/>
      <c r="I41" s="4"/>
      <c r="J41" s="3"/>
      <c r="K41" s="5"/>
      <c r="L41" s="3"/>
      <c r="M41" s="3"/>
    </row>
    <row r="42" spans="1:13" ht="15.75" x14ac:dyDescent="0.25">
      <c r="H42" s="3"/>
      <c r="I42" s="4"/>
      <c r="J42" s="3"/>
      <c r="K42" s="5"/>
      <c r="L42" s="3"/>
      <c r="M42" s="3"/>
    </row>
    <row r="43" spans="1:13" ht="15.75" x14ac:dyDescent="0.25">
      <c r="H43" s="3"/>
      <c r="I43" s="4"/>
      <c r="J43" s="3"/>
      <c r="K43" s="5"/>
      <c r="L43" s="3"/>
      <c r="M43" s="3"/>
    </row>
    <row r="44" spans="1:13" ht="15.75" x14ac:dyDescent="0.25">
      <c r="H44" s="3"/>
      <c r="I44" s="4"/>
      <c r="J44" s="3"/>
      <c r="K44" s="5"/>
      <c r="L44" s="3"/>
      <c r="M44" s="3"/>
    </row>
    <row r="45" spans="1:13" ht="15.75" x14ac:dyDescent="0.25">
      <c r="H45" s="3"/>
      <c r="I45" s="4"/>
      <c r="J45" s="3"/>
      <c r="K45" s="5"/>
      <c r="L45" s="3"/>
      <c r="M45" s="3"/>
    </row>
    <row r="46" spans="1:13" ht="15.75" x14ac:dyDescent="0.25">
      <c r="H46" s="3"/>
      <c r="I46" s="4"/>
      <c r="J46" s="3"/>
      <c r="K46" s="5"/>
      <c r="L46" s="3"/>
      <c r="M46" s="3"/>
    </row>
    <row r="47" spans="1:13" ht="15.75" x14ac:dyDescent="0.25">
      <c r="H47" s="3"/>
      <c r="I47" s="4"/>
      <c r="J47" s="3"/>
      <c r="K47" s="5"/>
      <c r="L47" s="3"/>
      <c r="M47" s="3"/>
    </row>
    <row r="48" spans="1:13" ht="15.75" x14ac:dyDescent="0.25">
      <c r="H48" s="3"/>
      <c r="I48" s="4"/>
      <c r="J48" s="3"/>
      <c r="K48" s="5"/>
      <c r="L48" s="3"/>
      <c r="M48" s="3"/>
    </row>
    <row r="49" spans="8:13" ht="15.75" x14ac:dyDescent="0.25">
      <c r="H49" s="3"/>
      <c r="I49" s="4"/>
      <c r="J49" s="3"/>
      <c r="K49" s="5"/>
      <c r="L49" s="3"/>
      <c r="M49" s="3"/>
    </row>
    <row r="50" spans="8:13" ht="15.75" x14ac:dyDescent="0.25">
      <c r="H50" s="3"/>
      <c r="I50" s="4"/>
      <c r="J50" s="3"/>
      <c r="K50" s="5"/>
      <c r="L50" s="3"/>
      <c r="M50" s="3"/>
    </row>
    <row r="51" spans="8:13" ht="15.75" x14ac:dyDescent="0.25">
      <c r="H51" s="3"/>
      <c r="I51" s="4"/>
      <c r="J51" s="3"/>
      <c r="K51" s="5"/>
      <c r="L51" s="3"/>
      <c r="M51" s="3"/>
    </row>
    <row r="52" spans="8:13" ht="15.75" x14ac:dyDescent="0.25">
      <c r="H52" s="3"/>
      <c r="I52" s="4"/>
      <c r="J52" s="3"/>
      <c r="K52" s="5"/>
      <c r="L52" s="3"/>
      <c r="M52" s="3"/>
    </row>
    <row r="53" spans="8:13" ht="15.75" x14ac:dyDescent="0.25">
      <c r="H53" s="3"/>
      <c r="I53" s="4"/>
      <c r="J53" s="3"/>
      <c r="K53" s="5"/>
      <c r="L53" s="3"/>
      <c r="M53" s="3"/>
    </row>
    <row r="54" spans="8:13" ht="15.75" x14ac:dyDescent="0.25">
      <c r="H54" s="3"/>
      <c r="I54" s="4"/>
      <c r="J54" s="3"/>
      <c r="K54" s="5"/>
      <c r="L54" s="3"/>
      <c r="M54" s="3"/>
    </row>
    <row r="55" spans="8:13" ht="15.75" x14ac:dyDescent="0.25">
      <c r="H55" s="3"/>
      <c r="I55" s="4"/>
      <c r="J55" s="3"/>
      <c r="K55" s="5"/>
      <c r="L55" s="3"/>
      <c r="M55" s="3"/>
    </row>
    <row r="56" spans="8:13" ht="15.75" x14ac:dyDescent="0.25">
      <c r="H56" s="3"/>
      <c r="I56" s="4"/>
      <c r="J56" s="3"/>
      <c r="K56" s="5"/>
      <c r="L56" s="3"/>
      <c r="M56" s="3"/>
    </row>
    <row r="57" spans="8:13" ht="15.75" x14ac:dyDescent="0.25">
      <c r="H57" s="3"/>
      <c r="I57" s="4"/>
      <c r="J57" s="3"/>
      <c r="K57" s="5"/>
      <c r="L57" s="3"/>
      <c r="M57" s="3"/>
    </row>
    <row r="58" spans="8:13" ht="15.75" x14ac:dyDescent="0.25">
      <c r="H58" s="3"/>
      <c r="I58" s="4"/>
      <c r="J58" s="3"/>
      <c r="K58" s="5"/>
      <c r="L58" s="3"/>
      <c r="M58" s="3"/>
    </row>
    <row r="59" spans="8:13" ht="15.75" x14ac:dyDescent="0.25">
      <c r="H59" s="3"/>
      <c r="I59" s="4"/>
      <c r="J59" s="3"/>
      <c r="K59" s="5"/>
      <c r="L59" s="3"/>
      <c r="M59" s="3"/>
    </row>
    <row r="60" spans="8:13" ht="15.75" x14ac:dyDescent="0.25">
      <c r="H60" s="3"/>
      <c r="I60" s="4"/>
      <c r="J60" s="3"/>
      <c r="K60" s="5"/>
      <c r="L60" s="3"/>
      <c r="M60" s="3"/>
    </row>
    <row r="61" spans="8:13" ht="15.75" x14ac:dyDescent="0.25">
      <c r="H61" s="3"/>
      <c r="I61" s="4"/>
      <c r="J61" s="3"/>
      <c r="K61" s="5"/>
      <c r="L61" s="3"/>
      <c r="M61" s="3"/>
    </row>
    <row r="62" spans="8:13" ht="15.75" x14ac:dyDescent="0.25">
      <c r="H62" s="3"/>
      <c r="I62" s="4"/>
      <c r="J62" s="3"/>
      <c r="K62" s="5"/>
      <c r="L62" s="3"/>
      <c r="M62" s="3"/>
    </row>
    <row r="63" spans="8:13" ht="15.75" x14ac:dyDescent="0.25">
      <c r="H63" s="3"/>
      <c r="I63" s="4"/>
      <c r="J63" s="3"/>
      <c r="K63" s="5"/>
      <c r="L63" s="3"/>
      <c r="M63" s="3"/>
    </row>
    <row r="64" spans="8:13" ht="15.75" x14ac:dyDescent="0.25">
      <c r="H64" s="3"/>
      <c r="I64" s="4"/>
      <c r="J64" s="3"/>
      <c r="K64" s="5"/>
      <c r="L64" s="3"/>
      <c r="M64" s="3"/>
    </row>
    <row r="65" spans="8:13" ht="15.75" x14ac:dyDescent="0.25">
      <c r="H65" s="3"/>
      <c r="I65" s="4"/>
      <c r="J65" s="3"/>
      <c r="K65" s="5"/>
      <c r="L65" s="3"/>
      <c r="M65" s="3"/>
    </row>
    <row r="66" spans="8:13" ht="15.75" x14ac:dyDescent="0.25">
      <c r="H66" s="3"/>
      <c r="I66" s="4"/>
      <c r="J66" s="3"/>
      <c r="K66" s="5"/>
      <c r="L66" s="3"/>
      <c r="M66" s="3"/>
    </row>
    <row r="67" spans="8:13" ht="15.75" x14ac:dyDescent="0.25">
      <c r="H67" s="3"/>
      <c r="I67" s="4"/>
      <c r="J67" s="3"/>
      <c r="K67" s="5"/>
      <c r="L67" s="3"/>
      <c r="M67" s="3"/>
    </row>
    <row r="68" spans="8:13" ht="15.75" x14ac:dyDescent="0.25">
      <c r="H68" s="3"/>
      <c r="I68" s="4"/>
      <c r="J68" s="3"/>
      <c r="K68" s="5"/>
      <c r="L68" s="3"/>
      <c r="M68" s="3"/>
    </row>
    <row r="69" spans="8:13" ht="15.75" x14ac:dyDescent="0.25">
      <c r="H69" s="3"/>
      <c r="I69" s="4"/>
      <c r="J69" s="3"/>
      <c r="K69" s="5"/>
      <c r="L69" s="3"/>
      <c r="M69" s="3"/>
    </row>
    <row r="70" spans="8:13" ht="15.75" x14ac:dyDescent="0.25">
      <c r="H70" s="3"/>
      <c r="I70" s="4"/>
      <c r="J70" s="3"/>
      <c r="K70" s="5"/>
      <c r="L70" s="3"/>
      <c r="M70" s="3"/>
    </row>
    <row r="71" spans="8:13" ht="15.75" x14ac:dyDescent="0.25">
      <c r="H71" s="3"/>
      <c r="I71" s="4"/>
      <c r="J71" s="3"/>
      <c r="K71" s="5"/>
      <c r="L71" s="3"/>
      <c r="M71" s="3"/>
    </row>
    <row r="72" spans="8:13" ht="15.75" x14ac:dyDescent="0.25">
      <c r="H72" s="3"/>
      <c r="I72" s="4"/>
      <c r="J72" s="3"/>
      <c r="K72" s="5"/>
      <c r="L72" s="3"/>
      <c r="M72" s="3"/>
    </row>
    <row r="73" spans="8:13" ht="15.75" x14ac:dyDescent="0.25">
      <c r="H73" s="3"/>
      <c r="I73" s="4"/>
      <c r="J73" s="3"/>
      <c r="K73" s="5"/>
      <c r="L73" s="3"/>
      <c r="M73" s="3"/>
    </row>
    <row r="74" spans="8:13" ht="15.75" x14ac:dyDescent="0.25">
      <c r="H74" s="3"/>
      <c r="I74" s="4"/>
      <c r="J74" s="3"/>
      <c r="K74" s="5"/>
      <c r="L74" s="3"/>
      <c r="M74" s="3"/>
    </row>
    <row r="75" spans="8:13" ht="15.75" x14ac:dyDescent="0.25">
      <c r="H75" s="3"/>
      <c r="I75" s="4"/>
      <c r="J75" s="3"/>
      <c r="K75" s="5"/>
      <c r="L75" s="3"/>
      <c r="M75" s="3"/>
    </row>
    <row r="76" spans="8:13" ht="15.75" x14ac:dyDescent="0.25">
      <c r="H76" s="3"/>
      <c r="I76" s="4"/>
      <c r="J76" s="3"/>
      <c r="K76" s="5"/>
      <c r="L76" s="3"/>
      <c r="M76" s="3"/>
    </row>
    <row r="77" spans="8:13" ht="15.75" x14ac:dyDescent="0.25">
      <c r="H77" s="3"/>
      <c r="I77" s="4"/>
      <c r="J77" s="3"/>
      <c r="K77" s="5"/>
      <c r="L77" s="3"/>
      <c r="M77" s="3"/>
    </row>
    <row r="78" spans="8:13" ht="15.75" x14ac:dyDescent="0.25">
      <c r="H78" s="3"/>
      <c r="I78" s="4"/>
      <c r="J78" s="3"/>
      <c r="K78" s="5"/>
      <c r="L78" s="3"/>
      <c r="M78" s="3"/>
    </row>
    <row r="79" spans="8:13" ht="15.75" x14ac:dyDescent="0.25">
      <c r="H79" s="3"/>
      <c r="I79" s="4"/>
      <c r="J79" s="3"/>
      <c r="K79" s="5"/>
      <c r="L79" s="3"/>
      <c r="M79" s="3"/>
    </row>
    <row r="80" spans="8:13" ht="15.75" x14ac:dyDescent="0.25">
      <c r="H80" s="3"/>
      <c r="I80" s="4"/>
      <c r="J80" s="3"/>
      <c r="K80" s="5"/>
      <c r="L80" s="3"/>
      <c r="M80" s="3"/>
    </row>
    <row r="81" spans="8:13" ht="15.75" x14ac:dyDescent="0.25">
      <c r="H81" s="3"/>
      <c r="I81" s="4"/>
      <c r="J81" s="3"/>
      <c r="K81" s="5"/>
      <c r="L81" s="3"/>
      <c r="M81" s="3"/>
    </row>
    <row r="82" spans="8:13" ht="15.75" x14ac:dyDescent="0.25">
      <c r="H82" s="3"/>
      <c r="I82" s="4"/>
      <c r="J82" s="3"/>
      <c r="K82" s="5"/>
      <c r="L82" s="3"/>
      <c r="M82" s="3"/>
    </row>
    <row r="83" spans="8:13" ht="15.75" x14ac:dyDescent="0.25">
      <c r="H83" s="3"/>
      <c r="I83" s="4"/>
      <c r="J83" s="3"/>
      <c r="K83" s="5"/>
      <c r="L83" s="3"/>
      <c r="M83" s="3"/>
    </row>
    <row r="84" spans="8:13" ht="15.75" x14ac:dyDescent="0.25">
      <c r="H84" s="3"/>
      <c r="I84" s="4"/>
      <c r="J84" s="3"/>
      <c r="K84" s="5"/>
      <c r="L84" s="3"/>
      <c r="M84" s="3"/>
    </row>
    <row r="85" spans="8:13" ht="15.75" x14ac:dyDescent="0.25">
      <c r="H85" s="3"/>
      <c r="I85" s="4"/>
      <c r="J85" s="3"/>
      <c r="K85" s="5"/>
      <c r="L85" s="3"/>
      <c r="M85" s="3"/>
    </row>
    <row r="86" spans="8:13" ht="15.75" x14ac:dyDescent="0.25">
      <c r="H86" s="3"/>
      <c r="I86" s="4"/>
      <c r="J86" s="3"/>
      <c r="K86" s="5"/>
      <c r="L86" s="3"/>
      <c r="M86" s="3"/>
    </row>
    <row r="87" spans="8:13" ht="15.75" x14ac:dyDescent="0.25">
      <c r="H87" s="3"/>
      <c r="I87" s="4"/>
      <c r="J87" s="3"/>
      <c r="K87" s="5"/>
      <c r="L87" s="3"/>
      <c r="M87" s="3"/>
    </row>
    <row r="88" spans="8:13" ht="15.75" x14ac:dyDescent="0.25">
      <c r="H88" s="3"/>
      <c r="I88" s="4"/>
      <c r="J88" s="3"/>
      <c r="K88" s="5"/>
      <c r="L88" s="3"/>
      <c r="M88" s="3"/>
    </row>
    <row r="89" spans="8:13" ht="15.75" x14ac:dyDescent="0.25">
      <c r="H89" s="3"/>
      <c r="I89" s="4"/>
      <c r="J89" s="3"/>
      <c r="K89" s="5"/>
      <c r="L89" s="3"/>
      <c r="M89" s="3"/>
    </row>
    <row r="90" spans="8:13" ht="15.75" x14ac:dyDescent="0.25">
      <c r="H90" s="3"/>
      <c r="I90" s="4"/>
      <c r="J90" s="3"/>
      <c r="K90" s="5"/>
      <c r="L90" s="3"/>
      <c r="M90" s="3"/>
    </row>
    <row r="91" spans="8:13" ht="15.75" x14ac:dyDescent="0.25">
      <c r="H91" s="3"/>
      <c r="I91" s="4"/>
      <c r="J91" s="3"/>
      <c r="K91" s="5"/>
      <c r="L91" s="3"/>
      <c r="M91" s="3"/>
    </row>
    <row r="92" spans="8:13" ht="15.75" x14ac:dyDescent="0.25">
      <c r="H92" s="3"/>
      <c r="I92" s="4"/>
      <c r="J92" s="3"/>
      <c r="K92" s="5"/>
      <c r="L92" s="3"/>
      <c r="M92" s="3"/>
    </row>
    <row r="93" spans="8:13" ht="15.75" x14ac:dyDescent="0.25">
      <c r="H93" s="3"/>
      <c r="I93" s="4"/>
      <c r="J93" s="3"/>
      <c r="K93" s="5"/>
      <c r="L93" s="3"/>
      <c r="M93" s="3"/>
    </row>
    <row r="94" spans="8:13" ht="15.75" x14ac:dyDescent="0.25">
      <c r="H94" s="3"/>
      <c r="I94" s="4"/>
      <c r="J94" s="3"/>
      <c r="K94" s="5"/>
      <c r="L94" s="3"/>
      <c r="M94" s="3"/>
    </row>
    <row r="95" spans="8:13" ht="15.75" x14ac:dyDescent="0.25">
      <c r="H95" s="3"/>
      <c r="I95" s="4"/>
      <c r="J95" s="3"/>
      <c r="K95" s="5"/>
      <c r="L95" s="3"/>
      <c r="M95" s="3"/>
    </row>
    <row r="96" spans="8:13" ht="15.75" x14ac:dyDescent="0.25">
      <c r="H96" s="3"/>
      <c r="I96" s="4"/>
      <c r="J96" s="3"/>
      <c r="K96" s="5"/>
      <c r="L96" s="3"/>
      <c r="M96" s="3"/>
    </row>
    <row r="97" spans="8:13" ht="15.75" x14ac:dyDescent="0.25">
      <c r="H97" s="3"/>
      <c r="I97" s="4"/>
      <c r="J97" s="3"/>
      <c r="K97" s="5"/>
      <c r="L97" s="3"/>
      <c r="M97" s="3"/>
    </row>
    <row r="98" spans="8:13" ht="15.75" x14ac:dyDescent="0.25">
      <c r="H98" s="3"/>
      <c r="I98" s="4"/>
      <c r="J98" s="3"/>
      <c r="K98" s="5"/>
      <c r="L98" s="3"/>
      <c r="M98" s="3"/>
    </row>
    <row r="99" spans="8:13" ht="15.75" x14ac:dyDescent="0.25">
      <c r="H99" s="3"/>
      <c r="I99" s="4"/>
      <c r="J99" s="3"/>
      <c r="K99" s="5"/>
      <c r="L99" s="3"/>
      <c r="M99" s="3"/>
    </row>
    <row r="100" spans="8:13" ht="15.75" x14ac:dyDescent="0.25">
      <c r="H100" s="3"/>
      <c r="I100" s="4"/>
      <c r="J100" s="3"/>
      <c r="K100" s="5"/>
      <c r="L100" s="3"/>
      <c r="M100" s="3"/>
    </row>
    <row r="101" spans="8:13" ht="15.75" x14ac:dyDescent="0.25">
      <c r="H101" s="3"/>
      <c r="I101" s="4"/>
      <c r="J101" s="3"/>
      <c r="K101" s="5"/>
      <c r="L101" s="3"/>
      <c r="M101" s="3"/>
    </row>
    <row r="102" spans="8:13" ht="15.75" x14ac:dyDescent="0.25">
      <c r="H102" s="3"/>
      <c r="I102" s="4"/>
      <c r="J102" s="3"/>
      <c r="K102" s="5"/>
      <c r="L102" s="3"/>
      <c r="M102" s="3"/>
    </row>
    <row r="103" spans="8:13" ht="15.75" x14ac:dyDescent="0.25">
      <c r="H103" s="3"/>
      <c r="I103" s="4"/>
      <c r="J103" s="3"/>
      <c r="K103" s="5"/>
      <c r="L103" s="3"/>
      <c r="M103" s="3"/>
    </row>
    <row r="104" spans="8:13" ht="15.75" x14ac:dyDescent="0.25">
      <c r="H104" s="3"/>
      <c r="I104" s="4"/>
      <c r="J104" s="3"/>
      <c r="K104" s="5"/>
      <c r="L104" s="3"/>
      <c r="M104" s="3"/>
    </row>
    <row r="105" spans="8:13" ht="15.75" x14ac:dyDescent="0.25">
      <c r="H105" s="3"/>
      <c r="I105" s="4"/>
      <c r="J105" s="3"/>
      <c r="K105" s="5"/>
      <c r="L105" s="3"/>
      <c r="M105" s="3"/>
    </row>
    <row r="106" spans="8:13" ht="15.75" x14ac:dyDescent="0.25">
      <c r="H106" s="3"/>
      <c r="I106" s="4"/>
      <c r="J106" s="3"/>
      <c r="K106" s="5"/>
      <c r="L106" s="3"/>
      <c r="M106" s="3"/>
    </row>
    <row r="107" spans="8:13" ht="15.75" x14ac:dyDescent="0.25">
      <c r="H107" s="3"/>
      <c r="I107" s="4"/>
      <c r="J107" s="3"/>
      <c r="K107" s="5"/>
      <c r="L107" s="3"/>
      <c r="M107" s="3"/>
    </row>
    <row r="108" spans="8:13" ht="15.75" x14ac:dyDescent="0.25">
      <c r="H108" s="3"/>
      <c r="I108" s="4"/>
      <c r="J108" s="3"/>
      <c r="K108" s="5"/>
      <c r="L108" s="3"/>
      <c r="M108" s="3"/>
    </row>
    <row r="109" spans="8:13" ht="15.75" x14ac:dyDescent="0.25">
      <c r="H109" s="3"/>
      <c r="I109" s="4"/>
      <c r="J109" s="3"/>
      <c r="K109" s="5"/>
      <c r="L109" s="3"/>
      <c r="M109" s="3"/>
    </row>
    <row r="110" spans="8:13" ht="15.75" x14ac:dyDescent="0.25">
      <c r="H110" s="3"/>
      <c r="I110" s="4"/>
      <c r="J110" s="3"/>
      <c r="K110" s="5"/>
      <c r="L110" s="3"/>
      <c r="M110" s="3"/>
    </row>
    <row r="111" spans="8:13" ht="15.75" x14ac:dyDescent="0.25">
      <c r="H111" s="3"/>
      <c r="I111" s="4"/>
      <c r="J111" s="3"/>
      <c r="K111" s="5"/>
      <c r="L111" s="3"/>
      <c r="M111" s="3"/>
    </row>
    <row r="112" spans="8:13" ht="15.75" x14ac:dyDescent="0.25">
      <c r="H112" s="3"/>
      <c r="I112" s="4"/>
      <c r="J112" s="3"/>
      <c r="K112" s="5"/>
      <c r="L112" s="3"/>
      <c r="M112" s="3"/>
    </row>
    <row r="113" spans="8:13" ht="15.75" x14ac:dyDescent="0.25">
      <c r="H113" s="3"/>
      <c r="I113" s="4"/>
      <c r="J113" s="3"/>
      <c r="K113" s="5"/>
      <c r="L113" s="3"/>
      <c r="M113" s="3"/>
    </row>
    <row r="114" spans="8:13" ht="15.75" x14ac:dyDescent="0.25">
      <c r="H114" s="3"/>
      <c r="I114" s="4"/>
      <c r="J114" s="3"/>
      <c r="K114" s="5"/>
      <c r="L114" s="3"/>
      <c r="M114" s="3"/>
    </row>
    <row r="115" spans="8:13" ht="15.75" x14ac:dyDescent="0.25">
      <c r="H115" s="3"/>
      <c r="I115" s="4"/>
      <c r="J115" s="3"/>
      <c r="K115" s="5"/>
      <c r="L115" s="3"/>
      <c r="M115" s="3"/>
    </row>
    <row r="116" spans="8:13" ht="15.75" x14ac:dyDescent="0.25">
      <c r="H116" s="3"/>
      <c r="I116" s="4"/>
      <c r="J116" s="3"/>
      <c r="K116" s="5"/>
      <c r="L116" s="3"/>
      <c r="M116" s="3"/>
    </row>
    <row r="117" spans="8:13" ht="15.75" x14ac:dyDescent="0.25">
      <c r="H117" s="3"/>
      <c r="I117" s="4"/>
      <c r="J117" s="3"/>
      <c r="K117" s="5"/>
      <c r="L117" s="3"/>
      <c r="M117" s="3"/>
    </row>
    <row r="118" spans="8:13" ht="15.75" x14ac:dyDescent="0.25">
      <c r="H118" s="3"/>
      <c r="I118" s="4"/>
      <c r="J118" s="3"/>
      <c r="K118" s="5"/>
      <c r="L118" s="3"/>
      <c r="M118" s="3"/>
    </row>
    <row r="119" spans="8:13" ht="15.75" x14ac:dyDescent="0.25">
      <c r="H119" s="3"/>
      <c r="I119" s="4"/>
      <c r="J119" s="3"/>
      <c r="K119" s="5"/>
      <c r="L119" s="3"/>
      <c r="M119" s="3"/>
    </row>
    <row r="120" spans="8:13" ht="15.75" x14ac:dyDescent="0.25">
      <c r="H120" s="3"/>
      <c r="I120" s="4"/>
      <c r="J120" s="3"/>
      <c r="K120" s="5"/>
      <c r="L120" s="3"/>
      <c r="M120" s="3"/>
    </row>
    <row r="121" spans="8:13" ht="15.75" x14ac:dyDescent="0.25">
      <c r="H121" s="3"/>
      <c r="I121" s="4"/>
      <c r="J121" s="3"/>
      <c r="K121" s="5"/>
      <c r="L121" s="3"/>
      <c r="M121" s="3"/>
    </row>
    <row r="122" spans="8:13" ht="15.75" x14ac:dyDescent="0.25">
      <c r="H122" s="3"/>
      <c r="I122" s="4"/>
      <c r="J122" s="3"/>
      <c r="K122" s="5"/>
      <c r="L122" s="3"/>
      <c r="M122" s="3"/>
    </row>
    <row r="123" spans="8:13" ht="15.75" x14ac:dyDescent="0.25">
      <c r="H123" s="3"/>
      <c r="I123" s="4"/>
      <c r="J123" s="3"/>
      <c r="K123" s="5"/>
      <c r="L123" s="3"/>
      <c r="M123" s="3"/>
    </row>
    <row r="124" spans="8:13" ht="15.75" x14ac:dyDescent="0.25">
      <c r="H124" s="3"/>
      <c r="I124" s="4"/>
      <c r="J124" s="3"/>
      <c r="K124" s="5"/>
      <c r="L124" s="3"/>
      <c r="M124" s="3"/>
    </row>
    <row r="125" spans="8:13" ht="15.75" x14ac:dyDescent="0.25">
      <c r="H125" s="3"/>
      <c r="I125" s="4"/>
      <c r="J125" s="3"/>
      <c r="K125" s="5"/>
      <c r="L125" s="3"/>
      <c r="M125" s="3"/>
    </row>
    <row r="126" spans="8:13" ht="15.75" x14ac:dyDescent="0.25">
      <c r="H126" s="3"/>
      <c r="I126" s="4"/>
      <c r="J126" s="3"/>
      <c r="K126" s="5"/>
      <c r="L126" s="3"/>
      <c r="M126" s="3"/>
    </row>
    <row r="127" spans="8:13" ht="15.75" x14ac:dyDescent="0.25">
      <c r="H127" s="3"/>
      <c r="I127" s="4"/>
      <c r="J127" s="3"/>
      <c r="K127" s="5"/>
      <c r="L127" s="3"/>
      <c r="M127" s="3"/>
    </row>
    <row r="128" spans="8:13" ht="15.75" x14ac:dyDescent="0.25">
      <c r="H128" s="3"/>
      <c r="I128" s="4"/>
      <c r="J128" s="3"/>
      <c r="K128" s="5"/>
      <c r="L128" s="3"/>
      <c r="M128" s="3"/>
    </row>
    <row r="129" spans="8:13" ht="15.75" x14ac:dyDescent="0.25">
      <c r="H129" s="3"/>
      <c r="I129" s="4"/>
      <c r="J129" s="3"/>
      <c r="K129" s="5"/>
      <c r="L129" s="3"/>
      <c r="M129" s="3"/>
    </row>
    <row r="130" spans="8:13" ht="15.75" x14ac:dyDescent="0.25">
      <c r="H130" s="3"/>
      <c r="I130" s="4"/>
      <c r="J130" s="3"/>
      <c r="K130" s="5"/>
      <c r="L130" s="3"/>
      <c r="M130" s="3"/>
    </row>
    <row r="131" spans="8:13" ht="15.75" x14ac:dyDescent="0.25">
      <c r="H131" s="3"/>
      <c r="I131" s="4"/>
      <c r="J131" s="3"/>
      <c r="K131" s="5"/>
      <c r="L131" s="3"/>
      <c r="M131" s="3"/>
    </row>
    <row r="132" spans="8:13" ht="15.75" x14ac:dyDescent="0.25">
      <c r="H132" s="3"/>
      <c r="I132" s="4"/>
      <c r="J132" s="3"/>
      <c r="K132" s="5"/>
      <c r="L132" s="3"/>
      <c r="M132" s="3"/>
    </row>
    <row r="133" spans="8:13" ht="15.75" x14ac:dyDescent="0.25">
      <c r="H133" s="3"/>
      <c r="I133" s="4"/>
      <c r="J133" s="3"/>
      <c r="K133" s="5"/>
      <c r="L133" s="3"/>
      <c r="M133" s="3"/>
    </row>
    <row r="134" spans="8:13" ht="15.75" x14ac:dyDescent="0.25">
      <c r="H134" s="3"/>
      <c r="I134" s="4"/>
      <c r="J134" s="3"/>
      <c r="K134" s="5"/>
      <c r="L134" s="3"/>
      <c r="M134" s="3"/>
    </row>
    <row r="135" spans="8:13" ht="15.75" x14ac:dyDescent="0.25">
      <c r="H135" s="3"/>
      <c r="I135" s="4"/>
      <c r="J135" s="3"/>
      <c r="K135" s="5"/>
      <c r="L135" s="3"/>
      <c r="M135" s="3"/>
    </row>
    <row r="136" spans="8:13" ht="15.75" x14ac:dyDescent="0.25">
      <c r="H136" s="3"/>
      <c r="I136" s="4"/>
      <c r="J136" s="3"/>
      <c r="K136" s="5"/>
      <c r="L136" s="3"/>
      <c r="M136" s="3"/>
    </row>
    <row r="137" spans="8:13" ht="15.75" x14ac:dyDescent="0.25">
      <c r="H137" s="3"/>
      <c r="I137" s="4"/>
      <c r="J137" s="3"/>
      <c r="K137" s="5"/>
      <c r="L137" s="3"/>
      <c r="M137" s="3"/>
    </row>
    <row r="138" spans="8:13" ht="15.75" x14ac:dyDescent="0.25">
      <c r="H138" s="3"/>
      <c r="I138" s="4"/>
      <c r="J138" s="3"/>
      <c r="K138" s="5"/>
      <c r="L138" s="3"/>
      <c r="M138" s="3"/>
    </row>
    <row r="139" spans="8:13" ht="15.75" x14ac:dyDescent="0.25">
      <c r="H139" s="3"/>
      <c r="I139" s="4"/>
      <c r="J139" s="3"/>
      <c r="K139" s="5"/>
      <c r="L139" s="3"/>
      <c r="M139" s="3"/>
    </row>
    <row r="140" spans="8:13" ht="15.75" x14ac:dyDescent="0.25">
      <c r="H140" s="3"/>
      <c r="I140" s="4"/>
      <c r="J140" s="3"/>
      <c r="K140" s="5"/>
      <c r="L140" s="3"/>
      <c r="M140" s="3"/>
    </row>
    <row r="141" spans="8:13" ht="15.75" x14ac:dyDescent="0.25">
      <c r="H141" s="3"/>
      <c r="I141" s="4"/>
      <c r="J141" s="3"/>
      <c r="K141" s="5"/>
      <c r="L141" s="3"/>
      <c r="M141" s="3"/>
    </row>
    <row r="142" spans="8:13" ht="15.75" x14ac:dyDescent="0.25">
      <c r="H142" s="3"/>
      <c r="I142" s="4"/>
      <c r="J142" s="3"/>
      <c r="K142" s="5"/>
      <c r="L142" s="3"/>
      <c r="M142" s="3"/>
    </row>
    <row r="143" spans="8:13" ht="15.75" x14ac:dyDescent="0.25">
      <c r="H143" s="3"/>
      <c r="I143" s="4"/>
      <c r="J143" s="3"/>
      <c r="K143" s="5"/>
      <c r="L143" s="3"/>
      <c r="M143" s="3"/>
    </row>
    <row r="144" spans="8:13" ht="15.75" x14ac:dyDescent="0.25">
      <c r="H144" s="3"/>
      <c r="I144" s="4"/>
      <c r="J144" s="3"/>
      <c r="K144" s="5"/>
      <c r="L144" s="3"/>
      <c r="M144" s="3"/>
    </row>
    <row r="145" spans="8:13" ht="15.75" x14ac:dyDescent="0.25">
      <c r="H145" s="3"/>
      <c r="I145" s="4"/>
      <c r="J145" s="3"/>
      <c r="K145" s="5"/>
      <c r="L145" s="3"/>
      <c r="M145" s="3"/>
    </row>
    <row r="146" spans="8:13" ht="15.75" x14ac:dyDescent="0.25">
      <c r="H146" s="3"/>
      <c r="I146" s="4"/>
      <c r="J146" s="3"/>
      <c r="K146" s="5"/>
      <c r="L146" s="3"/>
      <c r="M146" s="3"/>
    </row>
    <row r="147" spans="8:13" ht="15.75" x14ac:dyDescent="0.25">
      <c r="H147" s="3"/>
      <c r="I147" s="4"/>
      <c r="J147" s="3"/>
      <c r="K147" s="5"/>
      <c r="L147" s="3"/>
      <c r="M147" s="3"/>
    </row>
    <row r="148" spans="8:13" ht="15.75" x14ac:dyDescent="0.25">
      <c r="H148" s="3"/>
      <c r="I148" s="4"/>
      <c r="J148" s="3"/>
      <c r="K148" s="5"/>
      <c r="L148" s="3"/>
      <c r="M148" s="3"/>
    </row>
    <row r="149" spans="8:13" ht="15.75" x14ac:dyDescent="0.25">
      <c r="H149" s="3"/>
      <c r="I149" s="4"/>
      <c r="J149" s="3"/>
      <c r="K149" s="5"/>
      <c r="L149" s="3"/>
      <c r="M149" s="3"/>
    </row>
    <row r="150" spans="8:13" ht="15.75" x14ac:dyDescent="0.25">
      <c r="H150" s="3"/>
      <c r="I150" s="4"/>
      <c r="J150" s="3"/>
      <c r="K150" s="5"/>
      <c r="L150" s="3"/>
      <c r="M150" s="3"/>
    </row>
    <row r="151" spans="8:13" ht="15.75" x14ac:dyDescent="0.25">
      <c r="H151" s="3"/>
      <c r="I151" s="4"/>
      <c r="J151" s="3"/>
      <c r="K151" s="5"/>
      <c r="L151" s="3"/>
      <c r="M151" s="3"/>
    </row>
    <row r="152" spans="8:13" ht="15.75" x14ac:dyDescent="0.25">
      <c r="H152" s="3"/>
      <c r="I152" s="4"/>
      <c r="J152" s="3"/>
      <c r="K152" s="5"/>
      <c r="L152" s="3"/>
      <c r="M152" s="3"/>
    </row>
    <row r="153" spans="8:13" ht="15.75" x14ac:dyDescent="0.25">
      <c r="H153" s="3"/>
      <c r="I153" s="4"/>
      <c r="J153" s="3"/>
      <c r="K153" s="5"/>
      <c r="L153" s="3"/>
      <c r="M153" s="3"/>
    </row>
    <row r="154" spans="8:13" ht="15.75" x14ac:dyDescent="0.25">
      <c r="H154" s="3"/>
      <c r="I154" s="4"/>
      <c r="J154" s="3"/>
      <c r="K154" s="5"/>
      <c r="L154" s="3"/>
      <c r="M154" s="3"/>
    </row>
    <row r="155" spans="8:13" ht="15.75" x14ac:dyDescent="0.25">
      <c r="H155" s="3"/>
      <c r="I155" s="4"/>
      <c r="J155" s="3"/>
      <c r="K155" s="5"/>
      <c r="L155" s="3"/>
      <c r="M155" s="3"/>
    </row>
    <row r="156" spans="8:13" ht="15.75" x14ac:dyDescent="0.25">
      <c r="H156" s="3"/>
      <c r="I156" s="4"/>
      <c r="J156" s="3"/>
      <c r="K156" s="5"/>
      <c r="L156" s="3"/>
      <c r="M156" s="3"/>
    </row>
    <row r="157" spans="8:13" ht="15.75" x14ac:dyDescent="0.25">
      <c r="H157" s="3"/>
      <c r="I157" s="4"/>
      <c r="J157" s="3"/>
      <c r="K157" s="5"/>
      <c r="L157" s="3"/>
      <c r="M157" s="3"/>
    </row>
    <row r="158" spans="8:13" ht="15.75" x14ac:dyDescent="0.25">
      <c r="H158" s="3"/>
      <c r="I158" s="4"/>
      <c r="J158" s="3"/>
      <c r="K158" s="5"/>
      <c r="L158" s="3"/>
      <c r="M158" s="3"/>
    </row>
    <row r="159" spans="8:13" ht="15.75" x14ac:dyDescent="0.25">
      <c r="H159" s="3"/>
      <c r="I159" s="4"/>
      <c r="J159" s="3"/>
      <c r="K159" s="5"/>
      <c r="L159" s="3"/>
      <c r="M159" s="3"/>
    </row>
    <row r="160" spans="8:13" ht="15.75" x14ac:dyDescent="0.25">
      <c r="H160" s="3"/>
      <c r="I160" s="4"/>
      <c r="J160" s="3"/>
      <c r="K160" s="5"/>
      <c r="L160" s="3"/>
      <c r="M160" s="3"/>
    </row>
    <row r="161" spans="8:13" ht="15.75" x14ac:dyDescent="0.25">
      <c r="H161" s="3"/>
      <c r="I161" s="4"/>
      <c r="J161" s="3"/>
      <c r="K161" s="5"/>
      <c r="L161" s="3"/>
      <c r="M161" s="3"/>
    </row>
    <row r="162" spans="8:13" ht="15.75" x14ac:dyDescent="0.25">
      <c r="H162" s="3"/>
      <c r="I162" s="4"/>
      <c r="J162" s="3"/>
      <c r="K162" s="5"/>
      <c r="L162" s="3"/>
      <c r="M162" s="3"/>
    </row>
    <row r="163" spans="8:13" ht="15.75" x14ac:dyDescent="0.25">
      <c r="H163" s="3"/>
      <c r="I163" s="4"/>
      <c r="J163" s="3"/>
      <c r="K163" s="5"/>
      <c r="L163" s="3"/>
      <c r="M163" s="3"/>
    </row>
    <row r="164" spans="8:13" ht="15.75" x14ac:dyDescent="0.25">
      <c r="H164" s="3"/>
      <c r="I164" s="4"/>
      <c r="J164" s="3"/>
      <c r="K164" s="5"/>
      <c r="L164" s="3"/>
      <c r="M164" s="3"/>
    </row>
    <row r="165" spans="8:13" ht="15.75" x14ac:dyDescent="0.25">
      <c r="H165" s="3"/>
      <c r="I165" s="4"/>
      <c r="J165" s="3"/>
      <c r="K165" s="5"/>
      <c r="L165" s="3"/>
      <c r="M165" s="3"/>
    </row>
    <row r="166" spans="8:13" ht="15.75" x14ac:dyDescent="0.25">
      <c r="H166" s="3"/>
      <c r="I166" s="4"/>
      <c r="J166" s="3"/>
      <c r="K166" s="5"/>
      <c r="L166" s="3"/>
      <c r="M166" s="3"/>
    </row>
    <row r="167" spans="8:13" ht="15.75" x14ac:dyDescent="0.25">
      <c r="H167" s="3"/>
      <c r="I167" s="4"/>
      <c r="J167" s="3"/>
      <c r="K167" s="5"/>
      <c r="L167" s="3"/>
      <c r="M167" s="3"/>
    </row>
    <row r="168" spans="8:13" ht="15.75" x14ac:dyDescent="0.25">
      <c r="H168" s="3"/>
      <c r="I168" s="4"/>
      <c r="J168" s="3"/>
      <c r="K168" s="5"/>
      <c r="L168" s="3"/>
      <c r="M168" s="3"/>
    </row>
    <row r="169" spans="8:13" ht="15.75" x14ac:dyDescent="0.25">
      <c r="H169" s="3"/>
      <c r="I169" s="4"/>
      <c r="J169" s="3"/>
      <c r="K169" s="5"/>
      <c r="L169" s="3"/>
      <c r="M169" s="3"/>
    </row>
    <row r="170" spans="8:13" ht="15.75" x14ac:dyDescent="0.25">
      <c r="H170" s="3"/>
      <c r="I170" s="4"/>
      <c r="J170" s="3"/>
      <c r="K170" s="5"/>
      <c r="L170" s="3"/>
      <c r="M170" s="3"/>
    </row>
    <row r="171" spans="8:13" ht="15.75" x14ac:dyDescent="0.25">
      <c r="H171" s="3"/>
      <c r="I171" s="4"/>
      <c r="J171" s="3"/>
      <c r="K171" s="5"/>
      <c r="L171" s="3"/>
      <c r="M171" s="3"/>
    </row>
    <row r="172" spans="8:13" ht="15.75" x14ac:dyDescent="0.25">
      <c r="H172" s="3"/>
      <c r="I172" s="4"/>
      <c r="J172" s="3"/>
      <c r="K172" s="5"/>
      <c r="L172" s="3"/>
      <c r="M172" s="3"/>
    </row>
    <row r="173" spans="8:13" ht="15.75" x14ac:dyDescent="0.25">
      <c r="H173" s="3"/>
      <c r="I173" s="4"/>
      <c r="J173" s="3"/>
      <c r="K173" s="5"/>
      <c r="L173" s="3"/>
      <c r="M173" s="3"/>
    </row>
    <row r="174" spans="8:13" ht="15.75" x14ac:dyDescent="0.25">
      <c r="H174" s="3"/>
      <c r="I174" s="4"/>
      <c r="J174" s="3"/>
      <c r="K174" s="5"/>
      <c r="L174" s="3"/>
      <c r="M174" s="3"/>
    </row>
    <row r="175" spans="8:13" ht="15.75" x14ac:dyDescent="0.25">
      <c r="H175" s="3"/>
      <c r="I175" s="4"/>
      <c r="J175" s="3"/>
      <c r="K175" s="5"/>
      <c r="L175" s="3"/>
      <c r="M175" s="3"/>
    </row>
    <row r="176" spans="8:13" ht="15.75" x14ac:dyDescent="0.25">
      <c r="H176" s="3"/>
      <c r="I176" s="4"/>
      <c r="J176" s="3"/>
      <c r="K176" s="5"/>
      <c r="L176" s="3"/>
      <c r="M176" s="3"/>
    </row>
    <row r="177" spans="8:13" ht="15.75" x14ac:dyDescent="0.25">
      <c r="H177" s="3"/>
      <c r="I177" s="4"/>
      <c r="J177" s="3"/>
      <c r="K177" s="5"/>
      <c r="L177" s="3"/>
      <c r="M177" s="3"/>
    </row>
    <row r="178" spans="8:13" ht="15.75" x14ac:dyDescent="0.25">
      <c r="H178" s="3"/>
      <c r="I178" s="4"/>
      <c r="J178" s="3"/>
      <c r="K178" s="5"/>
      <c r="L178" s="3"/>
      <c r="M178" s="3"/>
    </row>
    <row r="179" spans="8:13" ht="15.75" x14ac:dyDescent="0.25">
      <c r="H179" s="3"/>
      <c r="I179" s="4"/>
      <c r="J179" s="3"/>
      <c r="K179" s="5"/>
      <c r="L179" s="3"/>
      <c r="M179" s="3"/>
    </row>
    <row r="180" spans="8:13" ht="15.75" x14ac:dyDescent="0.25">
      <c r="H180" s="3"/>
      <c r="I180" s="4"/>
      <c r="J180" s="3"/>
      <c r="K180" s="5"/>
      <c r="L180" s="3"/>
      <c r="M180" s="3"/>
    </row>
    <row r="181" spans="8:13" ht="15.75" x14ac:dyDescent="0.25">
      <c r="H181" s="3"/>
      <c r="I181" s="4"/>
      <c r="J181" s="3"/>
      <c r="K181" s="5"/>
      <c r="L181" s="3"/>
      <c r="M181" s="3"/>
    </row>
    <row r="182" spans="8:13" ht="15.75" x14ac:dyDescent="0.25">
      <c r="H182" s="3"/>
      <c r="I182" s="4"/>
      <c r="J182" s="3"/>
      <c r="K182" s="5"/>
      <c r="L182" s="3"/>
      <c r="M182" s="3"/>
    </row>
    <row r="183" spans="8:13" ht="15.75" x14ac:dyDescent="0.25">
      <c r="H183" s="3"/>
      <c r="I183" s="4"/>
      <c r="J183" s="3"/>
      <c r="K183" s="5"/>
      <c r="L183" s="3"/>
      <c r="M183" s="3"/>
    </row>
    <row r="184" spans="8:13" ht="15.75" x14ac:dyDescent="0.25">
      <c r="H184" s="3"/>
      <c r="I184" s="4"/>
      <c r="J184" s="3"/>
      <c r="K184" s="5"/>
      <c r="L184" s="3"/>
      <c r="M184" s="3"/>
    </row>
    <row r="185" spans="8:13" ht="15.75" x14ac:dyDescent="0.25">
      <c r="H185" s="3"/>
      <c r="I185" s="4"/>
      <c r="J185" s="3"/>
      <c r="K185" s="5"/>
      <c r="L185" s="3"/>
      <c r="M185" s="3"/>
    </row>
    <row r="186" spans="8:13" ht="15.75" x14ac:dyDescent="0.25">
      <c r="H186" s="3"/>
      <c r="I186" s="4"/>
      <c r="J186" s="3"/>
      <c r="K186" s="5"/>
      <c r="L186" s="3"/>
      <c r="M186" s="3"/>
    </row>
    <row r="187" spans="8:13" ht="15.75" x14ac:dyDescent="0.25">
      <c r="H187" s="3"/>
      <c r="I187" s="4"/>
      <c r="J187" s="3"/>
      <c r="K187" s="5"/>
      <c r="L187" s="3"/>
      <c r="M187" s="3"/>
    </row>
    <row r="188" spans="8:13" ht="15.75" x14ac:dyDescent="0.25">
      <c r="H188" s="3"/>
      <c r="I188" s="4"/>
      <c r="J188" s="3"/>
      <c r="K188" s="5"/>
      <c r="L188" s="3"/>
      <c r="M188" s="3"/>
    </row>
    <row r="189" spans="8:13" ht="15.75" x14ac:dyDescent="0.25">
      <c r="H189" s="3"/>
      <c r="I189" s="4"/>
      <c r="J189" s="3"/>
      <c r="K189" s="5"/>
      <c r="L189" s="3"/>
      <c r="M189" s="3"/>
    </row>
    <row r="190" spans="8:13" ht="15.75" x14ac:dyDescent="0.25">
      <c r="H190" s="3"/>
      <c r="I190" s="4"/>
      <c r="J190" s="3"/>
      <c r="K190" s="5"/>
      <c r="L190" s="3"/>
      <c r="M190" s="3"/>
    </row>
    <row r="191" spans="8:13" ht="15.75" x14ac:dyDescent="0.25">
      <c r="H191" s="3"/>
      <c r="I191" s="4"/>
      <c r="J191" s="3"/>
      <c r="K191" s="5"/>
      <c r="L191" s="3"/>
      <c r="M191" s="3"/>
    </row>
    <row r="192" spans="8:13" ht="15.75" x14ac:dyDescent="0.25">
      <c r="H192" s="3"/>
      <c r="I192" s="4"/>
      <c r="J192" s="3"/>
      <c r="K192" s="5"/>
      <c r="L192" s="3"/>
      <c r="M192" s="3"/>
    </row>
    <row r="193" spans="8:13" ht="15.75" x14ac:dyDescent="0.25">
      <c r="H193" s="3"/>
      <c r="I193" s="4"/>
      <c r="J193" s="3"/>
      <c r="K193" s="5"/>
      <c r="L193" s="3"/>
      <c r="M193" s="3"/>
    </row>
    <row r="194" spans="8:13" ht="15.75" x14ac:dyDescent="0.25">
      <c r="H194" s="3"/>
      <c r="I194" s="4"/>
      <c r="J194" s="3"/>
      <c r="K194" s="5"/>
      <c r="L194" s="3"/>
      <c r="M194" s="3"/>
    </row>
    <row r="195" spans="8:13" ht="15.75" x14ac:dyDescent="0.25">
      <c r="H195" s="3"/>
      <c r="I195" s="4"/>
      <c r="J195" s="3"/>
      <c r="K195" s="5"/>
      <c r="L195" s="3"/>
      <c r="M195" s="3"/>
    </row>
    <row r="196" spans="8:13" ht="15.75" x14ac:dyDescent="0.25">
      <c r="H196" s="3"/>
      <c r="I196" s="4"/>
      <c r="J196" s="3"/>
      <c r="K196" s="5"/>
      <c r="L196" s="3"/>
      <c r="M196" s="3"/>
    </row>
    <row r="197" spans="8:13" ht="15.75" x14ac:dyDescent="0.25">
      <c r="H197" s="3"/>
      <c r="I197" s="4"/>
      <c r="J197" s="3"/>
      <c r="K197" s="5"/>
      <c r="L197" s="3"/>
      <c r="M197" s="3"/>
    </row>
    <row r="198" spans="8:13" ht="15.75" x14ac:dyDescent="0.25">
      <c r="H198" s="3"/>
      <c r="I198" s="4"/>
      <c r="J198" s="3"/>
      <c r="K198" s="5"/>
      <c r="L198" s="3"/>
      <c r="M198" s="3"/>
    </row>
    <row r="199" spans="8:13" ht="15.75" x14ac:dyDescent="0.25">
      <c r="H199" s="3"/>
      <c r="I199" s="4"/>
      <c r="J199" s="3"/>
      <c r="K199" s="5"/>
      <c r="L199" s="3"/>
      <c r="M199" s="3"/>
    </row>
    <row r="200" spans="8:13" ht="15.75" x14ac:dyDescent="0.25">
      <c r="H200" s="3"/>
      <c r="I200" s="4"/>
      <c r="J200" s="3"/>
      <c r="K200" s="5"/>
      <c r="L200" s="3"/>
      <c r="M200" s="3"/>
    </row>
    <row r="201" spans="8:13" ht="15.75" x14ac:dyDescent="0.25">
      <c r="H201" s="3"/>
      <c r="I201" s="4"/>
      <c r="J201" s="3"/>
      <c r="K201" s="5"/>
      <c r="L201" s="3"/>
      <c r="M201" s="3"/>
    </row>
    <row r="202" spans="8:13" ht="15.75" x14ac:dyDescent="0.25">
      <c r="H202" s="3"/>
      <c r="I202" s="4"/>
      <c r="J202" s="3"/>
      <c r="K202" s="5"/>
      <c r="L202" s="3"/>
      <c r="M202" s="3"/>
    </row>
    <row r="203" spans="8:13" ht="15.75" x14ac:dyDescent="0.25">
      <c r="H203" s="3"/>
      <c r="I203" s="4"/>
      <c r="J203" s="3"/>
      <c r="K203" s="5"/>
      <c r="L203" s="3"/>
      <c r="M203" s="3"/>
    </row>
    <row r="204" spans="8:13" ht="15.75" x14ac:dyDescent="0.25">
      <c r="H204" s="3"/>
      <c r="I204" s="4"/>
      <c r="J204" s="3"/>
      <c r="K204" s="5"/>
      <c r="L204" s="3"/>
      <c r="M204" s="3"/>
    </row>
    <row r="205" spans="8:13" ht="15.75" x14ac:dyDescent="0.25">
      <c r="H205" s="3"/>
      <c r="I205" s="4"/>
      <c r="J205" s="3"/>
      <c r="K205" s="5"/>
      <c r="L205" s="3"/>
      <c r="M205" s="3"/>
    </row>
    <row r="206" spans="8:13" ht="15.75" x14ac:dyDescent="0.25">
      <c r="H206" s="3"/>
      <c r="I206" s="4"/>
      <c r="J206" s="3"/>
      <c r="K206" s="5"/>
      <c r="L206" s="3"/>
      <c r="M206" s="3"/>
    </row>
    <row r="207" spans="8:13" ht="15.75" x14ac:dyDescent="0.25">
      <c r="H207" s="3"/>
      <c r="I207" s="4"/>
      <c r="J207" s="3"/>
      <c r="K207" s="5"/>
      <c r="L207" s="3"/>
      <c r="M207" s="3"/>
    </row>
    <row r="208" spans="8:13" ht="15.75" x14ac:dyDescent="0.25">
      <c r="H208" s="3"/>
      <c r="I208" s="4"/>
      <c r="J208" s="3"/>
      <c r="K208" s="5"/>
      <c r="L208" s="3"/>
      <c r="M208" s="3"/>
    </row>
    <row r="209" spans="8:13" ht="15.75" x14ac:dyDescent="0.25">
      <c r="H209" s="3"/>
      <c r="I209" s="4"/>
      <c r="J209" s="3"/>
      <c r="K209" s="5"/>
      <c r="L209" s="3"/>
      <c r="M209" s="3"/>
    </row>
    <row r="210" spans="8:13" ht="15.75" x14ac:dyDescent="0.25">
      <c r="H210" s="3"/>
      <c r="I210" s="4"/>
      <c r="J210" s="3"/>
      <c r="K210" s="5"/>
      <c r="L210" s="3"/>
      <c r="M210" s="3"/>
    </row>
    <row r="211" spans="8:13" ht="15.75" x14ac:dyDescent="0.25">
      <c r="H211" s="3"/>
      <c r="I211" s="4"/>
      <c r="J211" s="3"/>
      <c r="K211" s="5"/>
      <c r="L211" s="3"/>
      <c r="M211" s="3"/>
    </row>
    <row r="212" spans="8:13" ht="15.75" x14ac:dyDescent="0.25">
      <c r="H212" s="3"/>
      <c r="I212" s="4"/>
      <c r="J212" s="3"/>
      <c r="K212" s="5"/>
      <c r="L212" s="3"/>
      <c r="M212" s="3"/>
    </row>
    <row r="213" spans="8:13" ht="15.75" x14ac:dyDescent="0.25">
      <c r="H213" s="3"/>
      <c r="I213" s="4"/>
      <c r="J213" s="3"/>
      <c r="K213" s="5"/>
      <c r="L213" s="3"/>
      <c r="M213" s="3"/>
    </row>
    <row r="214" spans="8:13" ht="15.75" x14ac:dyDescent="0.25">
      <c r="H214" s="3"/>
      <c r="I214" s="4"/>
      <c r="J214" s="3"/>
      <c r="K214" s="5"/>
      <c r="L214" s="3"/>
      <c r="M214" s="3"/>
    </row>
    <row r="215" spans="8:13" ht="15.75" x14ac:dyDescent="0.25">
      <c r="H215" s="3"/>
      <c r="I215" s="4"/>
      <c r="J215" s="3"/>
      <c r="K215" s="5"/>
      <c r="L215" s="3"/>
      <c r="M215" s="3"/>
    </row>
    <row r="216" spans="8:13" ht="15.75" x14ac:dyDescent="0.25">
      <c r="H216" s="3"/>
      <c r="I216" s="4"/>
      <c r="J216" s="3"/>
      <c r="K216" s="5"/>
      <c r="L216" s="3"/>
      <c r="M216" s="3"/>
    </row>
    <row r="217" spans="8:13" ht="15.75" x14ac:dyDescent="0.25">
      <c r="H217" s="3"/>
      <c r="I217" s="4"/>
      <c r="J217" s="3"/>
      <c r="K217" s="5"/>
      <c r="L217" s="3"/>
      <c r="M217" s="3"/>
    </row>
    <row r="218" spans="8:13" ht="15.75" x14ac:dyDescent="0.25">
      <c r="H218" s="3"/>
      <c r="I218" s="4"/>
      <c r="J218" s="3"/>
      <c r="K218" s="5"/>
      <c r="L218" s="3"/>
      <c r="M218" s="3"/>
    </row>
    <row r="219" spans="8:13" ht="15.75" x14ac:dyDescent="0.25">
      <c r="H219" s="3"/>
      <c r="I219" s="4"/>
      <c r="J219" s="3"/>
      <c r="K219" s="5"/>
      <c r="L219" s="3"/>
      <c r="M219" s="3"/>
    </row>
    <row r="220" spans="8:13" ht="15.75" x14ac:dyDescent="0.25">
      <c r="H220" s="3"/>
      <c r="I220" s="4"/>
      <c r="J220" s="3"/>
      <c r="K220" s="5"/>
      <c r="L220" s="3"/>
      <c r="M220" s="3"/>
    </row>
    <row r="221" spans="8:13" ht="15.75" x14ac:dyDescent="0.25">
      <c r="H221" s="3"/>
      <c r="I221" s="4"/>
      <c r="J221" s="3"/>
      <c r="K221" s="5"/>
      <c r="L221" s="3"/>
      <c r="M221" s="3"/>
    </row>
    <row r="222" spans="8:13" ht="15.75" x14ac:dyDescent="0.25">
      <c r="H222" s="3"/>
      <c r="I222" s="4"/>
      <c r="J222" s="3"/>
      <c r="K222" s="5"/>
      <c r="L222" s="3"/>
      <c r="M222" s="3"/>
    </row>
    <row r="223" spans="8:13" ht="15.75" x14ac:dyDescent="0.25">
      <c r="H223" s="3"/>
      <c r="I223" s="4"/>
      <c r="J223" s="3"/>
      <c r="K223" s="5"/>
      <c r="L223" s="3"/>
      <c r="M223" s="3"/>
    </row>
    <row r="224" spans="8:13" ht="15.75" x14ac:dyDescent="0.25">
      <c r="H224" s="3"/>
      <c r="I224" s="4"/>
      <c r="J224" s="3"/>
      <c r="K224" s="5"/>
      <c r="L224" s="3"/>
      <c r="M224" s="3"/>
    </row>
    <row r="225" spans="8:13" ht="15.75" x14ac:dyDescent="0.25">
      <c r="H225" s="3"/>
      <c r="I225" s="4"/>
      <c r="J225" s="3"/>
      <c r="K225" s="5"/>
      <c r="L225" s="3"/>
      <c r="M225" s="3"/>
    </row>
    <row r="226" spans="8:13" ht="15.75" x14ac:dyDescent="0.25">
      <c r="H226" s="3"/>
      <c r="I226" s="4"/>
      <c r="J226" s="3"/>
      <c r="K226" s="5"/>
      <c r="L226" s="3"/>
      <c r="M226" s="3"/>
    </row>
    <row r="227" spans="8:13" ht="15.75" x14ac:dyDescent="0.25">
      <c r="H227" s="3"/>
      <c r="I227" s="4"/>
      <c r="J227" s="3"/>
      <c r="K227" s="5"/>
      <c r="L227" s="3"/>
      <c r="M227" s="3"/>
    </row>
    <row r="228" spans="8:13" ht="15.75" x14ac:dyDescent="0.25">
      <c r="H228" s="3"/>
      <c r="I228" s="4"/>
      <c r="J228" s="3"/>
      <c r="K228" s="5"/>
      <c r="L228" s="3"/>
      <c r="M228" s="3"/>
    </row>
    <row r="229" spans="8:13" ht="15.75" x14ac:dyDescent="0.25">
      <c r="H229" s="3"/>
      <c r="I229" s="4"/>
      <c r="J229" s="3"/>
      <c r="K229" s="5"/>
      <c r="L229" s="3"/>
      <c r="M229" s="3"/>
    </row>
    <row r="230" spans="8:13" ht="15.75" x14ac:dyDescent="0.25">
      <c r="H230" s="3"/>
      <c r="I230" s="4"/>
      <c r="J230" s="3"/>
      <c r="K230" s="5"/>
      <c r="L230" s="3"/>
      <c r="M230" s="3"/>
    </row>
    <row r="231" spans="8:13" ht="15.75" x14ac:dyDescent="0.25">
      <c r="H231" s="3"/>
      <c r="I231" s="4"/>
      <c r="J231" s="3"/>
      <c r="K231" s="5"/>
      <c r="L231" s="3"/>
      <c r="M231" s="3"/>
    </row>
    <row r="232" spans="8:13" ht="15.75" x14ac:dyDescent="0.25">
      <c r="H232" s="3"/>
      <c r="I232" s="4"/>
      <c r="J232" s="3"/>
      <c r="K232" s="5"/>
      <c r="L232" s="3"/>
      <c r="M232" s="3"/>
    </row>
    <row r="233" spans="8:13" ht="15.75" x14ac:dyDescent="0.25">
      <c r="H233" s="3"/>
      <c r="I233" s="4"/>
      <c r="J233" s="3"/>
      <c r="K233" s="5"/>
      <c r="L233" s="3"/>
      <c r="M233" s="3"/>
    </row>
    <row r="234" spans="8:13" ht="15.75" x14ac:dyDescent="0.25">
      <c r="H234" s="3"/>
      <c r="I234" s="4"/>
      <c r="J234" s="3"/>
      <c r="K234" s="5"/>
      <c r="L234" s="3"/>
      <c r="M234" s="3"/>
    </row>
    <row r="235" spans="8:13" ht="15.75" x14ac:dyDescent="0.25">
      <c r="H235" s="3"/>
      <c r="I235" s="4"/>
      <c r="J235" s="3"/>
      <c r="K235" s="5"/>
      <c r="L235" s="3"/>
      <c r="M235" s="3"/>
    </row>
    <row r="236" spans="8:13" ht="15.75" x14ac:dyDescent="0.25">
      <c r="H236" s="3"/>
      <c r="I236" s="4"/>
      <c r="J236" s="3"/>
      <c r="K236" s="5"/>
      <c r="L236" s="3"/>
      <c r="M236" s="3"/>
    </row>
    <row r="237" spans="8:13" ht="15.75" x14ac:dyDescent="0.25">
      <c r="H237" s="3"/>
      <c r="I237" s="4"/>
      <c r="J237" s="3"/>
      <c r="K237" s="5"/>
      <c r="L237" s="3"/>
      <c r="M237" s="3"/>
    </row>
    <row r="238" spans="8:13" ht="15.75" x14ac:dyDescent="0.25">
      <c r="H238" s="3"/>
      <c r="I238" s="4"/>
      <c r="J238" s="3"/>
      <c r="K238" s="5"/>
      <c r="L238" s="3"/>
      <c r="M238" s="3"/>
    </row>
    <row r="239" spans="8:13" ht="15.75" x14ac:dyDescent="0.25">
      <c r="H239" s="3"/>
      <c r="I239" s="4"/>
      <c r="J239" s="3"/>
      <c r="K239" s="5"/>
      <c r="L239" s="3"/>
      <c r="M239" s="3"/>
    </row>
    <row r="240" spans="8:13" ht="15.75" x14ac:dyDescent="0.25">
      <c r="H240" s="3"/>
      <c r="I240" s="4"/>
      <c r="J240" s="3"/>
      <c r="K240" s="5"/>
      <c r="L240" s="3"/>
      <c r="M240" s="3"/>
    </row>
    <row r="241" spans="8:13" ht="15.75" x14ac:dyDescent="0.25">
      <c r="H241" s="3"/>
      <c r="I241" s="4"/>
      <c r="J241" s="3"/>
      <c r="K241" s="5"/>
      <c r="L241" s="3"/>
      <c r="M241" s="3"/>
    </row>
    <row r="242" spans="8:13" ht="15.75" x14ac:dyDescent="0.25">
      <c r="H242" s="3"/>
      <c r="I242" s="4"/>
      <c r="J242" s="3"/>
      <c r="K242" s="5"/>
      <c r="L242" s="3"/>
      <c r="M242" s="3"/>
    </row>
    <row r="243" spans="8:13" ht="15.75" x14ac:dyDescent="0.25">
      <c r="H243" s="3"/>
      <c r="I243" s="4"/>
      <c r="J243" s="3"/>
      <c r="K243" s="5"/>
      <c r="L243" s="3"/>
      <c r="M243" s="3"/>
    </row>
    <row r="244" spans="8:13" ht="15.75" x14ac:dyDescent="0.25">
      <c r="H244" s="3"/>
      <c r="I244" s="4"/>
      <c r="J244" s="3"/>
      <c r="K244" s="5"/>
      <c r="L244" s="3"/>
      <c r="M244" s="3"/>
    </row>
    <row r="245" spans="8:13" ht="15.75" x14ac:dyDescent="0.25">
      <c r="H245" s="3"/>
      <c r="I245" s="4"/>
      <c r="J245" s="3"/>
      <c r="K245" s="5"/>
      <c r="L245" s="3"/>
      <c r="M245" s="3"/>
    </row>
    <row r="246" spans="8:13" ht="15.75" x14ac:dyDescent="0.25">
      <c r="H246" s="3"/>
      <c r="I246" s="4"/>
      <c r="J246" s="3"/>
      <c r="K246" s="5"/>
      <c r="L246" s="3"/>
      <c r="M246" s="3"/>
    </row>
    <row r="247" spans="8:13" ht="15.75" x14ac:dyDescent="0.25">
      <c r="H247" s="3"/>
      <c r="I247" s="4"/>
      <c r="J247" s="3"/>
      <c r="K247" s="5"/>
      <c r="L247" s="3"/>
      <c r="M247" s="3"/>
    </row>
    <row r="248" spans="8:13" ht="15.75" x14ac:dyDescent="0.25">
      <c r="H248" s="3"/>
      <c r="I248" s="4"/>
      <c r="J248" s="3"/>
      <c r="K248" s="5"/>
      <c r="L248" s="3"/>
      <c r="M248" s="3"/>
    </row>
    <row r="249" spans="8:13" ht="15.75" x14ac:dyDescent="0.25">
      <c r="H249" s="3"/>
      <c r="I249" s="4"/>
      <c r="J249" s="3"/>
      <c r="K249" s="5"/>
      <c r="L249" s="3"/>
      <c r="M249" s="3"/>
    </row>
    <row r="250" spans="8:13" ht="15.75" x14ac:dyDescent="0.25">
      <c r="H250" s="3"/>
      <c r="I250" s="4"/>
      <c r="J250" s="3"/>
      <c r="K250" s="5"/>
      <c r="L250" s="3"/>
      <c r="M250" s="3"/>
    </row>
    <row r="251" spans="8:13" ht="15.75" x14ac:dyDescent="0.25">
      <c r="H251" s="3"/>
      <c r="I251" s="4"/>
      <c r="J251" s="3"/>
      <c r="K251" s="5"/>
      <c r="L251" s="3"/>
      <c r="M251" s="3"/>
    </row>
    <row r="252" spans="8:13" ht="15.75" x14ac:dyDescent="0.25">
      <c r="H252" s="3"/>
      <c r="I252" s="4"/>
      <c r="J252" s="3"/>
      <c r="K252" s="5"/>
      <c r="L252" s="3"/>
      <c r="M252" s="3"/>
    </row>
    <row r="253" spans="8:13" ht="15.75" x14ac:dyDescent="0.25">
      <c r="H253" s="3"/>
      <c r="I253" s="4"/>
      <c r="J253" s="3"/>
      <c r="K253" s="5"/>
      <c r="L253" s="3"/>
      <c r="M253" s="3"/>
    </row>
    <row r="254" spans="8:13" ht="15.75" x14ac:dyDescent="0.25">
      <c r="H254" s="3"/>
      <c r="I254" s="4"/>
      <c r="J254" s="3"/>
      <c r="K254" s="5"/>
      <c r="L254" s="3"/>
      <c r="M254" s="3"/>
    </row>
    <row r="255" spans="8:13" ht="15.75" x14ac:dyDescent="0.25">
      <c r="H255" s="3"/>
      <c r="I255" s="4"/>
      <c r="J255" s="3"/>
      <c r="K255" s="5"/>
      <c r="L255" s="3"/>
      <c r="M255" s="3"/>
    </row>
    <row r="256" spans="8:13" ht="15.75" x14ac:dyDescent="0.25">
      <c r="H256" s="3"/>
      <c r="I256" s="4"/>
      <c r="J256" s="3"/>
      <c r="K256" s="5"/>
      <c r="L256" s="3"/>
      <c r="M256" s="3"/>
    </row>
    <row r="257" spans="8:13" ht="15.75" x14ac:dyDescent="0.25">
      <c r="H257" s="3"/>
      <c r="I257" s="4"/>
      <c r="J257" s="3"/>
      <c r="K257" s="5"/>
      <c r="L257" s="3"/>
      <c r="M257" s="3"/>
    </row>
    <row r="258" spans="8:13" ht="15.75" x14ac:dyDescent="0.25">
      <c r="H258" s="3"/>
      <c r="I258" s="4"/>
      <c r="J258" s="3"/>
      <c r="K258" s="5"/>
      <c r="L258" s="3"/>
      <c r="M258" s="3"/>
    </row>
    <row r="259" spans="8:13" ht="15.75" x14ac:dyDescent="0.25">
      <c r="H259" s="3"/>
      <c r="I259" s="4"/>
      <c r="J259" s="3"/>
      <c r="K259" s="5"/>
      <c r="L259" s="3"/>
      <c r="M259" s="3"/>
    </row>
    <row r="260" spans="8:13" ht="15.75" x14ac:dyDescent="0.25">
      <c r="H260" s="3"/>
      <c r="I260" s="4"/>
      <c r="J260" s="3"/>
      <c r="K260" s="5"/>
      <c r="L260" s="3"/>
      <c r="M260" s="3"/>
    </row>
    <row r="261" spans="8:13" ht="15.75" x14ac:dyDescent="0.25">
      <c r="H261" s="3"/>
      <c r="I261" s="4"/>
      <c r="J261" s="3"/>
      <c r="K261" s="5"/>
      <c r="L261" s="3"/>
      <c r="M261" s="3"/>
    </row>
    <row r="262" spans="8:13" ht="15.75" x14ac:dyDescent="0.25">
      <c r="H262" s="3"/>
      <c r="I262" s="4"/>
      <c r="J262" s="3"/>
      <c r="K262" s="5"/>
      <c r="L262" s="3"/>
      <c r="M262" s="3"/>
    </row>
    <row r="263" spans="8:13" ht="15.75" x14ac:dyDescent="0.25">
      <c r="H263" s="3"/>
      <c r="I263" s="4"/>
      <c r="J263" s="3"/>
      <c r="K263" s="5"/>
      <c r="L263" s="3"/>
      <c r="M263" s="3"/>
    </row>
    <row r="264" spans="8:13" ht="15.75" x14ac:dyDescent="0.25">
      <c r="H264" s="3"/>
      <c r="I264" s="4"/>
      <c r="J264" s="3"/>
      <c r="K264" s="5"/>
      <c r="L264" s="3"/>
      <c r="M264" s="3"/>
    </row>
    <row r="265" spans="8:13" ht="15.75" x14ac:dyDescent="0.25">
      <c r="H265" s="3"/>
      <c r="I265" s="4"/>
      <c r="J265" s="3"/>
      <c r="K265" s="5"/>
      <c r="L265" s="3"/>
      <c r="M265" s="3"/>
    </row>
    <row r="266" spans="8:13" ht="15.75" x14ac:dyDescent="0.25">
      <c r="H266" s="3"/>
      <c r="I266" s="4"/>
      <c r="J266" s="3"/>
      <c r="K266" s="5"/>
      <c r="L266" s="3"/>
      <c r="M266" s="3"/>
    </row>
    <row r="267" spans="8:13" ht="15.75" x14ac:dyDescent="0.25">
      <c r="H267" s="3"/>
      <c r="I267" s="4"/>
      <c r="J267" s="3"/>
      <c r="K267" s="5"/>
      <c r="L267" s="3"/>
      <c r="M267" s="3"/>
    </row>
    <row r="268" spans="8:13" ht="15.75" x14ac:dyDescent="0.25">
      <c r="H268" s="3"/>
      <c r="I268" s="4"/>
      <c r="J268" s="3"/>
      <c r="K268" s="5"/>
      <c r="L268" s="3"/>
      <c r="M268" s="3"/>
    </row>
    <row r="269" spans="8:13" ht="15.75" x14ac:dyDescent="0.25">
      <c r="H269" s="3"/>
      <c r="I269" s="4"/>
      <c r="J269" s="3"/>
      <c r="K269" s="5"/>
      <c r="L269" s="3"/>
      <c r="M269" s="3"/>
    </row>
    <row r="270" spans="8:13" ht="15.75" x14ac:dyDescent="0.25">
      <c r="H270" s="3"/>
      <c r="I270" s="4"/>
      <c r="J270" s="3"/>
      <c r="K270" s="5"/>
      <c r="L270" s="3"/>
      <c r="M270" s="3"/>
    </row>
    <row r="271" spans="8:13" ht="15.75" x14ac:dyDescent="0.25">
      <c r="H271" s="3"/>
      <c r="I271" s="4"/>
      <c r="J271" s="3"/>
      <c r="K271" s="5"/>
      <c r="L271" s="3"/>
      <c r="M271" s="3"/>
    </row>
    <row r="272" spans="8:13" ht="15.75" x14ac:dyDescent="0.25">
      <c r="H272" s="3"/>
      <c r="I272" s="4"/>
      <c r="J272" s="3"/>
      <c r="K272" s="5"/>
      <c r="L272" s="3"/>
      <c r="M272" s="3"/>
    </row>
    <row r="273" spans="8:13" ht="15.75" x14ac:dyDescent="0.25">
      <c r="H273" s="3"/>
      <c r="I273" s="4"/>
      <c r="J273" s="3"/>
      <c r="K273" s="5"/>
      <c r="L273" s="3"/>
      <c r="M273" s="3"/>
    </row>
    <row r="274" spans="8:13" ht="15.75" x14ac:dyDescent="0.25">
      <c r="H274" s="3"/>
      <c r="I274" s="4"/>
      <c r="J274" s="3"/>
      <c r="K274" s="5"/>
      <c r="L274" s="3"/>
      <c r="M274" s="3"/>
    </row>
    <row r="275" spans="8:13" ht="15.75" x14ac:dyDescent="0.25">
      <c r="H275" s="3"/>
      <c r="I275" s="4"/>
      <c r="J275" s="3"/>
      <c r="K275" s="5"/>
      <c r="L275" s="3"/>
      <c r="M275" s="3"/>
    </row>
    <row r="276" spans="8:13" ht="15.75" x14ac:dyDescent="0.25">
      <c r="H276" s="3"/>
      <c r="I276" s="4"/>
      <c r="J276" s="3"/>
      <c r="K276" s="5"/>
      <c r="L276" s="3"/>
      <c r="M276" s="3"/>
    </row>
    <row r="277" spans="8:13" ht="15.75" x14ac:dyDescent="0.25">
      <c r="H277" s="3"/>
      <c r="I277" s="4"/>
      <c r="J277" s="3"/>
      <c r="K277" s="5"/>
      <c r="L277" s="3"/>
      <c r="M277" s="3"/>
    </row>
    <row r="278" spans="8:13" ht="15.75" x14ac:dyDescent="0.25">
      <c r="H278" s="3"/>
      <c r="I278" s="4"/>
      <c r="J278" s="3"/>
      <c r="K278" s="5"/>
      <c r="L278" s="3"/>
      <c r="M278" s="3"/>
    </row>
    <row r="279" spans="8:13" ht="15.75" x14ac:dyDescent="0.25">
      <c r="H279" s="3"/>
      <c r="I279" s="4"/>
      <c r="J279" s="3"/>
      <c r="K279" s="5"/>
      <c r="L279" s="3"/>
      <c r="M279" s="3"/>
    </row>
    <row r="280" spans="8:13" ht="15.75" x14ac:dyDescent="0.25">
      <c r="H280" s="3"/>
      <c r="I280" s="4"/>
      <c r="J280" s="3"/>
      <c r="K280" s="5"/>
      <c r="L280" s="3"/>
      <c r="M280" s="3"/>
    </row>
    <row r="281" spans="8:13" ht="15.75" x14ac:dyDescent="0.25">
      <c r="H281" s="3"/>
      <c r="I281" s="4"/>
      <c r="J281" s="3"/>
      <c r="K281" s="5"/>
      <c r="L281" s="3"/>
      <c r="M281" s="3"/>
    </row>
    <row r="282" spans="8:13" ht="15.75" x14ac:dyDescent="0.25">
      <c r="H282" s="3"/>
      <c r="I282" s="4"/>
      <c r="J282" s="3"/>
      <c r="K282" s="5"/>
      <c r="L282" s="3"/>
      <c r="M282" s="3"/>
    </row>
    <row r="283" spans="8:13" ht="15.75" x14ac:dyDescent="0.25">
      <c r="H283" s="3"/>
      <c r="I283" s="4"/>
      <c r="J283" s="3"/>
      <c r="K283" s="5"/>
      <c r="L283" s="3"/>
      <c r="M283" s="3"/>
    </row>
    <row r="284" spans="8:13" ht="15.75" x14ac:dyDescent="0.25">
      <c r="H284" s="3"/>
      <c r="I284" s="4"/>
      <c r="J284" s="3"/>
      <c r="K284" s="5"/>
      <c r="L284" s="3"/>
      <c r="M284" s="3"/>
    </row>
    <row r="285" spans="8:13" ht="15.75" x14ac:dyDescent="0.25">
      <c r="H285" s="3"/>
      <c r="I285" s="4"/>
      <c r="J285" s="3"/>
      <c r="K285" s="5"/>
      <c r="L285" s="3"/>
      <c r="M285" s="3"/>
    </row>
    <row r="286" spans="8:13" ht="15.75" x14ac:dyDescent="0.25">
      <c r="H286" s="3"/>
      <c r="I286" s="4"/>
      <c r="J286" s="3"/>
      <c r="K286" s="5"/>
      <c r="L286" s="3"/>
      <c r="M286" s="3"/>
    </row>
    <row r="287" spans="8:13" ht="15.75" x14ac:dyDescent="0.25">
      <c r="H287" s="3"/>
      <c r="I287" s="4"/>
      <c r="J287" s="3"/>
      <c r="K287" s="5"/>
      <c r="L287" s="3"/>
      <c r="M287" s="3"/>
    </row>
    <row r="288" spans="8:13" ht="15.75" x14ac:dyDescent="0.25">
      <c r="H288" s="3"/>
      <c r="I288" s="4"/>
      <c r="J288" s="3"/>
      <c r="K288" s="5"/>
      <c r="L288" s="3"/>
      <c r="M288" s="3"/>
    </row>
    <row r="289" spans="8:13" ht="15.75" x14ac:dyDescent="0.25">
      <c r="H289" s="3"/>
      <c r="I289" s="4"/>
      <c r="J289" s="3"/>
      <c r="K289" s="5"/>
      <c r="L289" s="3"/>
      <c r="M289" s="3"/>
    </row>
    <row r="290" spans="8:13" ht="15.75" x14ac:dyDescent="0.25">
      <c r="H290" s="3"/>
      <c r="I290" s="4"/>
      <c r="J290" s="3"/>
      <c r="K290" s="5"/>
      <c r="L290" s="3"/>
      <c r="M290" s="3"/>
    </row>
    <row r="291" spans="8:13" ht="15.75" x14ac:dyDescent="0.25">
      <c r="H291" s="3"/>
      <c r="I291" s="4"/>
      <c r="J291" s="3"/>
      <c r="K291" s="5"/>
      <c r="L291" s="3"/>
      <c r="M291" s="3"/>
    </row>
    <row r="292" spans="8:13" ht="15.75" x14ac:dyDescent="0.25">
      <c r="H292" s="3"/>
      <c r="I292" s="4"/>
      <c r="J292" s="3"/>
      <c r="K292" s="5"/>
      <c r="L292" s="3"/>
      <c r="M292" s="3"/>
    </row>
    <row r="293" spans="8:13" ht="15.75" x14ac:dyDescent="0.25">
      <c r="H293" s="3"/>
      <c r="I293" s="4"/>
      <c r="J293" s="3"/>
      <c r="K293" s="5"/>
      <c r="L293" s="3"/>
      <c r="M293" s="3"/>
    </row>
    <row r="294" spans="8:13" ht="15.75" x14ac:dyDescent="0.25">
      <c r="H294" s="3"/>
      <c r="I294" s="4"/>
      <c r="J294" s="3"/>
      <c r="K294" s="5"/>
      <c r="L294" s="3"/>
      <c r="M294" s="3"/>
    </row>
    <row r="295" spans="8:13" ht="15.75" x14ac:dyDescent="0.25">
      <c r="H295" s="3"/>
      <c r="I295" s="4"/>
      <c r="J295" s="3"/>
      <c r="K295" s="5"/>
      <c r="L295" s="3"/>
      <c r="M295" s="3"/>
    </row>
    <row r="296" spans="8:13" ht="15.75" x14ac:dyDescent="0.25">
      <c r="H296" s="3"/>
      <c r="I296" s="4"/>
      <c r="J296" s="3"/>
      <c r="K296" s="5"/>
      <c r="L296" s="3"/>
      <c r="M296" s="3"/>
    </row>
    <row r="297" spans="8:13" ht="15.75" x14ac:dyDescent="0.25">
      <c r="H297" s="3"/>
      <c r="I297" s="4"/>
      <c r="J297" s="3"/>
      <c r="K297" s="5"/>
      <c r="L297" s="3"/>
      <c r="M297" s="3"/>
    </row>
    <row r="298" spans="8:13" ht="15.75" x14ac:dyDescent="0.25">
      <c r="H298" s="3"/>
      <c r="I298" s="4"/>
      <c r="J298" s="3"/>
      <c r="K298" s="5"/>
      <c r="L298" s="3"/>
      <c r="M298" s="3"/>
    </row>
    <row r="299" spans="8:13" ht="15.75" x14ac:dyDescent="0.25">
      <c r="H299" s="3"/>
      <c r="I299" s="4"/>
      <c r="J299" s="3"/>
      <c r="K299" s="5"/>
      <c r="L299" s="3"/>
      <c r="M299" s="3"/>
    </row>
    <row r="300" spans="8:13" ht="15.75" x14ac:dyDescent="0.25">
      <c r="H300" s="3"/>
      <c r="I300" s="4"/>
      <c r="J300" s="3"/>
      <c r="K300" s="5"/>
      <c r="L300" s="3"/>
      <c r="M300" s="3"/>
    </row>
    <row r="301" spans="8:13" ht="15.75" x14ac:dyDescent="0.25">
      <c r="H301" s="3"/>
      <c r="I301" s="4"/>
      <c r="J301" s="3"/>
      <c r="K301" s="5"/>
      <c r="L301" s="3"/>
      <c r="M301" s="3"/>
    </row>
    <row r="302" spans="8:13" ht="15.75" x14ac:dyDescent="0.25">
      <c r="H302" s="3"/>
      <c r="I302" s="4"/>
      <c r="J302" s="3"/>
      <c r="K302" s="5"/>
      <c r="L302" s="3"/>
      <c r="M302" s="3"/>
    </row>
    <row r="303" spans="8:13" ht="15.75" x14ac:dyDescent="0.25">
      <c r="H303" s="3"/>
      <c r="I303" s="4"/>
      <c r="J303" s="3"/>
      <c r="K303" s="5"/>
      <c r="L303" s="3"/>
      <c r="M303" s="3"/>
    </row>
    <row r="304" spans="8:13" ht="15.75" x14ac:dyDescent="0.25">
      <c r="H304" s="3"/>
      <c r="I304" s="4"/>
      <c r="J304" s="3"/>
      <c r="K304" s="5"/>
      <c r="L304" s="3"/>
      <c r="M304" s="3"/>
    </row>
    <row r="305" spans="8:13" ht="15.75" x14ac:dyDescent="0.25">
      <c r="H305" s="3"/>
      <c r="I305" s="4"/>
      <c r="J305" s="3"/>
      <c r="K305" s="5"/>
      <c r="L305" s="3"/>
      <c r="M305" s="3"/>
    </row>
    <row r="306" spans="8:13" ht="15.75" x14ac:dyDescent="0.25">
      <c r="H306" s="3"/>
      <c r="I306" s="4"/>
      <c r="J306" s="3"/>
      <c r="K306" s="5"/>
      <c r="L306" s="3"/>
      <c r="M306" s="3"/>
    </row>
    <row r="307" spans="8:13" ht="15.75" x14ac:dyDescent="0.25">
      <c r="H307" s="3"/>
      <c r="I307" s="4"/>
      <c r="J307" s="3"/>
      <c r="K307" s="5"/>
      <c r="L307" s="3"/>
      <c r="M307" s="3"/>
    </row>
    <row r="308" spans="8:13" ht="15.75" x14ac:dyDescent="0.25">
      <c r="H308" s="3"/>
      <c r="I308" s="4"/>
      <c r="J308" s="3"/>
      <c r="K308" s="5"/>
      <c r="L308" s="3"/>
      <c r="M308" s="3"/>
    </row>
    <row r="309" spans="8:13" ht="15.75" x14ac:dyDescent="0.25">
      <c r="H309" s="3"/>
      <c r="I309" s="4"/>
      <c r="J309" s="3"/>
      <c r="K309" s="5"/>
      <c r="L309" s="3"/>
      <c r="M309" s="3"/>
    </row>
    <row r="310" spans="8:13" ht="15.75" x14ac:dyDescent="0.25">
      <c r="H310" s="3"/>
      <c r="I310" s="4"/>
      <c r="J310" s="3"/>
      <c r="K310" s="5"/>
      <c r="L310" s="3"/>
      <c r="M310" s="3"/>
    </row>
    <row r="311" spans="8:13" ht="15.75" x14ac:dyDescent="0.25">
      <c r="H311" s="3"/>
      <c r="I311" s="4"/>
      <c r="J311" s="3"/>
      <c r="K311" s="5"/>
      <c r="L311" s="3"/>
      <c r="M311" s="3"/>
    </row>
    <row r="312" spans="8:13" ht="15.75" x14ac:dyDescent="0.25">
      <c r="H312" s="3"/>
      <c r="I312" s="4"/>
      <c r="J312" s="3"/>
      <c r="K312" s="5"/>
      <c r="L312" s="3"/>
      <c r="M312" s="3"/>
    </row>
    <row r="313" spans="8:13" ht="15.75" x14ac:dyDescent="0.25">
      <c r="H313" s="3"/>
      <c r="I313" s="4"/>
      <c r="J313" s="3"/>
      <c r="K313" s="5"/>
      <c r="L313" s="3"/>
      <c r="M313" s="3"/>
    </row>
    <row r="314" spans="8:13" ht="15.75" x14ac:dyDescent="0.25">
      <c r="H314" s="3"/>
      <c r="I314" s="4"/>
      <c r="J314" s="3"/>
      <c r="K314" s="5"/>
      <c r="L314" s="3"/>
      <c r="M314" s="3"/>
    </row>
    <row r="315" spans="8:13" ht="15.75" x14ac:dyDescent="0.25">
      <c r="H315" s="3"/>
      <c r="I315" s="4"/>
      <c r="J315" s="3"/>
      <c r="K315" s="5"/>
      <c r="L315" s="3"/>
      <c r="M315" s="3"/>
    </row>
    <row r="316" spans="8:13" ht="15.75" x14ac:dyDescent="0.25">
      <c r="H316" s="3"/>
      <c r="I316" s="4"/>
      <c r="J316" s="3"/>
      <c r="K316" s="5"/>
      <c r="L316" s="3"/>
      <c r="M316" s="3"/>
    </row>
    <row r="317" spans="8:13" ht="15.75" x14ac:dyDescent="0.25">
      <c r="H317" s="3"/>
      <c r="I317" s="4"/>
      <c r="J317" s="3"/>
      <c r="K317" s="5"/>
      <c r="L317" s="3"/>
      <c r="M317" s="3"/>
    </row>
    <row r="318" spans="8:13" ht="15.75" x14ac:dyDescent="0.25">
      <c r="H318" s="3"/>
      <c r="I318" s="4"/>
      <c r="J318" s="3"/>
      <c r="K318" s="5"/>
      <c r="L318" s="3"/>
      <c r="M318" s="3"/>
    </row>
    <row r="319" spans="8:13" ht="15.75" x14ac:dyDescent="0.25">
      <c r="H319" s="3"/>
      <c r="I319" s="4"/>
      <c r="J319" s="3"/>
      <c r="K319" s="5"/>
      <c r="L319" s="3"/>
      <c r="M319" s="3"/>
    </row>
    <row r="320" spans="8:13" ht="15.75" x14ac:dyDescent="0.25">
      <c r="H320" s="3"/>
      <c r="I320" s="4"/>
      <c r="J320" s="3"/>
      <c r="K320" s="5"/>
      <c r="L320" s="3"/>
      <c r="M320" s="3"/>
    </row>
    <row r="321" spans="8:13" ht="15.75" x14ac:dyDescent="0.25">
      <c r="H321" s="3"/>
      <c r="I321" s="4"/>
      <c r="J321" s="3"/>
      <c r="K321" s="5"/>
      <c r="L321" s="3"/>
      <c r="M321" s="3"/>
    </row>
    <row r="322" spans="8:13" ht="15.75" x14ac:dyDescent="0.25">
      <c r="H322" s="3"/>
      <c r="I322" s="4"/>
      <c r="J322" s="3"/>
      <c r="K322" s="5"/>
      <c r="L322" s="3"/>
      <c r="M322" s="3"/>
    </row>
    <row r="323" spans="8:13" ht="15.75" x14ac:dyDescent="0.25">
      <c r="H323" s="3"/>
      <c r="I323" s="4"/>
      <c r="J323" s="3"/>
      <c r="K323" s="5"/>
      <c r="L323" s="3"/>
      <c r="M323" s="3"/>
    </row>
    <row r="324" spans="8:13" ht="15.75" x14ac:dyDescent="0.25">
      <c r="H324" s="3"/>
      <c r="I324" s="4"/>
      <c r="J324" s="3"/>
      <c r="K324" s="5"/>
      <c r="L324" s="3"/>
      <c r="M324" s="3"/>
    </row>
    <row r="325" spans="8:13" ht="15.75" x14ac:dyDescent="0.25">
      <c r="H325" s="3"/>
      <c r="I325" s="4"/>
      <c r="J325" s="3"/>
      <c r="K325" s="5"/>
      <c r="L325" s="3"/>
      <c r="M325" s="3"/>
    </row>
    <row r="326" spans="8:13" ht="15.75" x14ac:dyDescent="0.25">
      <c r="H326" s="3"/>
      <c r="I326" s="4"/>
      <c r="J326" s="3"/>
      <c r="K326" s="5"/>
      <c r="L326" s="3"/>
      <c r="M326" s="3"/>
    </row>
    <row r="327" spans="8:13" ht="15.75" x14ac:dyDescent="0.25">
      <c r="H327" s="3"/>
      <c r="I327" s="4"/>
      <c r="J327" s="3"/>
      <c r="K327" s="5"/>
      <c r="L327" s="3"/>
      <c r="M327" s="3"/>
    </row>
    <row r="328" spans="8:13" ht="15.75" x14ac:dyDescent="0.25">
      <c r="H328" s="3"/>
      <c r="I328" s="4"/>
      <c r="J328" s="3"/>
      <c r="K328" s="5"/>
      <c r="L328" s="3"/>
      <c r="M328" s="3"/>
    </row>
    <row r="329" spans="8:13" ht="15.75" x14ac:dyDescent="0.25">
      <c r="H329" s="3"/>
      <c r="I329" s="4"/>
      <c r="J329" s="3"/>
      <c r="K329" s="5"/>
      <c r="L329" s="3"/>
      <c r="M329" s="3"/>
    </row>
    <row r="330" spans="8:13" ht="15.75" x14ac:dyDescent="0.25">
      <c r="H330" s="3"/>
      <c r="I330" s="4"/>
      <c r="J330" s="3"/>
      <c r="K330" s="5"/>
      <c r="L330" s="3"/>
      <c r="M330" s="3"/>
    </row>
    <row r="331" spans="8:13" ht="15.75" x14ac:dyDescent="0.25">
      <c r="H331" s="3"/>
      <c r="I331" s="4"/>
      <c r="J331" s="3"/>
      <c r="K331" s="5"/>
      <c r="L331" s="3"/>
      <c r="M331" s="3"/>
    </row>
    <row r="332" spans="8:13" ht="15.75" x14ac:dyDescent="0.25">
      <c r="H332" s="3"/>
      <c r="I332" s="4"/>
      <c r="J332" s="3"/>
      <c r="K332" s="5"/>
      <c r="L332" s="3"/>
      <c r="M332" s="3"/>
    </row>
    <row r="333" spans="8:13" ht="15.75" x14ac:dyDescent="0.25">
      <c r="H333" s="3"/>
      <c r="I333" s="4"/>
      <c r="J333" s="3"/>
      <c r="K333" s="5"/>
      <c r="L333" s="3"/>
      <c r="M333" s="3"/>
    </row>
    <row r="334" spans="8:13" ht="15.75" x14ac:dyDescent="0.25">
      <c r="H334" s="3"/>
      <c r="I334" s="4"/>
      <c r="J334" s="3"/>
      <c r="K334" s="5"/>
      <c r="L334" s="3"/>
      <c r="M334" s="3"/>
    </row>
    <row r="335" spans="8:13" ht="15.75" x14ac:dyDescent="0.25">
      <c r="H335" s="3"/>
      <c r="I335" s="4"/>
      <c r="J335" s="3"/>
      <c r="K335" s="5"/>
      <c r="L335" s="3"/>
      <c r="M335" s="3"/>
    </row>
    <row r="336" spans="8:13" ht="15.75" x14ac:dyDescent="0.25">
      <c r="H336" s="3"/>
      <c r="I336" s="4"/>
      <c r="J336" s="3"/>
      <c r="K336" s="5"/>
      <c r="L336" s="3"/>
      <c r="M336" s="3"/>
    </row>
    <row r="337" spans="8:13" ht="15.75" x14ac:dyDescent="0.25">
      <c r="H337" s="3"/>
      <c r="I337" s="4"/>
      <c r="J337" s="3"/>
      <c r="K337" s="5"/>
      <c r="L337" s="3"/>
      <c r="M337" s="3"/>
    </row>
    <row r="338" spans="8:13" ht="15.75" x14ac:dyDescent="0.25">
      <c r="H338" s="3"/>
      <c r="I338" s="4"/>
      <c r="J338" s="3"/>
      <c r="K338" s="5"/>
      <c r="L338" s="3"/>
      <c r="M338" s="3"/>
    </row>
    <row r="339" spans="8:13" ht="15.75" x14ac:dyDescent="0.25">
      <c r="H339" s="3"/>
      <c r="I339" s="4"/>
      <c r="J339" s="3"/>
      <c r="K339" s="5"/>
      <c r="L339" s="3"/>
      <c r="M339" s="3"/>
    </row>
    <row r="340" spans="8:13" ht="15.75" x14ac:dyDescent="0.25">
      <c r="H340" s="3"/>
      <c r="I340" s="4"/>
      <c r="J340" s="3"/>
      <c r="K340" s="5"/>
      <c r="L340" s="3"/>
      <c r="M340" s="3"/>
    </row>
    <row r="341" spans="8:13" ht="15.75" x14ac:dyDescent="0.25">
      <c r="H341" s="3"/>
      <c r="I341" s="4"/>
      <c r="J341" s="3"/>
      <c r="K341" s="5"/>
      <c r="L341" s="3"/>
      <c r="M341" s="3"/>
    </row>
    <row r="342" spans="8:13" ht="15.75" x14ac:dyDescent="0.25">
      <c r="H342" s="3"/>
      <c r="I342" s="4"/>
      <c r="J342" s="3"/>
      <c r="K342" s="5"/>
      <c r="L342" s="3"/>
      <c r="M342" s="3"/>
    </row>
    <row r="343" spans="8:13" ht="15.75" x14ac:dyDescent="0.25">
      <c r="H343" s="3"/>
      <c r="I343" s="4"/>
      <c r="J343" s="3"/>
      <c r="K343" s="5"/>
      <c r="L343" s="3"/>
      <c r="M343" s="3"/>
    </row>
    <row r="344" spans="8:13" ht="15.75" x14ac:dyDescent="0.25">
      <c r="H344" s="3"/>
      <c r="I344" s="4"/>
      <c r="J344" s="3"/>
      <c r="K344" s="5"/>
      <c r="L344" s="3"/>
      <c r="M344" s="3"/>
    </row>
    <row r="345" spans="8:13" ht="15.75" x14ac:dyDescent="0.25">
      <c r="H345" s="3"/>
      <c r="I345" s="4"/>
      <c r="J345" s="3"/>
      <c r="K345" s="5"/>
      <c r="L345" s="3"/>
      <c r="M345" s="3"/>
    </row>
    <row r="346" spans="8:13" ht="15.75" x14ac:dyDescent="0.25">
      <c r="H346" s="3"/>
      <c r="I346" s="4"/>
      <c r="J346" s="3"/>
      <c r="K346" s="5"/>
      <c r="L346" s="3"/>
      <c r="M346" s="3"/>
    </row>
    <row r="347" spans="8:13" ht="15.75" x14ac:dyDescent="0.25">
      <c r="H347" s="3"/>
      <c r="I347" s="4"/>
      <c r="J347" s="3"/>
      <c r="K347" s="5"/>
      <c r="L347" s="3"/>
      <c r="M347" s="3"/>
    </row>
    <row r="348" spans="8:13" ht="15.75" x14ac:dyDescent="0.25">
      <c r="H348" s="3"/>
      <c r="I348" s="4"/>
      <c r="J348" s="3"/>
      <c r="K348" s="5"/>
      <c r="L348" s="3"/>
      <c r="M348" s="3"/>
    </row>
    <row r="349" spans="8:13" ht="15.75" x14ac:dyDescent="0.25">
      <c r="H349" s="3"/>
      <c r="I349" s="4"/>
      <c r="J349" s="3"/>
      <c r="K349" s="5"/>
      <c r="L349" s="3"/>
      <c r="M349" s="3"/>
    </row>
    <row r="350" spans="8:13" ht="15.75" x14ac:dyDescent="0.25">
      <c r="H350" s="3"/>
      <c r="I350" s="4"/>
      <c r="J350" s="3"/>
      <c r="K350" s="5"/>
      <c r="L350" s="3"/>
      <c r="M350" s="3"/>
    </row>
    <row r="351" spans="8:13" ht="15.75" x14ac:dyDescent="0.25">
      <c r="H351" s="3"/>
      <c r="I351" s="4"/>
      <c r="J351" s="3"/>
      <c r="K351" s="5"/>
      <c r="L351" s="3"/>
      <c r="M351" s="3"/>
    </row>
    <row r="352" spans="8:13" ht="15.75" x14ac:dyDescent="0.25">
      <c r="H352" s="3"/>
      <c r="I352" s="4"/>
      <c r="J352" s="3"/>
      <c r="K352" s="5"/>
      <c r="L352" s="3"/>
      <c r="M352" s="3"/>
    </row>
    <row r="353" spans="8:13" ht="15.75" x14ac:dyDescent="0.25">
      <c r="H353" s="3"/>
      <c r="I353" s="4"/>
      <c r="J353" s="3"/>
      <c r="K353" s="5"/>
      <c r="L353" s="3"/>
      <c r="M353" s="3"/>
    </row>
    <row r="354" spans="8:13" ht="15.75" x14ac:dyDescent="0.25">
      <c r="H354" s="3"/>
      <c r="I354" s="4"/>
      <c r="J354" s="3"/>
      <c r="K354" s="5"/>
      <c r="L354" s="3"/>
      <c r="M354" s="3"/>
    </row>
    <row r="355" spans="8:13" ht="15.75" x14ac:dyDescent="0.25">
      <c r="H355" s="3"/>
      <c r="I355" s="4"/>
      <c r="J355" s="3"/>
      <c r="K355" s="5"/>
      <c r="L355" s="3"/>
      <c r="M355" s="3"/>
    </row>
    <row r="356" spans="8:13" ht="15.75" x14ac:dyDescent="0.25">
      <c r="H356" s="3"/>
      <c r="I356" s="4"/>
      <c r="J356" s="3"/>
      <c r="K356" s="5"/>
      <c r="L356" s="3"/>
      <c r="M356" s="3"/>
    </row>
    <row r="357" spans="8:13" ht="15.75" x14ac:dyDescent="0.25">
      <c r="H357" s="3"/>
      <c r="I357" s="4"/>
      <c r="J357" s="3"/>
      <c r="K357" s="5"/>
      <c r="L357" s="3"/>
      <c r="M357" s="3"/>
    </row>
    <row r="358" spans="8:13" ht="15.75" x14ac:dyDescent="0.25">
      <c r="H358" s="3"/>
      <c r="I358" s="4"/>
      <c r="J358" s="3"/>
      <c r="K358" s="5"/>
      <c r="L358" s="3"/>
      <c r="M358" s="3"/>
    </row>
    <row r="359" spans="8:13" ht="15.75" x14ac:dyDescent="0.25">
      <c r="H359" s="3"/>
      <c r="I359" s="4"/>
      <c r="J359" s="3"/>
      <c r="K359" s="5"/>
      <c r="L359" s="3"/>
      <c r="M359" s="3"/>
    </row>
    <row r="360" spans="8:13" ht="15.75" x14ac:dyDescent="0.25">
      <c r="H360" s="3"/>
      <c r="I360" s="4"/>
      <c r="J360" s="3"/>
      <c r="K360" s="5"/>
      <c r="L360" s="3"/>
      <c r="M360" s="3"/>
    </row>
    <row r="361" spans="8:13" ht="15.75" x14ac:dyDescent="0.25">
      <c r="H361" s="3"/>
      <c r="I361" s="4"/>
      <c r="J361" s="3"/>
      <c r="K361" s="5"/>
      <c r="L361" s="3"/>
      <c r="M361" s="3"/>
    </row>
    <row r="362" spans="8:13" ht="15.75" x14ac:dyDescent="0.25">
      <c r="H362" s="3"/>
      <c r="I362" s="4"/>
      <c r="J362" s="3"/>
      <c r="K362" s="5"/>
      <c r="L362" s="3"/>
      <c r="M362" s="3"/>
    </row>
    <row r="363" spans="8:13" ht="15.75" x14ac:dyDescent="0.25">
      <c r="H363" s="3"/>
      <c r="I363" s="4"/>
      <c r="J363" s="3"/>
      <c r="K363" s="5"/>
      <c r="L363" s="3"/>
      <c r="M363" s="3"/>
    </row>
    <row r="364" spans="8:13" ht="15.75" x14ac:dyDescent="0.25">
      <c r="H364" s="3"/>
      <c r="I364" s="4"/>
      <c r="J364" s="3"/>
      <c r="K364" s="5"/>
      <c r="L364" s="3"/>
      <c r="M364" s="3"/>
    </row>
    <row r="365" spans="8:13" ht="15.75" x14ac:dyDescent="0.25">
      <c r="H365" s="3"/>
      <c r="I365" s="4"/>
      <c r="J365" s="3"/>
      <c r="K365" s="5"/>
      <c r="L365" s="3"/>
      <c r="M365" s="3"/>
    </row>
    <row r="366" spans="8:13" ht="15.75" x14ac:dyDescent="0.25">
      <c r="H366" s="3"/>
      <c r="I366" s="4"/>
      <c r="J366" s="3"/>
      <c r="K366" s="5"/>
      <c r="L366" s="3"/>
      <c r="M366" s="3"/>
    </row>
    <row r="367" spans="8:13" ht="15.75" x14ac:dyDescent="0.25">
      <c r="H367" s="3"/>
      <c r="I367" s="4"/>
      <c r="J367" s="3"/>
      <c r="K367" s="5"/>
      <c r="L367" s="3"/>
      <c r="M367" s="3"/>
    </row>
    <row r="368" spans="8:13" ht="15.75" x14ac:dyDescent="0.25">
      <c r="H368" s="3"/>
      <c r="I368" s="4"/>
      <c r="J368" s="3"/>
      <c r="K368" s="5"/>
      <c r="L368" s="3"/>
      <c r="M368" s="3"/>
    </row>
    <row r="369" spans="8:13" ht="15.75" x14ac:dyDescent="0.25">
      <c r="H369" s="3"/>
      <c r="I369" s="4"/>
      <c r="J369" s="3"/>
      <c r="K369" s="5"/>
      <c r="L369" s="3"/>
      <c r="M369" s="3"/>
    </row>
    <row r="370" spans="8:13" ht="15.75" x14ac:dyDescent="0.25">
      <c r="H370" s="3"/>
      <c r="I370" s="4"/>
      <c r="J370" s="3"/>
      <c r="K370" s="5"/>
      <c r="L370" s="3"/>
      <c r="M370" s="3"/>
    </row>
    <row r="371" spans="8:13" ht="15.75" x14ac:dyDescent="0.25">
      <c r="H371" s="3"/>
      <c r="I371" s="4"/>
      <c r="J371" s="3"/>
      <c r="K371" s="5"/>
      <c r="L371" s="3"/>
      <c r="M371" s="3"/>
    </row>
    <row r="372" spans="8:13" ht="15.75" x14ac:dyDescent="0.25">
      <c r="H372" s="3"/>
      <c r="I372" s="4"/>
      <c r="J372" s="3"/>
      <c r="K372" s="5"/>
      <c r="L372" s="3"/>
      <c r="M372" s="3"/>
    </row>
    <row r="373" spans="8:13" ht="15.75" x14ac:dyDescent="0.25">
      <c r="H373" s="3"/>
      <c r="I373" s="4"/>
      <c r="J373" s="3"/>
      <c r="K373" s="5"/>
      <c r="L373" s="3"/>
      <c r="M373" s="3"/>
    </row>
    <row r="374" spans="8:13" ht="15.75" x14ac:dyDescent="0.25">
      <c r="H374" s="3"/>
      <c r="I374" s="4"/>
      <c r="J374" s="3"/>
      <c r="K374" s="5"/>
      <c r="L374" s="3"/>
      <c r="M374" s="3"/>
    </row>
    <row r="375" spans="8:13" ht="15.75" x14ac:dyDescent="0.25">
      <c r="H375" s="3"/>
      <c r="I375" s="4"/>
      <c r="J375" s="3"/>
      <c r="K375" s="5"/>
      <c r="L375" s="3"/>
      <c r="M375" s="3"/>
    </row>
    <row r="376" spans="8:13" ht="15.75" x14ac:dyDescent="0.25">
      <c r="H376" s="3"/>
      <c r="I376" s="4"/>
      <c r="J376" s="3"/>
      <c r="K376" s="5"/>
      <c r="L376" s="3"/>
      <c r="M376" s="3"/>
    </row>
    <row r="377" spans="8:13" ht="15.75" x14ac:dyDescent="0.25">
      <c r="H377" s="3"/>
      <c r="I377" s="4"/>
      <c r="J377" s="3"/>
      <c r="K377" s="5"/>
      <c r="L377" s="3"/>
      <c r="M377" s="3"/>
    </row>
    <row r="378" spans="8:13" ht="15.75" x14ac:dyDescent="0.25">
      <c r="H378" s="3"/>
      <c r="I378" s="4"/>
      <c r="J378" s="3"/>
      <c r="K378" s="5"/>
      <c r="L378" s="3"/>
      <c r="M378" s="3"/>
    </row>
    <row r="379" spans="8:13" ht="15.75" x14ac:dyDescent="0.25">
      <c r="H379" s="3"/>
      <c r="I379" s="4"/>
      <c r="J379" s="3"/>
      <c r="K379" s="5"/>
      <c r="L379" s="3"/>
      <c r="M379" s="3"/>
    </row>
    <row r="380" spans="8:13" ht="15.75" x14ac:dyDescent="0.25">
      <c r="H380" s="3"/>
      <c r="I380" s="4"/>
      <c r="J380" s="3"/>
      <c r="K380" s="5"/>
      <c r="L380" s="3"/>
      <c r="M380" s="3"/>
    </row>
    <row r="381" spans="8:13" ht="15.75" x14ac:dyDescent="0.25">
      <c r="H381" s="3"/>
      <c r="I381" s="4"/>
      <c r="J381" s="3"/>
      <c r="K381" s="5"/>
      <c r="L381" s="3"/>
      <c r="M381" s="3"/>
    </row>
    <row r="382" spans="8:13" ht="15.75" x14ac:dyDescent="0.25">
      <c r="H382" s="3"/>
      <c r="I382" s="4"/>
      <c r="J382" s="3"/>
      <c r="K382" s="5"/>
      <c r="L382" s="3"/>
      <c r="M382" s="3"/>
    </row>
    <row r="383" spans="8:13" ht="15.75" x14ac:dyDescent="0.25">
      <c r="H383" s="3"/>
      <c r="I383" s="4"/>
      <c r="J383" s="3"/>
      <c r="K383" s="5"/>
      <c r="L383" s="3"/>
      <c r="M383" s="3"/>
    </row>
    <row r="384" spans="8:13" ht="15.75" x14ac:dyDescent="0.25">
      <c r="H384" s="3"/>
      <c r="I384" s="4"/>
      <c r="J384" s="3"/>
      <c r="K384" s="5"/>
      <c r="L384" s="3"/>
      <c r="M384" s="3"/>
    </row>
    <row r="385" spans="8:13" ht="15.75" x14ac:dyDescent="0.25">
      <c r="H385" s="3"/>
      <c r="I385" s="4"/>
      <c r="J385" s="3"/>
      <c r="K385" s="5"/>
      <c r="L385" s="3"/>
      <c r="M385" s="3"/>
    </row>
    <row r="386" spans="8:13" ht="15.75" x14ac:dyDescent="0.25">
      <c r="H386" s="3"/>
      <c r="I386" s="4"/>
      <c r="J386" s="3"/>
      <c r="K386" s="5"/>
      <c r="L386" s="3"/>
      <c r="M386" s="3"/>
    </row>
    <row r="387" spans="8:13" ht="15.75" x14ac:dyDescent="0.25">
      <c r="H387" s="3"/>
      <c r="I387" s="4"/>
      <c r="J387" s="3"/>
      <c r="K387" s="5"/>
      <c r="L387" s="3"/>
      <c r="M387" s="3"/>
    </row>
    <row r="388" spans="8:13" ht="15.75" x14ac:dyDescent="0.25">
      <c r="H388" s="3"/>
      <c r="I388" s="4"/>
      <c r="J388" s="3"/>
      <c r="K388" s="5"/>
      <c r="L388" s="3"/>
      <c r="M388" s="3"/>
    </row>
    <row r="389" spans="8:13" ht="15.75" x14ac:dyDescent="0.25">
      <c r="H389" s="3"/>
      <c r="I389" s="4"/>
      <c r="J389" s="3"/>
      <c r="K389" s="5"/>
      <c r="L389" s="3"/>
      <c r="M389" s="3"/>
    </row>
    <row r="390" spans="8:13" ht="15.75" x14ac:dyDescent="0.25">
      <c r="H390" s="3"/>
      <c r="I390" s="4"/>
      <c r="J390" s="3"/>
      <c r="K390" s="5"/>
      <c r="L390" s="3"/>
      <c r="M390" s="3"/>
    </row>
    <row r="391" spans="8:13" ht="15.75" x14ac:dyDescent="0.25">
      <c r="H391" s="3"/>
      <c r="I391" s="4"/>
      <c r="J391" s="3"/>
      <c r="K391" s="5"/>
      <c r="L391" s="3"/>
      <c r="M391" s="3"/>
    </row>
    <row r="392" spans="8:13" ht="15.75" x14ac:dyDescent="0.25">
      <c r="H392" s="3"/>
      <c r="I392" s="4"/>
      <c r="J392" s="3"/>
      <c r="K392" s="5"/>
      <c r="L392" s="3"/>
      <c r="M392" s="3"/>
    </row>
    <row r="393" spans="8:13" ht="15.75" x14ac:dyDescent="0.25">
      <c r="H393" s="3"/>
      <c r="I393" s="4"/>
      <c r="J393" s="3"/>
      <c r="K393" s="5"/>
      <c r="L393" s="3"/>
      <c r="M393" s="3"/>
    </row>
    <row r="394" spans="8:13" ht="15.75" x14ac:dyDescent="0.25">
      <c r="H394" s="3"/>
      <c r="I394" s="4"/>
      <c r="J394" s="3"/>
      <c r="K394" s="5"/>
      <c r="L394" s="3"/>
      <c r="M394" s="3"/>
    </row>
    <row r="395" spans="8:13" ht="15.75" x14ac:dyDescent="0.25">
      <c r="H395" s="3"/>
      <c r="I395" s="4"/>
      <c r="J395" s="3"/>
      <c r="K395" s="5"/>
      <c r="L395" s="3"/>
      <c r="M395" s="3"/>
    </row>
    <row r="396" spans="8:13" ht="15.75" x14ac:dyDescent="0.25">
      <c r="H396" s="3"/>
      <c r="I396" s="4"/>
      <c r="J396" s="3"/>
      <c r="K396" s="5"/>
      <c r="L396" s="3"/>
      <c r="M396" s="3"/>
    </row>
    <row r="397" spans="8:13" ht="15.75" x14ac:dyDescent="0.25">
      <c r="H397" s="3"/>
      <c r="I397" s="4"/>
      <c r="J397" s="3"/>
      <c r="K397" s="5"/>
      <c r="L397" s="3"/>
      <c r="M397" s="3"/>
    </row>
    <row r="398" spans="8:13" ht="15.75" x14ac:dyDescent="0.25">
      <c r="H398" s="3"/>
      <c r="I398" s="4"/>
      <c r="J398" s="3"/>
      <c r="K398" s="5"/>
      <c r="L398" s="3"/>
      <c r="M398" s="3"/>
    </row>
    <row r="399" spans="8:13" ht="15.75" x14ac:dyDescent="0.25">
      <c r="H399" s="3"/>
      <c r="I399" s="4"/>
      <c r="J399" s="3"/>
      <c r="K399" s="5"/>
      <c r="L399" s="3"/>
      <c r="M399" s="3"/>
    </row>
    <row r="400" spans="8:13" ht="15.75" x14ac:dyDescent="0.25">
      <c r="H400" s="3"/>
      <c r="I400" s="4"/>
      <c r="J400" s="3"/>
      <c r="K400" s="5"/>
      <c r="L400" s="3"/>
      <c r="M400" s="3"/>
    </row>
    <row r="401" spans="8:13" ht="15.75" x14ac:dyDescent="0.25">
      <c r="H401" s="3"/>
      <c r="I401" s="4"/>
      <c r="J401" s="3"/>
      <c r="K401" s="5"/>
      <c r="L401" s="3"/>
      <c r="M401" s="3"/>
    </row>
    <row r="402" spans="8:13" ht="15.75" x14ac:dyDescent="0.25">
      <c r="H402" s="3"/>
      <c r="I402" s="4"/>
      <c r="J402" s="3"/>
      <c r="K402" s="5"/>
      <c r="L402" s="3"/>
      <c r="M402" s="3"/>
    </row>
    <row r="403" spans="8:13" ht="15.75" x14ac:dyDescent="0.25">
      <c r="H403" s="3"/>
      <c r="I403" s="4"/>
      <c r="J403" s="3"/>
      <c r="K403" s="5"/>
      <c r="L403" s="3"/>
      <c r="M403" s="3"/>
    </row>
    <row r="404" spans="8:13" ht="15.75" x14ac:dyDescent="0.25">
      <c r="H404" s="3"/>
      <c r="I404" s="4"/>
      <c r="J404" s="3"/>
      <c r="K404" s="5"/>
      <c r="L404" s="3"/>
      <c r="M404" s="3"/>
    </row>
    <row r="405" spans="8:13" ht="15.75" x14ac:dyDescent="0.25">
      <c r="H405" s="3"/>
      <c r="I405" s="4"/>
      <c r="J405" s="3"/>
      <c r="K405" s="5"/>
      <c r="L405" s="3"/>
      <c r="M405" s="3"/>
    </row>
    <row r="406" spans="8:13" ht="15.75" x14ac:dyDescent="0.25">
      <c r="H406" s="3"/>
      <c r="I406" s="4"/>
      <c r="J406" s="3"/>
      <c r="K406" s="5"/>
      <c r="L406" s="3"/>
      <c r="M406" s="3"/>
    </row>
    <row r="407" spans="8:13" ht="15.75" x14ac:dyDescent="0.25">
      <c r="H407" s="3"/>
      <c r="I407" s="4"/>
      <c r="J407" s="3"/>
      <c r="K407" s="5"/>
      <c r="L407" s="3"/>
      <c r="M407" s="3"/>
    </row>
    <row r="408" spans="8:13" ht="15.75" x14ac:dyDescent="0.25">
      <c r="H408" s="3"/>
      <c r="I408" s="4"/>
      <c r="J408" s="3"/>
      <c r="K408" s="5"/>
      <c r="L408" s="3"/>
      <c r="M408" s="3"/>
    </row>
    <row r="409" spans="8:13" ht="15.75" x14ac:dyDescent="0.25">
      <c r="H409" s="3"/>
      <c r="I409" s="4"/>
      <c r="J409" s="3"/>
      <c r="K409" s="5"/>
      <c r="L409" s="3"/>
      <c r="M409" s="3"/>
    </row>
    <row r="410" spans="8:13" ht="15.75" x14ac:dyDescent="0.25">
      <c r="H410" s="3"/>
      <c r="I410" s="4"/>
      <c r="J410" s="3"/>
      <c r="K410" s="5"/>
      <c r="L410" s="3"/>
      <c r="M410" s="3"/>
    </row>
    <row r="411" spans="8:13" ht="15.75" x14ac:dyDescent="0.25">
      <c r="H411" s="3"/>
      <c r="I411" s="4"/>
      <c r="J411" s="3"/>
      <c r="K411" s="5"/>
      <c r="L411" s="3"/>
      <c r="M411" s="3"/>
    </row>
    <row r="412" spans="8:13" ht="15.75" x14ac:dyDescent="0.25">
      <c r="H412" s="3"/>
      <c r="I412" s="4"/>
      <c r="J412" s="3"/>
      <c r="K412" s="5"/>
      <c r="L412" s="3"/>
      <c r="M412" s="3"/>
    </row>
    <row r="413" spans="8:13" ht="15.75" x14ac:dyDescent="0.25">
      <c r="H413" s="3"/>
      <c r="I413" s="4"/>
      <c r="J413" s="3"/>
      <c r="K413" s="5"/>
      <c r="L413" s="3"/>
      <c r="M413" s="3"/>
    </row>
    <row r="414" spans="8:13" ht="15.75" x14ac:dyDescent="0.25">
      <c r="H414" s="3"/>
      <c r="I414" s="4"/>
      <c r="J414" s="3"/>
      <c r="K414" s="5"/>
      <c r="L414" s="3"/>
      <c r="M414" s="3"/>
    </row>
    <row r="415" spans="8:13" ht="15.75" x14ac:dyDescent="0.25">
      <c r="H415" s="3"/>
      <c r="I415" s="4"/>
      <c r="J415" s="3"/>
      <c r="K415" s="5"/>
      <c r="L415" s="3"/>
      <c r="M415" s="3"/>
    </row>
    <row r="416" spans="8:13" ht="15.75" x14ac:dyDescent="0.25">
      <c r="H416" s="3"/>
      <c r="I416" s="4"/>
      <c r="J416" s="3"/>
      <c r="K416" s="5"/>
      <c r="L416" s="3"/>
      <c r="M416" s="3"/>
    </row>
    <row r="417" spans="8:13" ht="15.75" x14ac:dyDescent="0.25">
      <c r="H417" s="3"/>
      <c r="I417" s="4"/>
      <c r="J417" s="3"/>
      <c r="K417" s="5"/>
      <c r="L417" s="3"/>
      <c r="M417" s="3"/>
    </row>
    <row r="418" spans="8:13" ht="15.75" x14ac:dyDescent="0.25">
      <c r="H418" s="3"/>
      <c r="I418" s="4"/>
      <c r="J418" s="3"/>
      <c r="K418" s="5"/>
      <c r="L418" s="3"/>
      <c r="M418" s="3"/>
    </row>
    <row r="419" spans="8:13" ht="15.75" x14ac:dyDescent="0.25">
      <c r="H419" s="3"/>
      <c r="I419" s="4"/>
      <c r="J419" s="3"/>
      <c r="K419" s="5"/>
      <c r="L419" s="3"/>
      <c r="M419" s="3"/>
    </row>
    <row r="420" spans="8:13" ht="15.75" x14ac:dyDescent="0.25">
      <c r="H420" s="3"/>
      <c r="I420" s="4"/>
      <c r="J420" s="3"/>
      <c r="K420" s="5"/>
      <c r="L420" s="3"/>
      <c r="M420" s="3"/>
    </row>
    <row r="421" spans="8:13" ht="15.75" x14ac:dyDescent="0.25">
      <c r="H421" s="3"/>
      <c r="I421" s="4"/>
      <c r="J421" s="3"/>
      <c r="K421" s="5"/>
      <c r="L421" s="3"/>
      <c r="M421" s="3"/>
    </row>
    <row r="422" spans="8:13" ht="15.75" x14ac:dyDescent="0.25">
      <c r="H422" s="3"/>
      <c r="I422" s="4"/>
      <c r="J422" s="3"/>
      <c r="K422" s="5"/>
      <c r="L422" s="3"/>
      <c r="M422" s="3"/>
    </row>
    <row r="423" spans="8:13" ht="15.75" x14ac:dyDescent="0.25">
      <c r="H423" s="3"/>
      <c r="I423" s="4"/>
      <c r="J423" s="3"/>
      <c r="K423" s="5"/>
      <c r="L423" s="3"/>
      <c r="M423" s="3"/>
    </row>
    <row r="424" spans="8:13" ht="15.75" x14ac:dyDescent="0.25">
      <c r="H424" s="3"/>
      <c r="I424" s="4"/>
      <c r="J424" s="3"/>
      <c r="K424" s="5"/>
      <c r="L424" s="3"/>
      <c r="M424" s="3"/>
    </row>
    <row r="425" spans="8:13" ht="15.75" x14ac:dyDescent="0.25">
      <c r="H425" s="3"/>
      <c r="I425" s="4"/>
      <c r="J425" s="3"/>
      <c r="K425" s="5"/>
      <c r="L425" s="3"/>
      <c r="M425" s="3"/>
    </row>
    <row r="426" spans="8:13" ht="15.75" x14ac:dyDescent="0.25">
      <c r="H426" s="3"/>
      <c r="I426" s="4"/>
      <c r="J426" s="3"/>
      <c r="K426" s="5"/>
      <c r="L426" s="3"/>
      <c r="M426" s="3"/>
    </row>
    <row r="427" spans="8:13" ht="15.75" x14ac:dyDescent="0.25">
      <c r="H427" s="3"/>
      <c r="I427" s="4"/>
      <c r="J427" s="3"/>
      <c r="K427" s="5"/>
      <c r="L427" s="3"/>
      <c r="M427" s="3"/>
    </row>
    <row r="428" spans="8:13" ht="15.75" x14ac:dyDescent="0.25">
      <c r="H428" s="3"/>
      <c r="I428" s="4"/>
      <c r="J428" s="3"/>
      <c r="K428" s="5"/>
      <c r="L428" s="3"/>
      <c r="M428" s="3"/>
    </row>
    <row r="429" spans="8:13" ht="15.75" x14ac:dyDescent="0.25">
      <c r="H429" s="3"/>
      <c r="I429" s="4"/>
      <c r="J429" s="3"/>
      <c r="K429" s="5"/>
      <c r="L429" s="3"/>
      <c r="M429" s="3"/>
    </row>
    <row r="430" spans="8:13" ht="15.75" x14ac:dyDescent="0.25">
      <c r="H430" s="3"/>
      <c r="I430" s="4"/>
      <c r="J430" s="3"/>
      <c r="K430" s="5"/>
      <c r="L430" s="3"/>
      <c r="M430" s="3"/>
    </row>
    <row r="431" spans="8:13" ht="15.75" x14ac:dyDescent="0.25">
      <c r="H431" s="3"/>
      <c r="I431" s="4"/>
      <c r="J431" s="3"/>
      <c r="K431" s="5"/>
      <c r="L431" s="3"/>
      <c r="M431" s="3"/>
    </row>
    <row r="432" spans="8:13" ht="15.75" x14ac:dyDescent="0.25">
      <c r="H432" s="3"/>
      <c r="I432" s="4"/>
      <c r="J432" s="3"/>
      <c r="K432" s="5"/>
      <c r="L432" s="3"/>
      <c r="M432" s="3"/>
    </row>
    <row r="433" spans="8:13" ht="15.75" x14ac:dyDescent="0.25">
      <c r="H433" s="3"/>
      <c r="I433" s="4"/>
      <c r="J433" s="3"/>
      <c r="K433" s="5"/>
      <c r="L433" s="3"/>
      <c r="M433" s="3"/>
    </row>
    <row r="434" spans="8:13" ht="15.75" x14ac:dyDescent="0.25">
      <c r="H434" s="3"/>
      <c r="I434" s="4"/>
      <c r="J434" s="3"/>
      <c r="K434" s="5"/>
      <c r="L434" s="3"/>
      <c r="M434" s="3"/>
    </row>
    <row r="435" spans="8:13" ht="15.75" x14ac:dyDescent="0.25">
      <c r="H435" s="3"/>
      <c r="I435" s="4"/>
      <c r="J435" s="3"/>
      <c r="K435" s="5"/>
      <c r="L435" s="3"/>
      <c r="M435" s="3"/>
    </row>
    <row r="436" spans="8:13" ht="15.75" x14ac:dyDescent="0.25">
      <c r="H436" s="3"/>
      <c r="I436" s="4"/>
      <c r="J436" s="3"/>
      <c r="K436" s="5"/>
      <c r="L436" s="3"/>
      <c r="M436" s="3"/>
    </row>
    <row r="437" spans="8:13" ht="15.75" x14ac:dyDescent="0.25">
      <c r="H437" s="3"/>
      <c r="I437" s="4"/>
      <c r="J437" s="3"/>
      <c r="K437" s="5"/>
      <c r="L437" s="3"/>
      <c r="M437" s="3"/>
    </row>
    <row r="438" spans="8:13" ht="15.75" x14ac:dyDescent="0.25">
      <c r="H438" s="3"/>
      <c r="I438" s="4"/>
      <c r="J438" s="3"/>
      <c r="K438" s="5"/>
      <c r="L438" s="3"/>
      <c r="M438" s="3"/>
    </row>
    <row r="439" spans="8:13" ht="15.75" x14ac:dyDescent="0.25">
      <c r="H439" s="3"/>
      <c r="I439" s="4"/>
      <c r="J439" s="3"/>
      <c r="K439" s="5"/>
      <c r="L439" s="3"/>
      <c r="M439" s="3"/>
    </row>
    <row r="440" spans="8:13" ht="15.75" x14ac:dyDescent="0.25">
      <c r="H440" s="3"/>
      <c r="I440" s="4"/>
      <c r="J440" s="3"/>
      <c r="K440" s="5"/>
      <c r="L440" s="3"/>
      <c r="M440" s="3"/>
    </row>
    <row r="441" spans="8:13" ht="15.75" x14ac:dyDescent="0.25">
      <c r="H441" s="3"/>
      <c r="I441" s="4"/>
      <c r="J441" s="3"/>
      <c r="K441" s="5"/>
      <c r="L441" s="3"/>
      <c r="M441" s="3"/>
    </row>
    <row r="442" spans="8:13" ht="15.75" x14ac:dyDescent="0.25">
      <c r="H442" s="3"/>
      <c r="I442" s="4"/>
      <c r="J442" s="3"/>
      <c r="K442" s="5"/>
      <c r="L442" s="3"/>
      <c r="M442" s="3"/>
    </row>
    <row r="443" spans="8:13" ht="15.75" x14ac:dyDescent="0.25">
      <c r="H443" s="3"/>
      <c r="I443" s="4"/>
      <c r="J443" s="3"/>
      <c r="K443" s="5"/>
      <c r="L443" s="3"/>
      <c r="M443" s="3"/>
    </row>
    <row r="444" spans="8:13" ht="15.75" x14ac:dyDescent="0.25">
      <c r="H444" s="3"/>
      <c r="I444" s="4"/>
      <c r="J444" s="3"/>
      <c r="K444" s="5"/>
      <c r="L444" s="3"/>
      <c r="M444" s="3"/>
    </row>
    <row r="445" spans="8:13" ht="15.75" x14ac:dyDescent="0.25">
      <c r="H445" s="3"/>
      <c r="I445" s="4"/>
      <c r="J445" s="3"/>
      <c r="K445" s="5"/>
      <c r="L445" s="3"/>
      <c r="M445" s="3"/>
    </row>
    <row r="446" spans="8:13" ht="15.75" x14ac:dyDescent="0.25">
      <c r="H446" s="3"/>
      <c r="I446" s="4"/>
      <c r="J446" s="3"/>
      <c r="K446" s="5"/>
      <c r="L446" s="3"/>
      <c r="M446" s="3"/>
    </row>
    <row r="447" spans="8:13" ht="15.75" x14ac:dyDescent="0.25">
      <c r="H447" s="3"/>
      <c r="I447" s="4"/>
      <c r="J447" s="3"/>
      <c r="K447" s="5"/>
      <c r="L447" s="3"/>
      <c r="M447" s="3"/>
    </row>
    <row r="448" spans="8:13" ht="15.75" x14ac:dyDescent="0.25">
      <c r="H448" s="3"/>
      <c r="I448" s="4"/>
      <c r="J448" s="3"/>
      <c r="K448" s="5"/>
      <c r="L448" s="3"/>
      <c r="M448" s="3"/>
    </row>
    <row r="449" spans="8:13" ht="15.75" x14ac:dyDescent="0.25">
      <c r="H449" s="3"/>
      <c r="I449" s="4"/>
      <c r="J449" s="3"/>
      <c r="K449" s="5"/>
      <c r="L449" s="3"/>
      <c r="M449" s="3"/>
    </row>
    <row r="450" spans="8:13" ht="15.75" x14ac:dyDescent="0.25">
      <c r="H450" s="3"/>
      <c r="I450" s="4"/>
      <c r="J450" s="3"/>
      <c r="K450" s="5"/>
      <c r="L450" s="3"/>
      <c r="M450" s="3"/>
    </row>
    <row r="451" spans="8:13" ht="15.75" x14ac:dyDescent="0.25">
      <c r="H451" s="3"/>
      <c r="I451" s="4"/>
      <c r="J451" s="3"/>
      <c r="K451" s="5"/>
      <c r="L451" s="3"/>
      <c r="M451" s="3"/>
    </row>
    <row r="452" spans="8:13" ht="15.75" x14ac:dyDescent="0.25">
      <c r="H452" s="3"/>
      <c r="I452" s="4"/>
      <c r="J452" s="3"/>
      <c r="K452" s="5"/>
      <c r="L452" s="3"/>
      <c r="M452" s="3"/>
    </row>
    <row r="453" spans="8:13" ht="15.75" x14ac:dyDescent="0.25">
      <c r="H453" s="3"/>
      <c r="I453" s="4"/>
      <c r="J453" s="3"/>
      <c r="K453" s="5"/>
      <c r="L453" s="3"/>
      <c r="M453" s="3"/>
    </row>
    <row r="454" spans="8:13" ht="15.75" x14ac:dyDescent="0.25">
      <c r="H454" s="3"/>
      <c r="I454" s="4"/>
      <c r="J454" s="3"/>
      <c r="K454" s="5"/>
      <c r="L454" s="3"/>
      <c r="M454" s="3"/>
    </row>
    <row r="455" spans="8:13" ht="15.75" x14ac:dyDescent="0.25">
      <c r="H455" s="3"/>
      <c r="I455" s="4"/>
      <c r="J455" s="3"/>
      <c r="K455" s="5"/>
      <c r="L455" s="3"/>
      <c r="M455" s="3"/>
    </row>
    <row r="456" spans="8:13" ht="15.75" x14ac:dyDescent="0.25">
      <c r="H456" s="3"/>
      <c r="I456" s="4"/>
      <c r="J456" s="3"/>
      <c r="K456" s="5"/>
      <c r="L456" s="3"/>
      <c r="M456" s="3"/>
    </row>
    <row r="457" spans="8:13" ht="15.75" x14ac:dyDescent="0.25">
      <c r="H457" s="3"/>
      <c r="I457" s="4"/>
      <c r="J457" s="3"/>
      <c r="K457" s="5"/>
      <c r="L457" s="3"/>
      <c r="M457" s="3"/>
    </row>
    <row r="458" spans="8:13" ht="15.75" x14ac:dyDescent="0.25">
      <c r="H458" s="3"/>
      <c r="I458" s="4"/>
      <c r="J458" s="3"/>
      <c r="K458" s="5"/>
      <c r="L458" s="3"/>
      <c r="M458" s="3"/>
    </row>
    <row r="459" spans="8:13" ht="15.75" x14ac:dyDescent="0.25">
      <c r="H459" s="3"/>
      <c r="I459" s="4"/>
      <c r="J459" s="3"/>
      <c r="K459" s="5"/>
      <c r="L459" s="3"/>
      <c r="M459" s="3"/>
    </row>
    <row r="460" spans="8:13" ht="15.75" x14ac:dyDescent="0.25">
      <c r="H460" s="3"/>
      <c r="I460" s="4"/>
      <c r="J460" s="3"/>
      <c r="K460" s="5"/>
      <c r="L460" s="3"/>
      <c r="M460" s="3"/>
    </row>
    <row r="461" spans="8:13" ht="15.75" x14ac:dyDescent="0.25">
      <c r="H461" s="3"/>
      <c r="I461" s="4"/>
      <c r="J461" s="3"/>
      <c r="K461" s="5"/>
      <c r="L461" s="3"/>
      <c r="M461" s="3"/>
    </row>
    <row r="462" spans="8:13" ht="15.75" x14ac:dyDescent="0.25">
      <c r="H462" s="3"/>
      <c r="I462" s="4"/>
      <c r="J462" s="3"/>
      <c r="K462" s="5"/>
      <c r="L462" s="3"/>
      <c r="M462" s="3"/>
    </row>
    <row r="463" spans="8:13" ht="15.75" x14ac:dyDescent="0.25">
      <c r="H463" s="3"/>
      <c r="I463" s="4"/>
      <c r="J463" s="3"/>
      <c r="K463" s="5"/>
      <c r="L463" s="3"/>
      <c r="M463" s="3"/>
    </row>
    <row r="464" spans="8:13" ht="15.75" x14ac:dyDescent="0.25">
      <c r="H464" s="3"/>
      <c r="I464" s="4"/>
      <c r="J464" s="3"/>
      <c r="K464" s="5"/>
      <c r="L464" s="3"/>
      <c r="M464" s="3"/>
    </row>
    <row r="465" spans="8:13" ht="15.75" x14ac:dyDescent="0.25">
      <c r="H465" s="3"/>
      <c r="I465" s="4"/>
      <c r="J465" s="3"/>
      <c r="K465" s="5"/>
      <c r="L465" s="3"/>
      <c r="M465" s="3"/>
    </row>
    <row r="466" spans="8:13" ht="15.75" x14ac:dyDescent="0.25">
      <c r="H466" s="3"/>
      <c r="I466" s="4"/>
      <c r="J466" s="3"/>
      <c r="K466" s="5"/>
      <c r="L466" s="3"/>
      <c r="M466" s="3"/>
    </row>
    <row r="467" spans="8:13" ht="15.75" x14ac:dyDescent="0.25">
      <c r="H467" s="3"/>
      <c r="I467" s="4"/>
      <c r="J467" s="3"/>
      <c r="K467" s="5"/>
      <c r="L467" s="3"/>
      <c r="M467" s="3"/>
    </row>
    <row r="468" spans="8:13" ht="15.75" x14ac:dyDescent="0.25">
      <c r="H468" s="3"/>
      <c r="I468" s="4"/>
      <c r="J468" s="3"/>
      <c r="K468" s="5"/>
      <c r="L468" s="3"/>
      <c r="M468" s="3"/>
    </row>
    <row r="469" spans="8:13" ht="15.75" x14ac:dyDescent="0.25">
      <c r="H469" s="3"/>
      <c r="I469" s="4"/>
      <c r="J469" s="3"/>
      <c r="K469" s="5"/>
      <c r="L469" s="3"/>
      <c r="M469" s="3"/>
    </row>
    <row r="470" spans="8:13" ht="15.75" x14ac:dyDescent="0.25">
      <c r="H470" s="3"/>
      <c r="I470" s="4"/>
      <c r="J470" s="3"/>
      <c r="K470" s="5"/>
      <c r="L470" s="3"/>
      <c r="M470" s="3"/>
    </row>
    <row r="471" spans="8:13" ht="15.75" x14ac:dyDescent="0.25">
      <c r="H471" s="3"/>
      <c r="I471" s="4"/>
      <c r="J471" s="3"/>
      <c r="K471" s="5"/>
      <c r="L471" s="3"/>
      <c r="M471" s="3"/>
    </row>
    <row r="472" spans="8:13" ht="15.75" x14ac:dyDescent="0.25">
      <c r="H472" s="3"/>
      <c r="I472" s="4"/>
      <c r="J472" s="3"/>
      <c r="K472" s="5"/>
      <c r="L472" s="3"/>
      <c r="M472" s="3"/>
    </row>
    <row r="473" spans="8:13" ht="15.75" x14ac:dyDescent="0.25">
      <c r="H473" s="3"/>
      <c r="I473" s="4"/>
      <c r="J473" s="3"/>
      <c r="K473" s="5"/>
      <c r="L473" s="3"/>
      <c r="M473" s="3"/>
    </row>
    <row r="474" spans="8:13" ht="15.75" x14ac:dyDescent="0.25">
      <c r="H474" s="3"/>
      <c r="I474" s="4"/>
      <c r="J474" s="3"/>
      <c r="K474" s="5"/>
      <c r="L474" s="3"/>
      <c r="M474" s="3"/>
    </row>
    <row r="475" spans="8:13" ht="15.75" x14ac:dyDescent="0.25">
      <c r="H475" s="3"/>
      <c r="I475" s="4"/>
      <c r="J475" s="3"/>
      <c r="K475" s="5"/>
      <c r="L475" s="3"/>
      <c r="M475" s="3"/>
    </row>
    <row r="476" spans="8:13" ht="15.75" x14ac:dyDescent="0.25">
      <c r="H476" s="3"/>
      <c r="I476" s="4"/>
      <c r="J476" s="3"/>
      <c r="K476" s="5"/>
      <c r="L476" s="3"/>
      <c r="M476" s="3"/>
    </row>
    <row r="477" spans="8:13" ht="15.75" x14ac:dyDescent="0.25">
      <c r="H477" s="3"/>
      <c r="I477" s="4"/>
      <c r="J477" s="3"/>
      <c r="K477" s="5"/>
      <c r="L477" s="3"/>
      <c r="M477" s="3"/>
    </row>
    <row r="478" spans="8:13" ht="15.75" x14ac:dyDescent="0.25">
      <c r="H478" s="3"/>
      <c r="I478" s="4"/>
      <c r="J478" s="3"/>
      <c r="K478" s="5"/>
      <c r="L478" s="3"/>
      <c r="M478" s="3"/>
    </row>
    <row r="479" spans="8:13" ht="15.75" x14ac:dyDescent="0.25">
      <c r="H479" s="3"/>
      <c r="I479" s="4"/>
      <c r="J479" s="3"/>
      <c r="K479" s="5"/>
      <c r="L479" s="3"/>
      <c r="M479" s="3"/>
    </row>
    <row r="480" spans="8:13" ht="15.75" x14ac:dyDescent="0.25">
      <c r="H480" s="3"/>
      <c r="I480" s="4"/>
      <c r="J480" s="3"/>
      <c r="K480" s="5"/>
      <c r="L480" s="3"/>
      <c r="M480" s="3"/>
    </row>
    <row r="481" spans="8:13" ht="15.75" x14ac:dyDescent="0.25">
      <c r="H481" s="3"/>
      <c r="I481" s="4"/>
      <c r="J481" s="3"/>
      <c r="K481" s="5"/>
      <c r="L481" s="3"/>
      <c r="M481" s="3"/>
    </row>
    <row r="482" spans="8:13" ht="15.75" x14ac:dyDescent="0.25">
      <c r="H482" s="3"/>
      <c r="I482" s="4"/>
      <c r="J482" s="3"/>
      <c r="K482" s="5"/>
      <c r="L482" s="3"/>
      <c r="M482" s="3"/>
    </row>
    <row r="483" spans="8:13" ht="15.75" x14ac:dyDescent="0.25">
      <c r="H483" s="3"/>
      <c r="I483" s="4"/>
      <c r="J483" s="3"/>
      <c r="K483" s="5"/>
      <c r="L483" s="3"/>
      <c r="M483" s="3"/>
    </row>
    <row r="484" spans="8:13" ht="15.75" x14ac:dyDescent="0.25">
      <c r="H484" s="3"/>
      <c r="I484" s="4"/>
      <c r="J484" s="3"/>
      <c r="K484" s="5"/>
      <c r="L484" s="3"/>
      <c r="M484" s="3"/>
    </row>
    <row r="485" spans="8:13" ht="15.75" x14ac:dyDescent="0.25">
      <c r="H485" s="3"/>
      <c r="I485" s="4"/>
      <c r="J485" s="3"/>
      <c r="K485" s="5"/>
      <c r="L485" s="3"/>
      <c r="M485" s="3"/>
    </row>
    <row r="486" spans="8:13" ht="15.75" x14ac:dyDescent="0.25">
      <c r="H486" s="3"/>
      <c r="I486" s="4"/>
      <c r="J486" s="3"/>
      <c r="K486" s="5"/>
      <c r="L486" s="3"/>
      <c r="M486" s="3"/>
    </row>
    <row r="487" spans="8:13" ht="15.75" x14ac:dyDescent="0.25">
      <c r="H487" s="3"/>
      <c r="I487" s="4"/>
      <c r="J487" s="3"/>
      <c r="K487" s="5"/>
      <c r="L487" s="3"/>
      <c r="M487" s="3"/>
    </row>
    <row r="488" spans="8:13" ht="15.75" x14ac:dyDescent="0.25">
      <c r="H488" s="3"/>
      <c r="I488" s="4"/>
      <c r="J488" s="3"/>
      <c r="K488" s="5"/>
      <c r="L488" s="3"/>
      <c r="M488" s="3"/>
    </row>
    <row r="489" spans="8:13" ht="15.75" x14ac:dyDescent="0.25">
      <c r="H489" s="3"/>
      <c r="I489" s="4"/>
      <c r="J489" s="3"/>
      <c r="K489" s="5"/>
      <c r="L489" s="3"/>
      <c r="M489" s="3"/>
    </row>
    <row r="490" spans="8:13" ht="15.75" x14ac:dyDescent="0.25">
      <c r="H490" s="3"/>
      <c r="I490" s="4"/>
      <c r="J490" s="3"/>
      <c r="K490" s="5"/>
      <c r="L490" s="3"/>
      <c r="M490" s="3"/>
    </row>
    <row r="491" spans="8:13" ht="15.75" x14ac:dyDescent="0.25">
      <c r="H491" s="3"/>
      <c r="I491" s="4"/>
      <c r="J491" s="3"/>
      <c r="K491" s="5"/>
      <c r="L491" s="3"/>
      <c r="M491" s="3"/>
    </row>
    <row r="492" spans="8:13" ht="15.75" x14ac:dyDescent="0.25">
      <c r="H492" s="3"/>
      <c r="I492" s="4"/>
      <c r="J492" s="3"/>
      <c r="K492" s="5"/>
      <c r="L492" s="3"/>
      <c r="M492" s="3"/>
    </row>
    <row r="493" spans="8:13" ht="15.75" x14ac:dyDescent="0.25">
      <c r="H493" s="3"/>
      <c r="I493" s="4"/>
      <c r="J493" s="3"/>
      <c r="K493" s="5"/>
      <c r="L493" s="3"/>
      <c r="M493" s="3"/>
    </row>
    <row r="494" spans="8:13" ht="15.75" x14ac:dyDescent="0.25">
      <c r="H494" s="3"/>
      <c r="I494" s="4"/>
      <c r="J494" s="3"/>
      <c r="K494" s="5"/>
      <c r="L494" s="3"/>
      <c r="M494" s="3"/>
    </row>
    <row r="495" spans="8:13" ht="15.75" x14ac:dyDescent="0.25">
      <c r="H495" s="3"/>
      <c r="I495" s="4"/>
      <c r="J495" s="3"/>
      <c r="K495" s="5"/>
      <c r="L495" s="3"/>
      <c r="M495" s="3"/>
    </row>
    <row r="496" spans="8:13" ht="15.75" x14ac:dyDescent="0.25">
      <c r="H496" s="3"/>
      <c r="I496" s="4"/>
      <c r="J496" s="3"/>
      <c r="K496" s="5"/>
      <c r="L496" s="3"/>
      <c r="M496" s="3"/>
    </row>
    <row r="497" spans="8:13" ht="15.75" x14ac:dyDescent="0.25">
      <c r="H497" s="3"/>
      <c r="I497" s="4"/>
      <c r="J497" s="3"/>
      <c r="K497" s="5"/>
      <c r="L497" s="3"/>
      <c r="M497" s="3"/>
    </row>
    <row r="498" spans="8:13" ht="15.75" x14ac:dyDescent="0.25">
      <c r="H498" s="3"/>
      <c r="I498" s="4"/>
      <c r="J498" s="3"/>
      <c r="K498" s="5"/>
      <c r="L498" s="3"/>
      <c r="M498" s="3"/>
    </row>
    <row r="499" spans="8:13" ht="15.75" x14ac:dyDescent="0.25">
      <c r="H499" s="3"/>
      <c r="I499" s="4"/>
      <c r="J499" s="3"/>
      <c r="K499" s="5"/>
      <c r="L499" s="3"/>
      <c r="M499" s="3"/>
    </row>
    <row r="500" spans="8:13" ht="15.75" x14ac:dyDescent="0.25">
      <c r="H500" s="3"/>
      <c r="I500" s="4"/>
      <c r="J500" s="3"/>
      <c r="K500" s="5"/>
      <c r="L500" s="3"/>
      <c r="M500" s="3"/>
    </row>
    <row r="501" spans="8:13" ht="15.75" x14ac:dyDescent="0.25">
      <c r="H501" s="3"/>
      <c r="I501" s="4"/>
      <c r="J501" s="3"/>
      <c r="K501" s="5"/>
      <c r="L501" s="3"/>
      <c r="M501" s="3"/>
    </row>
    <row r="502" spans="8:13" ht="15.75" x14ac:dyDescent="0.25">
      <c r="H502" s="3"/>
      <c r="I502" s="4"/>
      <c r="J502" s="3"/>
      <c r="K502" s="5"/>
      <c r="L502" s="3"/>
      <c r="M502" s="3"/>
    </row>
    <row r="503" spans="8:13" ht="15.75" x14ac:dyDescent="0.25">
      <c r="H503" s="3"/>
      <c r="I503" s="4"/>
      <c r="J503" s="3"/>
      <c r="K503" s="5"/>
      <c r="L503" s="3"/>
      <c r="M503" s="3"/>
    </row>
    <row r="504" spans="8:13" ht="15.75" x14ac:dyDescent="0.25">
      <c r="H504" s="3"/>
      <c r="I504" s="4"/>
      <c r="J504" s="3"/>
      <c r="K504" s="5"/>
      <c r="L504" s="3"/>
      <c r="M504" s="3"/>
    </row>
    <row r="505" spans="8:13" ht="15.75" x14ac:dyDescent="0.25">
      <c r="H505" s="3"/>
      <c r="I505" s="4"/>
      <c r="J505" s="3"/>
      <c r="K505" s="5"/>
      <c r="L505" s="3"/>
      <c r="M505" s="3"/>
    </row>
    <row r="506" spans="8:13" ht="15.75" x14ac:dyDescent="0.25">
      <c r="H506" s="3"/>
      <c r="I506" s="4"/>
      <c r="J506" s="3"/>
      <c r="K506" s="5"/>
      <c r="L506" s="3"/>
      <c r="M506" s="3"/>
    </row>
    <row r="507" spans="8:13" ht="15.75" x14ac:dyDescent="0.25">
      <c r="H507" s="3"/>
      <c r="I507" s="4"/>
      <c r="J507" s="3"/>
      <c r="K507" s="5"/>
      <c r="L507" s="3"/>
      <c r="M507" s="3"/>
    </row>
    <row r="508" spans="8:13" ht="15.75" x14ac:dyDescent="0.25">
      <c r="H508" s="3"/>
      <c r="I508" s="4"/>
      <c r="J508" s="3"/>
      <c r="K508" s="5"/>
      <c r="L508" s="3"/>
      <c r="M508" s="3"/>
    </row>
    <row r="509" spans="8:13" ht="15.75" x14ac:dyDescent="0.25">
      <c r="H509" s="3"/>
      <c r="I509" s="4"/>
      <c r="J509" s="3"/>
      <c r="K509" s="5"/>
      <c r="L509" s="3"/>
      <c r="M509" s="3"/>
    </row>
    <row r="510" spans="8:13" ht="15.75" x14ac:dyDescent="0.25">
      <c r="H510" s="3"/>
      <c r="I510" s="4"/>
      <c r="J510" s="3"/>
      <c r="K510" s="5"/>
      <c r="L510" s="3"/>
      <c r="M510" s="3"/>
    </row>
    <row r="511" spans="8:13" ht="15.75" x14ac:dyDescent="0.25">
      <c r="H511" s="3"/>
      <c r="I511" s="4"/>
      <c r="J511" s="3"/>
      <c r="K511" s="5"/>
      <c r="L511" s="3"/>
      <c r="M511" s="3"/>
    </row>
    <row r="512" spans="8:13" ht="15.75" x14ac:dyDescent="0.25">
      <c r="H512" s="3"/>
      <c r="I512" s="4"/>
      <c r="J512" s="3"/>
      <c r="K512" s="5"/>
      <c r="L512" s="3"/>
      <c r="M512" s="3"/>
    </row>
    <row r="513" spans="8:13" ht="15.75" x14ac:dyDescent="0.25">
      <c r="H513" s="3"/>
      <c r="I513" s="4"/>
      <c r="J513" s="3"/>
      <c r="K513" s="5"/>
      <c r="L513" s="3"/>
      <c r="M513" s="3"/>
    </row>
    <row r="514" spans="8:13" ht="15.75" x14ac:dyDescent="0.25">
      <c r="H514" s="3"/>
      <c r="I514" s="4"/>
      <c r="J514" s="3"/>
      <c r="K514" s="5"/>
      <c r="L514" s="3"/>
      <c r="M514" s="3"/>
    </row>
    <row r="515" spans="8:13" ht="15.75" x14ac:dyDescent="0.25">
      <c r="H515" s="3"/>
      <c r="I515" s="4"/>
      <c r="J515" s="3"/>
      <c r="K515" s="5"/>
      <c r="L515" s="3"/>
      <c r="M515" s="3"/>
    </row>
    <row r="516" spans="8:13" ht="15.75" x14ac:dyDescent="0.25">
      <c r="H516" s="3"/>
      <c r="I516" s="4"/>
      <c r="J516" s="3"/>
      <c r="K516" s="5"/>
      <c r="L516" s="3"/>
      <c r="M516" s="3"/>
    </row>
    <row r="517" spans="8:13" ht="15.75" x14ac:dyDescent="0.25">
      <c r="H517" s="3"/>
      <c r="I517" s="4"/>
      <c r="J517" s="3"/>
      <c r="K517" s="5"/>
      <c r="L517" s="3"/>
      <c r="M517" s="3"/>
    </row>
    <row r="518" spans="8:13" ht="15.75" x14ac:dyDescent="0.25">
      <c r="H518" s="3"/>
      <c r="I518" s="4"/>
      <c r="J518" s="3"/>
      <c r="K518" s="5"/>
      <c r="L518" s="3"/>
      <c r="M518" s="3"/>
    </row>
    <row r="519" spans="8:13" ht="15.75" x14ac:dyDescent="0.25">
      <c r="H519" s="3"/>
      <c r="I519" s="4"/>
      <c r="J519" s="3"/>
      <c r="K519" s="5"/>
      <c r="L519" s="3"/>
      <c r="M519" s="3"/>
    </row>
    <row r="520" spans="8:13" ht="15.75" x14ac:dyDescent="0.25">
      <c r="H520" s="3"/>
      <c r="I520" s="4"/>
      <c r="J520" s="3"/>
      <c r="K520" s="5"/>
      <c r="L520" s="3"/>
      <c r="M520" s="3"/>
    </row>
    <row r="521" spans="8:13" ht="15.75" x14ac:dyDescent="0.25">
      <c r="H521" s="3"/>
      <c r="I521" s="4"/>
      <c r="J521" s="3"/>
      <c r="K521" s="5"/>
      <c r="L521" s="3"/>
      <c r="M521" s="3"/>
    </row>
    <row r="522" spans="8:13" ht="15.75" x14ac:dyDescent="0.25">
      <c r="H522" s="3"/>
      <c r="I522" s="4"/>
      <c r="J522" s="3"/>
      <c r="K522" s="5"/>
      <c r="L522" s="3"/>
      <c r="M522" s="3"/>
    </row>
    <row r="523" spans="8:13" ht="15.75" x14ac:dyDescent="0.25">
      <c r="H523" s="3"/>
      <c r="I523" s="4"/>
      <c r="J523" s="3"/>
      <c r="K523" s="5"/>
      <c r="L523" s="3"/>
      <c r="M523" s="3"/>
    </row>
    <row r="524" spans="8:13" ht="15.75" x14ac:dyDescent="0.25">
      <c r="H524" s="3"/>
      <c r="I524" s="4"/>
      <c r="J524" s="3"/>
      <c r="K524" s="5"/>
      <c r="L524" s="3"/>
      <c r="M524" s="3"/>
    </row>
    <row r="525" spans="8:13" ht="15.75" x14ac:dyDescent="0.25">
      <c r="H525" s="3"/>
      <c r="I525" s="4"/>
      <c r="J525" s="3"/>
      <c r="K525" s="5"/>
      <c r="L525" s="3"/>
      <c r="M525" s="3"/>
    </row>
    <row r="526" spans="8:13" ht="15.75" x14ac:dyDescent="0.25">
      <c r="H526" s="3"/>
      <c r="I526" s="4"/>
      <c r="J526" s="3"/>
      <c r="K526" s="5"/>
      <c r="L526" s="3"/>
      <c r="M526" s="3"/>
    </row>
    <row r="527" spans="8:13" ht="15.75" x14ac:dyDescent="0.25">
      <c r="H527" s="3"/>
      <c r="I527" s="4"/>
      <c r="J527" s="3"/>
      <c r="K527" s="5"/>
      <c r="L527" s="3"/>
      <c r="M527" s="3"/>
    </row>
    <row r="528" spans="8:13" ht="15.75" x14ac:dyDescent="0.25">
      <c r="H528" s="3"/>
      <c r="I528" s="4"/>
      <c r="J528" s="3"/>
      <c r="K528" s="5"/>
      <c r="L528" s="3"/>
      <c r="M528" s="3"/>
    </row>
    <row r="529" spans="8:13" ht="15.75" x14ac:dyDescent="0.25">
      <c r="H529" s="3"/>
      <c r="I529" s="4"/>
      <c r="J529" s="3"/>
      <c r="K529" s="5"/>
      <c r="L529" s="3"/>
      <c r="M529" s="3"/>
    </row>
    <row r="530" spans="8:13" ht="15.75" x14ac:dyDescent="0.25">
      <c r="H530" s="3"/>
      <c r="I530" s="4"/>
      <c r="J530" s="3"/>
      <c r="K530" s="5"/>
      <c r="L530" s="3"/>
      <c r="M530" s="3"/>
    </row>
    <row r="531" spans="8:13" ht="15.75" x14ac:dyDescent="0.25">
      <c r="H531" s="3"/>
      <c r="I531" s="4"/>
      <c r="J531" s="3"/>
      <c r="K531" s="5"/>
      <c r="L531" s="3"/>
      <c r="M531" s="3"/>
    </row>
    <row r="532" spans="8:13" ht="15.75" x14ac:dyDescent="0.25">
      <c r="H532" s="3"/>
      <c r="I532" s="4"/>
      <c r="J532" s="3"/>
      <c r="K532" s="5"/>
      <c r="L532" s="3"/>
      <c r="M532" s="3"/>
    </row>
    <row r="533" spans="8:13" ht="15.75" x14ac:dyDescent="0.25">
      <c r="H533" s="3"/>
      <c r="I533" s="4"/>
      <c r="J533" s="3"/>
      <c r="K533" s="5"/>
      <c r="L533" s="3"/>
      <c r="M533" s="3"/>
    </row>
    <row r="534" spans="8:13" ht="15.75" x14ac:dyDescent="0.25">
      <c r="H534" s="3"/>
      <c r="I534" s="4"/>
      <c r="J534" s="3"/>
      <c r="K534" s="5"/>
      <c r="L534" s="3"/>
      <c r="M534" s="3"/>
    </row>
    <row r="535" spans="8:13" ht="15.75" x14ac:dyDescent="0.25">
      <c r="H535" s="3"/>
      <c r="I535" s="4"/>
      <c r="J535" s="3"/>
      <c r="K535" s="5"/>
      <c r="L535" s="3"/>
      <c r="M535" s="3"/>
    </row>
    <row r="536" spans="8:13" ht="15.75" x14ac:dyDescent="0.25">
      <c r="H536" s="3"/>
      <c r="I536" s="4"/>
      <c r="J536" s="3"/>
      <c r="K536" s="5"/>
      <c r="L536" s="3"/>
      <c r="M536" s="3"/>
    </row>
    <row r="537" spans="8:13" ht="15.75" x14ac:dyDescent="0.25">
      <c r="H537" s="3"/>
      <c r="I537" s="4"/>
      <c r="J537" s="3"/>
      <c r="K537" s="5"/>
      <c r="L537" s="3"/>
      <c r="M537" s="3"/>
    </row>
    <row r="538" spans="8:13" ht="15.75" x14ac:dyDescent="0.25">
      <c r="H538" s="3"/>
      <c r="I538" s="4"/>
      <c r="J538" s="3"/>
      <c r="K538" s="5"/>
      <c r="L538" s="3"/>
      <c r="M538" s="3"/>
    </row>
    <row r="539" spans="8:13" ht="15.75" x14ac:dyDescent="0.25">
      <c r="H539" s="3"/>
      <c r="I539" s="4"/>
      <c r="J539" s="3"/>
      <c r="K539" s="5"/>
      <c r="L539" s="3"/>
      <c r="M539" s="3"/>
    </row>
    <row r="540" spans="8:13" ht="15.75" x14ac:dyDescent="0.25">
      <c r="H540" s="3"/>
      <c r="I540" s="4"/>
      <c r="J540" s="3"/>
      <c r="K540" s="5"/>
      <c r="L540" s="3"/>
      <c r="M540" s="3"/>
    </row>
    <row r="541" spans="8:13" ht="15.75" x14ac:dyDescent="0.25">
      <c r="H541" s="3"/>
      <c r="I541" s="4"/>
      <c r="J541" s="3"/>
      <c r="K541" s="5"/>
      <c r="L541" s="3"/>
      <c r="M541" s="3"/>
    </row>
    <row r="542" spans="8:13" ht="15.75" x14ac:dyDescent="0.25">
      <c r="H542" s="3"/>
      <c r="I542" s="4"/>
      <c r="J542" s="3"/>
      <c r="K542" s="5"/>
      <c r="L542" s="3"/>
      <c r="M542" s="3"/>
    </row>
    <row r="543" spans="8:13" ht="15.75" x14ac:dyDescent="0.25">
      <c r="H543" s="3"/>
      <c r="I543" s="4"/>
      <c r="J543" s="3"/>
      <c r="K543" s="5"/>
      <c r="L543" s="3"/>
      <c r="M543" s="3"/>
    </row>
    <row r="544" spans="8:13" ht="15.75" x14ac:dyDescent="0.25">
      <c r="H544" s="3"/>
      <c r="I544" s="4"/>
      <c r="J544" s="3"/>
      <c r="K544" s="5"/>
      <c r="L544" s="3"/>
      <c r="M544" s="3"/>
    </row>
    <row r="545" spans="8:13" ht="15.75" x14ac:dyDescent="0.25">
      <c r="H545" s="3"/>
      <c r="I545" s="4"/>
      <c r="J545" s="3"/>
      <c r="K545" s="5"/>
      <c r="L545" s="3"/>
      <c r="M545" s="3"/>
    </row>
    <row r="546" spans="8:13" ht="15.75" x14ac:dyDescent="0.25">
      <c r="H546" s="3"/>
      <c r="I546" s="4"/>
      <c r="J546" s="3"/>
      <c r="K546" s="5"/>
      <c r="L546" s="3"/>
      <c r="M546" s="3"/>
    </row>
    <row r="547" spans="8:13" ht="15.75" x14ac:dyDescent="0.25">
      <c r="H547" s="3"/>
      <c r="I547" s="4"/>
      <c r="J547" s="3"/>
      <c r="K547" s="5"/>
      <c r="L547" s="3"/>
      <c r="M547" s="3"/>
    </row>
    <row r="548" spans="8:13" ht="15.75" x14ac:dyDescent="0.25">
      <c r="H548" s="3"/>
      <c r="I548" s="4"/>
      <c r="J548" s="3"/>
      <c r="K548" s="5"/>
      <c r="L548" s="3"/>
      <c r="M548" s="3"/>
    </row>
    <row r="549" spans="8:13" ht="15.75" x14ac:dyDescent="0.25">
      <c r="H549" s="3"/>
      <c r="I549" s="4"/>
      <c r="J549" s="3"/>
      <c r="K549" s="5"/>
      <c r="L549" s="3"/>
      <c r="M549" s="3"/>
    </row>
    <row r="550" spans="8:13" ht="15.75" x14ac:dyDescent="0.25">
      <c r="H550" s="3"/>
      <c r="I550" s="4"/>
      <c r="J550" s="3"/>
      <c r="K550" s="5"/>
      <c r="L550" s="3"/>
      <c r="M550" s="3"/>
    </row>
    <row r="551" spans="8:13" ht="15.75" x14ac:dyDescent="0.25">
      <c r="H551" s="3"/>
      <c r="I551" s="4"/>
      <c r="J551" s="3"/>
      <c r="K551" s="5"/>
      <c r="L551" s="3"/>
      <c r="M551" s="3"/>
    </row>
    <row r="552" spans="8:13" ht="15.75" x14ac:dyDescent="0.25">
      <c r="H552" s="3"/>
      <c r="I552" s="4"/>
      <c r="J552" s="3"/>
      <c r="K552" s="5"/>
      <c r="L552" s="3"/>
      <c r="M552" s="3"/>
    </row>
    <row r="553" spans="8:13" ht="15.75" x14ac:dyDescent="0.25">
      <c r="H553" s="3"/>
      <c r="I553" s="4"/>
      <c r="J553" s="3"/>
      <c r="K553" s="5"/>
      <c r="L553" s="3"/>
      <c r="M553" s="3"/>
    </row>
    <row r="554" spans="8:13" ht="15.75" x14ac:dyDescent="0.25">
      <c r="H554" s="3"/>
      <c r="I554" s="4"/>
      <c r="J554" s="3"/>
      <c r="K554" s="5"/>
      <c r="L554" s="3"/>
      <c r="M554" s="3"/>
    </row>
    <row r="555" spans="8:13" ht="15.75" x14ac:dyDescent="0.25">
      <c r="H555" s="3"/>
      <c r="I555" s="4"/>
      <c r="J555" s="3"/>
      <c r="K555" s="5"/>
      <c r="L555" s="3"/>
      <c r="M555" s="3"/>
    </row>
    <row r="556" spans="8:13" ht="15.75" x14ac:dyDescent="0.25">
      <c r="H556" s="3"/>
      <c r="I556" s="4"/>
      <c r="J556" s="3"/>
      <c r="K556" s="5"/>
      <c r="L556" s="3"/>
      <c r="M556" s="3"/>
    </row>
    <row r="557" spans="8:13" ht="15.75" x14ac:dyDescent="0.25">
      <c r="H557" s="3"/>
      <c r="I557" s="4"/>
      <c r="J557" s="3"/>
      <c r="K557" s="5"/>
      <c r="L557" s="3"/>
      <c r="M557" s="3"/>
    </row>
    <row r="558" spans="8:13" ht="15.75" x14ac:dyDescent="0.25">
      <c r="H558" s="3"/>
      <c r="I558" s="4"/>
      <c r="J558" s="3"/>
      <c r="K558" s="5"/>
      <c r="L558" s="3"/>
      <c r="M558" s="3"/>
    </row>
    <row r="559" spans="8:13" ht="15.75" x14ac:dyDescent="0.25">
      <c r="H559" s="3"/>
      <c r="I559" s="4"/>
      <c r="J559" s="3"/>
      <c r="K559" s="5"/>
      <c r="L559" s="3"/>
      <c r="M559" s="3"/>
    </row>
    <row r="560" spans="8:13" ht="15.75" x14ac:dyDescent="0.25">
      <c r="H560" s="3"/>
      <c r="I560" s="4"/>
      <c r="J560" s="3"/>
      <c r="K560" s="5"/>
      <c r="L560" s="3"/>
      <c r="M560" s="3"/>
    </row>
    <row r="561" spans="8:13" ht="15.75" x14ac:dyDescent="0.25">
      <c r="H561" s="3"/>
      <c r="I561" s="4"/>
      <c r="J561" s="3"/>
      <c r="K561" s="5"/>
      <c r="L561" s="3"/>
      <c r="M561" s="3"/>
    </row>
    <row r="562" spans="8:13" ht="15.75" x14ac:dyDescent="0.25">
      <c r="H562" s="3"/>
      <c r="I562" s="4"/>
      <c r="J562" s="3"/>
      <c r="K562" s="5"/>
      <c r="L562" s="3"/>
      <c r="M562" s="3"/>
    </row>
    <row r="563" spans="8:13" ht="15.75" x14ac:dyDescent="0.25">
      <c r="H563" s="3"/>
      <c r="I563" s="4"/>
      <c r="J563" s="3"/>
      <c r="K563" s="5"/>
      <c r="L563" s="3"/>
      <c r="M563" s="3"/>
    </row>
    <row r="564" spans="8:13" ht="15.75" x14ac:dyDescent="0.25">
      <c r="H564" s="3"/>
      <c r="I564" s="4"/>
      <c r="J564" s="3"/>
      <c r="K564" s="5"/>
      <c r="L564" s="3"/>
      <c r="M564" s="3"/>
    </row>
    <row r="565" spans="8:13" ht="15.75" x14ac:dyDescent="0.25">
      <c r="H565" s="3"/>
      <c r="I565" s="4"/>
      <c r="J565" s="3"/>
      <c r="K565" s="5"/>
      <c r="L565" s="3"/>
      <c r="M565" s="3"/>
    </row>
    <row r="566" spans="8:13" ht="15.75" x14ac:dyDescent="0.25">
      <c r="H566" s="3"/>
      <c r="I566" s="4"/>
      <c r="J566" s="3"/>
      <c r="K566" s="5"/>
      <c r="L566" s="3"/>
      <c r="M566" s="3"/>
    </row>
    <row r="567" spans="8:13" ht="15.75" x14ac:dyDescent="0.25">
      <c r="H567" s="3"/>
      <c r="I567" s="4"/>
      <c r="J567" s="3"/>
      <c r="K567" s="5"/>
      <c r="L567" s="3"/>
      <c r="M567" s="3"/>
    </row>
    <row r="568" spans="8:13" ht="15.75" x14ac:dyDescent="0.25">
      <c r="H568" s="3"/>
      <c r="I568" s="4"/>
      <c r="J568" s="3"/>
      <c r="K568" s="5"/>
      <c r="L568" s="3"/>
      <c r="M568" s="3"/>
    </row>
    <row r="569" spans="8:13" ht="15.75" x14ac:dyDescent="0.25">
      <c r="H569" s="3"/>
      <c r="I569" s="4"/>
      <c r="J569" s="3"/>
      <c r="K569" s="5"/>
      <c r="L569" s="3"/>
      <c r="M569" s="3"/>
    </row>
    <row r="570" spans="8:13" ht="15.75" x14ac:dyDescent="0.25">
      <c r="H570" s="3"/>
      <c r="I570" s="4"/>
      <c r="J570" s="3"/>
      <c r="K570" s="5"/>
      <c r="L570" s="3"/>
      <c r="M570" s="3"/>
    </row>
    <row r="571" spans="8:13" ht="15.75" x14ac:dyDescent="0.25">
      <c r="H571" s="3"/>
      <c r="I571" s="4"/>
      <c r="J571" s="3"/>
      <c r="K571" s="5"/>
      <c r="L571" s="3"/>
      <c r="M571" s="3"/>
    </row>
    <row r="572" spans="8:13" ht="15.75" x14ac:dyDescent="0.25">
      <c r="H572" s="3"/>
      <c r="I572" s="4"/>
      <c r="J572" s="3"/>
      <c r="K572" s="5"/>
      <c r="L572" s="3"/>
      <c r="M572" s="3"/>
    </row>
    <row r="573" spans="8:13" ht="15.75" x14ac:dyDescent="0.25">
      <c r="H573" s="3"/>
      <c r="I573" s="4"/>
      <c r="J573" s="3"/>
      <c r="K573" s="5"/>
      <c r="L573" s="3"/>
      <c r="M573" s="3"/>
    </row>
    <row r="574" spans="8:13" ht="15.75" x14ac:dyDescent="0.25">
      <c r="H574" s="3"/>
      <c r="I574" s="4"/>
      <c r="J574" s="3"/>
      <c r="K574" s="5"/>
      <c r="L574" s="3"/>
      <c r="M574" s="3"/>
    </row>
    <row r="575" spans="8:13" ht="15.75" x14ac:dyDescent="0.25">
      <c r="H575" s="3"/>
      <c r="I575" s="4"/>
      <c r="J575" s="3"/>
      <c r="K575" s="5"/>
      <c r="L575" s="3"/>
      <c r="M575" s="3"/>
    </row>
    <row r="576" spans="8:13" ht="15.75" x14ac:dyDescent="0.25">
      <c r="H576" s="3"/>
      <c r="I576" s="4"/>
      <c r="J576" s="3"/>
      <c r="K576" s="5"/>
      <c r="L576" s="3"/>
      <c r="M576" s="3"/>
    </row>
    <row r="577" spans="8:13" ht="15.75" x14ac:dyDescent="0.25">
      <c r="H577" s="3"/>
      <c r="I577" s="4"/>
      <c r="J577" s="3"/>
      <c r="K577" s="5"/>
      <c r="L577" s="3"/>
      <c r="M577" s="3"/>
    </row>
    <row r="578" spans="8:13" ht="15.75" x14ac:dyDescent="0.25">
      <c r="H578" s="3"/>
      <c r="I578" s="4"/>
      <c r="J578" s="3"/>
      <c r="K578" s="5"/>
      <c r="L578" s="3"/>
      <c r="M578" s="3"/>
    </row>
    <row r="579" spans="8:13" ht="15.75" x14ac:dyDescent="0.25">
      <c r="H579" s="3"/>
      <c r="I579" s="4"/>
      <c r="J579" s="3"/>
      <c r="K579" s="5"/>
      <c r="L579" s="3"/>
      <c r="M579" s="3"/>
    </row>
    <row r="580" spans="8:13" ht="15.75" x14ac:dyDescent="0.25">
      <c r="H580" s="3"/>
      <c r="I580" s="4"/>
      <c r="J580" s="3"/>
      <c r="K580" s="5"/>
      <c r="L580" s="3"/>
      <c r="M580" s="3"/>
    </row>
    <row r="581" spans="8:13" ht="15.75" x14ac:dyDescent="0.25">
      <c r="H581" s="3"/>
      <c r="I581" s="4"/>
      <c r="J581" s="3"/>
      <c r="K581" s="5"/>
      <c r="L581" s="3"/>
      <c r="M581" s="3"/>
    </row>
    <row r="582" spans="8:13" ht="15.75" x14ac:dyDescent="0.25">
      <c r="H582" s="3"/>
      <c r="I582" s="4"/>
      <c r="J582" s="3"/>
      <c r="K582" s="5"/>
      <c r="L582" s="3"/>
      <c r="M582" s="3"/>
    </row>
    <row r="583" spans="8:13" ht="15.75" x14ac:dyDescent="0.25">
      <c r="H583" s="3"/>
      <c r="I583" s="4"/>
      <c r="J583" s="3"/>
      <c r="K583" s="5"/>
      <c r="L583" s="3"/>
      <c r="M583" s="3"/>
    </row>
    <row r="584" spans="8:13" ht="15.75" x14ac:dyDescent="0.25">
      <c r="H584" s="3"/>
      <c r="I584" s="4"/>
      <c r="J584" s="3"/>
      <c r="K584" s="5"/>
      <c r="L584" s="3"/>
      <c r="M584" s="3"/>
    </row>
    <row r="585" spans="8:13" ht="15.75" x14ac:dyDescent="0.25">
      <c r="H585" s="3"/>
      <c r="I585" s="4"/>
      <c r="J585" s="3"/>
      <c r="K585" s="5"/>
      <c r="L585" s="3"/>
      <c r="M585" s="3"/>
    </row>
    <row r="586" spans="8:13" ht="15.75" x14ac:dyDescent="0.25">
      <c r="H586" s="3"/>
      <c r="I586" s="4"/>
      <c r="J586" s="3"/>
      <c r="K586" s="5"/>
      <c r="L586" s="3"/>
      <c r="M586" s="3"/>
    </row>
    <row r="587" spans="8:13" ht="15.75" x14ac:dyDescent="0.25">
      <c r="H587" s="3"/>
      <c r="I587" s="4"/>
      <c r="J587" s="3"/>
      <c r="K587" s="5"/>
      <c r="L587" s="3"/>
      <c r="M587" s="3"/>
    </row>
    <row r="588" spans="8:13" ht="15.75" x14ac:dyDescent="0.25">
      <c r="H588" s="3"/>
      <c r="I588" s="4"/>
      <c r="J588" s="3"/>
      <c r="K588" s="5"/>
      <c r="L588" s="3"/>
      <c r="M588" s="3"/>
    </row>
    <row r="589" spans="8:13" ht="15.75" x14ac:dyDescent="0.25">
      <c r="H589" s="3"/>
      <c r="I589" s="4"/>
      <c r="J589" s="3"/>
      <c r="K589" s="5"/>
      <c r="L589" s="3"/>
      <c r="M589" s="3"/>
    </row>
    <row r="590" spans="8:13" ht="15.75" x14ac:dyDescent="0.25">
      <c r="H590" s="3"/>
      <c r="I590" s="4"/>
      <c r="J590" s="3"/>
      <c r="K590" s="5"/>
      <c r="L590" s="3"/>
      <c r="M590" s="3"/>
    </row>
    <row r="591" spans="8:13" ht="15.75" x14ac:dyDescent="0.25">
      <c r="H591" s="3"/>
      <c r="I591" s="4"/>
      <c r="J591" s="3"/>
      <c r="K591" s="5"/>
      <c r="L591" s="3"/>
      <c r="M591" s="3"/>
    </row>
    <row r="592" spans="8:13" ht="15.75" x14ac:dyDescent="0.25">
      <c r="H592" s="3"/>
      <c r="I592" s="4"/>
      <c r="J592" s="3"/>
      <c r="K592" s="5"/>
      <c r="L592" s="3"/>
      <c r="M592" s="3"/>
    </row>
    <row r="593" spans="8:13" ht="15.75" x14ac:dyDescent="0.25">
      <c r="H593" s="3"/>
      <c r="I593" s="4"/>
      <c r="J593" s="3"/>
      <c r="K593" s="5"/>
      <c r="L593" s="3"/>
      <c r="M593" s="3"/>
    </row>
    <row r="594" spans="8:13" ht="15.75" x14ac:dyDescent="0.25">
      <c r="H594" s="3"/>
      <c r="I594" s="4"/>
      <c r="J594" s="3"/>
      <c r="K594" s="5"/>
      <c r="L594" s="3"/>
      <c r="M594" s="3"/>
    </row>
    <row r="595" spans="8:13" ht="15.75" x14ac:dyDescent="0.25">
      <c r="H595" s="3"/>
      <c r="I595" s="4"/>
      <c r="J595" s="3"/>
      <c r="K595" s="5"/>
      <c r="L595" s="3"/>
      <c r="M595" s="3"/>
    </row>
    <row r="596" spans="8:13" ht="15.75" x14ac:dyDescent="0.25">
      <c r="H596" s="3"/>
      <c r="I596" s="4"/>
      <c r="J596" s="3"/>
      <c r="K596" s="5"/>
      <c r="L596" s="3"/>
      <c r="M596" s="3"/>
    </row>
    <row r="597" spans="8:13" ht="15.75" x14ac:dyDescent="0.25">
      <c r="H597" s="3"/>
      <c r="I597" s="4"/>
      <c r="J597" s="3"/>
      <c r="K597" s="5"/>
      <c r="L597" s="3"/>
      <c r="M597" s="3"/>
    </row>
    <row r="598" spans="8:13" ht="15.75" x14ac:dyDescent="0.25">
      <c r="H598" s="3"/>
      <c r="I598" s="4"/>
      <c r="J598" s="3"/>
      <c r="K598" s="5"/>
      <c r="L598" s="3"/>
      <c r="M598" s="3"/>
    </row>
    <row r="599" spans="8:13" ht="15.75" x14ac:dyDescent="0.25">
      <c r="H599" s="3"/>
      <c r="I599" s="4"/>
      <c r="J599" s="3"/>
      <c r="K599" s="5"/>
      <c r="L599" s="3"/>
      <c r="M599" s="3"/>
    </row>
    <row r="600" spans="8:13" ht="15.75" x14ac:dyDescent="0.25">
      <c r="H600" s="3"/>
      <c r="I600" s="4"/>
      <c r="J600" s="3"/>
      <c r="K600" s="5"/>
      <c r="L600" s="3"/>
      <c r="M600" s="3"/>
    </row>
    <row r="601" spans="8:13" ht="15.75" x14ac:dyDescent="0.25">
      <c r="H601" s="3"/>
      <c r="I601" s="4"/>
      <c r="J601" s="3"/>
      <c r="K601" s="5"/>
      <c r="L601" s="3"/>
      <c r="M601" s="3"/>
    </row>
    <row r="602" spans="8:13" ht="15.75" x14ac:dyDescent="0.25">
      <c r="H602" s="3"/>
      <c r="I602" s="4"/>
      <c r="J602" s="3"/>
      <c r="K602" s="5"/>
      <c r="L602" s="3"/>
      <c r="M602" s="3"/>
    </row>
    <row r="603" spans="8:13" ht="15.75" x14ac:dyDescent="0.25">
      <c r="H603" s="3"/>
      <c r="I603" s="4"/>
      <c r="J603" s="3"/>
      <c r="K603" s="5"/>
      <c r="L603" s="3"/>
      <c r="M603" s="3"/>
    </row>
    <row r="604" spans="8:13" ht="15.75" x14ac:dyDescent="0.25">
      <c r="H604" s="3"/>
      <c r="I604" s="4"/>
      <c r="J604" s="3"/>
      <c r="K604" s="5"/>
      <c r="L604" s="3"/>
      <c r="M604" s="3"/>
    </row>
    <row r="605" spans="8:13" ht="15.75" x14ac:dyDescent="0.25">
      <c r="H605" s="3"/>
      <c r="I605" s="4"/>
      <c r="J605" s="3"/>
      <c r="K605" s="5"/>
      <c r="L605" s="3"/>
      <c r="M605" s="3"/>
    </row>
    <row r="606" spans="8:13" ht="15.75" x14ac:dyDescent="0.25">
      <c r="H606" s="3"/>
      <c r="I606" s="4"/>
      <c r="J606" s="3"/>
      <c r="K606" s="5"/>
      <c r="L606" s="3"/>
      <c r="M606" s="3"/>
    </row>
    <row r="607" spans="8:13" ht="15.75" x14ac:dyDescent="0.25">
      <c r="H607" s="3"/>
      <c r="I607" s="4"/>
      <c r="J607" s="3"/>
      <c r="K607" s="5"/>
      <c r="L607" s="3"/>
      <c r="M607" s="3"/>
    </row>
    <row r="608" spans="8:13" ht="15.75" x14ac:dyDescent="0.25">
      <c r="H608" s="3"/>
      <c r="I608" s="4"/>
      <c r="J608" s="3"/>
      <c r="K608" s="5"/>
      <c r="L608" s="3"/>
      <c r="M608" s="3"/>
    </row>
    <row r="609" spans="8:13" ht="15.75" x14ac:dyDescent="0.25">
      <c r="H609" s="3"/>
      <c r="I609" s="4"/>
      <c r="J609" s="3"/>
      <c r="K609" s="5"/>
      <c r="L609" s="3"/>
      <c r="M609" s="3"/>
    </row>
    <row r="610" spans="8:13" ht="15.75" x14ac:dyDescent="0.25">
      <c r="H610" s="3"/>
      <c r="I610" s="4"/>
      <c r="J610" s="3"/>
      <c r="K610" s="5"/>
      <c r="L610" s="3"/>
      <c r="M610" s="3"/>
    </row>
    <row r="611" spans="8:13" ht="15.75" x14ac:dyDescent="0.25">
      <c r="H611" s="3"/>
      <c r="I611" s="4"/>
      <c r="J611" s="3"/>
      <c r="K611" s="5"/>
      <c r="L611" s="3"/>
      <c r="M611" s="3"/>
    </row>
    <row r="612" spans="8:13" ht="15.75" x14ac:dyDescent="0.25">
      <c r="H612" s="3"/>
      <c r="I612" s="4"/>
      <c r="J612" s="3"/>
      <c r="K612" s="5"/>
      <c r="L612" s="3"/>
      <c r="M612" s="3"/>
    </row>
    <row r="613" spans="8:13" ht="15.75" x14ac:dyDescent="0.25">
      <c r="H613" s="3"/>
      <c r="I613" s="4"/>
      <c r="J613" s="3"/>
      <c r="K613" s="5"/>
      <c r="L613" s="3"/>
      <c r="M613" s="3"/>
    </row>
    <row r="614" spans="8:13" ht="15.75" x14ac:dyDescent="0.25">
      <c r="H614" s="3"/>
      <c r="I614" s="4"/>
      <c r="J614" s="3"/>
      <c r="K614" s="5"/>
      <c r="L614" s="3"/>
      <c r="M614" s="3"/>
    </row>
    <row r="615" spans="8:13" ht="15.75" x14ac:dyDescent="0.25">
      <c r="H615" s="3"/>
      <c r="I615" s="4"/>
      <c r="J615" s="3"/>
      <c r="K615" s="5"/>
      <c r="L615" s="3"/>
      <c r="M615" s="3"/>
    </row>
    <row r="616" spans="8:13" ht="15.75" x14ac:dyDescent="0.25">
      <c r="H616" s="3"/>
      <c r="I616" s="4"/>
      <c r="J616" s="3"/>
      <c r="K616" s="5"/>
      <c r="L616" s="3"/>
      <c r="M616" s="3"/>
    </row>
    <row r="617" spans="8:13" ht="15.75" x14ac:dyDescent="0.25">
      <c r="H617" s="3"/>
      <c r="I617" s="4"/>
      <c r="J617" s="3"/>
      <c r="K617" s="5"/>
      <c r="L617" s="3"/>
      <c r="M617" s="3"/>
    </row>
    <row r="618" spans="8:13" ht="15.75" x14ac:dyDescent="0.25">
      <c r="H618" s="3"/>
      <c r="I618" s="4"/>
      <c r="J618" s="3"/>
      <c r="K618" s="5"/>
      <c r="L618" s="3"/>
      <c r="M618" s="3"/>
    </row>
    <row r="619" spans="8:13" ht="15.75" x14ac:dyDescent="0.25">
      <c r="H619" s="3"/>
      <c r="I619" s="4"/>
      <c r="J619" s="3"/>
      <c r="K619" s="5"/>
      <c r="L619" s="3"/>
      <c r="M619" s="3"/>
    </row>
    <row r="620" spans="8:13" ht="15.75" x14ac:dyDescent="0.25">
      <c r="H620" s="3"/>
      <c r="I620" s="4"/>
      <c r="J620" s="3"/>
      <c r="K620" s="5"/>
      <c r="L620" s="3"/>
      <c r="M620" s="3"/>
    </row>
    <row r="621" spans="8:13" ht="15.75" x14ac:dyDescent="0.25">
      <c r="H621" s="3"/>
      <c r="I621" s="4"/>
      <c r="J621" s="3"/>
      <c r="K621" s="5"/>
      <c r="L621" s="3"/>
      <c r="M621" s="3"/>
    </row>
    <row r="622" spans="8:13" ht="15.75" x14ac:dyDescent="0.25">
      <c r="H622" s="3"/>
      <c r="I622" s="4"/>
      <c r="J622" s="3"/>
      <c r="K622" s="5"/>
      <c r="L622" s="3"/>
      <c r="M622" s="3"/>
    </row>
    <row r="623" spans="8:13" ht="15.75" x14ac:dyDescent="0.25">
      <c r="H623" s="3"/>
      <c r="I623" s="4"/>
      <c r="J623" s="3"/>
      <c r="K623" s="5"/>
      <c r="L623" s="3"/>
      <c r="M623" s="3"/>
    </row>
    <row r="624" spans="8:13" ht="15.75" x14ac:dyDescent="0.25">
      <c r="H624" s="3"/>
      <c r="I624" s="4"/>
      <c r="J624" s="3"/>
      <c r="K624" s="5"/>
      <c r="L624" s="3"/>
      <c r="M624" s="3"/>
    </row>
    <row r="625" spans="8:13" ht="15.75" x14ac:dyDescent="0.25">
      <c r="H625" s="3"/>
      <c r="I625" s="4"/>
      <c r="J625" s="3"/>
      <c r="K625" s="5"/>
      <c r="L625" s="3"/>
      <c r="M625" s="3"/>
    </row>
    <row r="626" spans="8:13" ht="15.75" x14ac:dyDescent="0.25">
      <c r="H626" s="3"/>
      <c r="I626" s="4"/>
      <c r="J626" s="3"/>
      <c r="K626" s="5"/>
      <c r="L626" s="3"/>
      <c r="M626" s="3"/>
    </row>
    <row r="627" spans="8:13" ht="15.75" x14ac:dyDescent="0.25">
      <c r="H627" s="3"/>
      <c r="I627" s="4"/>
      <c r="J627" s="3"/>
      <c r="K627" s="5"/>
      <c r="L627" s="3"/>
      <c r="M627" s="3"/>
    </row>
    <row r="628" spans="8:13" ht="15.75" x14ac:dyDescent="0.25">
      <c r="H628" s="3"/>
      <c r="I628" s="4"/>
      <c r="J628" s="3"/>
      <c r="K628" s="5"/>
      <c r="L628" s="3"/>
      <c r="M628" s="3"/>
    </row>
    <row r="629" spans="8:13" ht="15.75" x14ac:dyDescent="0.25">
      <c r="H629" s="3"/>
      <c r="I629" s="4"/>
      <c r="J629" s="3"/>
      <c r="K629" s="5"/>
      <c r="L629" s="3"/>
      <c r="M629" s="3"/>
    </row>
    <row r="630" spans="8:13" ht="15.75" x14ac:dyDescent="0.25">
      <c r="H630" s="3"/>
      <c r="I630" s="4"/>
      <c r="J630" s="3"/>
      <c r="K630" s="5"/>
      <c r="L630" s="3"/>
      <c r="M630" s="3"/>
    </row>
    <row r="631" spans="8:13" ht="15.75" x14ac:dyDescent="0.25">
      <c r="H631" s="3"/>
      <c r="I631" s="4"/>
      <c r="J631" s="3"/>
      <c r="K631" s="5"/>
      <c r="L631" s="3"/>
      <c r="M631" s="3"/>
    </row>
    <row r="632" spans="8:13" ht="15.75" x14ac:dyDescent="0.25">
      <c r="H632" s="3"/>
      <c r="I632" s="4"/>
      <c r="J632" s="3"/>
      <c r="K632" s="5"/>
      <c r="L632" s="3"/>
      <c r="M632" s="3"/>
    </row>
    <row r="633" spans="8:13" ht="15.75" x14ac:dyDescent="0.25">
      <c r="H633" s="3"/>
      <c r="I633" s="4"/>
      <c r="J633" s="3"/>
      <c r="K633" s="5"/>
      <c r="L633" s="3"/>
      <c r="M633" s="3"/>
    </row>
    <row r="634" spans="8:13" ht="15.75" x14ac:dyDescent="0.25">
      <c r="H634" s="3"/>
      <c r="I634" s="4"/>
      <c r="J634" s="3"/>
      <c r="K634" s="5"/>
      <c r="L634" s="3"/>
      <c r="M634" s="3"/>
    </row>
    <row r="635" spans="8:13" ht="15.75" x14ac:dyDescent="0.25">
      <c r="H635" s="3"/>
      <c r="I635" s="4"/>
      <c r="J635" s="3"/>
      <c r="K635" s="5"/>
      <c r="L635" s="3"/>
      <c r="M635" s="3"/>
    </row>
    <row r="636" spans="8:13" ht="15.75" x14ac:dyDescent="0.25">
      <c r="H636" s="3"/>
      <c r="I636" s="4"/>
      <c r="J636" s="3"/>
      <c r="K636" s="5"/>
      <c r="L636" s="3"/>
      <c r="M636" s="3"/>
    </row>
    <row r="637" spans="8:13" ht="15.75" x14ac:dyDescent="0.25">
      <c r="H637" s="3"/>
      <c r="I637" s="4"/>
      <c r="J637" s="3"/>
      <c r="K637" s="5"/>
      <c r="L637" s="3"/>
      <c r="M637" s="3"/>
    </row>
    <row r="638" spans="8:13" ht="15.75" x14ac:dyDescent="0.25">
      <c r="H638" s="3"/>
      <c r="I638" s="4"/>
      <c r="J638" s="3"/>
      <c r="K638" s="5"/>
      <c r="L638" s="3"/>
      <c r="M638" s="3"/>
    </row>
    <row r="639" spans="8:13" ht="15.75" x14ac:dyDescent="0.25">
      <c r="H639" s="3"/>
      <c r="I639" s="4"/>
      <c r="J639" s="3"/>
      <c r="K639" s="5"/>
      <c r="L639" s="3"/>
      <c r="M639" s="3"/>
    </row>
    <row r="640" spans="8:13" ht="15.75" x14ac:dyDescent="0.25">
      <c r="H640" s="3"/>
      <c r="I640" s="4"/>
      <c r="J640" s="3"/>
      <c r="K640" s="5"/>
      <c r="L640" s="3"/>
      <c r="M640" s="3"/>
    </row>
    <row r="641" spans="8:13" ht="15.75" x14ac:dyDescent="0.25">
      <c r="H641" s="3"/>
      <c r="I641" s="4"/>
      <c r="J641" s="3"/>
      <c r="K641" s="5"/>
      <c r="L641" s="3"/>
      <c r="M641" s="3"/>
    </row>
    <row r="642" spans="8:13" ht="15.75" x14ac:dyDescent="0.25">
      <c r="H642" s="3"/>
      <c r="I642" s="4"/>
      <c r="J642" s="3"/>
      <c r="K642" s="5"/>
      <c r="L642" s="3"/>
      <c r="M642" s="3"/>
    </row>
    <row r="643" spans="8:13" ht="15.75" x14ac:dyDescent="0.25">
      <c r="H643" s="3"/>
      <c r="I643" s="4"/>
      <c r="J643" s="3"/>
      <c r="K643" s="5"/>
      <c r="L643" s="3"/>
      <c r="M643" s="3"/>
    </row>
    <row r="644" spans="8:13" ht="15.75" x14ac:dyDescent="0.25">
      <c r="H644" s="3"/>
      <c r="I644" s="4"/>
      <c r="J644" s="3"/>
      <c r="K644" s="5"/>
      <c r="L644" s="3"/>
      <c r="M644" s="3"/>
    </row>
    <row r="645" spans="8:13" ht="15.75" x14ac:dyDescent="0.25">
      <c r="H645" s="3"/>
      <c r="I645" s="4"/>
      <c r="J645" s="3"/>
      <c r="K645" s="5"/>
      <c r="L645" s="3"/>
      <c r="M645" s="3"/>
    </row>
    <row r="646" spans="8:13" ht="15.75" x14ac:dyDescent="0.25">
      <c r="H646" s="3"/>
      <c r="I646" s="4"/>
      <c r="J646" s="3"/>
      <c r="K646" s="5"/>
      <c r="L646" s="3"/>
      <c r="M646" s="3"/>
    </row>
    <row r="647" spans="8:13" ht="15.75" x14ac:dyDescent="0.25">
      <c r="H647" s="3"/>
      <c r="I647" s="4"/>
      <c r="J647" s="3"/>
      <c r="K647" s="5"/>
      <c r="L647" s="3"/>
      <c r="M647" s="3"/>
    </row>
    <row r="648" spans="8:13" ht="15.75" x14ac:dyDescent="0.25">
      <c r="H648" s="3"/>
      <c r="I648" s="4"/>
      <c r="J648" s="3"/>
      <c r="K648" s="5"/>
      <c r="L648" s="3"/>
      <c r="M648" s="3"/>
    </row>
    <row r="649" spans="8:13" ht="15.75" x14ac:dyDescent="0.25">
      <c r="H649" s="3"/>
      <c r="I649" s="4"/>
      <c r="J649" s="3"/>
      <c r="K649" s="5"/>
      <c r="L649" s="3"/>
      <c r="M649" s="3"/>
    </row>
    <row r="650" spans="8:13" ht="15.75" x14ac:dyDescent="0.25">
      <c r="H650" s="3"/>
      <c r="I650" s="4"/>
      <c r="J650" s="3"/>
      <c r="K650" s="5"/>
      <c r="L650" s="3"/>
      <c r="M650" s="3"/>
    </row>
    <row r="651" spans="8:13" ht="15.75" x14ac:dyDescent="0.25">
      <c r="H651" s="3"/>
      <c r="I651" s="4"/>
      <c r="J651" s="3"/>
      <c r="K651" s="5"/>
      <c r="L651" s="3"/>
      <c r="M651" s="3"/>
    </row>
    <row r="652" spans="8:13" ht="15.75" x14ac:dyDescent="0.25">
      <c r="H652" s="3"/>
      <c r="I652" s="4"/>
      <c r="J652" s="3"/>
      <c r="K652" s="5"/>
      <c r="L652" s="3"/>
      <c r="M652" s="3"/>
    </row>
    <row r="653" spans="8:13" ht="15.75" x14ac:dyDescent="0.25">
      <c r="H653" s="3"/>
      <c r="I653" s="4"/>
      <c r="J653" s="3"/>
      <c r="K653" s="5"/>
      <c r="L653" s="3"/>
      <c r="M653" s="3"/>
    </row>
    <row r="654" spans="8:13" ht="15.75" x14ac:dyDescent="0.25">
      <c r="H654" s="3"/>
      <c r="I654" s="4"/>
      <c r="J654" s="3"/>
      <c r="K654" s="5"/>
      <c r="L654" s="3"/>
      <c r="M654" s="3"/>
    </row>
    <row r="655" spans="8:13" ht="15.75" x14ac:dyDescent="0.25">
      <c r="H655" s="3"/>
      <c r="I655" s="4"/>
      <c r="J655" s="3"/>
      <c r="K655" s="5"/>
      <c r="L655" s="3"/>
      <c r="M655" s="3"/>
    </row>
    <row r="656" spans="8:13" ht="15.75" x14ac:dyDescent="0.25">
      <c r="H656" s="3"/>
      <c r="I656" s="4"/>
      <c r="J656" s="3"/>
      <c r="K656" s="5"/>
      <c r="L656" s="3"/>
      <c r="M656" s="3"/>
    </row>
    <row r="657" spans="8:13" ht="15.75" x14ac:dyDescent="0.25">
      <c r="H657" s="3"/>
      <c r="I657" s="4"/>
      <c r="J657" s="3"/>
      <c r="K657" s="5"/>
      <c r="L657" s="3"/>
      <c r="M657" s="3"/>
    </row>
    <row r="658" spans="8:13" ht="15.75" x14ac:dyDescent="0.25">
      <c r="H658" s="3"/>
      <c r="I658" s="4"/>
      <c r="J658" s="3"/>
      <c r="K658" s="5"/>
      <c r="L658" s="3"/>
      <c r="M658" s="3"/>
    </row>
    <row r="659" spans="8:13" ht="15.75" x14ac:dyDescent="0.25">
      <c r="H659" s="3"/>
      <c r="I659" s="4"/>
      <c r="J659" s="3"/>
      <c r="K659" s="5"/>
      <c r="L659" s="3"/>
      <c r="M659" s="3"/>
    </row>
    <row r="660" spans="8:13" ht="15.75" x14ac:dyDescent="0.25">
      <c r="H660" s="3"/>
      <c r="I660" s="4"/>
      <c r="J660" s="3"/>
      <c r="K660" s="5"/>
      <c r="L660" s="3"/>
      <c r="M660" s="3"/>
    </row>
    <row r="661" spans="8:13" ht="15.75" x14ac:dyDescent="0.25">
      <c r="H661" s="3"/>
      <c r="I661" s="4"/>
      <c r="J661" s="3"/>
      <c r="K661" s="5"/>
      <c r="L661" s="3"/>
      <c r="M661" s="3"/>
    </row>
    <row r="662" spans="8:13" ht="15.75" x14ac:dyDescent="0.25">
      <c r="H662" s="3"/>
      <c r="I662" s="4"/>
      <c r="J662" s="3"/>
      <c r="K662" s="5"/>
      <c r="L662" s="3"/>
      <c r="M662" s="3"/>
    </row>
    <row r="663" spans="8:13" ht="15.75" x14ac:dyDescent="0.25">
      <c r="H663" s="3"/>
      <c r="I663" s="4"/>
      <c r="J663" s="3"/>
      <c r="K663" s="5"/>
      <c r="L663" s="3"/>
      <c r="M663" s="3"/>
    </row>
    <row r="664" spans="8:13" ht="15.75" x14ac:dyDescent="0.25">
      <c r="H664" s="3"/>
      <c r="I664" s="4"/>
      <c r="J664" s="3"/>
      <c r="K664" s="5"/>
      <c r="L664" s="3"/>
      <c r="M664" s="3"/>
    </row>
    <row r="665" spans="8:13" ht="15.75" x14ac:dyDescent="0.25">
      <c r="H665" s="3"/>
      <c r="I665" s="4"/>
      <c r="J665" s="3"/>
      <c r="K665" s="5"/>
      <c r="L665" s="3"/>
      <c r="M665" s="3"/>
    </row>
    <row r="666" spans="8:13" ht="15.75" x14ac:dyDescent="0.25">
      <c r="H666" s="3"/>
      <c r="I666" s="4"/>
      <c r="J666" s="3"/>
      <c r="K666" s="5"/>
      <c r="L666" s="3"/>
      <c r="M666" s="3"/>
    </row>
    <row r="667" spans="8:13" ht="15.75" x14ac:dyDescent="0.25">
      <c r="H667" s="3"/>
      <c r="I667" s="4"/>
      <c r="J667" s="3"/>
      <c r="K667" s="5"/>
      <c r="L667" s="3"/>
      <c r="M667" s="3"/>
    </row>
    <row r="668" spans="8:13" ht="15.75" x14ac:dyDescent="0.25">
      <c r="H668" s="3"/>
      <c r="I668" s="4"/>
      <c r="J668" s="3"/>
      <c r="K668" s="5"/>
      <c r="L668" s="3"/>
      <c r="M668" s="3"/>
    </row>
    <row r="669" spans="8:13" ht="15.75" x14ac:dyDescent="0.25">
      <c r="H669" s="3"/>
      <c r="I669" s="4"/>
      <c r="J669" s="3"/>
      <c r="K669" s="5"/>
      <c r="L669" s="3"/>
      <c r="M669" s="3"/>
    </row>
    <row r="670" spans="8:13" ht="15.75" x14ac:dyDescent="0.25">
      <c r="H670" s="3"/>
      <c r="I670" s="4"/>
      <c r="J670" s="3"/>
      <c r="K670" s="5"/>
      <c r="L670" s="3"/>
      <c r="M670" s="3"/>
    </row>
    <row r="671" spans="8:13" ht="15.75" x14ac:dyDescent="0.25">
      <c r="H671" s="3"/>
      <c r="I671" s="4"/>
      <c r="J671" s="3"/>
      <c r="K671" s="5"/>
      <c r="L671" s="3"/>
      <c r="M671" s="3"/>
    </row>
    <row r="672" spans="8:13" ht="15.75" x14ac:dyDescent="0.25">
      <c r="H672" s="3"/>
      <c r="I672" s="4"/>
      <c r="J672" s="3"/>
      <c r="K672" s="5"/>
      <c r="L672" s="3"/>
      <c r="M672" s="3"/>
    </row>
    <row r="673" spans="8:13" ht="15.75" x14ac:dyDescent="0.25">
      <c r="H673" s="3"/>
      <c r="I673" s="4"/>
      <c r="J673" s="3"/>
      <c r="K673" s="5"/>
      <c r="L673" s="3"/>
      <c r="M673" s="3"/>
    </row>
    <row r="674" spans="8:13" ht="15.75" x14ac:dyDescent="0.25">
      <c r="H674" s="3"/>
      <c r="I674" s="4"/>
      <c r="J674" s="3"/>
      <c r="K674" s="5"/>
      <c r="L674" s="3"/>
      <c r="M674" s="3"/>
    </row>
    <row r="675" spans="8:13" ht="15.75" x14ac:dyDescent="0.25">
      <c r="H675" s="3"/>
      <c r="I675" s="4"/>
      <c r="J675" s="3"/>
      <c r="K675" s="5"/>
      <c r="L675" s="3"/>
      <c r="M675" s="3"/>
    </row>
    <row r="676" spans="8:13" ht="15.75" x14ac:dyDescent="0.25">
      <c r="H676" s="3"/>
      <c r="I676" s="4"/>
      <c r="J676" s="3"/>
      <c r="K676" s="5"/>
      <c r="L676" s="3"/>
      <c r="M676" s="3"/>
    </row>
    <row r="677" spans="8:13" ht="15.75" x14ac:dyDescent="0.25">
      <c r="H677" s="3"/>
      <c r="I677" s="4"/>
      <c r="J677" s="3"/>
      <c r="K677" s="5"/>
      <c r="L677" s="3"/>
      <c r="M677" s="3"/>
    </row>
    <row r="678" spans="8:13" ht="15.75" x14ac:dyDescent="0.25">
      <c r="H678" s="3"/>
      <c r="I678" s="4"/>
      <c r="J678" s="3"/>
      <c r="K678" s="5"/>
      <c r="L678" s="3"/>
      <c r="M678" s="3"/>
    </row>
    <row r="679" spans="8:13" ht="15.75" x14ac:dyDescent="0.25">
      <c r="H679" s="3"/>
      <c r="I679" s="4"/>
      <c r="J679" s="3"/>
      <c r="K679" s="5"/>
      <c r="L679" s="3"/>
      <c r="M679" s="3"/>
    </row>
    <row r="680" spans="8:13" ht="15.75" x14ac:dyDescent="0.25">
      <c r="H680" s="3"/>
      <c r="I680" s="4"/>
      <c r="J680" s="3"/>
      <c r="K680" s="5"/>
      <c r="L680" s="3"/>
      <c r="M680" s="3"/>
    </row>
    <row r="681" spans="8:13" ht="15.75" x14ac:dyDescent="0.25">
      <c r="H681" s="3"/>
      <c r="I681" s="4"/>
      <c r="J681" s="3"/>
      <c r="K681" s="5"/>
      <c r="L681" s="3"/>
      <c r="M681" s="3"/>
    </row>
    <row r="682" spans="8:13" ht="15.75" x14ac:dyDescent="0.25">
      <c r="H682" s="3"/>
      <c r="I682" s="4"/>
      <c r="J682" s="3"/>
      <c r="K682" s="5"/>
      <c r="L682" s="3"/>
      <c r="M682" s="3"/>
    </row>
    <row r="683" spans="8:13" ht="15.75" x14ac:dyDescent="0.25">
      <c r="H683" s="3"/>
      <c r="I683" s="4"/>
      <c r="J683" s="3"/>
      <c r="K683" s="5"/>
      <c r="L683" s="3"/>
      <c r="M683" s="3"/>
    </row>
    <row r="684" spans="8:13" ht="15.75" x14ac:dyDescent="0.25">
      <c r="H684" s="3"/>
      <c r="I684" s="4"/>
      <c r="J684" s="3"/>
      <c r="K684" s="5"/>
      <c r="L684" s="3"/>
      <c r="M684" s="3"/>
    </row>
    <row r="685" spans="8:13" ht="15.75" x14ac:dyDescent="0.25">
      <c r="H685" s="3"/>
      <c r="I685" s="4"/>
      <c r="J685" s="3"/>
      <c r="K685" s="5"/>
      <c r="L685" s="3"/>
      <c r="M685" s="3"/>
    </row>
    <row r="686" spans="8:13" ht="15.75" x14ac:dyDescent="0.25">
      <c r="H686" s="3"/>
      <c r="I686" s="4"/>
      <c r="J686" s="3"/>
      <c r="K686" s="5"/>
      <c r="L686" s="3"/>
      <c r="M686" s="3"/>
    </row>
    <row r="687" spans="8:13" ht="15.75" x14ac:dyDescent="0.25">
      <c r="H687" s="3"/>
      <c r="I687" s="4"/>
      <c r="J687" s="3"/>
      <c r="K687" s="5"/>
      <c r="L687" s="3"/>
      <c r="M687" s="3"/>
    </row>
    <row r="688" spans="8:13" ht="15.75" x14ac:dyDescent="0.25">
      <c r="H688" s="3"/>
      <c r="I688" s="4"/>
      <c r="J688" s="3"/>
      <c r="K688" s="5"/>
      <c r="L688" s="3"/>
      <c r="M688" s="3"/>
    </row>
    <row r="689" spans="8:13" ht="15.75" x14ac:dyDescent="0.25">
      <c r="H689" s="3"/>
      <c r="I689" s="4"/>
      <c r="J689" s="3"/>
      <c r="K689" s="5"/>
      <c r="L689" s="3"/>
      <c r="M689" s="3"/>
    </row>
    <row r="690" spans="8:13" ht="15.75" x14ac:dyDescent="0.25">
      <c r="H690" s="3"/>
      <c r="I690" s="4"/>
      <c r="J690" s="3"/>
      <c r="K690" s="5"/>
      <c r="L690" s="3"/>
      <c r="M690" s="3"/>
    </row>
    <row r="691" spans="8:13" ht="15.75" x14ac:dyDescent="0.25">
      <c r="H691" s="3"/>
      <c r="I691" s="4"/>
      <c r="J691" s="3"/>
      <c r="K691" s="5"/>
      <c r="L691" s="3"/>
      <c r="M691" s="3"/>
    </row>
    <row r="692" spans="8:13" ht="15.75" x14ac:dyDescent="0.25">
      <c r="H692" s="3"/>
      <c r="I692" s="4"/>
      <c r="J692" s="3"/>
      <c r="K692" s="5"/>
      <c r="L692" s="3"/>
      <c r="M692" s="3"/>
    </row>
    <row r="693" spans="8:13" ht="15.75" x14ac:dyDescent="0.25">
      <c r="H693" s="3"/>
      <c r="I693" s="4"/>
      <c r="J693" s="3"/>
      <c r="K693" s="5"/>
      <c r="L693" s="3"/>
      <c r="M693" s="3"/>
    </row>
    <row r="694" spans="8:13" ht="15.75" x14ac:dyDescent="0.25">
      <c r="H694" s="3"/>
      <c r="I694" s="4"/>
      <c r="J694" s="3"/>
      <c r="K694" s="5"/>
      <c r="L694" s="3"/>
      <c r="M694" s="3"/>
    </row>
    <row r="695" spans="8:13" ht="15.75" x14ac:dyDescent="0.25">
      <c r="H695" s="3"/>
      <c r="I695" s="4"/>
      <c r="J695" s="3"/>
      <c r="K695" s="5"/>
      <c r="L695" s="3"/>
      <c r="M695" s="3"/>
    </row>
    <row r="696" spans="8:13" ht="15.75" x14ac:dyDescent="0.25">
      <c r="H696" s="3"/>
      <c r="I696" s="4"/>
      <c r="J696" s="3"/>
      <c r="K696" s="5"/>
      <c r="L696" s="3"/>
      <c r="M696" s="3"/>
    </row>
    <row r="697" spans="8:13" ht="15.75" x14ac:dyDescent="0.25">
      <c r="H697" s="3"/>
      <c r="I697" s="4"/>
      <c r="J697" s="3"/>
      <c r="K697" s="5"/>
      <c r="L697" s="3"/>
      <c r="M697" s="3"/>
    </row>
    <row r="698" spans="8:13" ht="15.75" x14ac:dyDescent="0.25">
      <c r="H698" s="3"/>
      <c r="I698" s="4"/>
      <c r="J698" s="3"/>
      <c r="K698" s="5"/>
      <c r="L698" s="3"/>
      <c r="M698" s="3"/>
    </row>
    <row r="699" spans="8:13" ht="15.75" x14ac:dyDescent="0.25">
      <c r="H699" s="3"/>
      <c r="I699" s="4"/>
      <c r="J699" s="3"/>
      <c r="K699" s="5"/>
      <c r="L699" s="3"/>
      <c r="M699" s="3"/>
    </row>
    <row r="700" spans="8:13" ht="15.75" x14ac:dyDescent="0.25">
      <c r="H700" s="3"/>
      <c r="I700" s="4"/>
      <c r="J700" s="3"/>
      <c r="K700" s="5"/>
      <c r="L700" s="3"/>
      <c r="M700" s="3"/>
    </row>
    <row r="701" spans="8:13" ht="15.75" x14ac:dyDescent="0.25">
      <c r="H701" s="3"/>
      <c r="I701" s="4"/>
      <c r="J701" s="3"/>
      <c r="K701" s="5"/>
      <c r="L701" s="3"/>
      <c r="M701" s="3"/>
    </row>
    <row r="702" spans="8:13" ht="15.75" x14ac:dyDescent="0.25">
      <c r="H702" s="3"/>
      <c r="I702" s="4"/>
      <c r="J702" s="3"/>
      <c r="K702" s="5"/>
      <c r="L702" s="3"/>
      <c r="M702" s="3"/>
    </row>
    <row r="703" spans="8:13" ht="15.75" x14ac:dyDescent="0.25">
      <c r="H703" s="3"/>
      <c r="I703" s="4"/>
      <c r="J703" s="3"/>
      <c r="K703" s="5"/>
      <c r="L703" s="3"/>
      <c r="M703" s="3"/>
    </row>
    <row r="704" spans="8:13" ht="15.75" x14ac:dyDescent="0.25">
      <c r="H704" s="3"/>
      <c r="I704" s="4"/>
      <c r="J704" s="3"/>
      <c r="K704" s="5"/>
      <c r="L704" s="3"/>
      <c r="M704" s="3"/>
    </row>
    <row r="705" spans="8:13" ht="15.75" x14ac:dyDescent="0.25">
      <c r="H705" s="3"/>
      <c r="I705" s="4"/>
      <c r="J705" s="3"/>
      <c r="K705" s="5"/>
      <c r="L705" s="3"/>
      <c r="M705" s="3"/>
    </row>
    <row r="706" spans="8:13" ht="15.75" x14ac:dyDescent="0.25">
      <c r="H706" s="3"/>
      <c r="I706" s="4"/>
      <c r="J706" s="3"/>
      <c r="K706" s="5"/>
      <c r="L706" s="3"/>
      <c r="M706" s="3"/>
    </row>
    <row r="707" spans="8:13" ht="15.75" x14ac:dyDescent="0.25">
      <c r="H707" s="3"/>
      <c r="I707" s="4"/>
      <c r="J707" s="3"/>
      <c r="K707" s="5"/>
      <c r="L707" s="3"/>
      <c r="M707" s="3"/>
    </row>
    <row r="708" spans="8:13" ht="15.75" x14ac:dyDescent="0.25">
      <c r="H708" s="3"/>
      <c r="I708" s="4"/>
      <c r="J708" s="3"/>
      <c r="K708" s="5"/>
      <c r="L708" s="3"/>
      <c r="M708" s="3"/>
    </row>
    <row r="709" spans="8:13" ht="15.75" x14ac:dyDescent="0.25">
      <c r="H709" s="3"/>
      <c r="I709" s="4"/>
      <c r="J709" s="3"/>
      <c r="K709" s="5"/>
      <c r="L709" s="3"/>
      <c r="M709" s="3"/>
    </row>
    <row r="710" spans="8:13" ht="15.75" x14ac:dyDescent="0.25">
      <c r="H710" s="3"/>
      <c r="I710" s="4"/>
      <c r="J710" s="3"/>
      <c r="K710" s="5"/>
      <c r="L710" s="3"/>
      <c r="M710" s="3"/>
    </row>
    <row r="711" spans="8:13" ht="15.75" x14ac:dyDescent="0.25">
      <c r="H711" s="3"/>
      <c r="I711" s="4"/>
      <c r="J711" s="3"/>
      <c r="K711" s="5"/>
      <c r="L711" s="3"/>
      <c r="M711" s="3"/>
    </row>
    <row r="712" spans="8:13" ht="15.75" x14ac:dyDescent="0.25">
      <c r="H712" s="3"/>
      <c r="I712" s="4"/>
      <c r="J712" s="3"/>
      <c r="K712" s="5"/>
      <c r="L712" s="3"/>
      <c r="M712" s="3"/>
    </row>
    <row r="713" spans="8:13" ht="15.75" x14ac:dyDescent="0.25">
      <c r="H713" s="3"/>
      <c r="I713" s="4"/>
      <c r="J713" s="3"/>
      <c r="K713" s="5"/>
      <c r="L713" s="3"/>
      <c r="M713" s="3"/>
    </row>
    <row r="714" spans="8:13" ht="15.75" x14ac:dyDescent="0.25">
      <c r="H714" s="3"/>
      <c r="I714" s="4"/>
      <c r="J714" s="3"/>
      <c r="K714" s="5"/>
      <c r="L714" s="3"/>
      <c r="M714" s="3"/>
    </row>
    <row r="715" spans="8:13" ht="15.75" x14ac:dyDescent="0.25">
      <c r="H715" s="3"/>
      <c r="I715" s="4"/>
      <c r="J715" s="3"/>
      <c r="K715" s="5"/>
      <c r="L715" s="3"/>
      <c r="M715" s="3"/>
    </row>
    <row r="716" spans="8:13" ht="15.75" x14ac:dyDescent="0.25">
      <c r="H716" s="3"/>
      <c r="I716" s="4"/>
      <c r="J716" s="3"/>
      <c r="K716" s="5"/>
      <c r="L716" s="3"/>
      <c r="M716" s="3"/>
    </row>
    <row r="717" spans="8:13" ht="15.75" x14ac:dyDescent="0.25">
      <c r="H717" s="3"/>
      <c r="I717" s="4"/>
      <c r="J717" s="3"/>
      <c r="K717" s="5"/>
      <c r="L717" s="3"/>
      <c r="M717" s="3"/>
    </row>
    <row r="718" spans="8:13" ht="15.75" x14ac:dyDescent="0.25">
      <c r="H718" s="3"/>
      <c r="I718" s="4"/>
      <c r="J718" s="3"/>
      <c r="K718" s="5"/>
      <c r="L718" s="3"/>
      <c r="M718" s="3"/>
    </row>
    <row r="719" spans="8:13" ht="15.75" x14ac:dyDescent="0.25">
      <c r="H719" s="3"/>
      <c r="I719" s="4"/>
      <c r="J719" s="3"/>
      <c r="K719" s="5"/>
      <c r="L719" s="3"/>
      <c r="M719" s="3"/>
    </row>
    <row r="720" spans="8:13" ht="15.75" x14ac:dyDescent="0.25">
      <c r="H720" s="3"/>
      <c r="I720" s="4"/>
      <c r="J720" s="3"/>
      <c r="K720" s="5"/>
      <c r="L720" s="3"/>
      <c r="M720" s="3"/>
    </row>
    <row r="721" spans="8:13" ht="15.75" x14ac:dyDescent="0.25">
      <c r="H721" s="3"/>
      <c r="I721" s="4"/>
      <c r="J721" s="3"/>
      <c r="K721" s="5"/>
      <c r="L721" s="3"/>
      <c r="M721" s="3"/>
    </row>
    <row r="722" spans="8:13" ht="15.75" x14ac:dyDescent="0.25">
      <c r="H722" s="3"/>
      <c r="I722" s="4"/>
      <c r="J722" s="3"/>
      <c r="K722" s="5"/>
      <c r="L722" s="3"/>
      <c r="M722" s="3"/>
    </row>
    <row r="723" spans="8:13" ht="15.75" x14ac:dyDescent="0.25">
      <c r="H723" s="3"/>
      <c r="I723" s="4"/>
      <c r="J723" s="3"/>
      <c r="K723" s="5"/>
      <c r="L723" s="3"/>
      <c r="M723" s="3"/>
    </row>
    <row r="724" spans="8:13" ht="15.75" x14ac:dyDescent="0.25">
      <c r="H724" s="3"/>
      <c r="I724" s="4"/>
      <c r="J724" s="3"/>
      <c r="K724" s="5"/>
      <c r="L724" s="3"/>
      <c r="M724" s="3"/>
    </row>
    <row r="725" spans="8:13" ht="15.75" x14ac:dyDescent="0.25">
      <c r="H725" s="3"/>
      <c r="I725" s="4"/>
      <c r="J725" s="3"/>
      <c r="K725" s="5"/>
      <c r="L725" s="3"/>
      <c r="M725" s="3"/>
    </row>
    <row r="726" spans="8:13" ht="15.75" x14ac:dyDescent="0.25">
      <c r="H726" s="3"/>
      <c r="I726" s="4"/>
      <c r="J726" s="3"/>
      <c r="K726" s="5"/>
      <c r="L726" s="3"/>
      <c r="M726" s="3"/>
    </row>
    <row r="727" spans="8:13" ht="15.75" x14ac:dyDescent="0.25">
      <c r="H727" s="3"/>
      <c r="I727" s="4"/>
      <c r="J727" s="3"/>
      <c r="K727" s="5"/>
      <c r="L727" s="3"/>
      <c r="M727" s="3"/>
    </row>
    <row r="728" spans="8:13" ht="15.75" x14ac:dyDescent="0.25">
      <c r="H728" s="3"/>
      <c r="I728" s="4"/>
      <c r="J728" s="3"/>
      <c r="K728" s="5"/>
      <c r="L728" s="3"/>
      <c r="M728" s="3"/>
    </row>
    <row r="729" spans="8:13" ht="15.75" x14ac:dyDescent="0.25">
      <c r="H729" s="3"/>
      <c r="I729" s="4"/>
      <c r="J729" s="3"/>
      <c r="K729" s="5"/>
      <c r="L729" s="3"/>
      <c r="M729" s="3"/>
    </row>
    <row r="730" spans="8:13" ht="15.75" x14ac:dyDescent="0.25">
      <c r="H730" s="3"/>
      <c r="I730" s="4"/>
      <c r="J730" s="3"/>
      <c r="K730" s="5"/>
      <c r="L730" s="3"/>
      <c r="M730" s="3"/>
    </row>
    <row r="731" spans="8:13" ht="15.75" x14ac:dyDescent="0.25">
      <c r="H731" s="3"/>
      <c r="I731" s="4"/>
      <c r="J731" s="3"/>
      <c r="K731" s="5"/>
      <c r="L731" s="3"/>
      <c r="M731" s="3"/>
    </row>
    <row r="732" spans="8:13" ht="15.75" x14ac:dyDescent="0.25">
      <c r="H732" s="3"/>
      <c r="I732" s="4"/>
      <c r="J732" s="3"/>
      <c r="K732" s="5"/>
      <c r="L732" s="3"/>
      <c r="M732" s="3"/>
    </row>
    <row r="733" spans="8:13" ht="15.75" x14ac:dyDescent="0.25">
      <c r="H733" s="3"/>
      <c r="I733" s="4"/>
      <c r="J733" s="3"/>
      <c r="K733" s="5"/>
      <c r="L733" s="3"/>
      <c r="M733" s="3"/>
    </row>
    <row r="734" spans="8:13" ht="15.75" x14ac:dyDescent="0.25">
      <c r="H734" s="3"/>
      <c r="I734" s="4"/>
      <c r="J734" s="3"/>
      <c r="K734" s="5"/>
      <c r="L734" s="3"/>
      <c r="M734" s="3"/>
    </row>
    <row r="735" spans="8:13" ht="15.75" x14ac:dyDescent="0.25">
      <c r="H735" s="3"/>
      <c r="I735" s="4"/>
      <c r="J735" s="3"/>
      <c r="K735" s="5"/>
      <c r="L735" s="3"/>
      <c r="M735" s="3"/>
    </row>
    <row r="736" spans="8:13" ht="15.75" x14ac:dyDescent="0.25">
      <c r="H736" s="3"/>
      <c r="I736" s="4"/>
      <c r="J736" s="3"/>
      <c r="K736" s="5"/>
      <c r="L736" s="3"/>
      <c r="M736" s="3"/>
    </row>
    <row r="737" spans="8:13" ht="15.75" x14ac:dyDescent="0.25">
      <c r="H737" s="3"/>
      <c r="I737" s="4"/>
      <c r="J737" s="3"/>
      <c r="K737" s="5"/>
      <c r="L737" s="3"/>
      <c r="M737" s="3"/>
    </row>
    <row r="738" spans="8:13" ht="15.75" x14ac:dyDescent="0.25">
      <c r="H738" s="3"/>
      <c r="I738" s="4"/>
      <c r="J738" s="3"/>
      <c r="K738" s="5"/>
      <c r="L738" s="3"/>
      <c r="M738" s="3"/>
    </row>
    <row r="739" spans="8:13" ht="15.75" x14ac:dyDescent="0.25">
      <c r="H739" s="3"/>
      <c r="I739" s="4"/>
      <c r="J739" s="3"/>
      <c r="K739" s="5"/>
      <c r="L739" s="3"/>
      <c r="M739" s="3"/>
    </row>
    <row r="740" spans="8:13" ht="15.75" x14ac:dyDescent="0.25">
      <c r="H740" s="3"/>
      <c r="I740" s="4"/>
      <c r="J740" s="3"/>
      <c r="K740" s="5"/>
      <c r="L740" s="3"/>
      <c r="M740" s="3"/>
    </row>
    <row r="741" spans="8:13" ht="15.75" x14ac:dyDescent="0.25">
      <c r="H741" s="3"/>
      <c r="I741" s="4"/>
      <c r="J741" s="3"/>
      <c r="K741" s="5"/>
      <c r="L741" s="3"/>
      <c r="M741" s="3"/>
    </row>
    <row r="742" spans="8:13" ht="15.75" x14ac:dyDescent="0.25">
      <c r="H742" s="3"/>
      <c r="I742" s="4"/>
      <c r="J742" s="3"/>
      <c r="K742" s="5"/>
      <c r="L742" s="3"/>
      <c r="M742" s="3"/>
    </row>
    <row r="743" spans="8:13" ht="15.75" x14ac:dyDescent="0.25">
      <c r="H743" s="3"/>
      <c r="I743" s="4"/>
      <c r="J743" s="3"/>
      <c r="K743" s="5"/>
      <c r="L743" s="3"/>
      <c r="M743" s="3"/>
    </row>
    <row r="744" spans="8:13" ht="15.75" x14ac:dyDescent="0.25">
      <c r="H744" s="3"/>
      <c r="I744" s="4"/>
      <c r="J744" s="3"/>
      <c r="K744" s="5"/>
      <c r="L744" s="3"/>
      <c r="M744" s="3"/>
    </row>
    <row r="745" spans="8:13" ht="15.75" x14ac:dyDescent="0.25">
      <c r="H745" s="3"/>
      <c r="I745" s="4"/>
      <c r="J745" s="3"/>
      <c r="K745" s="5"/>
      <c r="L745" s="3"/>
      <c r="M745" s="3"/>
    </row>
    <row r="746" spans="8:13" ht="15.75" x14ac:dyDescent="0.25">
      <c r="H746" s="3"/>
      <c r="I746" s="4"/>
      <c r="J746" s="3"/>
      <c r="K746" s="5"/>
      <c r="L746" s="3"/>
      <c r="M746" s="3"/>
    </row>
    <row r="747" spans="8:13" ht="15.75" x14ac:dyDescent="0.25">
      <c r="H747" s="3"/>
      <c r="I747" s="4"/>
      <c r="J747" s="3"/>
      <c r="K747" s="5"/>
      <c r="L747" s="3"/>
      <c r="M747" s="3"/>
    </row>
    <row r="748" spans="8:13" ht="15.75" x14ac:dyDescent="0.25">
      <c r="H748" s="3"/>
      <c r="I748" s="4"/>
      <c r="J748" s="3"/>
      <c r="K748" s="5"/>
      <c r="L748" s="3"/>
      <c r="M748" s="3"/>
    </row>
    <row r="749" spans="8:13" ht="15.75" x14ac:dyDescent="0.25">
      <c r="H749" s="3"/>
      <c r="I749" s="4"/>
      <c r="J749" s="3"/>
      <c r="K749" s="5"/>
      <c r="L749" s="3"/>
      <c r="M749" s="3"/>
    </row>
    <row r="750" spans="8:13" ht="15.75" x14ac:dyDescent="0.25">
      <c r="H750" s="3"/>
      <c r="I750" s="4"/>
      <c r="J750" s="3"/>
      <c r="K750" s="5"/>
      <c r="L750" s="3"/>
      <c r="M750" s="3"/>
    </row>
    <row r="751" spans="8:13" ht="15.75" x14ac:dyDescent="0.25">
      <c r="H751" s="3"/>
      <c r="I751" s="4"/>
      <c r="J751" s="3"/>
      <c r="K751" s="5"/>
      <c r="L751" s="3"/>
      <c r="M751" s="3"/>
    </row>
    <row r="752" spans="8:13" ht="15.75" x14ac:dyDescent="0.25">
      <c r="H752" s="3"/>
      <c r="I752" s="4"/>
      <c r="J752" s="3"/>
      <c r="K752" s="5"/>
      <c r="L752" s="3"/>
      <c r="M752" s="3"/>
    </row>
    <row r="753" spans="8:13" ht="15.75" x14ac:dyDescent="0.25">
      <c r="H753" s="3"/>
      <c r="I753" s="4"/>
      <c r="J753" s="3"/>
      <c r="K753" s="5"/>
      <c r="L753" s="3"/>
      <c r="M753" s="3"/>
    </row>
    <row r="754" spans="8:13" ht="15.75" x14ac:dyDescent="0.25">
      <c r="H754" s="3"/>
      <c r="I754" s="4"/>
      <c r="J754" s="3"/>
      <c r="K754" s="5"/>
      <c r="L754" s="3"/>
      <c r="M754" s="3"/>
    </row>
    <row r="755" spans="8:13" ht="15.75" x14ac:dyDescent="0.25">
      <c r="H755" s="3"/>
      <c r="I755" s="4"/>
      <c r="J755" s="3"/>
      <c r="K755" s="5"/>
      <c r="L755" s="3"/>
      <c r="M755" s="3"/>
    </row>
    <row r="756" spans="8:13" ht="15.75" x14ac:dyDescent="0.25">
      <c r="H756" s="3"/>
      <c r="I756" s="4"/>
      <c r="J756" s="3"/>
      <c r="K756" s="5"/>
      <c r="L756" s="3"/>
      <c r="M756" s="3"/>
    </row>
    <row r="757" spans="8:13" ht="15.75" x14ac:dyDescent="0.25">
      <c r="H757" s="3"/>
      <c r="I757" s="4"/>
      <c r="J757" s="3"/>
      <c r="K757" s="5"/>
      <c r="L757" s="3"/>
      <c r="M757" s="3"/>
    </row>
    <row r="758" spans="8:13" ht="15.75" x14ac:dyDescent="0.25">
      <c r="H758" s="3"/>
      <c r="I758" s="4"/>
      <c r="J758" s="3"/>
      <c r="K758" s="5"/>
      <c r="L758" s="3"/>
      <c r="M758" s="3"/>
    </row>
    <row r="759" spans="8:13" ht="15.75" x14ac:dyDescent="0.25">
      <c r="H759" s="3"/>
      <c r="I759" s="4"/>
      <c r="J759" s="3"/>
      <c r="K759" s="5"/>
      <c r="L759" s="3"/>
      <c r="M759" s="3"/>
    </row>
    <row r="760" spans="8:13" ht="15.75" x14ac:dyDescent="0.25">
      <c r="H760" s="3"/>
      <c r="I760" s="4"/>
      <c r="J760" s="3"/>
      <c r="K760" s="5"/>
      <c r="L760" s="3"/>
      <c r="M760" s="3"/>
    </row>
    <row r="761" spans="8:13" ht="15.75" x14ac:dyDescent="0.25">
      <c r="H761" s="3"/>
      <c r="I761" s="4"/>
      <c r="J761" s="3"/>
      <c r="K761" s="5"/>
      <c r="L761" s="3"/>
      <c r="M761" s="3"/>
    </row>
    <row r="762" spans="8:13" ht="15.75" x14ac:dyDescent="0.25">
      <c r="H762" s="3"/>
      <c r="I762" s="4"/>
      <c r="J762" s="3"/>
      <c r="K762" s="5"/>
      <c r="L762" s="3"/>
      <c r="M762" s="3"/>
    </row>
    <row r="763" spans="8:13" ht="15.75" x14ac:dyDescent="0.25">
      <c r="H763" s="3"/>
      <c r="I763" s="4"/>
      <c r="J763" s="3"/>
      <c r="K763" s="5"/>
      <c r="L763" s="3"/>
      <c r="M763" s="3"/>
    </row>
    <row r="764" spans="8:13" ht="15.75" x14ac:dyDescent="0.25">
      <c r="H764" s="3"/>
      <c r="I764" s="4"/>
      <c r="J764" s="3"/>
      <c r="K764" s="5"/>
      <c r="L764" s="3"/>
      <c r="M764" s="3"/>
    </row>
    <row r="765" spans="8:13" ht="15.75" x14ac:dyDescent="0.25">
      <c r="H765" s="3"/>
      <c r="I765" s="4"/>
      <c r="J765" s="3"/>
      <c r="K765" s="5"/>
      <c r="L765" s="3"/>
      <c r="M765" s="3"/>
    </row>
    <row r="766" spans="8:13" ht="15.75" x14ac:dyDescent="0.25">
      <c r="H766" s="3"/>
      <c r="I766" s="4"/>
      <c r="J766" s="3"/>
      <c r="K766" s="5"/>
      <c r="L766" s="3"/>
      <c r="M766" s="3"/>
    </row>
    <row r="767" spans="8:13" ht="15.75" x14ac:dyDescent="0.25">
      <c r="H767" s="3"/>
      <c r="I767" s="4"/>
      <c r="J767" s="3"/>
      <c r="K767" s="5"/>
      <c r="L767" s="3"/>
      <c r="M767" s="3"/>
    </row>
    <row r="768" spans="8:13" ht="15.75" x14ac:dyDescent="0.25">
      <c r="H768" s="3"/>
      <c r="I768" s="4"/>
      <c r="J768" s="3"/>
      <c r="K768" s="5"/>
      <c r="L768" s="3"/>
      <c r="M768" s="3"/>
    </row>
    <row r="769" spans="8:13" ht="15.75" x14ac:dyDescent="0.25">
      <c r="H769" s="3"/>
      <c r="I769" s="4"/>
      <c r="J769" s="3"/>
      <c r="K769" s="5"/>
      <c r="L769" s="3"/>
      <c r="M769" s="3"/>
    </row>
    <row r="770" spans="8:13" ht="15.75" x14ac:dyDescent="0.25">
      <c r="H770" s="3"/>
      <c r="I770" s="4"/>
      <c r="J770" s="3"/>
      <c r="K770" s="5"/>
      <c r="L770" s="3"/>
      <c r="M770" s="3"/>
    </row>
    <row r="771" spans="8:13" ht="15.75" x14ac:dyDescent="0.25">
      <c r="H771" s="3"/>
      <c r="I771" s="4"/>
      <c r="J771" s="3"/>
      <c r="K771" s="5"/>
      <c r="L771" s="3"/>
      <c r="M771" s="3"/>
    </row>
    <row r="772" spans="8:13" ht="15.75" x14ac:dyDescent="0.25">
      <c r="H772" s="3"/>
      <c r="I772" s="4"/>
      <c r="J772" s="3"/>
      <c r="K772" s="5"/>
      <c r="L772" s="3"/>
      <c r="M772" s="3"/>
    </row>
    <row r="773" spans="8:13" ht="15.75" x14ac:dyDescent="0.25">
      <c r="H773" s="3"/>
      <c r="I773" s="4"/>
      <c r="J773" s="3"/>
      <c r="K773" s="5"/>
      <c r="L773" s="3"/>
      <c r="M773" s="3"/>
    </row>
    <row r="774" spans="8:13" ht="15.75" x14ac:dyDescent="0.25">
      <c r="H774" s="3"/>
      <c r="I774" s="4"/>
      <c r="J774" s="3"/>
      <c r="K774" s="5"/>
      <c r="L774" s="3"/>
      <c r="M774" s="3"/>
    </row>
    <row r="775" spans="8:13" ht="15.75" x14ac:dyDescent="0.25">
      <c r="H775" s="3"/>
      <c r="I775" s="4"/>
      <c r="J775" s="3"/>
      <c r="K775" s="5"/>
      <c r="L775" s="3"/>
      <c r="M775" s="3"/>
    </row>
    <row r="776" spans="8:13" ht="15.75" x14ac:dyDescent="0.25">
      <c r="H776" s="3"/>
      <c r="I776" s="4"/>
      <c r="J776" s="3"/>
      <c r="K776" s="5"/>
      <c r="L776" s="3"/>
      <c r="M776" s="3"/>
    </row>
    <row r="777" spans="8:13" ht="15.75" x14ac:dyDescent="0.25">
      <c r="H777" s="3"/>
      <c r="I777" s="4"/>
      <c r="J777" s="3"/>
      <c r="K777" s="5"/>
      <c r="L777" s="3"/>
      <c r="M777" s="3"/>
    </row>
    <row r="778" spans="8:13" ht="15.75" x14ac:dyDescent="0.25">
      <c r="H778" s="3"/>
      <c r="I778" s="4"/>
      <c r="J778" s="3"/>
      <c r="K778" s="5"/>
      <c r="L778" s="3"/>
      <c r="M778" s="3"/>
    </row>
    <row r="779" spans="8:13" ht="15.75" x14ac:dyDescent="0.25">
      <c r="H779" s="3"/>
      <c r="I779" s="4"/>
      <c r="J779" s="3"/>
      <c r="K779" s="5"/>
      <c r="L779" s="3"/>
      <c r="M779" s="3"/>
    </row>
    <row r="780" spans="8:13" ht="15.75" x14ac:dyDescent="0.25">
      <c r="H780" s="3"/>
      <c r="I780" s="4"/>
      <c r="J780" s="3"/>
      <c r="K780" s="5"/>
      <c r="L780" s="3"/>
      <c r="M780" s="3"/>
    </row>
    <row r="781" spans="8:13" ht="15.75" x14ac:dyDescent="0.25">
      <c r="H781" s="3"/>
      <c r="I781" s="4"/>
      <c r="J781" s="3"/>
      <c r="K781" s="5"/>
      <c r="L781" s="3"/>
      <c r="M781" s="3"/>
    </row>
    <row r="782" spans="8:13" ht="15.75" x14ac:dyDescent="0.25">
      <c r="H782" s="3"/>
      <c r="I782" s="4"/>
      <c r="J782" s="3"/>
      <c r="K782" s="5"/>
      <c r="L782" s="3"/>
      <c r="M782" s="3"/>
    </row>
    <row r="783" spans="8:13" ht="15.75" x14ac:dyDescent="0.25">
      <c r="H783" s="3"/>
      <c r="I783" s="4"/>
      <c r="J783" s="3"/>
      <c r="K783" s="5"/>
      <c r="L783" s="3"/>
      <c r="M783" s="3"/>
    </row>
    <row r="784" spans="8:13" ht="15.75" x14ac:dyDescent="0.25">
      <c r="H784" s="3"/>
      <c r="I784" s="4"/>
      <c r="J784" s="3"/>
      <c r="K784" s="5"/>
      <c r="L784" s="3"/>
      <c r="M784" s="3"/>
    </row>
    <row r="785" spans="8:13" ht="15.75" x14ac:dyDescent="0.25">
      <c r="H785" s="3"/>
      <c r="I785" s="4"/>
      <c r="J785" s="3"/>
      <c r="K785" s="5"/>
      <c r="L785" s="3"/>
      <c r="M785" s="3"/>
    </row>
    <row r="786" spans="8:13" ht="15.75" x14ac:dyDescent="0.25">
      <c r="H786" s="3"/>
      <c r="I786" s="4"/>
      <c r="J786" s="3"/>
      <c r="K786" s="5"/>
      <c r="L786" s="3"/>
      <c r="M786" s="3"/>
    </row>
    <row r="787" spans="8:13" ht="15.75" x14ac:dyDescent="0.25">
      <c r="H787" s="3"/>
      <c r="I787" s="4"/>
      <c r="J787" s="3"/>
      <c r="K787" s="5"/>
      <c r="L787" s="3"/>
      <c r="M787" s="3"/>
    </row>
    <row r="788" spans="8:13" ht="15.75" x14ac:dyDescent="0.25">
      <c r="H788" s="3"/>
      <c r="I788" s="4"/>
      <c r="J788" s="3"/>
      <c r="K788" s="5"/>
      <c r="L788" s="3"/>
      <c r="M788" s="3"/>
    </row>
    <row r="789" spans="8:13" ht="15.75" x14ac:dyDescent="0.25">
      <c r="H789" s="3"/>
      <c r="I789" s="4"/>
      <c r="J789" s="3"/>
      <c r="K789" s="5"/>
      <c r="L789" s="3"/>
      <c r="M789" s="3"/>
    </row>
    <row r="790" spans="8:13" ht="15.75" x14ac:dyDescent="0.25">
      <c r="H790" s="3"/>
      <c r="I790" s="4"/>
      <c r="J790" s="3"/>
      <c r="K790" s="5"/>
      <c r="L790" s="3"/>
      <c r="M790" s="3"/>
    </row>
    <row r="791" spans="8:13" ht="15.75" x14ac:dyDescent="0.25">
      <c r="H791" s="3"/>
      <c r="I791" s="4"/>
      <c r="J791" s="3"/>
      <c r="K791" s="5"/>
      <c r="L791" s="3"/>
      <c r="M791" s="3"/>
    </row>
    <row r="792" spans="8:13" ht="15.75" x14ac:dyDescent="0.25">
      <c r="H792" s="3"/>
      <c r="I792" s="4"/>
      <c r="J792" s="3"/>
      <c r="K792" s="5"/>
      <c r="L792" s="3"/>
      <c r="M792" s="3"/>
    </row>
    <row r="793" spans="8:13" ht="15.75" x14ac:dyDescent="0.25">
      <c r="H793" s="3"/>
      <c r="I793" s="4"/>
      <c r="J793" s="3"/>
      <c r="K793" s="5"/>
      <c r="L793" s="3"/>
      <c r="M793" s="3"/>
    </row>
    <row r="794" spans="8:13" ht="15.75" x14ac:dyDescent="0.25">
      <c r="H794" s="3"/>
      <c r="I794" s="4"/>
      <c r="J794" s="3"/>
      <c r="K794" s="5"/>
      <c r="L794" s="3"/>
      <c r="M794" s="3"/>
    </row>
    <row r="795" spans="8:13" ht="15.75" x14ac:dyDescent="0.25">
      <c r="H795" s="3"/>
      <c r="I795" s="4"/>
      <c r="J795" s="3"/>
      <c r="K795" s="5"/>
      <c r="L795" s="3"/>
      <c r="M795" s="3"/>
    </row>
    <row r="796" spans="8:13" ht="15.75" x14ac:dyDescent="0.25">
      <c r="H796" s="3"/>
      <c r="I796" s="4"/>
      <c r="J796" s="3"/>
      <c r="K796" s="5"/>
      <c r="L796" s="3"/>
      <c r="M796" s="3"/>
    </row>
    <row r="797" spans="8:13" ht="15.75" x14ac:dyDescent="0.25">
      <c r="H797" s="3"/>
      <c r="I797" s="4"/>
      <c r="J797" s="3"/>
      <c r="K797" s="5"/>
      <c r="L797" s="3"/>
      <c r="M797" s="3"/>
    </row>
    <row r="798" spans="8:13" ht="15.75" x14ac:dyDescent="0.25">
      <c r="H798" s="3"/>
      <c r="I798" s="4"/>
      <c r="J798" s="3"/>
      <c r="K798" s="5"/>
      <c r="L798" s="3"/>
      <c r="M798" s="3"/>
    </row>
    <row r="799" spans="8:13" ht="15.75" x14ac:dyDescent="0.25">
      <c r="H799" s="3"/>
      <c r="I799" s="4"/>
      <c r="J799" s="3"/>
      <c r="K799" s="5"/>
      <c r="L799" s="3"/>
      <c r="M799" s="3"/>
    </row>
    <row r="800" spans="8:13" ht="15.75" x14ac:dyDescent="0.25">
      <c r="H800" s="3"/>
      <c r="I800" s="4"/>
      <c r="J800" s="3"/>
      <c r="K800" s="5"/>
      <c r="L800" s="3"/>
      <c r="M800" s="3"/>
    </row>
    <row r="801" spans="8:13" ht="15.75" x14ac:dyDescent="0.25">
      <c r="H801" s="3"/>
      <c r="I801" s="4"/>
      <c r="J801" s="3"/>
      <c r="K801" s="5"/>
      <c r="L801" s="3"/>
      <c r="M801" s="3"/>
    </row>
    <row r="802" spans="8:13" ht="15.75" x14ac:dyDescent="0.25">
      <c r="H802" s="3"/>
      <c r="I802" s="4"/>
      <c r="J802" s="3"/>
      <c r="K802" s="5"/>
      <c r="L802" s="3"/>
      <c r="M802" s="3"/>
    </row>
    <row r="803" spans="8:13" ht="15.75" x14ac:dyDescent="0.25">
      <c r="H803" s="3"/>
      <c r="I803" s="4"/>
      <c r="J803" s="3"/>
      <c r="K803" s="5"/>
      <c r="L803" s="3"/>
      <c r="M803" s="3"/>
    </row>
    <row r="804" spans="8:13" ht="15.75" x14ac:dyDescent="0.25">
      <c r="H804" s="3"/>
      <c r="I804" s="4"/>
      <c r="J804" s="3"/>
      <c r="K804" s="5"/>
      <c r="L804" s="3"/>
      <c r="M804" s="3"/>
    </row>
    <row r="805" spans="8:13" ht="15.75" x14ac:dyDescent="0.25">
      <c r="H805" s="3"/>
      <c r="I805" s="4"/>
      <c r="J805" s="3"/>
      <c r="K805" s="5"/>
      <c r="L805" s="3"/>
      <c r="M805" s="3"/>
    </row>
    <row r="806" spans="8:13" ht="15.75" x14ac:dyDescent="0.25">
      <c r="H806" s="3"/>
      <c r="I806" s="4"/>
      <c r="J806" s="3"/>
      <c r="K806" s="5"/>
      <c r="L806" s="3"/>
      <c r="M806" s="3"/>
    </row>
    <row r="807" spans="8:13" ht="15.75" x14ac:dyDescent="0.25">
      <c r="H807" s="3"/>
      <c r="I807" s="4"/>
      <c r="J807" s="3"/>
      <c r="K807" s="5"/>
      <c r="L807" s="3"/>
      <c r="M807" s="3"/>
    </row>
    <row r="808" spans="8:13" ht="15.75" x14ac:dyDescent="0.25">
      <c r="H808" s="3"/>
      <c r="I808" s="4"/>
      <c r="J808" s="3"/>
      <c r="K808" s="5"/>
      <c r="L808" s="3"/>
      <c r="M808" s="3"/>
    </row>
    <row r="809" spans="8:13" ht="15.75" x14ac:dyDescent="0.25">
      <c r="H809" s="3"/>
      <c r="I809" s="4"/>
      <c r="J809" s="3"/>
      <c r="K809" s="5"/>
      <c r="L809" s="3"/>
      <c r="M809" s="3"/>
    </row>
    <row r="810" spans="8:13" ht="15.75" x14ac:dyDescent="0.25">
      <c r="H810" s="3"/>
      <c r="I810" s="4"/>
      <c r="J810" s="3"/>
      <c r="K810" s="5"/>
      <c r="L810" s="3"/>
      <c r="M810" s="3"/>
    </row>
    <row r="811" spans="8:13" ht="15.75" x14ac:dyDescent="0.25">
      <c r="H811" s="3"/>
      <c r="I811" s="4"/>
      <c r="J811" s="3"/>
      <c r="K811" s="5"/>
      <c r="L811" s="3"/>
      <c r="M811" s="3"/>
    </row>
    <row r="812" spans="8:13" ht="15.75" x14ac:dyDescent="0.25">
      <c r="H812" s="3"/>
      <c r="I812" s="4"/>
      <c r="J812" s="3"/>
      <c r="K812" s="5"/>
      <c r="L812" s="3"/>
      <c r="M812" s="3"/>
    </row>
    <row r="813" spans="8:13" ht="15.75" x14ac:dyDescent="0.25">
      <c r="H813" s="3"/>
      <c r="I813" s="4"/>
      <c r="J813" s="3"/>
      <c r="K813" s="5"/>
      <c r="L813" s="3"/>
      <c r="M813" s="3"/>
    </row>
    <row r="814" spans="8:13" ht="15.75" x14ac:dyDescent="0.25">
      <c r="H814" s="3"/>
      <c r="I814" s="4"/>
      <c r="J814" s="3"/>
      <c r="K814" s="5"/>
      <c r="L814" s="3"/>
      <c r="M814" s="3"/>
    </row>
    <row r="815" spans="8:13" ht="15.75" x14ac:dyDescent="0.25">
      <c r="H815" s="3"/>
      <c r="I815" s="4"/>
      <c r="J815" s="3"/>
      <c r="K815" s="5"/>
      <c r="L815" s="3"/>
      <c r="M815" s="3"/>
    </row>
    <row r="816" spans="8:13" ht="15.75" x14ac:dyDescent="0.25">
      <c r="H816" s="3"/>
      <c r="I816" s="4"/>
      <c r="J816" s="3"/>
      <c r="K816" s="5"/>
      <c r="L816" s="3"/>
      <c r="M816" s="3"/>
    </row>
    <row r="817" spans="8:13" ht="15.75" x14ac:dyDescent="0.25">
      <c r="H817" s="3"/>
      <c r="I817" s="4"/>
      <c r="J817" s="3"/>
      <c r="K817" s="5"/>
      <c r="L817" s="3"/>
      <c r="M817" s="3"/>
    </row>
    <row r="818" spans="8:13" ht="15.75" x14ac:dyDescent="0.25">
      <c r="H818" s="3"/>
      <c r="I818" s="4"/>
      <c r="J818" s="3"/>
      <c r="K818" s="5"/>
      <c r="L818" s="3"/>
      <c r="M818" s="3"/>
    </row>
    <row r="819" spans="8:13" ht="15.75" x14ac:dyDescent="0.25">
      <c r="H819" s="3"/>
      <c r="I819" s="4"/>
      <c r="J819" s="3"/>
      <c r="K819" s="5"/>
      <c r="L819" s="3"/>
      <c r="M819" s="3"/>
    </row>
    <row r="820" spans="8:13" ht="15.75" x14ac:dyDescent="0.25">
      <c r="H820" s="3"/>
      <c r="I820" s="4"/>
      <c r="J820" s="3"/>
      <c r="K820" s="5"/>
      <c r="L820" s="3"/>
      <c r="M820" s="3"/>
    </row>
    <row r="821" spans="8:13" ht="15.75" x14ac:dyDescent="0.25">
      <c r="H821" s="3"/>
      <c r="I821" s="4"/>
      <c r="J821" s="3"/>
      <c r="K821" s="5"/>
      <c r="L821" s="3"/>
      <c r="M821" s="3"/>
    </row>
    <row r="822" spans="8:13" ht="15.75" x14ac:dyDescent="0.25">
      <c r="H822" s="3"/>
      <c r="I822" s="4"/>
      <c r="J822" s="3"/>
      <c r="K822" s="5"/>
      <c r="L822" s="3"/>
      <c r="M822" s="3"/>
    </row>
    <row r="823" spans="8:13" ht="15.75" x14ac:dyDescent="0.25">
      <c r="H823" s="3"/>
      <c r="I823" s="4"/>
      <c r="J823" s="3"/>
      <c r="K823" s="5"/>
      <c r="L823" s="3"/>
      <c r="M823" s="3"/>
    </row>
    <row r="824" spans="8:13" ht="15.75" x14ac:dyDescent="0.25">
      <c r="H824" s="3"/>
      <c r="I824" s="4"/>
      <c r="J824" s="3"/>
      <c r="K824" s="5"/>
      <c r="L824" s="3"/>
      <c r="M824" s="3"/>
    </row>
    <row r="825" spans="8:13" ht="15.75" x14ac:dyDescent="0.25">
      <c r="H825" s="3"/>
      <c r="I825" s="4"/>
      <c r="J825" s="3"/>
      <c r="K825" s="5"/>
      <c r="L825" s="3"/>
      <c r="M825" s="3"/>
    </row>
    <row r="826" spans="8:13" ht="15.75" x14ac:dyDescent="0.25">
      <c r="H826" s="3"/>
      <c r="I826" s="4"/>
      <c r="J826" s="3"/>
      <c r="K826" s="5"/>
      <c r="L826" s="3"/>
      <c r="M826" s="3"/>
    </row>
    <row r="827" spans="8:13" ht="15.75" x14ac:dyDescent="0.25">
      <c r="H827" s="3"/>
      <c r="I827" s="4"/>
      <c r="J827" s="3"/>
      <c r="K827" s="5"/>
      <c r="L827" s="3"/>
      <c r="M827" s="3"/>
    </row>
    <row r="828" spans="8:13" ht="15.75" x14ac:dyDescent="0.25">
      <c r="H828" s="3"/>
      <c r="I828" s="4"/>
      <c r="J828" s="3"/>
      <c r="K828" s="5"/>
      <c r="L828" s="3"/>
      <c r="M828" s="3"/>
    </row>
    <row r="829" spans="8:13" ht="15.75" x14ac:dyDescent="0.25">
      <c r="H829" s="3"/>
      <c r="I829" s="4"/>
      <c r="J829" s="3"/>
      <c r="K829" s="5"/>
      <c r="L829" s="3"/>
      <c r="M829" s="3"/>
    </row>
    <row r="830" spans="8:13" ht="15.75" x14ac:dyDescent="0.25">
      <c r="H830" s="3"/>
      <c r="I830" s="4"/>
      <c r="J830" s="3"/>
      <c r="K830" s="5"/>
      <c r="L830" s="3"/>
      <c r="M830" s="3"/>
    </row>
    <row r="831" spans="8:13" ht="15.75" x14ac:dyDescent="0.25">
      <c r="H831" s="3"/>
      <c r="I831" s="4"/>
      <c r="J831" s="3"/>
      <c r="K831" s="5"/>
      <c r="L831" s="3"/>
      <c r="M831" s="3"/>
    </row>
    <row r="832" spans="8:13" ht="15.75" x14ac:dyDescent="0.25">
      <c r="H832" s="3"/>
      <c r="I832" s="4"/>
      <c r="J832" s="3"/>
      <c r="K832" s="5"/>
      <c r="L832" s="3"/>
      <c r="M832" s="3"/>
    </row>
    <row r="833" spans="8:13" ht="15.75" x14ac:dyDescent="0.25">
      <c r="H833" s="3"/>
      <c r="I833" s="4"/>
      <c r="J833" s="3"/>
      <c r="K833" s="5"/>
      <c r="L833" s="3"/>
      <c r="M833" s="3"/>
    </row>
    <row r="834" spans="8:13" ht="15.75" x14ac:dyDescent="0.25">
      <c r="H834" s="3"/>
      <c r="I834" s="4"/>
      <c r="J834" s="3"/>
      <c r="K834" s="5"/>
      <c r="L834" s="3"/>
      <c r="M834" s="3"/>
    </row>
    <row r="835" spans="8:13" ht="15.75" x14ac:dyDescent="0.25">
      <c r="H835" s="3"/>
      <c r="I835" s="4"/>
      <c r="J835" s="3"/>
      <c r="K835" s="5"/>
      <c r="L835" s="3"/>
      <c r="M835" s="3"/>
    </row>
    <row r="836" spans="8:13" ht="15.75" x14ac:dyDescent="0.25">
      <c r="H836" s="3"/>
      <c r="I836" s="4"/>
      <c r="J836" s="3"/>
      <c r="K836" s="5"/>
      <c r="L836" s="3"/>
      <c r="M836" s="3"/>
    </row>
    <row r="837" spans="8:13" ht="15.75" x14ac:dyDescent="0.25">
      <c r="H837" s="3"/>
      <c r="I837" s="4"/>
      <c r="J837" s="3"/>
      <c r="K837" s="5"/>
      <c r="L837" s="3"/>
      <c r="M837" s="3"/>
    </row>
    <row r="838" spans="8:13" ht="15.75" x14ac:dyDescent="0.25">
      <c r="H838" s="3"/>
      <c r="I838" s="4"/>
      <c r="J838" s="3"/>
      <c r="K838" s="5"/>
      <c r="L838" s="3"/>
      <c r="M838" s="3"/>
    </row>
    <row r="839" spans="8:13" ht="15.75" x14ac:dyDescent="0.25">
      <c r="H839" s="3"/>
      <c r="I839" s="4"/>
      <c r="J839" s="3"/>
      <c r="K839" s="5"/>
      <c r="L839" s="3"/>
      <c r="M839" s="3"/>
    </row>
    <row r="840" spans="8:13" ht="15.75" x14ac:dyDescent="0.25">
      <c r="H840" s="3"/>
      <c r="I840" s="4"/>
      <c r="J840" s="3"/>
      <c r="K840" s="5"/>
      <c r="L840" s="3"/>
      <c r="M840" s="3"/>
    </row>
    <row r="841" spans="8:13" ht="15.75" x14ac:dyDescent="0.25">
      <c r="H841" s="3"/>
      <c r="I841" s="4"/>
      <c r="J841" s="3"/>
      <c r="K841" s="5"/>
      <c r="L841" s="3"/>
      <c r="M841" s="3"/>
    </row>
    <row r="842" spans="8:13" ht="15.75" x14ac:dyDescent="0.25">
      <c r="H842" s="3"/>
      <c r="I842" s="4"/>
      <c r="J842" s="3"/>
      <c r="K842" s="5"/>
      <c r="L842" s="3"/>
      <c r="M842" s="3"/>
    </row>
    <row r="843" spans="8:13" ht="15.75" x14ac:dyDescent="0.25">
      <c r="H843" s="3"/>
      <c r="I843" s="4"/>
      <c r="J843" s="3"/>
      <c r="K843" s="5"/>
      <c r="L843" s="3"/>
      <c r="M843" s="3"/>
    </row>
    <row r="844" spans="8:13" ht="15.75" x14ac:dyDescent="0.25">
      <c r="H844" s="3"/>
      <c r="I844" s="4"/>
      <c r="J844" s="3"/>
      <c r="K844" s="5"/>
      <c r="L844" s="3"/>
      <c r="M844" s="3"/>
    </row>
    <row r="845" spans="8:13" ht="15.75" x14ac:dyDescent="0.25">
      <c r="H845" s="3"/>
      <c r="I845" s="4"/>
      <c r="J845" s="3"/>
      <c r="K845" s="5"/>
      <c r="L845" s="3"/>
      <c r="M845" s="3"/>
    </row>
    <row r="846" spans="8:13" ht="15.75" x14ac:dyDescent="0.25">
      <c r="H846" s="3"/>
      <c r="I846" s="4"/>
      <c r="J846" s="3"/>
      <c r="K846" s="5"/>
      <c r="L846" s="3"/>
      <c r="M846" s="3"/>
    </row>
    <row r="847" spans="8:13" ht="15.75" x14ac:dyDescent="0.25">
      <c r="H847" s="3"/>
      <c r="I847" s="4"/>
      <c r="J847" s="3"/>
      <c r="K847" s="5"/>
      <c r="L847" s="3"/>
      <c r="M847" s="3"/>
    </row>
    <row r="848" spans="8:13" ht="15.75" x14ac:dyDescent="0.25">
      <c r="H848" s="3"/>
      <c r="I848" s="4"/>
      <c r="J848" s="3"/>
      <c r="K848" s="5"/>
      <c r="L848" s="3"/>
      <c r="M848" s="3"/>
    </row>
    <row r="849" spans="8:13" ht="15.75" x14ac:dyDescent="0.25">
      <c r="H849" s="3"/>
      <c r="I849" s="4"/>
      <c r="J849" s="3"/>
      <c r="K849" s="5"/>
      <c r="L849" s="3"/>
      <c r="M849" s="3"/>
    </row>
    <row r="850" spans="8:13" ht="15.75" x14ac:dyDescent="0.25">
      <c r="H850" s="3"/>
      <c r="I850" s="4"/>
      <c r="J850" s="3"/>
      <c r="K850" s="5"/>
      <c r="L850" s="3"/>
      <c r="M850" s="3"/>
    </row>
    <row r="851" spans="8:13" ht="15.75" x14ac:dyDescent="0.25">
      <c r="H851" s="3"/>
      <c r="I851" s="4"/>
      <c r="J851" s="3"/>
      <c r="K851" s="5"/>
      <c r="L851" s="3"/>
      <c r="M851" s="3"/>
    </row>
    <row r="852" spans="8:13" ht="15.75" x14ac:dyDescent="0.25">
      <c r="H852" s="3"/>
      <c r="I852" s="4"/>
      <c r="J852" s="3"/>
      <c r="K852" s="5"/>
      <c r="L852" s="3"/>
      <c r="M852" s="3"/>
    </row>
    <row r="853" spans="8:13" ht="15.75" x14ac:dyDescent="0.25">
      <c r="H853" s="3"/>
      <c r="I853" s="4"/>
      <c r="J853" s="3"/>
      <c r="K853" s="5"/>
      <c r="L853" s="3"/>
      <c r="M853" s="3"/>
    </row>
    <row r="854" spans="8:13" ht="15.75" x14ac:dyDescent="0.25">
      <c r="H854" s="3"/>
      <c r="I854" s="4"/>
      <c r="J854" s="3"/>
      <c r="K854" s="5"/>
      <c r="L854" s="3"/>
      <c r="M854" s="3"/>
    </row>
    <row r="855" spans="8:13" ht="15.75" x14ac:dyDescent="0.25">
      <c r="H855" s="3"/>
      <c r="I855" s="4"/>
      <c r="J855" s="3"/>
      <c r="K855" s="5"/>
      <c r="L855" s="3"/>
      <c r="M855" s="3"/>
    </row>
    <row r="856" spans="8:13" ht="15.75" x14ac:dyDescent="0.25">
      <c r="H856" s="3"/>
      <c r="I856" s="4"/>
      <c r="J856" s="3"/>
      <c r="K856" s="5"/>
      <c r="L856" s="3"/>
      <c r="M856" s="3"/>
    </row>
    <row r="857" spans="8:13" ht="15.75" x14ac:dyDescent="0.25">
      <c r="H857" s="3"/>
      <c r="I857" s="4"/>
      <c r="J857" s="3"/>
      <c r="K857" s="5"/>
      <c r="L857" s="3"/>
      <c r="M857" s="3"/>
    </row>
    <row r="858" spans="8:13" ht="15.75" x14ac:dyDescent="0.25">
      <c r="H858" s="3"/>
      <c r="I858" s="4"/>
      <c r="J858" s="3"/>
      <c r="K858" s="5"/>
      <c r="L858" s="3"/>
      <c r="M858" s="3"/>
    </row>
    <row r="859" spans="8:13" ht="15.75" x14ac:dyDescent="0.25">
      <c r="H859" s="3"/>
      <c r="I859" s="4"/>
      <c r="J859" s="3"/>
      <c r="K859" s="5"/>
      <c r="L859" s="3"/>
      <c r="M859" s="3"/>
    </row>
    <row r="860" spans="8:13" ht="15.75" x14ac:dyDescent="0.25">
      <c r="H860" s="3"/>
      <c r="I860" s="4"/>
      <c r="J860" s="3"/>
      <c r="K860" s="5"/>
      <c r="L860" s="3"/>
      <c r="M860" s="3"/>
    </row>
    <row r="861" spans="8:13" ht="15.75" x14ac:dyDescent="0.25">
      <c r="H861" s="3"/>
      <c r="I861" s="4"/>
      <c r="J861" s="3"/>
      <c r="K861" s="5"/>
      <c r="L861" s="3"/>
      <c r="M861" s="3"/>
    </row>
    <row r="862" spans="8:13" ht="15.75" x14ac:dyDescent="0.25">
      <c r="H862" s="3"/>
      <c r="I862" s="4"/>
      <c r="J862" s="3"/>
      <c r="K862" s="5"/>
      <c r="L862" s="3"/>
      <c r="M862" s="3"/>
    </row>
    <row r="863" spans="8:13" ht="15.75" x14ac:dyDescent="0.25">
      <c r="H863" s="3"/>
      <c r="I863" s="4"/>
      <c r="J863" s="3"/>
      <c r="K863" s="5"/>
      <c r="L863" s="3"/>
      <c r="M863" s="3"/>
    </row>
    <row r="864" spans="8:13" ht="15.75" x14ac:dyDescent="0.25">
      <c r="H864" s="3"/>
      <c r="I864" s="4"/>
      <c r="J864" s="3"/>
      <c r="K864" s="5"/>
      <c r="L864" s="3"/>
      <c r="M864" s="3"/>
    </row>
    <row r="865" spans="8:13" ht="15.75" x14ac:dyDescent="0.25">
      <c r="H865" s="3"/>
      <c r="I865" s="4"/>
      <c r="J865" s="3"/>
      <c r="K865" s="5"/>
      <c r="L865" s="3"/>
      <c r="M865" s="3"/>
    </row>
    <row r="866" spans="8:13" ht="15.75" x14ac:dyDescent="0.25">
      <c r="H866" s="3"/>
      <c r="I866" s="4"/>
      <c r="J866" s="3"/>
      <c r="K866" s="5"/>
      <c r="L866" s="3"/>
      <c r="M866" s="3"/>
    </row>
    <row r="867" spans="8:13" ht="15.75" x14ac:dyDescent="0.25">
      <c r="H867" s="3"/>
      <c r="I867" s="4"/>
      <c r="J867" s="3"/>
      <c r="K867" s="5"/>
      <c r="L867" s="3"/>
      <c r="M867" s="3"/>
    </row>
    <row r="868" spans="8:13" ht="15.75" x14ac:dyDescent="0.25">
      <c r="H868" s="3"/>
      <c r="I868" s="4"/>
      <c r="J868" s="3"/>
      <c r="K868" s="5"/>
      <c r="L868" s="3"/>
      <c r="M868" s="3"/>
    </row>
    <row r="869" spans="8:13" ht="15.75" x14ac:dyDescent="0.25">
      <c r="H869" s="3"/>
      <c r="I869" s="4"/>
      <c r="J869" s="3"/>
      <c r="K869" s="5"/>
      <c r="L869" s="3"/>
      <c r="M869" s="3"/>
    </row>
    <row r="870" spans="8:13" ht="15.75" x14ac:dyDescent="0.25">
      <c r="H870" s="3"/>
      <c r="I870" s="4"/>
      <c r="J870" s="3"/>
      <c r="K870" s="5"/>
      <c r="L870" s="3"/>
      <c r="M870" s="3"/>
    </row>
    <row r="871" spans="8:13" ht="15.75" x14ac:dyDescent="0.25">
      <c r="H871" s="3"/>
      <c r="I871" s="4"/>
      <c r="J871" s="3"/>
      <c r="K871" s="5"/>
      <c r="L871" s="3"/>
      <c r="M871" s="3"/>
    </row>
    <row r="872" spans="8:13" ht="15.75" x14ac:dyDescent="0.25">
      <c r="H872" s="3"/>
      <c r="I872" s="4"/>
      <c r="J872" s="3"/>
      <c r="K872" s="5"/>
      <c r="L872" s="3"/>
      <c r="M872" s="3"/>
    </row>
    <row r="873" spans="8:13" ht="15.75" x14ac:dyDescent="0.25">
      <c r="H873" s="3"/>
      <c r="I873" s="4"/>
      <c r="J873" s="3"/>
      <c r="K873" s="5"/>
      <c r="L873" s="3"/>
      <c r="M873" s="3"/>
    </row>
    <row r="874" spans="8:13" ht="15.75" x14ac:dyDescent="0.25">
      <c r="H874" s="3"/>
      <c r="I874" s="4"/>
      <c r="J874" s="3"/>
      <c r="K874" s="5"/>
      <c r="L874" s="3"/>
      <c r="M874" s="3"/>
    </row>
    <row r="875" spans="8:13" ht="15.75" x14ac:dyDescent="0.25">
      <c r="H875" s="3"/>
      <c r="I875" s="4"/>
      <c r="J875" s="3"/>
      <c r="K875" s="5"/>
      <c r="L875" s="3"/>
      <c r="M875" s="3"/>
    </row>
    <row r="876" spans="8:13" ht="15.75" x14ac:dyDescent="0.25">
      <c r="H876" s="3"/>
      <c r="I876" s="4"/>
      <c r="J876" s="3"/>
      <c r="K876" s="5"/>
      <c r="L876" s="3"/>
      <c r="M876" s="3"/>
    </row>
    <row r="877" spans="8:13" ht="15.75" x14ac:dyDescent="0.25">
      <c r="H877" s="3"/>
      <c r="I877" s="4"/>
      <c r="J877" s="3"/>
      <c r="K877" s="5"/>
      <c r="L877" s="3"/>
      <c r="M877" s="3"/>
    </row>
    <row r="878" spans="8:13" ht="15.75" x14ac:dyDescent="0.25">
      <c r="H878" s="3"/>
      <c r="I878" s="4"/>
      <c r="J878" s="3"/>
      <c r="K878" s="5"/>
      <c r="L878" s="3"/>
      <c r="M878" s="3"/>
    </row>
    <row r="879" spans="8:13" ht="15.75" x14ac:dyDescent="0.25">
      <c r="H879" s="3"/>
      <c r="I879" s="4"/>
      <c r="J879" s="3"/>
      <c r="K879" s="5"/>
      <c r="L879" s="3"/>
      <c r="M879" s="3"/>
    </row>
    <row r="880" spans="8:13" ht="15.75" x14ac:dyDescent="0.25">
      <c r="H880" s="3"/>
      <c r="I880" s="4"/>
      <c r="J880" s="3"/>
      <c r="K880" s="5"/>
      <c r="L880" s="3"/>
      <c r="M880" s="3"/>
    </row>
    <row r="881" spans="8:13" ht="15.75" x14ac:dyDescent="0.25">
      <c r="H881" s="3"/>
      <c r="I881" s="4"/>
      <c r="J881" s="3"/>
      <c r="K881" s="5"/>
      <c r="L881" s="3"/>
      <c r="M881" s="3"/>
    </row>
    <row r="882" spans="8:13" ht="15.75" x14ac:dyDescent="0.25">
      <c r="H882" s="3"/>
      <c r="I882" s="4"/>
      <c r="J882" s="3"/>
      <c r="K882" s="5"/>
      <c r="L882" s="3"/>
      <c r="M882" s="3"/>
    </row>
    <row r="883" spans="8:13" ht="15.75" x14ac:dyDescent="0.25">
      <c r="H883" s="3"/>
      <c r="I883" s="4"/>
      <c r="J883" s="3"/>
      <c r="K883" s="5"/>
      <c r="L883" s="3"/>
      <c r="M883" s="3"/>
    </row>
    <row r="884" spans="8:13" ht="15.75" x14ac:dyDescent="0.25">
      <c r="H884" s="3"/>
      <c r="I884" s="4"/>
      <c r="J884" s="3"/>
      <c r="K884" s="5"/>
      <c r="L884" s="3"/>
      <c r="M884" s="3"/>
    </row>
    <row r="885" spans="8:13" ht="15.75" x14ac:dyDescent="0.25">
      <c r="H885" s="3"/>
      <c r="I885" s="4"/>
      <c r="J885" s="3"/>
      <c r="K885" s="5"/>
      <c r="L885" s="3"/>
      <c r="M885" s="3"/>
    </row>
    <row r="886" spans="8:13" ht="15.75" x14ac:dyDescent="0.25">
      <c r="H886" s="3"/>
      <c r="I886" s="4"/>
      <c r="J886" s="3"/>
      <c r="K886" s="5"/>
      <c r="L886" s="3"/>
      <c r="M886" s="3"/>
    </row>
    <row r="887" spans="8:13" ht="15.75" x14ac:dyDescent="0.25">
      <c r="H887" s="3"/>
      <c r="I887" s="4"/>
      <c r="J887" s="3"/>
      <c r="K887" s="5"/>
      <c r="L887" s="3"/>
      <c r="M887" s="3"/>
    </row>
    <row r="888" spans="8:13" ht="15.75" x14ac:dyDescent="0.25">
      <c r="H888" s="3"/>
      <c r="I888" s="4"/>
      <c r="J888" s="3"/>
      <c r="K888" s="5"/>
      <c r="L888" s="3"/>
      <c r="M888" s="3"/>
    </row>
    <row r="889" spans="8:13" ht="15.75" x14ac:dyDescent="0.25">
      <c r="H889" s="3"/>
      <c r="I889" s="4"/>
      <c r="J889" s="3"/>
      <c r="K889" s="5"/>
      <c r="L889" s="3"/>
      <c r="M889" s="3"/>
    </row>
    <row r="890" spans="8:13" ht="15.75" x14ac:dyDescent="0.25">
      <c r="H890" s="3"/>
      <c r="I890" s="4"/>
      <c r="J890" s="3"/>
      <c r="K890" s="5"/>
      <c r="L890" s="3"/>
      <c r="M890" s="3"/>
    </row>
    <row r="891" spans="8:13" ht="15.75" x14ac:dyDescent="0.25">
      <c r="H891" s="3"/>
      <c r="I891" s="4"/>
      <c r="J891" s="3"/>
      <c r="K891" s="5"/>
      <c r="L891" s="3"/>
      <c r="M891" s="3"/>
    </row>
    <row r="892" spans="8:13" ht="15.75" x14ac:dyDescent="0.25">
      <c r="H892" s="3"/>
      <c r="I892" s="4"/>
      <c r="J892" s="3"/>
      <c r="K892" s="5"/>
      <c r="L892" s="3"/>
      <c r="M892" s="3"/>
    </row>
    <row r="893" spans="8:13" ht="15.75" x14ac:dyDescent="0.25">
      <c r="H893" s="3"/>
      <c r="I893" s="4"/>
      <c r="J893" s="3"/>
      <c r="K893" s="5"/>
      <c r="L893" s="3"/>
      <c r="M893" s="3"/>
    </row>
    <row r="894" spans="8:13" ht="15.75" x14ac:dyDescent="0.25">
      <c r="H894" s="3"/>
      <c r="I894" s="4"/>
      <c r="J894" s="3"/>
      <c r="K894" s="5"/>
      <c r="L894" s="3"/>
      <c r="M894" s="3"/>
    </row>
    <row r="895" spans="8:13" ht="15.75" x14ac:dyDescent="0.25">
      <c r="H895" s="3"/>
      <c r="I895" s="4"/>
      <c r="J895" s="3"/>
      <c r="K895" s="5"/>
      <c r="L895" s="3"/>
      <c r="M895" s="3"/>
    </row>
    <row r="896" spans="8:13" ht="15.75" x14ac:dyDescent="0.25">
      <c r="H896" s="3"/>
      <c r="I896" s="4"/>
      <c r="J896" s="3"/>
      <c r="K896" s="5"/>
      <c r="L896" s="3"/>
      <c r="M896" s="3"/>
    </row>
    <row r="897" spans="8:13" ht="15.75" x14ac:dyDescent="0.25">
      <c r="H897" s="3"/>
      <c r="I897" s="4"/>
      <c r="J897" s="3"/>
      <c r="K897" s="5"/>
      <c r="L897" s="3"/>
      <c r="M897" s="3"/>
    </row>
    <row r="898" spans="8:13" ht="15.75" x14ac:dyDescent="0.25">
      <c r="H898" s="3"/>
      <c r="I898" s="4"/>
      <c r="J898" s="3"/>
      <c r="K898" s="5"/>
      <c r="L898" s="3"/>
      <c r="M898" s="3"/>
    </row>
    <row r="899" spans="8:13" ht="15.75" x14ac:dyDescent="0.25">
      <c r="H899" s="3"/>
      <c r="I899" s="4"/>
      <c r="J899" s="3"/>
      <c r="K899" s="5"/>
      <c r="L899" s="3"/>
      <c r="M899" s="3"/>
    </row>
    <row r="900" spans="8:13" ht="15.75" x14ac:dyDescent="0.25">
      <c r="H900" s="3"/>
      <c r="I900" s="4"/>
      <c r="J900" s="3"/>
      <c r="K900" s="5"/>
      <c r="L900" s="3"/>
      <c r="M900" s="3"/>
    </row>
    <row r="901" spans="8:13" ht="15.75" x14ac:dyDescent="0.25">
      <c r="H901" s="3"/>
      <c r="I901" s="4"/>
      <c r="J901" s="3"/>
      <c r="K901" s="5"/>
      <c r="L901" s="3"/>
      <c r="M901" s="3"/>
    </row>
    <row r="902" spans="8:13" ht="15.75" x14ac:dyDescent="0.25">
      <c r="H902" s="3"/>
      <c r="I902" s="4"/>
      <c r="J902" s="3"/>
      <c r="K902" s="5"/>
      <c r="L902" s="3"/>
      <c r="M902" s="3"/>
    </row>
    <row r="903" spans="8:13" ht="15.75" x14ac:dyDescent="0.25">
      <c r="H903" s="3"/>
      <c r="I903" s="4"/>
      <c r="J903" s="3"/>
      <c r="K903" s="5"/>
      <c r="L903" s="3"/>
      <c r="M903" s="3"/>
    </row>
    <row r="904" spans="8:13" ht="15.75" x14ac:dyDescent="0.25">
      <c r="H904" s="3"/>
      <c r="I904" s="4"/>
      <c r="J904" s="3"/>
      <c r="K904" s="5"/>
      <c r="L904" s="3"/>
      <c r="M904" s="3"/>
    </row>
    <row r="905" spans="8:13" ht="15.75" x14ac:dyDescent="0.25">
      <c r="H905" s="3"/>
      <c r="I905" s="4"/>
      <c r="J905" s="3"/>
      <c r="K905" s="5"/>
      <c r="L905" s="3"/>
      <c r="M905" s="3"/>
    </row>
    <row r="906" spans="8:13" ht="15.75" x14ac:dyDescent="0.25">
      <c r="H906" s="3"/>
      <c r="I906" s="4"/>
      <c r="J906" s="3"/>
      <c r="K906" s="5"/>
      <c r="L906" s="3"/>
      <c r="M906" s="3"/>
    </row>
    <row r="907" spans="8:13" ht="15.75" x14ac:dyDescent="0.25">
      <c r="H907" s="3"/>
      <c r="I907" s="4"/>
      <c r="J907" s="3"/>
      <c r="K907" s="5"/>
      <c r="L907" s="3"/>
      <c r="M907" s="3"/>
    </row>
    <row r="908" spans="8:13" ht="15.75" x14ac:dyDescent="0.25">
      <c r="H908" s="3"/>
      <c r="I908" s="4"/>
      <c r="J908" s="3"/>
      <c r="K908" s="5"/>
      <c r="L908" s="3"/>
      <c r="M908" s="3"/>
    </row>
    <row r="909" spans="8:13" ht="15.75" x14ac:dyDescent="0.25">
      <c r="H909" s="3"/>
      <c r="I909" s="4"/>
      <c r="J909" s="3"/>
      <c r="K909" s="5"/>
      <c r="L909" s="3"/>
      <c r="M909" s="3"/>
    </row>
    <row r="910" spans="8:13" ht="15.75" x14ac:dyDescent="0.25">
      <c r="H910" s="3"/>
      <c r="I910" s="4"/>
      <c r="J910" s="3"/>
      <c r="K910" s="5"/>
      <c r="L910" s="3"/>
      <c r="M910" s="3"/>
    </row>
    <row r="911" spans="8:13" ht="15.75" x14ac:dyDescent="0.25">
      <c r="H911" s="3"/>
      <c r="I911" s="4"/>
      <c r="J911" s="3"/>
      <c r="K911" s="5"/>
      <c r="L911" s="3"/>
      <c r="M911" s="3"/>
    </row>
    <row r="912" spans="8:13" ht="15.75" x14ac:dyDescent="0.25">
      <c r="H912" s="3"/>
      <c r="I912" s="4"/>
      <c r="J912" s="3"/>
      <c r="K912" s="5"/>
      <c r="L912" s="3"/>
      <c r="M912" s="3"/>
    </row>
    <row r="913" spans="8:13" ht="15.75" x14ac:dyDescent="0.25">
      <c r="H913" s="3"/>
      <c r="I913" s="4"/>
      <c r="J913" s="3"/>
      <c r="K913" s="5"/>
      <c r="L913" s="3"/>
      <c r="M913" s="3"/>
    </row>
    <row r="914" spans="8:13" ht="15.75" x14ac:dyDescent="0.25">
      <c r="H914" s="3"/>
      <c r="I914" s="4"/>
      <c r="J914" s="3"/>
      <c r="K914" s="5"/>
      <c r="L914" s="3"/>
      <c r="M914" s="3"/>
    </row>
    <row r="915" spans="8:13" ht="15.75" x14ac:dyDescent="0.25">
      <c r="H915" s="3"/>
      <c r="I915" s="4"/>
      <c r="J915" s="3"/>
      <c r="K915" s="5"/>
      <c r="L915" s="3"/>
      <c r="M915" s="3"/>
    </row>
    <row r="916" spans="8:13" ht="15.75" x14ac:dyDescent="0.25">
      <c r="H916" s="3"/>
      <c r="I916" s="4"/>
      <c r="J916" s="3"/>
      <c r="K916" s="5"/>
      <c r="L916" s="3"/>
      <c r="M916" s="3"/>
    </row>
    <row r="917" spans="8:13" ht="15.75" x14ac:dyDescent="0.25">
      <c r="H917" s="3"/>
      <c r="I917" s="4"/>
      <c r="J917" s="3"/>
      <c r="K917" s="5"/>
      <c r="L917" s="3"/>
      <c r="M917" s="3"/>
    </row>
    <row r="918" spans="8:13" ht="15.75" x14ac:dyDescent="0.25">
      <c r="H918" s="3"/>
      <c r="I918" s="4"/>
      <c r="J918" s="3"/>
      <c r="K918" s="5"/>
      <c r="L918" s="3"/>
      <c r="M918" s="3"/>
    </row>
    <row r="919" spans="8:13" ht="15.75" x14ac:dyDescent="0.25">
      <c r="H919" s="3"/>
      <c r="I919" s="4"/>
      <c r="J919" s="3"/>
      <c r="K919" s="5"/>
      <c r="L919" s="3"/>
      <c r="M919" s="3"/>
    </row>
    <row r="920" spans="8:13" ht="15.75" x14ac:dyDescent="0.25">
      <c r="H920" s="3"/>
      <c r="I920" s="4"/>
      <c r="J920" s="3"/>
      <c r="K920" s="5"/>
      <c r="L920" s="3"/>
      <c r="M920" s="3"/>
    </row>
    <row r="921" spans="8:13" ht="15.75" x14ac:dyDescent="0.25">
      <c r="H921" s="3"/>
      <c r="I921" s="4"/>
      <c r="J921" s="3"/>
      <c r="K921" s="5"/>
      <c r="L921" s="3"/>
      <c r="M921" s="3"/>
    </row>
    <row r="922" spans="8:13" ht="15.75" x14ac:dyDescent="0.25">
      <c r="H922" s="3"/>
      <c r="I922" s="4"/>
      <c r="J922" s="3"/>
      <c r="K922" s="5"/>
      <c r="L922" s="3"/>
      <c r="M922" s="3"/>
    </row>
    <row r="923" spans="8:13" ht="15.75" x14ac:dyDescent="0.25">
      <c r="H923" s="3"/>
      <c r="I923" s="4"/>
      <c r="J923" s="3"/>
      <c r="K923" s="5"/>
      <c r="L923" s="3"/>
      <c r="M923" s="3"/>
    </row>
    <row r="924" spans="8:13" ht="15.75" x14ac:dyDescent="0.25">
      <c r="H924" s="3"/>
      <c r="I924" s="4"/>
      <c r="J924" s="3"/>
      <c r="K924" s="5"/>
      <c r="L924" s="3"/>
      <c r="M924" s="3"/>
    </row>
    <row r="925" spans="8:13" ht="15.75" x14ac:dyDescent="0.25">
      <c r="H925" s="3"/>
      <c r="I925" s="4"/>
      <c r="J925" s="3"/>
      <c r="K925" s="5"/>
      <c r="L925" s="3"/>
      <c r="M925" s="3"/>
    </row>
    <row r="926" spans="8:13" ht="15.75" x14ac:dyDescent="0.25">
      <c r="H926" s="3"/>
      <c r="I926" s="4"/>
      <c r="J926" s="3"/>
      <c r="K926" s="5"/>
      <c r="L926" s="3"/>
      <c r="M926" s="3"/>
    </row>
    <row r="927" spans="8:13" ht="15.75" x14ac:dyDescent="0.25">
      <c r="H927" s="3"/>
      <c r="I927" s="4"/>
      <c r="J927" s="3"/>
      <c r="K927" s="5"/>
      <c r="L927" s="3"/>
      <c r="M927" s="3"/>
    </row>
    <row r="928" spans="8:13" ht="15.75" x14ac:dyDescent="0.25">
      <c r="H928" s="3"/>
      <c r="I928" s="4"/>
      <c r="J928" s="3"/>
      <c r="K928" s="5"/>
      <c r="L928" s="3"/>
      <c r="M928" s="3"/>
    </row>
    <row r="929" spans="8:13" ht="15.75" x14ac:dyDescent="0.25">
      <c r="H929" s="3"/>
      <c r="I929" s="4"/>
      <c r="J929" s="3"/>
      <c r="K929" s="5"/>
      <c r="L929" s="3"/>
      <c r="M929" s="3"/>
    </row>
    <row r="930" spans="8:13" ht="15.75" x14ac:dyDescent="0.25">
      <c r="H930" s="3"/>
      <c r="I930" s="4"/>
      <c r="J930" s="3"/>
      <c r="K930" s="5"/>
      <c r="L930" s="3"/>
      <c r="M930" s="3"/>
    </row>
    <row r="931" spans="8:13" ht="15.75" x14ac:dyDescent="0.25">
      <c r="H931" s="3"/>
      <c r="I931" s="4"/>
      <c r="J931" s="3"/>
      <c r="K931" s="5"/>
      <c r="L931" s="3"/>
      <c r="M931" s="3"/>
    </row>
    <row r="932" spans="8:13" ht="15.75" x14ac:dyDescent="0.25">
      <c r="H932" s="3"/>
      <c r="I932" s="4"/>
      <c r="J932" s="3"/>
      <c r="K932" s="5"/>
      <c r="L932" s="3"/>
      <c r="M932" s="3"/>
    </row>
    <row r="933" spans="8:13" ht="15.75" x14ac:dyDescent="0.25">
      <c r="H933" s="3"/>
      <c r="I933" s="4"/>
      <c r="J933" s="3"/>
      <c r="K933" s="5"/>
      <c r="L933" s="3"/>
      <c r="M933" s="3"/>
    </row>
    <row r="934" spans="8:13" ht="15.75" x14ac:dyDescent="0.25">
      <c r="H934" s="3"/>
      <c r="I934" s="4"/>
      <c r="J934" s="3"/>
      <c r="K934" s="5"/>
      <c r="L934" s="3"/>
      <c r="M934" s="3"/>
    </row>
    <row r="935" spans="8:13" ht="15.75" x14ac:dyDescent="0.25">
      <c r="H935" s="3"/>
      <c r="I935" s="4"/>
      <c r="J935" s="3"/>
      <c r="K935" s="5"/>
      <c r="L935" s="3"/>
      <c r="M935" s="3"/>
    </row>
    <row r="936" spans="8:13" ht="15.75" x14ac:dyDescent="0.25">
      <c r="H936" s="3"/>
      <c r="I936" s="4"/>
      <c r="J936" s="3"/>
      <c r="K936" s="5"/>
      <c r="L936" s="3"/>
      <c r="M936" s="3"/>
    </row>
    <row r="937" spans="8:13" ht="15.75" x14ac:dyDescent="0.25">
      <c r="H937" s="3"/>
      <c r="I937" s="4"/>
      <c r="J937" s="3"/>
      <c r="K937" s="5"/>
      <c r="L937" s="3"/>
      <c r="M937" s="3"/>
    </row>
    <row r="938" spans="8:13" ht="15.75" x14ac:dyDescent="0.25">
      <c r="H938" s="3"/>
      <c r="I938" s="4"/>
      <c r="J938" s="3"/>
      <c r="K938" s="5"/>
      <c r="L938" s="3"/>
      <c r="M938" s="3"/>
    </row>
    <row r="939" spans="8:13" ht="15.75" x14ac:dyDescent="0.25">
      <c r="H939" s="3"/>
      <c r="I939" s="4"/>
      <c r="J939" s="3"/>
      <c r="K939" s="5"/>
      <c r="L939" s="3"/>
      <c r="M939" s="3"/>
    </row>
    <row r="940" spans="8:13" ht="15.75" x14ac:dyDescent="0.25">
      <c r="H940" s="3"/>
      <c r="I940" s="4"/>
      <c r="J940" s="3"/>
      <c r="K940" s="5"/>
      <c r="L940" s="3"/>
      <c r="M940" s="3"/>
    </row>
    <row r="941" spans="8:13" ht="15.75" x14ac:dyDescent="0.25">
      <c r="H941" s="3"/>
      <c r="I941" s="4"/>
      <c r="J941" s="3"/>
      <c r="K941" s="5"/>
      <c r="L941" s="3"/>
      <c r="M941" s="3"/>
    </row>
    <row r="942" spans="8:13" ht="15.75" x14ac:dyDescent="0.25">
      <c r="H942" s="3"/>
      <c r="I942" s="4"/>
      <c r="J942" s="3"/>
      <c r="K942" s="5"/>
      <c r="L942" s="3"/>
      <c r="M942" s="3"/>
    </row>
    <row r="943" spans="8:13" ht="15.75" x14ac:dyDescent="0.25">
      <c r="H943" s="3"/>
      <c r="I943" s="4"/>
      <c r="J943" s="3"/>
      <c r="K943" s="5"/>
      <c r="L943" s="3"/>
      <c r="M943" s="3"/>
    </row>
    <row r="944" spans="8:13" ht="15.75" x14ac:dyDescent="0.25">
      <c r="H944" s="3"/>
      <c r="I944" s="4"/>
      <c r="J944" s="3"/>
      <c r="K944" s="5"/>
      <c r="L944" s="3"/>
      <c r="M944" s="3"/>
    </row>
    <row r="945" spans="8:13" ht="15.75" x14ac:dyDescent="0.25">
      <c r="H945" s="3"/>
      <c r="I945" s="4"/>
      <c r="J945" s="3"/>
      <c r="K945" s="5"/>
      <c r="L945" s="3"/>
      <c r="M945" s="3"/>
    </row>
    <row r="946" spans="8:13" ht="15.75" x14ac:dyDescent="0.25">
      <c r="H946" s="3"/>
      <c r="I946" s="4"/>
      <c r="J946" s="3"/>
      <c r="K946" s="5"/>
      <c r="L946" s="3"/>
      <c r="M946" s="3"/>
    </row>
    <row r="947" spans="8:13" ht="15.75" x14ac:dyDescent="0.25">
      <c r="H947" s="3"/>
      <c r="I947" s="4"/>
      <c r="J947" s="3"/>
      <c r="K947" s="5"/>
      <c r="L947" s="3"/>
      <c r="M947" s="3"/>
    </row>
    <row r="948" spans="8:13" ht="15.75" x14ac:dyDescent="0.25">
      <c r="H948" s="3"/>
      <c r="I948" s="4"/>
      <c r="J948" s="3"/>
      <c r="K948" s="5"/>
      <c r="L948" s="3"/>
      <c r="M948" s="3"/>
    </row>
    <row r="949" spans="8:13" ht="15.75" x14ac:dyDescent="0.25">
      <c r="H949" s="3"/>
      <c r="I949" s="4"/>
      <c r="J949" s="3"/>
      <c r="K949" s="5"/>
      <c r="L949" s="3"/>
      <c r="M949" s="3"/>
    </row>
    <row r="950" spans="8:13" ht="15.75" x14ac:dyDescent="0.25">
      <c r="H950" s="3"/>
      <c r="I950" s="4"/>
      <c r="J950" s="3"/>
      <c r="K950" s="5"/>
      <c r="L950" s="3"/>
      <c r="M950" s="3"/>
    </row>
    <row r="951" spans="8:13" ht="15.75" x14ac:dyDescent="0.25">
      <c r="H951" s="3"/>
      <c r="I951" s="4"/>
      <c r="J951" s="3"/>
      <c r="K951" s="5"/>
      <c r="L951" s="3"/>
      <c r="M951" s="3"/>
    </row>
    <row r="952" spans="8:13" ht="15.75" x14ac:dyDescent="0.25">
      <c r="H952" s="3"/>
      <c r="I952" s="4"/>
      <c r="J952" s="3"/>
      <c r="K952" s="5"/>
      <c r="L952" s="3"/>
      <c r="M952" s="3"/>
    </row>
    <row r="953" spans="8:13" ht="15.75" x14ac:dyDescent="0.25">
      <c r="H953" s="3"/>
      <c r="I953" s="4"/>
      <c r="J953" s="3"/>
      <c r="K953" s="5"/>
      <c r="L953" s="3"/>
      <c r="M953" s="3"/>
    </row>
    <row r="954" spans="8:13" ht="15.75" x14ac:dyDescent="0.25">
      <c r="H954" s="3"/>
      <c r="I954" s="4"/>
      <c r="J954" s="3"/>
      <c r="K954" s="5"/>
      <c r="L954" s="3"/>
      <c r="M954" s="3"/>
    </row>
    <row r="955" spans="8:13" ht="15.75" x14ac:dyDescent="0.25">
      <c r="H955" s="3"/>
      <c r="I955" s="4"/>
      <c r="J955" s="3"/>
      <c r="K955" s="5"/>
      <c r="L955" s="3"/>
      <c r="M955" s="3"/>
    </row>
    <row r="956" spans="8:13" ht="15.75" x14ac:dyDescent="0.25">
      <c r="H956" s="3"/>
      <c r="I956" s="4"/>
      <c r="J956" s="3"/>
      <c r="K956" s="5"/>
      <c r="L956" s="3"/>
      <c r="M956" s="3"/>
    </row>
    <row r="957" spans="8:13" ht="15.75" x14ac:dyDescent="0.25">
      <c r="H957" s="3"/>
      <c r="I957" s="4"/>
      <c r="J957" s="3"/>
      <c r="K957" s="5"/>
      <c r="L957" s="3"/>
      <c r="M957" s="3"/>
    </row>
    <row r="958" spans="8:13" ht="15.75" x14ac:dyDescent="0.25">
      <c r="H958" s="3"/>
      <c r="I958" s="4"/>
      <c r="J958" s="3"/>
      <c r="K958" s="5"/>
      <c r="L958" s="3"/>
      <c r="M958" s="3"/>
    </row>
    <row r="959" spans="8:13" ht="15.75" x14ac:dyDescent="0.25">
      <c r="H959" s="3"/>
      <c r="I959" s="4"/>
      <c r="J959" s="3"/>
      <c r="K959" s="5"/>
      <c r="L959" s="3"/>
      <c r="M959" s="3"/>
    </row>
    <row r="960" spans="8:13" ht="15.75" x14ac:dyDescent="0.25">
      <c r="H960" s="3"/>
      <c r="I960" s="4"/>
      <c r="J960" s="3"/>
      <c r="K960" s="5"/>
      <c r="L960" s="3"/>
      <c r="M960" s="3"/>
    </row>
    <row r="961" spans="8:13" ht="15.75" x14ac:dyDescent="0.25">
      <c r="H961" s="3"/>
      <c r="I961" s="4"/>
      <c r="J961" s="3"/>
      <c r="K961" s="5"/>
      <c r="L961" s="3"/>
      <c r="M961" s="3"/>
    </row>
    <row r="962" spans="8:13" ht="15.75" x14ac:dyDescent="0.25">
      <c r="H962" s="3"/>
      <c r="I962" s="4"/>
      <c r="J962" s="3"/>
      <c r="K962" s="5"/>
      <c r="L962" s="3"/>
      <c r="M962" s="3"/>
    </row>
    <row r="963" spans="8:13" ht="15.75" x14ac:dyDescent="0.25">
      <c r="H963" s="3"/>
      <c r="I963" s="4"/>
      <c r="J963" s="3"/>
      <c r="K963" s="5"/>
      <c r="L963" s="3"/>
      <c r="M963" s="3"/>
    </row>
    <row r="964" spans="8:13" ht="15.75" x14ac:dyDescent="0.25">
      <c r="H964" s="3"/>
      <c r="I964" s="4"/>
      <c r="J964" s="3"/>
      <c r="K964" s="5"/>
      <c r="L964" s="3"/>
      <c r="M964" s="3"/>
    </row>
    <row r="965" spans="8:13" ht="15.75" x14ac:dyDescent="0.25">
      <c r="H965" s="3"/>
      <c r="I965" s="4"/>
      <c r="J965" s="3"/>
      <c r="K965" s="5"/>
      <c r="L965" s="3"/>
      <c r="M965" s="3"/>
    </row>
    <row r="966" spans="8:13" ht="15.75" x14ac:dyDescent="0.25">
      <c r="H966" s="3"/>
      <c r="I966" s="4"/>
      <c r="J966" s="3"/>
      <c r="K966" s="5"/>
      <c r="L966" s="3"/>
      <c r="M966" s="3"/>
    </row>
    <row r="967" spans="8:13" ht="15.75" x14ac:dyDescent="0.25">
      <c r="H967" s="3"/>
      <c r="I967" s="4"/>
      <c r="J967" s="3"/>
      <c r="K967" s="5"/>
      <c r="L967" s="3"/>
      <c r="M967" s="3"/>
    </row>
    <row r="968" spans="8:13" ht="15.75" x14ac:dyDescent="0.25">
      <c r="H968" s="3"/>
      <c r="I968" s="4"/>
      <c r="J968" s="3"/>
      <c r="K968" s="5"/>
      <c r="L968" s="3"/>
      <c r="M968" s="3"/>
    </row>
    <row r="969" spans="8:13" ht="15.75" x14ac:dyDescent="0.25">
      <c r="H969" s="3"/>
      <c r="I969" s="4"/>
      <c r="J969" s="3"/>
      <c r="K969" s="5"/>
      <c r="L969" s="3"/>
      <c r="M969" s="3"/>
    </row>
    <row r="970" spans="8:13" ht="15.75" x14ac:dyDescent="0.25">
      <c r="H970" s="3"/>
      <c r="I970" s="4"/>
      <c r="J970" s="3"/>
      <c r="K970" s="5"/>
      <c r="L970" s="3"/>
      <c r="M970" s="3"/>
    </row>
    <row r="971" spans="8:13" ht="15.75" x14ac:dyDescent="0.25">
      <c r="H971" s="3"/>
      <c r="I971" s="4"/>
      <c r="J971" s="3"/>
      <c r="K971" s="5"/>
      <c r="L971" s="3"/>
      <c r="M971" s="3"/>
    </row>
    <row r="972" spans="8:13" ht="15.75" x14ac:dyDescent="0.25">
      <c r="H972" s="3"/>
      <c r="I972" s="4"/>
      <c r="J972" s="3"/>
      <c r="K972" s="5"/>
      <c r="L972" s="3"/>
      <c r="M972" s="3"/>
    </row>
    <row r="973" spans="8:13" ht="15.75" x14ac:dyDescent="0.25">
      <c r="H973" s="3"/>
      <c r="I973" s="4"/>
      <c r="J973" s="3"/>
      <c r="K973" s="5"/>
      <c r="L973" s="3"/>
      <c r="M973" s="3"/>
    </row>
    <row r="974" spans="8:13" ht="15.75" x14ac:dyDescent="0.25">
      <c r="H974" s="3"/>
      <c r="I974" s="4"/>
      <c r="J974" s="3"/>
      <c r="K974" s="5"/>
      <c r="L974" s="3"/>
      <c r="M974" s="3"/>
    </row>
    <row r="975" spans="8:13" ht="15.75" x14ac:dyDescent="0.25">
      <c r="H975" s="3"/>
      <c r="I975" s="4"/>
      <c r="J975" s="3"/>
      <c r="K975" s="5"/>
      <c r="L975" s="3"/>
      <c r="M975" s="3"/>
    </row>
    <row r="976" spans="8:13" ht="15.75" x14ac:dyDescent="0.25">
      <c r="H976" s="3"/>
      <c r="I976" s="4"/>
      <c r="J976" s="3"/>
      <c r="K976" s="5"/>
      <c r="L976" s="3"/>
      <c r="M976" s="3"/>
    </row>
    <row r="977" spans="8:13" ht="15.75" x14ac:dyDescent="0.25">
      <c r="H977" s="3"/>
      <c r="I977" s="4"/>
      <c r="J977" s="3"/>
      <c r="K977" s="5"/>
      <c r="L977" s="3"/>
      <c r="M977" s="3"/>
    </row>
    <row r="978" spans="8:13" ht="15.75" x14ac:dyDescent="0.25">
      <c r="H978" s="3"/>
      <c r="I978" s="4"/>
      <c r="J978" s="3"/>
      <c r="K978" s="5"/>
      <c r="L978" s="3"/>
      <c r="M978" s="3"/>
    </row>
    <row r="979" spans="8:13" ht="15.75" x14ac:dyDescent="0.25">
      <c r="H979" s="3"/>
      <c r="I979" s="4"/>
      <c r="J979" s="3"/>
      <c r="K979" s="5"/>
      <c r="L979" s="3"/>
      <c r="M979" s="3"/>
    </row>
    <row r="980" spans="8:13" ht="15.75" x14ac:dyDescent="0.25">
      <c r="H980" s="3"/>
      <c r="I980" s="4"/>
      <c r="J980" s="3"/>
      <c r="K980" s="5"/>
      <c r="L980" s="3"/>
      <c r="M980" s="3"/>
    </row>
    <row r="981" spans="8:13" ht="15.75" x14ac:dyDescent="0.25">
      <c r="H981" s="3"/>
      <c r="I981" s="4"/>
      <c r="J981" s="3"/>
      <c r="K981" s="5"/>
      <c r="L981" s="3"/>
      <c r="M981" s="3"/>
    </row>
    <row r="982" spans="8:13" ht="15.75" x14ac:dyDescent="0.25">
      <c r="H982" s="3"/>
      <c r="I982" s="4"/>
      <c r="J982" s="3"/>
      <c r="K982" s="5"/>
      <c r="L982" s="3"/>
      <c r="M982" s="3"/>
    </row>
    <row r="983" spans="8:13" ht="15.75" x14ac:dyDescent="0.25">
      <c r="H983" s="3"/>
      <c r="I983" s="4"/>
      <c r="J983" s="3"/>
      <c r="K983" s="5"/>
      <c r="L983" s="3"/>
      <c r="M983" s="3"/>
    </row>
    <row r="984" spans="8:13" ht="15.75" x14ac:dyDescent="0.25">
      <c r="H984" s="3"/>
      <c r="I984" s="4"/>
      <c r="J984" s="3"/>
      <c r="K984" s="5"/>
      <c r="L984" s="3"/>
      <c r="M984" s="3"/>
    </row>
    <row r="985" spans="8:13" ht="15.75" x14ac:dyDescent="0.25">
      <c r="H985" s="3"/>
      <c r="I985" s="4"/>
      <c r="J985" s="3"/>
      <c r="K985" s="5"/>
      <c r="L985" s="3"/>
      <c r="M985" s="3"/>
    </row>
    <row r="986" spans="8:13" ht="15.75" x14ac:dyDescent="0.25">
      <c r="H986" s="3"/>
      <c r="I986" s="4"/>
      <c r="J986" s="3"/>
      <c r="K986" s="5"/>
      <c r="L986" s="3"/>
      <c r="M986" s="3"/>
    </row>
    <row r="987" spans="8:13" ht="15.75" x14ac:dyDescent="0.25">
      <c r="H987" s="3"/>
      <c r="I987" s="4"/>
      <c r="J987" s="3"/>
      <c r="K987" s="5"/>
      <c r="L987" s="3"/>
      <c r="M987" s="3"/>
    </row>
    <row r="988" spans="8:13" ht="15.75" x14ac:dyDescent="0.25">
      <c r="H988" s="3"/>
      <c r="I988" s="4"/>
      <c r="J988" s="3"/>
      <c r="K988" s="5"/>
      <c r="L988" s="3"/>
      <c r="M988" s="3"/>
    </row>
    <row r="989" spans="8:13" ht="15.75" x14ac:dyDescent="0.25">
      <c r="H989" s="3"/>
      <c r="I989" s="4"/>
      <c r="J989" s="3"/>
      <c r="K989" s="5"/>
      <c r="L989" s="3"/>
      <c r="M989" s="3"/>
    </row>
    <row r="990" spans="8:13" ht="15.75" x14ac:dyDescent="0.25">
      <c r="H990" s="3"/>
      <c r="I990" s="4"/>
      <c r="J990" s="3"/>
      <c r="K990" s="5"/>
      <c r="L990" s="3"/>
      <c r="M990" s="3"/>
    </row>
    <row r="991" spans="8:13" ht="15.75" x14ac:dyDescent="0.25">
      <c r="H991" s="3"/>
      <c r="I991" s="4"/>
      <c r="J991" s="3"/>
      <c r="K991" s="5"/>
      <c r="L991" s="3"/>
      <c r="M991" s="3"/>
    </row>
    <row r="992" spans="8:13" ht="15.75" x14ac:dyDescent="0.25">
      <c r="H992" s="3"/>
      <c r="I992" s="4"/>
      <c r="J992" s="3"/>
      <c r="K992" s="5"/>
      <c r="L992" s="3"/>
      <c r="M992" s="3"/>
    </row>
    <row r="993" spans="8:13" ht="15.75" x14ac:dyDescent="0.25">
      <c r="H993" s="3"/>
      <c r="I993" s="4"/>
      <c r="J993" s="3"/>
      <c r="K993" s="5"/>
      <c r="L993" s="3"/>
      <c r="M993" s="3"/>
    </row>
    <row r="994" spans="8:13" ht="15.75" x14ac:dyDescent="0.25">
      <c r="H994" s="3"/>
      <c r="I994" s="4"/>
      <c r="J994" s="3"/>
      <c r="K994" s="5"/>
      <c r="L994" s="3"/>
      <c r="M994" s="3"/>
    </row>
    <row r="995" spans="8:13" ht="15.75" x14ac:dyDescent="0.25">
      <c r="H995" s="3"/>
      <c r="I995" s="4"/>
      <c r="J995" s="3"/>
      <c r="K995" s="5"/>
      <c r="L995" s="3"/>
      <c r="M995" s="3"/>
    </row>
    <row r="996" spans="8:13" ht="15.75" x14ac:dyDescent="0.25">
      <c r="H996" s="3"/>
      <c r="I996" s="4"/>
      <c r="J996" s="3"/>
      <c r="K996" s="5"/>
      <c r="L996" s="3"/>
      <c r="M996" s="3"/>
    </row>
    <row r="997" spans="8:13" ht="15.75" x14ac:dyDescent="0.25">
      <c r="H997" s="3"/>
      <c r="I997" s="4"/>
      <c r="J997" s="3"/>
      <c r="K997" s="5"/>
      <c r="L997" s="3"/>
      <c r="M997" s="3"/>
    </row>
    <row r="998" spans="8:13" ht="15.75" x14ac:dyDescent="0.25">
      <c r="H998" s="3"/>
      <c r="I998" s="4"/>
      <c r="J998" s="3"/>
      <c r="K998" s="5"/>
      <c r="L998" s="3"/>
      <c r="M998" s="3"/>
    </row>
    <row r="999" spans="8:13" ht="15.75" x14ac:dyDescent="0.25">
      <c r="H999" s="3"/>
      <c r="I999" s="4"/>
      <c r="J999" s="3"/>
      <c r="K999" s="5"/>
      <c r="L999" s="3"/>
      <c r="M999" s="3"/>
    </row>
    <row r="1000" spans="8:13" ht="15.75" x14ac:dyDescent="0.25">
      <c r="H1000" s="3"/>
      <c r="I1000" s="4"/>
      <c r="J1000" s="3"/>
      <c r="K1000" s="5"/>
      <c r="L1000" s="3"/>
      <c r="M1000" s="3"/>
    </row>
    <row r="1001" spans="8:13" ht="15.75" x14ac:dyDescent="0.25">
      <c r="H1001" s="3"/>
      <c r="I1001" s="4"/>
      <c r="J1001" s="3"/>
      <c r="K1001" s="5"/>
      <c r="L1001" s="3"/>
      <c r="M1001" s="3"/>
    </row>
    <row r="1002" spans="8:13" ht="15.75" x14ac:dyDescent="0.25">
      <c r="H1002" s="3"/>
      <c r="I1002" s="4"/>
      <c r="J1002" s="3"/>
      <c r="K1002" s="5"/>
      <c r="L1002" s="3"/>
      <c r="M1002" s="3"/>
    </row>
    <row r="1003" spans="8:13" ht="15.75" x14ac:dyDescent="0.25">
      <c r="H1003" s="3"/>
      <c r="I1003" s="4"/>
      <c r="J1003" s="3"/>
      <c r="K1003" s="5"/>
      <c r="L1003" s="3"/>
      <c r="M1003" s="3"/>
    </row>
    <row r="1004" spans="8:13" ht="15.75" x14ac:dyDescent="0.25">
      <c r="H1004" s="3"/>
      <c r="I1004" s="4"/>
      <c r="J1004" s="3"/>
      <c r="K1004" s="5"/>
      <c r="L1004" s="3"/>
      <c r="M1004" s="3"/>
    </row>
    <row r="1005" spans="8:13" ht="15.75" x14ac:dyDescent="0.25">
      <c r="H1005" s="3"/>
      <c r="I1005" s="4"/>
      <c r="J1005" s="3"/>
      <c r="K1005" s="5"/>
      <c r="L1005" s="3"/>
      <c r="M1005" s="3"/>
    </row>
    <row r="1006" spans="8:13" ht="15.75" x14ac:dyDescent="0.25">
      <c r="H1006" s="3"/>
      <c r="I1006" s="4"/>
      <c r="J1006" s="3"/>
      <c r="K1006" s="5"/>
      <c r="L1006" s="3"/>
      <c r="M1006" s="3"/>
    </row>
    <row r="1007" spans="8:13" ht="15.75" x14ac:dyDescent="0.25">
      <c r="H1007" s="3"/>
      <c r="I1007" s="4"/>
      <c r="J1007" s="3"/>
      <c r="K1007" s="5"/>
      <c r="L1007" s="3"/>
      <c r="M1007" s="3"/>
    </row>
    <row r="1008" spans="8:13" ht="15.75" x14ac:dyDescent="0.25">
      <c r="H1008" s="3"/>
      <c r="I1008" s="4"/>
      <c r="J1008" s="3"/>
      <c r="K1008" s="5"/>
      <c r="L1008" s="3"/>
      <c r="M1008" s="3"/>
    </row>
    <row r="1009" spans="8:13" ht="15.75" x14ac:dyDescent="0.25">
      <c r="H1009" s="3"/>
      <c r="I1009" s="4"/>
      <c r="J1009" s="3"/>
      <c r="K1009" s="5"/>
      <c r="L1009" s="3"/>
      <c r="M1009" s="3"/>
    </row>
    <row r="1010" spans="8:13" ht="15.75" x14ac:dyDescent="0.25">
      <c r="H1010" s="3"/>
      <c r="I1010" s="4"/>
      <c r="J1010" s="3"/>
      <c r="K1010" s="5"/>
      <c r="L1010" s="3"/>
      <c r="M1010" s="3"/>
    </row>
    <row r="1011" spans="8:13" ht="15.75" x14ac:dyDescent="0.25">
      <c r="H1011" s="3"/>
      <c r="I1011" s="4"/>
      <c r="J1011" s="3"/>
      <c r="K1011" s="5"/>
      <c r="L1011" s="3"/>
      <c r="M1011" s="3"/>
    </row>
    <row r="1012" spans="8:13" ht="15.75" x14ac:dyDescent="0.25">
      <c r="H1012" s="3"/>
      <c r="I1012" s="4"/>
      <c r="J1012" s="3"/>
      <c r="K1012" s="5"/>
      <c r="L1012" s="3"/>
      <c r="M1012" s="3"/>
    </row>
    <row r="1013" spans="8:13" ht="15.75" x14ac:dyDescent="0.25">
      <c r="H1013" s="3"/>
      <c r="I1013" s="4"/>
      <c r="J1013" s="3"/>
      <c r="K1013" s="5"/>
      <c r="L1013" s="3"/>
      <c r="M1013"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D4E59-6C74-4AE9-9A80-E3BD85229D85}">
  <dimension ref="A1:D16"/>
  <sheetViews>
    <sheetView tabSelected="1" zoomScale="73" zoomScaleNormal="120" workbookViewId="0">
      <selection activeCell="C12" sqref="C12"/>
    </sheetView>
  </sheetViews>
  <sheetFormatPr defaultRowHeight="15" x14ac:dyDescent="0.25"/>
  <cols>
    <col min="1" max="1" width="4.42578125" style="9" customWidth="1"/>
    <col min="2" max="2" width="69.140625" style="8" customWidth="1"/>
    <col min="3" max="3" width="21.42578125" style="1" customWidth="1"/>
    <col min="4" max="4" width="9.140625" style="24"/>
  </cols>
  <sheetData>
    <row r="1" spans="1:4" x14ac:dyDescent="0.25">
      <c r="B1" s="20" t="s">
        <v>1016</v>
      </c>
      <c r="C1" s="21" t="s">
        <v>3158</v>
      </c>
      <c r="D1" s="23" t="s">
        <v>3159</v>
      </c>
    </row>
    <row r="2" spans="1:4" x14ac:dyDescent="0.25">
      <c r="A2" s="10">
        <v>1</v>
      </c>
      <c r="B2" s="11" t="s">
        <v>1017</v>
      </c>
      <c r="C2" s="1">
        <v>58</v>
      </c>
      <c r="D2" s="24">
        <f>IF(C2=58,2,IF(C2="",1,0))</f>
        <v>2</v>
      </c>
    </row>
    <row r="3" spans="1:4" x14ac:dyDescent="0.25">
      <c r="A3" s="10">
        <v>2</v>
      </c>
      <c r="B3" s="11" t="s">
        <v>3161</v>
      </c>
      <c r="C3" s="1">
        <v>10</v>
      </c>
      <c r="D3" s="24">
        <f>IF(C3=10,2,IF(C3="",1,0))</f>
        <v>2</v>
      </c>
    </row>
    <row r="4" spans="1:4" x14ac:dyDescent="0.25">
      <c r="A4" s="10">
        <v>3</v>
      </c>
      <c r="B4" s="11" t="s">
        <v>1018</v>
      </c>
      <c r="C4" s="1" t="s">
        <v>1013</v>
      </c>
      <c r="D4" s="24">
        <f>IF(C4="Biologi",2,IF(C4="",1,0))</f>
        <v>2</v>
      </c>
    </row>
    <row r="5" spans="1:4" x14ac:dyDescent="0.25">
      <c r="A5" s="12">
        <v>4</v>
      </c>
      <c r="B5" s="13" t="s">
        <v>3175</v>
      </c>
      <c r="C5" s="1">
        <f>AVERAGEIFS(Main!G1:G1001,Main!C1:C1001,"Statistika")</f>
        <v>62.193750000000001</v>
      </c>
      <c r="D5" s="24">
        <f>IF(AND(C5&gt;=62.1,C5&lt;=62.2),2,IF(C5="",1,0))</f>
        <v>2</v>
      </c>
    </row>
    <row r="6" spans="1:4" x14ac:dyDescent="0.25">
      <c r="A6" s="12">
        <v>5</v>
      </c>
      <c r="B6" s="13" t="s">
        <v>3176</v>
      </c>
      <c r="C6" s="1">
        <f>SUMIFS(Main!F1:F1001,Main!C1:C1001,"Fisika")</f>
        <v>9022</v>
      </c>
      <c r="D6" s="24">
        <f>IF(C6=9022,2,IF(C6="",1,0))</f>
        <v>2</v>
      </c>
    </row>
    <row r="7" spans="1:4" ht="30" x14ac:dyDescent="0.25">
      <c r="A7" s="12">
        <v>6</v>
      </c>
      <c r="B7" s="13" t="s">
        <v>3162</v>
      </c>
      <c r="C7" s="25">
        <f>SUM(AVERAGEIFS(Main!I1:I1001,Main!C1:C1001,"Aktuaria")-AVERAGEIFS(Main!H1:H1001,Main!C1:C1001,"Aktuaria"))</f>
        <v>11.392638036809814</v>
      </c>
      <c r="D7" s="24">
        <f>IF(AND(C7&gt;=11.39,C7&lt;=11.4),2,IF(C7="",1,0))</f>
        <v>2</v>
      </c>
    </row>
    <row r="8" spans="1:4" x14ac:dyDescent="0.25">
      <c r="A8" s="14">
        <v>7</v>
      </c>
      <c r="B8" s="15" t="s">
        <v>3166</v>
      </c>
      <c r="C8" s="1">
        <v>76</v>
      </c>
      <c r="D8" s="24">
        <f>IF(C8=76,2,IF(C8="",1,0))</f>
        <v>2</v>
      </c>
    </row>
    <row r="9" spans="1:4" x14ac:dyDescent="0.25">
      <c r="A9" s="14">
        <v>8</v>
      </c>
      <c r="B9" s="15" t="s">
        <v>3167</v>
      </c>
      <c r="C9" s="22">
        <f>98*100%/186</f>
        <v>0.5268817204301075</v>
      </c>
      <c r="D9" s="24">
        <f>IF(AND(C9&gt;=52%,C9&lt;=53%),2,IF(C9="",1,0))</f>
        <v>2</v>
      </c>
    </row>
    <row r="10" spans="1:4" x14ac:dyDescent="0.25">
      <c r="A10" s="14">
        <v>9</v>
      </c>
      <c r="B10" s="15" t="s">
        <v>3177</v>
      </c>
      <c r="C10" s="1">
        <v>104</v>
      </c>
      <c r="D10" s="24">
        <f>IF(C10=104,2,IF(C10="",1,0))</f>
        <v>2</v>
      </c>
    </row>
    <row r="11" spans="1:4" ht="30" x14ac:dyDescent="0.25">
      <c r="A11" s="16">
        <v>10</v>
      </c>
      <c r="B11" s="17" t="s">
        <v>3169</v>
      </c>
      <c r="C11" s="1">
        <v>65.099999999999994</v>
      </c>
      <c r="D11" s="24">
        <f>IF(AND(C11&gt;=65,C11&lt;=65.1),2,IF(C11="",1,0))</f>
        <v>2</v>
      </c>
    </row>
    <row r="12" spans="1:4" x14ac:dyDescent="0.25">
      <c r="A12" s="16">
        <v>11</v>
      </c>
      <c r="B12" s="17" t="s">
        <v>1042</v>
      </c>
      <c r="C12" s="1" t="str">
        <f>INDEX(Main!D1:D1001,MATCH(85.2,Main!N1:N1001,0))</f>
        <v>Hasta Utami</v>
      </c>
      <c r="D12" s="24">
        <f>IF(C12="Hasta Utami",2,IF(C12="",1,0))</f>
        <v>2</v>
      </c>
    </row>
    <row r="13" spans="1:4" x14ac:dyDescent="0.25">
      <c r="A13" s="16">
        <v>12</v>
      </c>
      <c r="B13" s="17" t="s">
        <v>3170</v>
      </c>
      <c r="C13" s="1" t="s">
        <v>3188</v>
      </c>
      <c r="D13" s="24">
        <f>IF(C13="Statistika",2,IF(C13="",1,0))</f>
        <v>2</v>
      </c>
    </row>
    <row r="14" spans="1:4" x14ac:dyDescent="0.25">
      <c r="A14" s="18">
        <v>13</v>
      </c>
      <c r="B14" s="19" t="s">
        <v>3171</v>
      </c>
      <c r="C14" s="1">
        <f>COUNTIF(Main!O1:O1001,"B")</f>
        <v>304</v>
      </c>
      <c r="D14" s="24">
        <f>IF(C14=304,2,IF(C14="",1,0))</f>
        <v>2</v>
      </c>
    </row>
    <row r="15" spans="1:4" ht="30" x14ac:dyDescent="0.25">
      <c r="A15" s="18">
        <v>14</v>
      </c>
      <c r="B15" s="19" t="s">
        <v>3173</v>
      </c>
      <c r="C15" s="30">
        <f>COUNTIFS(Main!C1:C1001,"AKTUARIA",Main!O1:O1001,"A")</f>
        <v>2</v>
      </c>
      <c r="D15" s="24">
        <f>IF(C15=2,2,IF(C15="",1,0))</f>
        <v>2</v>
      </c>
    </row>
    <row r="16" spans="1:4" x14ac:dyDescent="0.25">
      <c r="A16" s="18">
        <v>15</v>
      </c>
      <c r="B16" s="19" t="s">
        <v>3172</v>
      </c>
      <c r="C16" s="29">
        <v>0.13</v>
      </c>
      <c r="D16" s="24">
        <f>IF(AND(C16&gt;=12%,C16&lt;=13%),2,IF(C16="",1,0))</f>
        <v>2</v>
      </c>
    </row>
  </sheetData>
  <sheetProtection algorithmName="SHA-512" hashValue="QQy7Nmjuh7epPJocbXlDzlvkzj2XuenjcpCCCStwKpztnhjBO2J99rQWQuMGNigFdXmARh13IhrlZABVIi7VHw==" saltValue="UzeACHKQlOC3Xoq3F7JrVQ==" spinCount="100000" sheet="1" objects="1" scenarios="1" selectLockedCell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0" id="{369AAF45-D03F-4E18-80DB-325ED16C0036}">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D2:D4</xm:sqref>
        </x14:conditionalFormatting>
        <x14:conditionalFormatting xmlns:xm="http://schemas.microsoft.com/office/excel/2006/main">
          <x14:cfRule type="iconSet" priority="9" id="{B26F4300-4F50-4A63-824C-B298AE56A33C}">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D5:D7</xm:sqref>
        </x14:conditionalFormatting>
        <x14:conditionalFormatting xmlns:xm="http://schemas.microsoft.com/office/excel/2006/main">
          <x14:cfRule type="iconSet" priority="8" id="{49A0D6C7-7088-4DC7-8FF2-247D4F0880CC}">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D8</xm:sqref>
        </x14:conditionalFormatting>
        <x14:conditionalFormatting xmlns:xm="http://schemas.microsoft.com/office/excel/2006/main">
          <x14:cfRule type="iconSet" priority="7" id="{84D1C758-3A61-4C4C-B686-2FCD862B85FF}">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D9</xm:sqref>
        </x14:conditionalFormatting>
        <x14:conditionalFormatting xmlns:xm="http://schemas.microsoft.com/office/excel/2006/main">
          <x14:cfRule type="iconSet" priority="6" id="{3A4A899E-9879-4045-B74A-128897341EE3}">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D10</xm:sqref>
        </x14:conditionalFormatting>
        <x14:conditionalFormatting xmlns:xm="http://schemas.microsoft.com/office/excel/2006/main">
          <x14:cfRule type="iconSet" priority="5" id="{02138C45-67A9-4D14-82DE-D63CECA4E9DF}">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D11</xm:sqref>
        </x14:conditionalFormatting>
        <x14:conditionalFormatting xmlns:xm="http://schemas.microsoft.com/office/excel/2006/main">
          <x14:cfRule type="iconSet" priority="4" id="{D4936D34-0C29-446C-A429-8A5D2A0974E0}">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D12:D13</xm:sqref>
        </x14:conditionalFormatting>
        <x14:conditionalFormatting xmlns:xm="http://schemas.microsoft.com/office/excel/2006/main">
          <x14:cfRule type="iconSet" priority="3" id="{E93DFE24-BB17-4BCF-85AD-B268AE5D61AA}">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D14:D15</xm:sqref>
        </x14:conditionalFormatting>
        <x14:conditionalFormatting xmlns:xm="http://schemas.microsoft.com/office/excel/2006/main">
          <x14:cfRule type="iconSet" priority="1" id="{529C5D17-2123-4EC7-981B-38C1DC937E8F}">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D16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670B2-54DD-4EAE-A87B-849FDFBD6112}">
  <dimension ref="A1:C501"/>
  <sheetViews>
    <sheetView workbookViewId="0">
      <selection activeCell="C5" sqref="C5"/>
    </sheetView>
  </sheetViews>
  <sheetFormatPr defaultRowHeight="15.75" x14ac:dyDescent="0.25"/>
  <cols>
    <col min="1" max="1" width="15.140625" customWidth="1"/>
    <col min="2" max="2" width="17.85546875" style="3" customWidth="1"/>
  </cols>
  <sheetData>
    <row r="1" spans="1:3" x14ac:dyDescent="0.25">
      <c r="A1" s="53" t="s">
        <v>1028</v>
      </c>
      <c r="B1" s="54" t="s">
        <v>3138</v>
      </c>
      <c r="C1" s="55" t="s">
        <v>3139</v>
      </c>
    </row>
    <row r="2" spans="1:3" x14ac:dyDescent="0.25">
      <c r="A2" s="7" t="s">
        <v>1323</v>
      </c>
      <c r="B2" s="52">
        <v>44828</v>
      </c>
      <c r="C2" s="7">
        <f>MONTH(B2)</f>
        <v>9</v>
      </c>
    </row>
    <row r="3" spans="1:3" x14ac:dyDescent="0.25">
      <c r="A3" s="7" t="s">
        <v>1893</v>
      </c>
      <c r="B3" s="52">
        <v>44762</v>
      </c>
      <c r="C3" s="7">
        <f>MONTH(B3)</f>
        <v>7</v>
      </c>
    </row>
    <row r="4" spans="1:3" x14ac:dyDescent="0.25">
      <c r="A4" s="7" t="s">
        <v>2848</v>
      </c>
      <c r="B4" s="52">
        <v>44811</v>
      </c>
      <c r="C4" s="7">
        <f>MONTH(B4)</f>
        <v>9</v>
      </c>
    </row>
    <row r="5" spans="1:3" x14ac:dyDescent="0.25">
      <c r="A5" s="7" t="s">
        <v>1509</v>
      </c>
      <c r="B5" s="52">
        <v>44880</v>
      </c>
      <c r="C5" s="7">
        <f t="shared" ref="C2:C65" si="0">MONTH(B5)</f>
        <v>11</v>
      </c>
    </row>
    <row r="6" spans="1:3" x14ac:dyDescent="0.25">
      <c r="A6" s="7" t="s">
        <v>2643</v>
      </c>
      <c r="B6" s="52">
        <v>44765</v>
      </c>
      <c r="C6" s="7">
        <f t="shared" si="0"/>
        <v>7</v>
      </c>
    </row>
    <row r="7" spans="1:3" x14ac:dyDescent="0.25">
      <c r="A7" s="7" t="s">
        <v>2077</v>
      </c>
      <c r="B7" s="52">
        <v>44771</v>
      </c>
      <c r="C7" s="7">
        <f t="shared" si="0"/>
        <v>7</v>
      </c>
    </row>
    <row r="8" spans="1:3" x14ac:dyDescent="0.25">
      <c r="A8" s="7" t="s">
        <v>2844</v>
      </c>
      <c r="B8" s="52">
        <v>44836</v>
      </c>
      <c r="C8" s="7">
        <f t="shared" si="0"/>
        <v>10</v>
      </c>
    </row>
    <row r="9" spans="1:3" x14ac:dyDescent="0.25">
      <c r="A9" s="7" t="s">
        <v>1134</v>
      </c>
      <c r="B9" s="52">
        <v>44852</v>
      </c>
      <c r="C9" s="7">
        <f t="shared" si="0"/>
        <v>10</v>
      </c>
    </row>
    <row r="10" spans="1:3" x14ac:dyDescent="0.25">
      <c r="A10" s="7" t="s">
        <v>2268</v>
      </c>
      <c r="B10" s="52">
        <v>44762</v>
      </c>
      <c r="C10" s="7">
        <f t="shared" si="0"/>
        <v>7</v>
      </c>
    </row>
    <row r="11" spans="1:3" x14ac:dyDescent="0.25">
      <c r="A11" s="7" t="s">
        <v>2087</v>
      </c>
      <c r="B11" s="52">
        <v>44811</v>
      </c>
      <c r="C11" s="7">
        <f t="shared" si="0"/>
        <v>9</v>
      </c>
    </row>
    <row r="12" spans="1:3" x14ac:dyDescent="0.25">
      <c r="A12" s="7" t="s">
        <v>2785</v>
      </c>
      <c r="B12" s="52">
        <v>44854</v>
      </c>
      <c r="C12" s="7">
        <f t="shared" si="0"/>
        <v>10</v>
      </c>
    </row>
    <row r="13" spans="1:3" x14ac:dyDescent="0.25">
      <c r="A13" s="7" t="s">
        <v>1245</v>
      </c>
      <c r="B13" s="52">
        <v>44858</v>
      </c>
      <c r="C13" s="7">
        <f t="shared" si="0"/>
        <v>10</v>
      </c>
    </row>
    <row r="14" spans="1:3" x14ac:dyDescent="0.25">
      <c r="A14" s="7" t="s">
        <v>2111</v>
      </c>
      <c r="B14" s="52">
        <v>44810</v>
      </c>
      <c r="C14" s="7">
        <f t="shared" si="0"/>
        <v>9</v>
      </c>
    </row>
    <row r="15" spans="1:3" x14ac:dyDescent="0.25">
      <c r="A15" s="7" t="s">
        <v>2216</v>
      </c>
      <c r="B15" s="52">
        <v>44820</v>
      </c>
      <c r="C15" s="7">
        <f t="shared" si="0"/>
        <v>9</v>
      </c>
    </row>
    <row r="16" spans="1:3" x14ac:dyDescent="0.25">
      <c r="A16" s="7" t="s">
        <v>3061</v>
      </c>
      <c r="B16" s="52">
        <v>44803</v>
      </c>
      <c r="C16" s="7">
        <f t="shared" si="0"/>
        <v>8</v>
      </c>
    </row>
    <row r="17" spans="1:3" x14ac:dyDescent="0.25">
      <c r="A17" s="7" t="s">
        <v>2145</v>
      </c>
      <c r="B17" s="52">
        <v>44835</v>
      </c>
      <c r="C17" s="7">
        <f t="shared" si="0"/>
        <v>10</v>
      </c>
    </row>
    <row r="18" spans="1:3" x14ac:dyDescent="0.25">
      <c r="A18" s="7" t="s">
        <v>2065</v>
      </c>
      <c r="B18" s="52">
        <v>44872</v>
      </c>
      <c r="C18" s="7">
        <f t="shared" si="0"/>
        <v>11</v>
      </c>
    </row>
    <row r="19" spans="1:3" x14ac:dyDescent="0.25">
      <c r="A19" s="7" t="s">
        <v>2924</v>
      </c>
      <c r="B19" s="52">
        <v>44855</v>
      </c>
      <c r="C19" s="7">
        <f t="shared" si="0"/>
        <v>10</v>
      </c>
    </row>
    <row r="20" spans="1:3" x14ac:dyDescent="0.25">
      <c r="A20" s="7" t="s">
        <v>2546</v>
      </c>
      <c r="B20" s="52">
        <v>44912</v>
      </c>
      <c r="C20" s="7">
        <f t="shared" si="0"/>
        <v>12</v>
      </c>
    </row>
    <row r="21" spans="1:3" x14ac:dyDescent="0.25">
      <c r="A21" s="7" t="s">
        <v>2240</v>
      </c>
      <c r="B21" s="52">
        <v>44871</v>
      </c>
      <c r="C21" s="7">
        <f t="shared" si="0"/>
        <v>11</v>
      </c>
    </row>
    <row r="22" spans="1:3" x14ac:dyDescent="0.25">
      <c r="A22" s="7" t="s">
        <v>2754</v>
      </c>
      <c r="B22" s="52">
        <v>44858</v>
      </c>
      <c r="C22" s="7">
        <f t="shared" si="0"/>
        <v>10</v>
      </c>
    </row>
    <row r="23" spans="1:3" x14ac:dyDescent="0.25">
      <c r="A23" s="7" t="s">
        <v>1238</v>
      </c>
      <c r="B23" s="52">
        <v>44874</v>
      </c>
      <c r="C23" s="7">
        <f t="shared" si="0"/>
        <v>11</v>
      </c>
    </row>
    <row r="24" spans="1:3" x14ac:dyDescent="0.25">
      <c r="A24" s="7" t="s">
        <v>2888</v>
      </c>
      <c r="B24" s="52">
        <v>44865</v>
      </c>
      <c r="C24" s="7">
        <f t="shared" si="0"/>
        <v>10</v>
      </c>
    </row>
    <row r="25" spans="1:3" x14ac:dyDescent="0.25">
      <c r="A25" s="7" t="s">
        <v>1641</v>
      </c>
      <c r="B25" s="52">
        <v>44859</v>
      </c>
      <c r="C25" s="7">
        <f t="shared" si="0"/>
        <v>10</v>
      </c>
    </row>
    <row r="26" spans="1:3" x14ac:dyDescent="0.25">
      <c r="A26" s="7" t="s">
        <v>2998</v>
      </c>
      <c r="B26" s="52">
        <v>44808</v>
      </c>
      <c r="C26" s="7">
        <f t="shared" si="0"/>
        <v>9</v>
      </c>
    </row>
    <row r="27" spans="1:3" x14ac:dyDescent="0.25">
      <c r="A27" s="7" t="s">
        <v>1121</v>
      </c>
      <c r="B27" s="52">
        <v>44842</v>
      </c>
      <c r="C27" s="7">
        <f t="shared" si="0"/>
        <v>10</v>
      </c>
    </row>
    <row r="28" spans="1:3" x14ac:dyDescent="0.25">
      <c r="A28" s="7" t="s">
        <v>2030</v>
      </c>
      <c r="B28" s="52">
        <v>44910</v>
      </c>
      <c r="C28" s="7">
        <f t="shared" si="0"/>
        <v>12</v>
      </c>
    </row>
    <row r="29" spans="1:3" x14ac:dyDescent="0.25">
      <c r="A29" s="7" t="s">
        <v>1145</v>
      </c>
      <c r="B29" s="52">
        <v>44896</v>
      </c>
      <c r="C29" s="7">
        <f t="shared" si="0"/>
        <v>12</v>
      </c>
    </row>
    <row r="30" spans="1:3" x14ac:dyDescent="0.25">
      <c r="A30" s="7" t="s">
        <v>2196</v>
      </c>
      <c r="B30" s="52">
        <v>44901</v>
      </c>
      <c r="C30" s="7">
        <f t="shared" si="0"/>
        <v>12</v>
      </c>
    </row>
    <row r="31" spans="1:3" x14ac:dyDescent="0.25">
      <c r="A31" s="7" t="s">
        <v>2377</v>
      </c>
      <c r="B31" s="52">
        <v>44752</v>
      </c>
      <c r="C31" s="7">
        <f t="shared" si="0"/>
        <v>7</v>
      </c>
    </row>
    <row r="32" spans="1:3" x14ac:dyDescent="0.25">
      <c r="A32" s="7" t="s">
        <v>2125</v>
      </c>
      <c r="B32" s="52">
        <v>44834</v>
      </c>
      <c r="C32" s="7">
        <f t="shared" si="0"/>
        <v>9</v>
      </c>
    </row>
    <row r="33" spans="1:3" x14ac:dyDescent="0.25">
      <c r="A33" s="7" t="s">
        <v>1930</v>
      </c>
      <c r="B33" s="52">
        <v>44908</v>
      </c>
      <c r="C33" s="7">
        <f t="shared" si="0"/>
        <v>12</v>
      </c>
    </row>
    <row r="34" spans="1:3" x14ac:dyDescent="0.25">
      <c r="A34" s="7" t="s">
        <v>1392</v>
      </c>
      <c r="B34" s="52">
        <v>44771</v>
      </c>
      <c r="C34" s="7">
        <f t="shared" si="0"/>
        <v>7</v>
      </c>
    </row>
    <row r="35" spans="1:3" x14ac:dyDescent="0.25">
      <c r="A35" s="7" t="s">
        <v>1425</v>
      </c>
      <c r="B35" s="52">
        <v>44863</v>
      </c>
      <c r="C35" s="7">
        <f t="shared" si="0"/>
        <v>10</v>
      </c>
    </row>
    <row r="36" spans="1:3" x14ac:dyDescent="0.25">
      <c r="A36" s="7" t="s">
        <v>1124</v>
      </c>
      <c r="B36" s="52">
        <v>44880</v>
      </c>
      <c r="C36" s="7">
        <f t="shared" si="0"/>
        <v>11</v>
      </c>
    </row>
    <row r="37" spans="1:3" x14ac:dyDescent="0.25">
      <c r="A37" s="7" t="s">
        <v>2085</v>
      </c>
      <c r="B37" s="52">
        <v>44914</v>
      </c>
      <c r="C37" s="7">
        <f t="shared" si="0"/>
        <v>12</v>
      </c>
    </row>
    <row r="38" spans="1:3" x14ac:dyDescent="0.25">
      <c r="A38" s="7" t="s">
        <v>2463</v>
      </c>
      <c r="B38" s="52">
        <v>44830</v>
      </c>
      <c r="C38" s="7">
        <f t="shared" si="0"/>
        <v>9</v>
      </c>
    </row>
    <row r="39" spans="1:3" x14ac:dyDescent="0.25">
      <c r="A39" s="7" t="s">
        <v>2044</v>
      </c>
      <c r="B39" s="52">
        <v>44867</v>
      </c>
      <c r="C39" s="7">
        <f t="shared" si="0"/>
        <v>11</v>
      </c>
    </row>
    <row r="40" spans="1:3" x14ac:dyDescent="0.25">
      <c r="A40" s="7" t="s">
        <v>1528</v>
      </c>
      <c r="B40" s="52">
        <v>44797</v>
      </c>
      <c r="C40" s="7">
        <f t="shared" si="0"/>
        <v>8</v>
      </c>
    </row>
    <row r="41" spans="1:3" x14ac:dyDescent="0.25">
      <c r="A41" s="7" t="s">
        <v>2413</v>
      </c>
      <c r="B41" s="52">
        <v>44870</v>
      </c>
      <c r="C41" s="7">
        <f t="shared" si="0"/>
        <v>11</v>
      </c>
    </row>
    <row r="42" spans="1:3" x14ac:dyDescent="0.25">
      <c r="A42" s="7" t="s">
        <v>2868</v>
      </c>
      <c r="B42" s="52">
        <v>44796</v>
      </c>
      <c r="C42" s="7">
        <f t="shared" si="0"/>
        <v>8</v>
      </c>
    </row>
    <row r="43" spans="1:3" x14ac:dyDescent="0.25">
      <c r="A43" s="7" t="s">
        <v>1938</v>
      </c>
      <c r="B43" s="52">
        <v>44830</v>
      </c>
      <c r="C43" s="7">
        <f t="shared" si="0"/>
        <v>9</v>
      </c>
    </row>
    <row r="44" spans="1:3" x14ac:dyDescent="0.25">
      <c r="A44" s="7" t="s">
        <v>2773</v>
      </c>
      <c r="B44" s="52">
        <v>44881</v>
      </c>
      <c r="C44" s="7">
        <f t="shared" si="0"/>
        <v>11</v>
      </c>
    </row>
    <row r="45" spans="1:3" x14ac:dyDescent="0.25">
      <c r="A45" s="7" t="s">
        <v>1776</v>
      </c>
      <c r="B45" s="52">
        <v>44807</v>
      </c>
      <c r="C45" s="7">
        <f t="shared" si="0"/>
        <v>9</v>
      </c>
    </row>
    <row r="46" spans="1:3" x14ac:dyDescent="0.25">
      <c r="A46" s="7" t="s">
        <v>1887</v>
      </c>
      <c r="B46" s="52">
        <v>44832</v>
      </c>
      <c r="C46" s="7">
        <f t="shared" si="0"/>
        <v>9</v>
      </c>
    </row>
    <row r="47" spans="1:3" x14ac:dyDescent="0.25">
      <c r="A47" s="7" t="s">
        <v>2647</v>
      </c>
      <c r="B47" s="52">
        <v>44777</v>
      </c>
      <c r="C47" s="7">
        <f t="shared" si="0"/>
        <v>8</v>
      </c>
    </row>
    <row r="48" spans="1:3" x14ac:dyDescent="0.25">
      <c r="A48" s="7" t="s">
        <v>2515</v>
      </c>
      <c r="B48" s="52">
        <v>44848</v>
      </c>
      <c r="C48" s="7">
        <f t="shared" si="0"/>
        <v>10</v>
      </c>
    </row>
    <row r="49" spans="1:3" x14ac:dyDescent="0.25">
      <c r="A49" s="7" t="s">
        <v>1778</v>
      </c>
      <c r="B49" s="52">
        <v>44753</v>
      </c>
      <c r="C49" s="7">
        <f t="shared" si="0"/>
        <v>7</v>
      </c>
    </row>
    <row r="50" spans="1:3" x14ac:dyDescent="0.25">
      <c r="A50" s="7" t="s">
        <v>1460</v>
      </c>
      <c r="B50" s="52">
        <v>44820</v>
      </c>
      <c r="C50" s="7">
        <f t="shared" si="0"/>
        <v>9</v>
      </c>
    </row>
    <row r="51" spans="1:3" x14ac:dyDescent="0.25">
      <c r="A51" s="7" t="s">
        <v>1617</v>
      </c>
      <c r="B51" s="52">
        <v>44799</v>
      </c>
      <c r="C51" s="7">
        <f t="shared" si="0"/>
        <v>8</v>
      </c>
    </row>
    <row r="52" spans="1:3" x14ac:dyDescent="0.25">
      <c r="A52" s="7" t="s">
        <v>1818</v>
      </c>
      <c r="B52" s="52">
        <v>44897</v>
      </c>
      <c r="C52" s="7">
        <f t="shared" si="0"/>
        <v>12</v>
      </c>
    </row>
    <row r="53" spans="1:3" x14ac:dyDescent="0.25">
      <c r="A53" s="7" t="s">
        <v>2479</v>
      </c>
      <c r="B53" s="52">
        <v>44795</v>
      </c>
      <c r="C53" s="7">
        <f t="shared" si="0"/>
        <v>8</v>
      </c>
    </row>
    <row r="54" spans="1:3" x14ac:dyDescent="0.25">
      <c r="A54" s="7" t="s">
        <v>1841</v>
      </c>
      <c r="B54" s="52">
        <v>44768</v>
      </c>
      <c r="C54" s="7">
        <f t="shared" si="0"/>
        <v>7</v>
      </c>
    </row>
    <row r="55" spans="1:3" x14ac:dyDescent="0.25">
      <c r="A55" s="7" t="s">
        <v>2840</v>
      </c>
      <c r="B55" s="52">
        <v>44831</v>
      </c>
      <c r="C55" s="7">
        <f t="shared" si="0"/>
        <v>9</v>
      </c>
    </row>
    <row r="56" spans="1:3" x14ac:dyDescent="0.25">
      <c r="A56" s="7" t="s">
        <v>3065</v>
      </c>
      <c r="B56" s="52">
        <v>44917</v>
      </c>
      <c r="C56" s="7">
        <f t="shared" si="0"/>
        <v>12</v>
      </c>
    </row>
    <row r="57" spans="1:3" x14ac:dyDescent="0.25">
      <c r="A57" s="7" t="s">
        <v>2071</v>
      </c>
      <c r="B57" s="52">
        <v>44789</v>
      </c>
      <c r="C57" s="7">
        <f t="shared" si="0"/>
        <v>8</v>
      </c>
    </row>
    <row r="58" spans="1:3" x14ac:dyDescent="0.25">
      <c r="A58" s="7" t="s">
        <v>2325</v>
      </c>
      <c r="B58" s="52">
        <v>44906</v>
      </c>
      <c r="C58" s="7">
        <f t="shared" si="0"/>
        <v>12</v>
      </c>
    </row>
    <row r="59" spans="1:3" x14ac:dyDescent="0.25">
      <c r="A59" s="7" t="s">
        <v>1481</v>
      </c>
      <c r="B59" s="52">
        <v>44748</v>
      </c>
      <c r="C59" s="7">
        <f t="shared" si="0"/>
        <v>7</v>
      </c>
    </row>
    <row r="60" spans="1:3" x14ac:dyDescent="0.25">
      <c r="A60" s="7" t="s">
        <v>3035</v>
      </c>
      <c r="B60" s="52">
        <v>44800</v>
      </c>
      <c r="C60" s="7">
        <f t="shared" si="0"/>
        <v>8</v>
      </c>
    </row>
    <row r="61" spans="1:3" x14ac:dyDescent="0.25">
      <c r="A61" s="7" t="s">
        <v>2477</v>
      </c>
      <c r="B61" s="52">
        <v>44819</v>
      </c>
      <c r="C61" s="7">
        <f t="shared" si="0"/>
        <v>9</v>
      </c>
    </row>
    <row r="62" spans="1:3" x14ac:dyDescent="0.25">
      <c r="A62" s="7" t="s">
        <v>1546</v>
      </c>
      <c r="B62" s="52">
        <v>44892</v>
      </c>
      <c r="C62" s="7">
        <f t="shared" si="0"/>
        <v>11</v>
      </c>
    </row>
    <row r="63" spans="1:3" x14ac:dyDescent="0.25">
      <c r="A63" s="7" t="s">
        <v>1318</v>
      </c>
      <c r="B63" s="52">
        <v>44834</v>
      </c>
      <c r="C63" s="7">
        <f t="shared" si="0"/>
        <v>9</v>
      </c>
    </row>
    <row r="64" spans="1:3" x14ac:dyDescent="0.25">
      <c r="A64" s="7" t="s">
        <v>1269</v>
      </c>
      <c r="B64" s="52">
        <v>44778</v>
      </c>
      <c r="C64" s="7">
        <f t="shared" si="0"/>
        <v>8</v>
      </c>
    </row>
    <row r="65" spans="1:3" x14ac:dyDescent="0.25">
      <c r="A65" s="7" t="s">
        <v>2542</v>
      </c>
      <c r="B65" s="52">
        <v>44768</v>
      </c>
      <c r="C65" s="7">
        <f t="shared" si="0"/>
        <v>7</v>
      </c>
    </row>
    <row r="66" spans="1:3" x14ac:dyDescent="0.25">
      <c r="A66" s="7" t="s">
        <v>2904</v>
      </c>
      <c r="B66" s="52">
        <v>44802</v>
      </c>
      <c r="C66" s="7">
        <f t="shared" ref="C66:C129" si="1">MONTH(B66)</f>
        <v>8</v>
      </c>
    </row>
    <row r="67" spans="1:3" x14ac:dyDescent="0.25">
      <c r="A67" s="7" t="s">
        <v>2153</v>
      </c>
      <c r="B67" s="52">
        <v>44783</v>
      </c>
      <c r="C67" s="7">
        <f t="shared" si="1"/>
        <v>8</v>
      </c>
    </row>
    <row r="68" spans="1:3" x14ac:dyDescent="0.25">
      <c r="A68" s="7" t="s">
        <v>1381</v>
      </c>
      <c r="B68" s="52">
        <v>44856</v>
      </c>
      <c r="C68" s="7">
        <f t="shared" si="1"/>
        <v>10</v>
      </c>
    </row>
    <row r="69" spans="1:3" x14ac:dyDescent="0.25">
      <c r="A69" s="7" t="s">
        <v>1421</v>
      </c>
      <c r="B69" s="52">
        <v>44788</v>
      </c>
      <c r="C69" s="7">
        <f t="shared" si="1"/>
        <v>8</v>
      </c>
    </row>
    <row r="70" spans="1:3" x14ac:dyDescent="0.25">
      <c r="A70" s="7" t="s">
        <v>1592</v>
      </c>
      <c r="B70" s="52">
        <v>44763</v>
      </c>
      <c r="C70" s="7">
        <f t="shared" si="1"/>
        <v>7</v>
      </c>
    </row>
    <row r="71" spans="1:3" x14ac:dyDescent="0.25">
      <c r="A71" s="7" t="s">
        <v>1601</v>
      </c>
      <c r="B71" s="52">
        <v>44880</v>
      </c>
      <c r="C71" s="7">
        <f t="shared" si="1"/>
        <v>11</v>
      </c>
    </row>
    <row r="72" spans="1:3" x14ac:dyDescent="0.25">
      <c r="A72" s="7" t="s">
        <v>2902</v>
      </c>
      <c r="B72" s="52">
        <v>44867</v>
      </c>
      <c r="C72" s="7">
        <f t="shared" si="1"/>
        <v>11</v>
      </c>
    </row>
    <row r="73" spans="1:3" x14ac:dyDescent="0.25">
      <c r="A73" s="7" t="s">
        <v>2295</v>
      </c>
      <c r="B73" s="52">
        <v>44834</v>
      </c>
      <c r="C73" s="7">
        <f t="shared" si="1"/>
        <v>9</v>
      </c>
    </row>
    <row r="74" spans="1:3" x14ac:dyDescent="0.25">
      <c r="A74" s="7" t="s">
        <v>1478</v>
      </c>
      <c r="B74" s="52">
        <v>44835</v>
      </c>
      <c r="C74" s="7">
        <f t="shared" si="1"/>
        <v>10</v>
      </c>
    </row>
    <row r="75" spans="1:3" x14ac:dyDescent="0.25">
      <c r="A75" s="7" t="s">
        <v>2445</v>
      </c>
      <c r="B75" s="52">
        <v>44858</v>
      </c>
      <c r="C75" s="7">
        <f t="shared" si="1"/>
        <v>10</v>
      </c>
    </row>
    <row r="76" spans="1:3" x14ac:dyDescent="0.25">
      <c r="A76" s="7" t="s">
        <v>3129</v>
      </c>
      <c r="B76" s="52">
        <v>44905</v>
      </c>
      <c r="C76" s="7">
        <f t="shared" si="1"/>
        <v>12</v>
      </c>
    </row>
    <row r="77" spans="1:3" x14ac:dyDescent="0.25">
      <c r="A77" s="7" t="s">
        <v>2228</v>
      </c>
      <c r="B77" s="52">
        <v>44752</v>
      </c>
      <c r="C77" s="7">
        <f t="shared" si="1"/>
        <v>7</v>
      </c>
    </row>
    <row r="78" spans="1:3" x14ac:dyDescent="0.25">
      <c r="A78" s="7" t="s">
        <v>2701</v>
      </c>
      <c r="B78" s="52">
        <v>44795</v>
      </c>
      <c r="C78" s="7">
        <f t="shared" si="1"/>
        <v>8</v>
      </c>
    </row>
    <row r="79" spans="1:3" x14ac:dyDescent="0.25">
      <c r="A79" s="7" t="s">
        <v>2531</v>
      </c>
      <c r="B79" s="52">
        <v>44752</v>
      </c>
      <c r="C79" s="7">
        <f t="shared" si="1"/>
        <v>7</v>
      </c>
    </row>
    <row r="80" spans="1:3" x14ac:dyDescent="0.25">
      <c r="A80" s="7" t="s">
        <v>1348</v>
      </c>
      <c r="B80" s="52">
        <v>44907</v>
      </c>
      <c r="C80" s="7">
        <f t="shared" si="1"/>
        <v>12</v>
      </c>
    </row>
    <row r="81" spans="1:3" x14ac:dyDescent="0.25">
      <c r="A81" s="7" t="s">
        <v>2593</v>
      </c>
      <c r="B81" s="52">
        <v>44879</v>
      </c>
      <c r="C81" s="7">
        <f t="shared" si="1"/>
        <v>11</v>
      </c>
    </row>
    <row r="82" spans="1:3" x14ac:dyDescent="0.25">
      <c r="A82" s="7" t="s">
        <v>1730</v>
      </c>
      <c r="B82" s="52">
        <v>44761</v>
      </c>
      <c r="C82" s="7">
        <f t="shared" si="1"/>
        <v>7</v>
      </c>
    </row>
    <row r="83" spans="1:3" x14ac:dyDescent="0.25">
      <c r="A83" s="7" t="s">
        <v>2042</v>
      </c>
      <c r="B83" s="52">
        <v>44822</v>
      </c>
      <c r="C83" s="7">
        <f t="shared" si="1"/>
        <v>9</v>
      </c>
    </row>
    <row r="84" spans="1:3" x14ac:dyDescent="0.25">
      <c r="A84" s="7" t="s">
        <v>2028</v>
      </c>
      <c r="B84" s="52">
        <v>44862</v>
      </c>
      <c r="C84" s="7">
        <f t="shared" si="1"/>
        <v>10</v>
      </c>
    </row>
    <row r="85" spans="1:3" x14ac:dyDescent="0.25">
      <c r="A85" s="7" t="s">
        <v>1631</v>
      </c>
      <c r="B85" s="52">
        <v>44807</v>
      </c>
      <c r="C85" s="7">
        <f t="shared" si="1"/>
        <v>9</v>
      </c>
    </row>
    <row r="86" spans="1:3" x14ac:dyDescent="0.25">
      <c r="A86" s="7" t="s">
        <v>2121</v>
      </c>
      <c r="B86" s="52">
        <v>44826</v>
      </c>
      <c r="C86" s="7">
        <f t="shared" si="1"/>
        <v>9</v>
      </c>
    </row>
    <row r="87" spans="1:3" x14ac:dyDescent="0.25">
      <c r="A87" s="7" t="s">
        <v>1724</v>
      </c>
      <c r="B87" s="52">
        <v>44789</v>
      </c>
      <c r="C87" s="7">
        <f t="shared" si="1"/>
        <v>8</v>
      </c>
    </row>
    <row r="88" spans="1:3" x14ac:dyDescent="0.25">
      <c r="A88" s="7" t="s">
        <v>1934</v>
      </c>
      <c r="B88" s="52">
        <v>44767</v>
      </c>
      <c r="C88" s="7">
        <f t="shared" si="1"/>
        <v>7</v>
      </c>
    </row>
    <row r="89" spans="1:3" x14ac:dyDescent="0.25">
      <c r="A89" s="7" t="s">
        <v>1205</v>
      </c>
      <c r="B89" s="52">
        <v>44835</v>
      </c>
      <c r="C89" s="7">
        <f t="shared" si="1"/>
        <v>10</v>
      </c>
    </row>
    <row r="90" spans="1:3" x14ac:dyDescent="0.25">
      <c r="A90" s="7" t="s">
        <v>1447</v>
      </c>
      <c r="B90" s="52">
        <v>44867</v>
      </c>
      <c r="C90" s="7">
        <f t="shared" si="1"/>
        <v>11</v>
      </c>
    </row>
    <row r="91" spans="1:3" x14ac:dyDescent="0.25">
      <c r="A91" s="7" t="s">
        <v>2249</v>
      </c>
      <c r="B91" s="52">
        <v>44913</v>
      </c>
      <c r="C91" s="7">
        <f t="shared" si="1"/>
        <v>12</v>
      </c>
    </row>
    <row r="92" spans="1:3" x14ac:dyDescent="0.25">
      <c r="A92" s="7" t="s">
        <v>2059</v>
      </c>
      <c r="B92" s="52">
        <v>44755</v>
      </c>
      <c r="C92" s="7">
        <f t="shared" si="1"/>
        <v>7</v>
      </c>
    </row>
    <row r="93" spans="1:3" x14ac:dyDescent="0.25">
      <c r="A93" s="7" t="s">
        <v>2771</v>
      </c>
      <c r="B93" s="52">
        <v>44800</v>
      </c>
      <c r="C93" s="7">
        <f t="shared" si="1"/>
        <v>8</v>
      </c>
    </row>
    <row r="94" spans="1:3" x14ac:dyDescent="0.25">
      <c r="A94" s="7" t="s">
        <v>2532</v>
      </c>
      <c r="B94" s="52">
        <v>44865</v>
      </c>
      <c r="C94" s="7">
        <f t="shared" si="1"/>
        <v>10</v>
      </c>
    </row>
    <row r="95" spans="1:3" x14ac:dyDescent="0.25">
      <c r="A95" s="7" t="s">
        <v>2621</v>
      </c>
      <c r="B95" s="52">
        <v>44846</v>
      </c>
      <c r="C95" s="7">
        <f t="shared" si="1"/>
        <v>10</v>
      </c>
    </row>
    <row r="96" spans="1:3" x14ac:dyDescent="0.25">
      <c r="A96" s="7" t="s">
        <v>3012</v>
      </c>
      <c r="B96" s="52">
        <v>44753</v>
      </c>
      <c r="C96" s="7">
        <f t="shared" si="1"/>
        <v>7</v>
      </c>
    </row>
    <row r="97" spans="1:3" x14ac:dyDescent="0.25">
      <c r="A97" s="7" t="s">
        <v>2699</v>
      </c>
      <c r="B97" s="52">
        <v>44911</v>
      </c>
      <c r="C97" s="7">
        <f t="shared" si="1"/>
        <v>12</v>
      </c>
    </row>
    <row r="98" spans="1:3" x14ac:dyDescent="0.25">
      <c r="A98" s="7" t="s">
        <v>1979</v>
      </c>
      <c r="B98" s="52">
        <v>44792</v>
      </c>
      <c r="C98" s="7">
        <f t="shared" si="1"/>
        <v>8</v>
      </c>
    </row>
    <row r="99" spans="1:3" x14ac:dyDescent="0.25">
      <c r="A99" s="7" t="s">
        <v>1285</v>
      </c>
      <c r="B99" s="52">
        <v>44849</v>
      </c>
      <c r="C99" s="7">
        <f t="shared" si="1"/>
        <v>10</v>
      </c>
    </row>
    <row r="100" spans="1:3" x14ac:dyDescent="0.25">
      <c r="A100" s="7" t="s">
        <v>2523</v>
      </c>
      <c r="B100" s="52">
        <v>44909</v>
      </c>
      <c r="C100" s="7">
        <f t="shared" si="1"/>
        <v>12</v>
      </c>
    </row>
    <row r="101" spans="1:3" x14ac:dyDescent="0.25">
      <c r="A101" s="7" t="s">
        <v>2210</v>
      </c>
      <c r="B101" s="52">
        <v>44801</v>
      </c>
      <c r="C101" s="7">
        <f t="shared" si="1"/>
        <v>8</v>
      </c>
    </row>
    <row r="102" spans="1:3" x14ac:dyDescent="0.25">
      <c r="A102" s="7" t="s">
        <v>3098</v>
      </c>
      <c r="B102" s="52">
        <v>44786</v>
      </c>
      <c r="C102" s="7">
        <f t="shared" si="1"/>
        <v>8</v>
      </c>
    </row>
    <row r="103" spans="1:3" x14ac:dyDescent="0.25">
      <c r="A103" s="7" t="s">
        <v>2471</v>
      </c>
      <c r="B103" s="52">
        <v>44840</v>
      </c>
      <c r="C103" s="7">
        <f t="shared" si="1"/>
        <v>10</v>
      </c>
    </row>
    <row r="104" spans="1:3" x14ac:dyDescent="0.25">
      <c r="A104" s="7" t="s">
        <v>2258</v>
      </c>
      <c r="B104" s="52">
        <v>44884</v>
      </c>
      <c r="C104" s="7">
        <f t="shared" si="1"/>
        <v>11</v>
      </c>
    </row>
    <row r="105" spans="1:3" x14ac:dyDescent="0.25">
      <c r="A105" s="7" t="s">
        <v>1316</v>
      </c>
      <c r="B105" s="52">
        <v>44878</v>
      </c>
      <c r="C105" s="7">
        <f t="shared" si="1"/>
        <v>11</v>
      </c>
    </row>
    <row r="106" spans="1:3" x14ac:dyDescent="0.25">
      <c r="A106" s="7" t="s">
        <v>1765</v>
      </c>
      <c r="B106" s="52">
        <v>44817</v>
      </c>
      <c r="C106" s="7">
        <f t="shared" si="1"/>
        <v>9</v>
      </c>
    </row>
    <row r="107" spans="1:3" x14ac:dyDescent="0.25">
      <c r="A107" s="7" t="s">
        <v>1761</v>
      </c>
      <c r="B107" s="52">
        <v>44761</v>
      </c>
      <c r="C107" s="7">
        <f t="shared" si="1"/>
        <v>7</v>
      </c>
    </row>
    <row r="108" spans="1:3" x14ac:dyDescent="0.25">
      <c r="A108" s="7" t="s">
        <v>1914</v>
      </c>
      <c r="B108" s="52">
        <v>44835</v>
      </c>
      <c r="C108" s="7">
        <f t="shared" si="1"/>
        <v>10</v>
      </c>
    </row>
    <row r="109" spans="1:3" x14ac:dyDescent="0.25">
      <c r="A109" s="7" t="s">
        <v>2048</v>
      </c>
      <c r="B109" s="52">
        <v>44882</v>
      </c>
      <c r="C109" s="7">
        <f t="shared" si="1"/>
        <v>11</v>
      </c>
    </row>
    <row r="110" spans="1:3" x14ac:dyDescent="0.25">
      <c r="A110" s="7" t="s">
        <v>3037</v>
      </c>
      <c r="B110" s="52">
        <v>44850</v>
      </c>
      <c r="C110" s="7">
        <f t="shared" si="1"/>
        <v>10</v>
      </c>
    </row>
    <row r="111" spans="1:3" x14ac:dyDescent="0.25">
      <c r="A111" s="7" t="s">
        <v>1810</v>
      </c>
      <c r="B111" s="52">
        <v>44822</v>
      </c>
      <c r="C111" s="7">
        <f t="shared" si="1"/>
        <v>9</v>
      </c>
    </row>
    <row r="112" spans="1:3" x14ac:dyDescent="0.25">
      <c r="A112" s="7" t="s">
        <v>2858</v>
      </c>
      <c r="B112" s="52">
        <v>44873</v>
      </c>
      <c r="C112" s="7">
        <f t="shared" si="1"/>
        <v>11</v>
      </c>
    </row>
    <row r="113" spans="1:3" x14ac:dyDescent="0.25">
      <c r="A113" s="7" t="s">
        <v>2137</v>
      </c>
      <c r="B113" s="52">
        <v>44841</v>
      </c>
      <c r="C113" s="7">
        <f t="shared" si="1"/>
        <v>10</v>
      </c>
    </row>
    <row r="114" spans="1:3" x14ac:dyDescent="0.25">
      <c r="A114" s="7" t="s">
        <v>2972</v>
      </c>
      <c r="B114" s="52">
        <v>44915</v>
      </c>
      <c r="C114" s="7">
        <f t="shared" si="1"/>
        <v>12</v>
      </c>
    </row>
    <row r="115" spans="1:3" x14ac:dyDescent="0.25">
      <c r="A115" s="7" t="s">
        <v>1377</v>
      </c>
      <c r="B115" s="52">
        <v>44904</v>
      </c>
      <c r="C115" s="7">
        <f t="shared" si="1"/>
        <v>12</v>
      </c>
    </row>
    <row r="116" spans="1:3" x14ac:dyDescent="0.25">
      <c r="A116" s="7" t="s">
        <v>1767</v>
      </c>
      <c r="B116" s="52">
        <v>44787</v>
      </c>
      <c r="C116" s="7">
        <f t="shared" si="1"/>
        <v>8</v>
      </c>
    </row>
    <row r="117" spans="1:3" x14ac:dyDescent="0.25">
      <c r="A117" s="7" t="s">
        <v>1927</v>
      </c>
      <c r="B117" s="52">
        <v>44893</v>
      </c>
      <c r="C117" s="7">
        <f t="shared" si="1"/>
        <v>11</v>
      </c>
    </row>
    <row r="118" spans="1:3" x14ac:dyDescent="0.25">
      <c r="A118" s="7" t="s">
        <v>1720</v>
      </c>
      <c r="B118" s="52">
        <v>44810</v>
      </c>
      <c r="C118" s="7">
        <f t="shared" si="1"/>
        <v>9</v>
      </c>
    </row>
    <row r="119" spans="1:3" x14ac:dyDescent="0.25">
      <c r="A119" s="7" t="s">
        <v>2766</v>
      </c>
      <c r="B119" s="52">
        <v>44889</v>
      </c>
      <c r="C119" s="7">
        <f t="shared" si="1"/>
        <v>11</v>
      </c>
    </row>
    <row r="120" spans="1:3" x14ac:dyDescent="0.25">
      <c r="A120" s="7" t="s">
        <v>2242</v>
      </c>
      <c r="B120" s="52">
        <v>44806</v>
      </c>
      <c r="C120" s="7">
        <f t="shared" si="1"/>
        <v>9</v>
      </c>
    </row>
    <row r="121" spans="1:3" x14ac:dyDescent="0.25">
      <c r="A121" s="7" t="s">
        <v>1250</v>
      </c>
      <c r="B121" s="52">
        <v>44886</v>
      </c>
      <c r="C121" s="7">
        <f t="shared" si="1"/>
        <v>11</v>
      </c>
    </row>
    <row r="122" spans="1:3" x14ac:dyDescent="0.25">
      <c r="A122" s="7" t="s">
        <v>1981</v>
      </c>
      <c r="B122" s="52">
        <v>44803</v>
      </c>
      <c r="C122" s="7">
        <f t="shared" si="1"/>
        <v>8</v>
      </c>
    </row>
    <row r="123" spans="1:3" x14ac:dyDescent="0.25">
      <c r="A123" s="7" t="s">
        <v>1845</v>
      </c>
      <c r="B123" s="52">
        <v>44858</v>
      </c>
      <c r="C123" s="7">
        <f t="shared" si="1"/>
        <v>10</v>
      </c>
    </row>
    <row r="124" spans="1:3" x14ac:dyDescent="0.25">
      <c r="A124" s="7" t="s">
        <v>1756</v>
      </c>
      <c r="B124" s="52">
        <v>44887</v>
      </c>
      <c r="C124" s="7">
        <f t="shared" si="1"/>
        <v>11</v>
      </c>
    </row>
    <row r="125" spans="1:3" x14ac:dyDescent="0.25">
      <c r="A125" s="7" t="s">
        <v>2333</v>
      </c>
      <c r="B125" s="52">
        <v>44853</v>
      </c>
      <c r="C125" s="7">
        <f t="shared" si="1"/>
        <v>10</v>
      </c>
    </row>
    <row r="126" spans="1:3" x14ac:dyDescent="0.25">
      <c r="A126" s="7" t="s">
        <v>2838</v>
      </c>
      <c r="B126" s="52">
        <v>44784</v>
      </c>
      <c r="C126" s="7">
        <f t="shared" si="1"/>
        <v>8</v>
      </c>
    </row>
    <row r="127" spans="1:3" x14ac:dyDescent="0.25">
      <c r="A127" s="7" t="s">
        <v>1165</v>
      </c>
      <c r="B127" s="52">
        <v>44784</v>
      </c>
      <c r="C127" s="7">
        <f t="shared" si="1"/>
        <v>8</v>
      </c>
    </row>
    <row r="128" spans="1:3" x14ac:dyDescent="0.25">
      <c r="A128" s="7" t="s">
        <v>1554</v>
      </c>
      <c r="B128" s="52">
        <v>44839</v>
      </c>
      <c r="C128" s="7">
        <f t="shared" si="1"/>
        <v>10</v>
      </c>
    </row>
    <row r="129" spans="1:3" x14ac:dyDescent="0.25">
      <c r="A129" s="7" t="s">
        <v>1282</v>
      </c>
      <c r="B129" s="52">
        <v>44902</v>
      </c>
      <c r="C129" s="7">
        <f t="shared" si="1"/>
        <v>12</v>
      </c>
    </row>
    <row r="130" spans="1:3" x14ac:dyDescent="0.25">
      <c r="A130" s="7" t="s">
        <v>1825</v>
      </c>
      <c r="B130" s="52">
        <v>44798</v>
      </c>
      <c r="C130" s="7">
        <f t="shared" ref="C130:C193" si="2">MONTH(B130)</f>
        <v>8</v>
      </c>
    </row>
    <row r="131" spans="1:3" x14ac:dyDescent="0.25">
      <c r="A131" s="7" t="s">
        <v>2417</v>
      </c>
      <c r="B131" s="52">
        <v>44829</v>
      </c>
      <c r="C131" s="7">
        <f t="shared" si="2"/>
        <v>9</v>
      </c>
    </row>
    <row r="132" spans="1:3" x14ac:dyDescent="0.25">
      <c r="A132" s="7" t="s">
        <v>1437</v>
      </c>
      <c r="B132" s="52">
        <v>44832</v>
      </c>
      <c r="C132" s="7">
        <f t="shared" si="2"/>
        <v>9</v>
      </c>
    </row>
    <row r="133" spans="1:3" x14ac:dyDescent="0.25">
      <c r="A133" s="7" t="s">
        <v>2014</v>
      </c>
      <c r="B133" s="52">
        <v>44786</v>
      </c>
      <c r="C133" s="7">
        <f t="shared" si="2"/>
        <v>8</v>
      </c>
    </row>
    <row r="134" spans="1:3" x14ac:dyDescent="0.25">
      <c r="A134" s="7" t="s">
        <v>2141</v>
      </c>
      <c r="B134" s="52">
        <v>44900</v>
      </c>
      <c r="C134" s="7">
        <f t="shared" si="2"/>
        <v>12</v>
      </c>
    </row>
    <row r="135" spans="1:3" x14ac:dyDescent="0.25">
      <c r="A135" s="7" t="s">
        <v>2341</v>
      </c>
      <c r="B135" s="52">
        <v>44917</v>
      </c>
      <c r="C135" s="7">
        <f t="shared" si="2"/>
        <v>12</v>
      </c>
    </row>
    <row r="136" spans="1:3" x14ac:dyDescent="0.25">
      <c r="A136" s="7" t="s">
        <v>2561</v>
      </c>
      <c r="B136" s="52">
        <v>44756</v>
      </c>
      <c r="C136" s="7">
        <f t="shared" si="2"/>
        <v>7</v>
      </c>
    </row>
    <row r="137" spans="1:3" x14ac:dyDescent="0.25">
      <c r="A137" s="7" t="s">
        <v>1445</v>
      </c>
      <c r="B137" s="52">
        <v>44767</v>
      </c>
      <c r="C137" s="7">
        <f t="shared" si="2"/>
        <v>7</v>
      </c>
    </row>
    <row r="138" spans="1:3" x14ac:dyDescent="0.25">
      <c r="A138" s="7" t="s">
        <v>2437</v>
      </c>
      <c r="B138" s="52">
        <v>44751</v>
      </c>
      <c r="C138" s="7">
        <f t="shared" si="2"/>
        <v>7</v>
      </c>
    </row>
    <row r="139" spans="1:3" x14ac:dyDescent="0.25">
      <c r="A139" s="7" t="s">
        <v>2525</v>
      </c>
      <c r="B139" s="52">
        <v>44795</v>
      </c>
      <c r="C139" s="7">
        <f t="shared" si="2"/>
        <v>8</v>
      </c>
    </row>
    <row r="140" spans="1:3" x14ac:dyDescent="0.25">
      <c r="A140" s="7" t="s">
        <v>2473</v>
      </c>
      <c r="B140" s="52">
        <v>44840</v>
      </c>
      <c r="C140" s="7">
        <f t="shared" si="2"/>
        <v>10</v>
      </c>
    </row>
    <row r="141" spans="1:3" x14ac:dyDescent="0.25">
      <c r="A141" s="7" t="s">
        <v>1550</v>
      </c>
      <c r="B141" s="52">
        <v>44863</v>
      </c>
      <c r="C141" s="7">
        <f t="shared" si="2"/>
        <v>10</v>
      </c>
    </row>
    <row r="142" spans="1:3" x14ac:dyDescent="0.25">
      <c r="A142" s="7" t="s">
        <v>2964</v>
      </c>
      <c r="B142" s="52">
        <v>44747</v>
      </c>
      <c r="C142" s="7">
        <f t="shared" si="2"/>
        <v>7</v>
      </c>
    </row>
    <row r="143" spans="1:3" x14ac:dyDescent="0.25">
      <c r="A143" s="7" t="s">
        <v>1681</v>
      </c>
      <c r="B143" s="52">
        <v>44755</v>
      </c>
      <c r="C143" s="7">
        <f t="shared" si="2"/>
        <v>7</v>
      </c>
    </row>
    <row r="144" spans="1:3" x14ac:dyDescent="0.25">
      <c r="A144" s="7" t="s">
        <v>2734</v>
      </c>
      <c r="B144" s="52">
        <v>44866</v>
      </c>
      <c r="C144" s="7">
        <f t="shared" si="2"/>
        <v>11</v>
      </c>
    </row>
    <row r="145" spans="1:3" x14ac:dyDescent="0.25">
      <c r="A145" s="7" t="s">
        <v>2938</v>
      </c>
      <c r="B145" s="52">
        <v>44790</v>
      </c>
      <c r="C145" s="7">
        <f t="shared" si="2"/>
        <v>8</v>
      </c>
    </row>
    <row r="146" spans="1:3" x14ac:dyDescent="0.25">
      <c r="A146" s="7" t="s">
        <v>2135</v>
      </c>
      <c r="B146" s="52">
        <v>44821</v>
      </c>
      <c r="C146" s="7">
        <f t="shared" si="2"/>
        <v>9</v>
      </c>
    </row>
    <row r="147" spans="1:3" x14ac:dyDescent="0.25">
      <c r="A147" s="7" t="s">
        <v>2198</v>
      </c>
      <c r="B147" s="52">
        <v>44830</v>
      </c>
      <c r="C147" s="7">
        <f t="shared" si="2"/>
        <v>9</v>
      </c>
    </row>
    <row r="148" spans="1:3" x14ac:dyDescent="0.25">
      <c r="A148" s="7" t="s">
        <v>1734</v>
      </c>
      <c r="B148" s="52">
        <v>44867</v>
      </c>
      <c r="C148" s="7">
        <f t="shared" si="2"/>
        <v>11</v>
      </c>
    </row>
    <row r="149" spans="1:3" x14ac:dyDescent="0.25">
      <c r="A149" s="7" t="s">
        <v>2801</v>
      </c>
      <c r="B149" s="52">
        <v>44897</v>
      </c>
      <c r="C149" s="7">
        <f t="shared" si="2"/>
        <v>12</v>
      </c>
    </row>
    <row r="150" spans="1:3" x14ac:dyDescent="0.25">
      <c r="A150" s="7" t="s">
        <v>3000</v>
      </c>
      <c r="B150" s="52">
        <v>44844</v>
      </c>
      <c r="C150" s="7">
        <f t="shared" si="2"/>
        <v>10</v>
      </c>
    </row>
    <row r="151" spans="1:3" x14ac:dyDescent="0.25">
      <c r="A151" s="7" t="s">
        <v>1443</v>
      </c>
      <c r="B151" s="52">
        <v>44754</v>
      </c>
      <c r="C151" s="7">
        <f t="shared" si="2"/>
        <v>7</v>
      </c>
    </row>
    <row r="152" spans="1:3" x14ac:dyDescent="0.25">
      <c r="A152" s="7" t="s">
        <v>2854</v>
      </c>
      <c r="B152" s="52">
        <v>44837</v>
      </c>
      <c r="C152" s="7">
        <f t="shared" si="2"/>
        <v>10</v>
      </c>
    </row>
    <row r="153" spans="1:3" x14ac:dyDescent="0.25">
      <c r="A153" s="7" t="s">
        <v>3057</v>
      </c>
      <c r="B153" s="52">
        <v>44908</v>
      </c>
      <c r="C153" s="7">
        <f t="shared" si="2"/>
        <v>12</v>
      </c>
    </row>
    <row r="154" spans="1:3" x14ac:dyDescent="0.25">
      <c r="A154" s="7" t="s">
        <v>1970</v>
      </c>
      <c r="B154" s="52">
        <v>44883</v>
      </c>
      <c r="C154" s="7">
        <f t="shared" si="2"/>
        <v>11</v>
      </c>
    </row>
    <row r="155" spans="1:3" x14ac:dyDescent="0.25">
      <c r="A155" s="7" t="s">
        <v>1863</v>
      </c>
      <c r="B155" s="52">
        <v>44828</v>
      </c>
      <c r="C155" s="7">
        <f t="shared" si="2"/>
        <v>9</v>
      </c>
    </row>
    <row r="156" spans="1:3" x14ac:dyDescent="0.25">
      <c r="A156" s="7" t="s">
        <v>1153</v>
      </c>
      <c r="B156" s="52">
        <v>44823</v>
      </c>
      <c r="C156" s="7">
        <f t="shared" si="2"/>
        <v>9</v>
      </c>
    </row>
    <row r="157" spans="1:3" x14ac:dyDescent="0.25">
      <c r="A157" s="7" t="s">
        <v>2467</v>
      </c>
      <c r="B157" s="52">
        <v>44823</v>
      </c>
      <c r="C157" s="7">
        <f t="shared" si="2"/>
        <v>9</v>
      </c>
    </row>
    <row r="158" spans="1:3" x14ac:dyDescent="0.25">
      <c r="A158" s="7" t="s">
        <v>1523</v>
      </c>
      <c r="B158" s="52">
        <v>44859</v>
      </c>
      <c r="C158" s="7">
        <f t="shared" si="2"/>
        <v>10</v>
      </c>
    </row>
    <row r="159" spans="1:3" x14ac:dyDescent="0.25">
      <c r="A159" s="7" t="s">
        <v>2574</v>
      </c>
      <c r="B159" s="52">
        <v>44810</v>
      </c>
      <c r="C159" s="7">
        <f t="shared" si="2"/>
        <v>9</v>
      </c>
    </row>
    <row r="160" spans="1:3" x14ac:dyDescent="0.25">
      <c r="A160" s="7" t="s">
        <v>1531</v>
      </c>
      <c r="B160" s="52">
        <v>44846</v>
      </c>
      <c r="C160" s="7">
        <f t="shared" si="2"/>
        <v>10</v>
      </c>
    </row>
    <row r="161" spans="1:3" x14ac:dyDescent="0.25">
      <c r="A161" s="7" t="s">
        <v>1369</v>
      </c>
      <c r="B161" s="52">
        <v>44772</v>
      </c>
      <c r="C161" s="7">
        <f t="shared" si="2"/>
        <v>7</v>
      </c>
    </row>
    <row r="162" spans="1:3" x14ac:dyDescent="0.25">
      <c r="A162" s="7" t="s">
        <v>1599</v>
      </c>
      <c r="B162" s="52">
        <v>44883</v>
      </c>
      <c r="C162" s="7">
        <f t="shared" si="2"/>
        <v>11</v>
      </c>
    </row>
    <row r="163" spans="1:3" x14ac:dyDescent="0.25">
      <c r="A163" s="7" t="s">
        <v>2719</v>
      </c>
      <c r="B163" s="52">
        <v>44847</v>
      </c>
      <c r="C163" s="7">
        <f t="shared" si="2"/>
        <v>10</v>
      </c>
    </row>
    <row r="164" spans="1:3" x14ac:dyDescent="0.25">
      <c r="A164" s="7" t="s">
        <v>1850</v>
      </c>
      <c r="B164" s="52">
        <v>44887</v>
      </c>
      <c r="C164" s="7">
        <f t="shared" si="2"/>
        <v>11</v>
      </c>
    </row>
    <row r="165" spans="1:3" x14ac:dyDescent="0.25">
      <c r="A165" s="7" t="s">
        <v>1792</v>
      </c>
      <c r="B165" s="52">
        <v>44837</v>
      </c>
      <c r="C165" s="7">
        <f t="shared" si="2"/>
        <v>10</v>
      </c>
    </row>
    <row r="166" spans="1:3" x14ac:dyDescent="0.25">
      <c r="A166" s="7" t="s">
        <v>2540</v>
      </c>
      <c r="B166" s="52">
        <v>44776</v>
      </c>
      <c r="C166" s="7">
        <f t="shared" si="2"/>
        <v>8</v>
      </c>
    </row>
    <row r="167" spans="1:3" x14ac:dyDescent="0.25">
      <c r="A167" s="7" t="s">
        <v>2922</v>
      </c>
      <c r="B167" s="52">
        <v>44896</v>
      </c>
      <c r="C167" s="7">
        <f t="shared" si="2"/>
        <v>12</v>
      </c>
    </row>
    <row r="168" spans="1:3" x14ac:dyDescent="0.25">
      <c r="A168" s="7" t="s">
        <v>1816</v>
      </c>
      <c r="B168" s="52">
        <v>44778</v>
      </c>
      <c r="C168" s="7">
        <f t="shared" si="2"/>
        <v>8</v>
      </c>
    </row>
    <row r="169" spans="1:3" x14ac:dyDescent="0.25">
      <c r="A169" s="7" t="s">
        <v>2876</v>
      </c>
      <c r="B169" s="52">
        <v>44865</v>
      </c>
      <c r="C169" s="7">
        <f t="shared" si="2"/>
        <v>10</v>
      </c>
    </row>
    <row r="170" spans="1:3" x14ac:dyDescent="0.25">
      <c r="A170" s="7" t="s">
        <v>1441</v>
      </c>
      <c r="B170" s="52">
        <v>44846</v>
      </c>
      <c r="C170" s="7">
        <f t="shared" si="2"/>
        <v>10</v>
      </c>
    </row>
    <row r="171" spans="1:3" x14ac:dyDescent="0.25">
      <c r="A171" s="7" t="s">
        <v>2762</v>
      </c>
      <c r="B171" s="52">
        <v>44766</v>
      </c>
      <c r="C171" s="7">
        <f t="shared" si="2"/>
        <v>7</v>
      </c>
    </row>
    <row r="172" spans="1:3" x14ac:dyDescent="0.25">
      <c r="A172" s="7" t="s">
        <v>2057</v>
      </c>
      <c r="B172" s="52">
        <v>44864</v>
      </c>
      <c r="C172" s="7">
        <f t="shared" si="2"/>
        <v>10</v>
      </c>
    </row>
    <row r="173" spans="1:3" x14ac:dyDescent="0.25">
      <c r="A173" s="7" t="s">
        <v>2202</v>
      </c>
      <c r="B173" s="52">
        <v>44899</v>
      </c>
      <c r="C173" s="7">
        <f t="shared" si="2"/>
        <v>12</v>
      </c>
    </row>
    <row r="174" spans="1:3" x14ac:dyDescent="0.25">
      <c r="A174" s="7" t="s">
        <v>2705</v>
      </c>
      <c r="B174" s="52">
        <v>44871</v>
      </c>
      <c r="C174" s="7">
        <f t="shared" si="2"/>
        <v>11</v>
      </c>
    </row>
    <row r="175" spans="1:3" x14ac:dyDescent="0.25">
      <c r="A175" s="7" t="s">
        <v>2715</v>
      </c>
      <c r="B175" s="52">
        <v>44859</v>
      </c>
      <c r="C175" s="7">
        <f t="shared" si="2"/>
        <v>10</v>
      </c>
    </row>
    <row r="176" spans="1:3" x14ac:dyDescent="0.25">
      <c r="A176" s="7" t="s">
        <v>2192</v>
      </c>
      <c r="B176" s="52">
        <v>44838</v>
      </c>
      <c r="C176" s="7">
        <f t="shared" si="2"/>
        <v>10</v>
      </c>
    </row>
    <row r="177" spans="1:3" x14ac:dyDescent="0.25">
      <c r="A177" s="7" t="s">
        <v>2327</v>
      </c>
      <c r="B177" s="52">
        <v>44783</v>
      </c>
      <c r="C177" s="7">
        <f t="shared" si="2"/>
        <v>8</v>
      </c>
    </row>
    <row r="178" spans="1:3" x14ac:dyDescent="0.25">
      <c r="A178" s="7" t="s">
        <v>2536</v>
      </c>
      <c r="B178" s="52">
        <v>44887</v>
      </c>
      <c r="C178" s="7">
        <f t="shared" si="2"/>
        <v>11</v>
      </c>
    </row>
    <row r="179" spans="1:3" x14ac:dyDescent="0.25">
      <c r="A179" s="7" t="s">
        <v>2557</v>
      </c>
      <c r="B179" s="52">
        <v>44838</v>
      </c>
      <c r="C179" s="7">
        <f t="shared" si="2"/>
        <v>10</v>
      </c>
    </row>
    <row r="180" spans="1:3" x14ac:dyDescent="0.25">
      <c r="A180" s="7" t="s">
        <v>2744</v>
      </c>
      <c r="B180" s="52">
        <v>44827</v>
      </c>
      <c r="C180" s="7">
        <f t="shared" si="2"/>
        <v>9</v>
      </c>
    </row>
    <row r="181" spans="1:3" x14ac:dyDescent="0.25">
      <c r="A181" s="7" t="s">
        <v>1843</v>
      </c>
      <c r="B181" s="52">
        <v>44784</v>
      </c>
      <c r="C181" s="7">
        <f t="shared" si="2"/>
        <v>8</v>
      </c>
    </row>
    <row r="182" spans="1:3" x14ac:dyDescent="0.25">
      <c r="A182" s="7" t="s">
        <v>1609</v>
      </c>
      <c r="B182" s="52">
        <v>44878</v>
      </c>
      <c r="C182" s="7">
        <f t="shared" si="2"/>
        <v>11</v>
      </c>
    </row>
    <row r="183" spans="1:3" x14ac:dyDescent="0.25">
      <c r="A183" s="7" t="s">
        <v>2050</v>
      </c>
      <c r="B183" s="52">
        <v>44907</v>
      </c>
      <c r="C183" s="7">
        <f t="shared" si="2"/>
        <v>12</v>
      </c>
    </row>
    <row r="184" spans="1:3" x14ac:dyDescent="0.25">
      <c r="A184" s="7" t="s">
        <v>2569</v>
      </c>
      <c r="B184" s="52">
        <v>44908</v>
      </c>
      <c r="C184" s="7">
        <f t="shared" si="2"/>
        <v>12</v>
      </c>
    </row>
    <row r="185" spans="1:3" x14ac:dyDescent="0.25">
      <c r="A185" s="7" t="s">
        <v>1902</v>
      </c>
      <c r="B185" s="52">
        <v>44878</v>
      </c>
      <c r="C185" s="7">
        <f t="shared" si="2"/>
        <v>11</v>
      </c>
    </row>
    <row r="186" spans="1:3" x14ac:dyDescent="0.25">
      <c r="A186" s="7" t="s">
        <v>2655</v>
      </c>
      <c r="B186" s="52">
        <v>44831</v>
      </c>
      <c r="C186" s="7">
        <f t="shared" si="2"/>
        <v>9</v>
      </c>
    </row>
    <row r="187" spans="1:3" x14ac:dyDescent="0.25">
      <c r="A187" s="7" t="s">
        <v>2793</v>
      </c>
      <c r="B187" s="52">
        <v>44909</v>
      </c>
      <c r="C187" s="7">
        <f t="shared" si="2"/>
        <v>12</v>
      </c>
    </row>
    <row r="188" spans="1:3" x14ac:dyDescent="0.25">
      <c r="A188" s="7" t="s">
        <v>2151</v>
      </c>
      <c r="B188" s="52">
        <v>44768</v>
      </c>
      <c r="C188" s="7">
        <f t="shared" si="2"/>
        <v>7</v>
      </c>
    </row>
    <row r="189" spans="1:3" x14ac:dyDescent="0.25">
      <c r="A189" s="7" t="s">
        <v>2165</v>
      </c>
      <c r="B189" s="52">
        <v>44748</v>
      </c>
      <c r="C189" s="7">
        <f t="shared" si="2"/>
        <v>7</v>
      </c>
    </row>
    <row r="190" spans="1:3" x14ac:dyDescent="0.25">
      <c r="A190" s="7" t="s">
        <v>2615</v>
      </c>
      <c r="B190" s="52">
        <v>44777</v>
      </c>
      <c r="C190" s="7">
        <f t="shared" si="2"/>
        <v>8</v>
      </c>
    </row>
    <row r="191" spans="1:3" x14ac:dyDescent="0.25">
      <c r="A191" s="7" t="s">
        <v>1958</v>
      </c>
      <c r="B191" s="52">
        <v>44908</v>
      </c>
      <c r="C191" s="7">
        <f t="shared" si="2"/>
        <v>12</v>
      </c>
    </row>
    <row r="192" spans="1:3" x14ac:dyDescent="0.25">
      <c r="A192" s="7" t="s">
        <v>1944</v>
      </c>
      <c r="B192" s="52">
        <v>44893</v>
      </c>
      <c r="C192" s="7">
        <f t="shared" si="2"/>
        <v>11</v>
      </c>
    </row>
    <row r="193" spans="1:3" x14ac:dyDescent="0.25">
      <c r="A193" s="7" t="s">
        <v>3002</v>
      </c>
      <c r="B193" s="52">
        <v>44875</v>
      </c>
      <c r="C193" s="7">
        <f t="shared" si="2"/>
        <v>11</v>
      </c>
    </row>
    <row r="194" spans="1:3" x14ac:dyDescent="0.25">
      <c r="A194" s="7" t="s">
        <v>3112</v>
      </c>
      <c r="B194" s="52">
        <v>44875</v>
      </c>
      <c r="C194" s="7">
        <f t="shared" ref="C194:C257" si="3">MONTH(B194)</f>
        <v>11</v>
      </c>
    </row>
    <row r="195" spans="1:3" x14ac:dyDescent="0.25">
      <c r="A195" s="7" t="s">
        <v>1763</v>
      </c>
      <c r="B195" s="52">
        <v>44783</v>
      </c>
      <c r="C195" s="7">
        <f t="shared" si="3"/>
        <v>8</v>
      </c>
    </row>
    <row r="196" spans="1:3" x14ac:dyDescent="0.25">
      <c r="A196" s="7" t="s">
        <v>1814</v>
      </c>
      <c r="B196" s="52">
        <v>44832</v>
      </c>
      <c r="C196" s="7">
        <f t="shared" si="3"/>
        <v>9</v>
      </c>
    </row>
    <row r="197" spans="1:3" x14ac:dyDescent="0.25">
      <c r="A197" s="7" t="s">
        <v>2485</v>
      </c>
      <c r="B197" s="52">
        <v>44804</v>
      </c>
      <c r="C197" s="7">
        <f t="shared" si="3"/>
        <v>8</v>
      </c>
    </row>
    <row r="198" spans="1:3" x14ac:dyDescent="0.25">
      <c r="A198" s="7" t="s">
        <v>2742</v>
      </c>
      <c r="B198" s="52">
        <v>44899</v>
      </c>
      <c r="C198" s="7">
        <f t="shared" si="3"/>
        <v>12</v>
      </c>
    </row>
    <row r="199" spans="1:3" x14ac:dyDescent="0.25">
      <c r="A199" s="7" t="s">
        <v>2415</v>
      </c>
      <c r="B199" s="52">
        <v>44831</v>
      </c>
      <c r="C199" s="7">
        <f t="shared" si="3"/>
        <v>9</v>
      </c>
    </row>
    <row r="200" spans="1:3" x14ac:dyDescent="0.25">
      <c r="A200" s="7" t="s">
        <v>3030</v>
      </c>
      <c r="B200" s="52">
        <v>44835</v>
      </c>
      <c r="C200" s="7">
        <f t="shared" si="3"/>
        <v>10</v>
      </c>
    </row>
    <row r="201" spans="1:3" x14ac:dyDescent="0.25">
      <c r="A201" s="7" t="s">
        <v>2611</v>
      </c>
      <c r="B201" s="52">
        <v>44874</v>
      </c>
      <c r="C201" s="7">
        <f t="shared" si="3"/>
        <v>11</v>
      </c>
    </row>
    <row r="202" spans="1:3" x14ac:dyDescent="0.25">
      <c r="A202" s="7" t="s">
        <v>2846</v>
      </c>
      <c r="B202" s="52">
        <v>44830</v>
      </c>
      <c r="C202" s="7">
        <f t="shared" si="3"/>
        <v>9</v>
      </c>
    </row>
    <row r="203" spans="1:3" x14ac:dyDescent="0.25">
      <c r="A203" s="7" t="s">
        <v>1497</v>
      </c>
      <c r="B203" s="52">
        <v>44750</v>
      </c>
      <c r="C203" s="7">
        <f t="shared" si="3"/>
        <v>7</v>
      </c>
    </row>
    <row r="204" spans="1:3" x14ac:dyDescent="0.25">
      <c r="A204" s="7" t="s">
        <v>2339</v>
      </c>
      <c r="B204" s="52">
        <v>44910</v>
      </c>
      <c r="C204" s="7">
        <f t="shared" si="3"/>
        <v>12</v>
      </c>
    </row>
    <row r="205" spans="1:3" x14ac:dyDescent="0.25">
      <c r="A205" s="7" t="s">
        <v>1345</v>
      </c>
      <c r="B205" s="52">
        <v>44775</v>
      </c>
      <c r="C205" s="7">
        <f t="shared" si="3"/>
        <v>8</v>
      </c>
    </row>
    <row r="206" spans="1:3" x14ac:dyDescent="0.25">
      <c r="A206" s="7" t="s">
        <v>1798</v>
      </c>
      <c r="B206" s="52">
        <v>44857</v>
      </c>
      <c r="C206" s="7">
        <f t="shared" si="3"/>
        <v>10</v>
      </c>
    </row>
    <row r="207" spans="1:3" x14ac:dyDescent="0.25">
      <c r="A207" s="7" t="s">
        <v>2892</v>
      </c>
      <c r="B207" s="52">
        <v>44888</v>
      </c>
      <c r="C207" s="7">
        <f t="shared" si="3"/>
        <v>11</v>
      </c>
    </row>
    <row r="208" spans="1:3" x14ac:dyDescent="0.25">
      <c r="A208" s="7" t="s">
        <v>2361</v>
      </c>
      <c r="B208" s="52">
        <v>44815</v>
      </c>
      <c r="C208" s="7">
        <f t="shared" si="3"/>
        <v>9</v>
      </c>
    </row>
    <row r="209" spans="1:3" x14ac:dyDescent="0.25">
      <c r="A209" s="7" t="s">
        <v>2369</v>
      </c>
      <c r="B209" s="52">
        <v>44896</v>
      </c>
      <c r="C209" s="7">
        <f t="shared" si="3"/>
        <v>12</v>
      </c>
    </row>
    <row r="210" spans="1:3" x14ac:dyDescent="0.25">
      <c r="A210" s="7" t="s">
        <v>2453</v>
      </c>
      <c r="B210" s="52">
        <v>44761</v>
      </c>
      <c r="C210" s="7">
        <f t="shared" si="3"/>
        <v>7</v>
      </c>
    </row>
    <row r="211" spans="1:3" x14ac:dyDescent="0.25">
      <c r="A211" s="7" t="s">
        <v>2805</v>
      </c>
      <c r="B211" s="52">
        <v>44897</v>
      </c>
      <c r="C211" s="7">
        <f t="shared" si="3"/>
        <v>12</v>
      </c>
    </row>
    <row r="212" spans="1:3" x14ac:dyDescent="0.25">
      <c r="A212" s="7" t="s">
        <v>1854</v>
      </c>
      <c r="B212" s="52">
        <v>44897</v>
      </c>
      <c r="C212" s="7">
        <f t="shared" si="3"/>
        <v>12</v>
      </c>
    </row>
    <row r="213" spans="1:3" x14ac:dyDescent="0.25">
      <c r="A213" s="7" t="s">
        <v>2103</v>
      </c>
      <c r="B213" s="52">
        <v>44806</v>
      </c>
      <c r="C213" s="7">
        <f t="shared" si="3"/>
        <v>9</v>
      </c>
    </row>
    <row r="214" spans="1:3" x14ac:dyDescent="0.25">
      <c r="A214" s="7" t="s">
        <v>3131</v>
      </c>
      <c r="B214" s="52">
        <v>44904</v>
      </c>
      <c r="C214" s="7">
        <f t="shared" si="3"/>
        <v>12</v>
      </c>
    </row>
    <row r="215" spans="1:3" x14ac:dyDescent="0.25">
      <c r="A215" s="7" t="s">
        <v>1435</v>
      </c>
      <c r="B215" s="52">
        <v>44889</v>
      </c>
      <c r="C215" s="7">
        <f t="shared" si="3"/>
        <v>11</v>
      </c>
    </row>
    <row r="216" spans="1:3" x14ac:dyDescent="0.25">
      <c r="A216" s="7" t="s">
        <v>1098</v>
      </c>
      <c r="B216" s="52">
        <v>44882</v>
      </c>
      <c r="C216" s="7">
        <f t="shared" si="3"/>
        <v>11</v>
      </c>
    </row>
    <row r="217" spans="1:3" x14ac:dyDescent="0.25">
      <c r="A217" s="7" t="s">
        <v>3045</v>
      </c>
      <c r="B217" s="52">
        <v>44898</v>
      </c>
      <c r="C217" s="7">
        <f t="shared" si="3"/>
        <v>12</v>
      </c>
    </row>
    <row r="218" spans="1:3" x14ac:dyDescent="0.25">
      <c r="A218" s="7" t="s">
        <v>2946</v>
      </c>
      <c r="B218" s="52">
        <v>44747</v>
      </c>
      <c r="C218" s="7">
        <f t="shared" si="3"/>
        <v>7</v>
      </c>
    </row>
    <row r="219" spans="1:3" x14ac:dyDescent="0.25">
      <c r="A219" s="7" t="s">
        <v>2149</v>
      </c>
      <c r="B219" s="52">
        <v>44913</v>
      </c>
      <c r="C219" s="7">
        <f t="shared" si="3"/>
        <v>12</v>
      </c>
    </row>
    <row r="220" spans="1:3" x14ac:dyDescent="0.25">
      <c r="A220" s="7" t="s">
        <v>1696</v>
      </c>
      <c r="B220" s="52">
        <v>44766</v>
      </c>
      <c r="C220" s="7">
        <f t="shared" si="3"/>
        <v>7</v>
      </c>
    </row>
    <row r="221" spans="1:3" x14ac:dyDescent="0.25">
      <c r="A221" s="7" t="s">
        <v>2900</v>
      </c>
      <c r="B221" s="52">
        <v>44843</v>
      </c>
      <c r="C221" s="7">
        <f t="shared" si="3"/>
        <v>10</v>
      </c>
    </row>
    <row r="222" spans="1:3" x14ac:dyDescent="0.25">
      <c r="A222" s="7" t="s">
        <v>1338</v>
      </c>
      <c r="B222" s="52">
        <v>44914</v>
      </c>
      <c r="C222" s="7">
        <f t="shared" si="3"/>
        <v>12</v>
      </c>
    </row>
    <row r="223" spans="1:3" x14ac:dyDescent="0.25">
      <c r="A223" s="7" t="s">
        <v>1623</v>
      </c>
      <c r="B223" s="52">
        <v>44785</v>
      </c>
      <c r="C223" s="7">
        <f t="shared" si="3"/>
        <v>8</v>
      </c>
    </row>
    <row r="224" spans="1:3" x14ac:dyDescent="0.25">
      <c r="A224" s="7" t="s">
        <v>1653</v>
      </c>
      <c r="B224" s="52">
        <v>44897</v>
      </c>
      <c r="C224" s="7">
        <f t="shared" si="3"/>
        <v>12</v>
      </c>
    </row>
    <row r="225" spans="1:3" x14ac:dyDescent="0.25">
      <c r="A225" s="7" t="s">
        <v>1752</v>
      </c>
      <c r="B225" s="52">
        <v>44912</v>
      </c>
      <c r="C225" s="7">
        <f t="shared" si="3"/>
        <v>12</v>
      </c>
    </row>
    <row r="226" spans="1:3" x14ac:dyDescent="0.25">
      <c r="A226" s="7" t="s">
        <v>3059</v>
      </c>
      <c r="B226" s="52">
        <v>44808</v>
      </c>
      <c r="C226" s="7">
        <f t="shared" si="3"/>
        <v>9</v>
      </c>
    </row>
    <row r="227" spans="1:3" x14ac:dyDescent="0.25">
      <c r="A227" s="7" t="s">
        <v>1505</v>
      </c>
      <c r="B227" s="52">
        <v>44839</v>
      </c>
      <c r="C227" s="7">
        <f t="shared" si="3"/>
        <v>10</v>
      </c>
    </row>
    <row r="228" spans="1:3" x14ac:dyDescent="0.25">
      <c r="A228" s="7" t="s">
        <v>2932</v>
      </c>
      <c r="B228" s="52">
        <v>44778</v>
      </c>
      <c r="C228" s="7">
        <f t="shared" si="3"/>
        <v>8</v>
      </c>
    </row>
    <row r="229" spans="1:3" x14ac:dyDescent="0.25">
      <c r="A229" s="7" t="s">
        <v>1288</v>
      </c>
      <c r="B229" s="52">
        <v>44859</v>
      </c>
      <c r="C229" s="7">
        <f t="shared" si="3"/>
        <v>10</v>
      </c>
    </row>
    <row r="230" spans="1:3" x14ac:dyDescent="0.25">
      <c r="A230" s="7" t="s">
        <v>2894</v>
      </c>
      <c r="B230" s="52">
        <v>44855</v>
      </c>
      <c r="C230" s="7">
        <f t="shared" si="3"/>
        <v>10</v>
      </c>
    </row>
    <row r="231" spans="1:3" x14ac:dyDescent="0.25">
      <c r="A231" s="7" t="s">
        <v>1329</v>
      </c>
      <c r="B231" s="52">
        <v>44876</v>
      </c>
      <c r="C231" s="7">
        <f t="shared" si="3"/>
        <v>11</v>
      </c>
    </row>
    <row r="232" spans="1:3" x14ac:dyDescent="0.25">
      <c r="A232" s="7" t="s">
        <v>2599</v>
      </c>
      <c r="B232" s="52">
        <v>44782</v>
      </c>
      <c r="C232" s="7">
        <f t="shared" si="3"/>
        <v>8</v>
      </c>
    </row>
    <row r="233" spans="1:3" x14ac:dyDescent="0.25">
      <c r="A233" s="7" t="s">
        <v>1796</v>
      </c>
      <c r="B233" s="52">
        <v>44815</v>
      </c>
      <c r="C233" s="7">
        <f t="shared" si="3"/>
        <v>9</v>
      </c>
    </row>
    <row r="234" spans="1:3" x14ac:dyDescent="0.25">
      <c r="A234" s="7" t="s">
        <v>2944</v>
      </c>
      <c r="B234" s="52">
        <v>44881</v>
      </c>
      <c r="C234" s="7">
        <f t="shared" si="3"/>
        <v>11</v>
      </c>
    </row>
    <row r="235" spans="1:3" x14ac:dyDescent="0.25">
      <c r="A235" s="7" t="s">
        <v>1182</v>
      </c>
      <c r="B235" s="52">
        <v>44917</v>
      </c>
      <c r="C235" s="7">
        <f t="shared" si="3"/>
        <v>12</v>
      </c>
    </row>
    <row r="236" spans="1:3" x14ac:dyDescent="0.25">
      <c r="A236" s="7" t="s">
        <v>1833</v>
      </c>
      <c r="B236" s="52">
        <v>44861</v>
      </c>
      <c r="C236" s="7">
        <f t="shared" si="3"/>
        <v>10</v>
      </c>
    </row>
    <row r="237" spans="1:3" x14ac:dyDescent="0.25">
      <c r="A237" s="7" t="s">
        <v>1495</v>
      </c>
      <c r="B237" s="52">
        <v>44900</v>
      </c>
      <c r="C237" s="7">
        <f t="shared" si="3"/>
        <v>12</v>
      </c>
    </row>
    <row r="238" spans="1:3" x14ac:dyDescent="0.25">
      <c r="A238" s="7" t="s">
        <v>1586</v>
      </c>
      <c r="B238" s="52">
        <v>44763</v>
      </c>
      <c r="C238" s="7">
        <f t="shared" si="3"/>
        <v>7</v>
      </c>
    </row>
    <row r="239" spans="1:3" x14ac:dyDescent="0.25">
      <c r="A239" s="7" t="s">
        <v>1613</v>
      </c>
      <c r="B239" s="52">
        <v>44827</v>
      </c>
      <c r="C239" s="7">
        <f t="shared" si="3"/>
        <v>9</v>
      </c>
    </row>
    <row r="240" spans="1:3" x14ac:dyDescent="0.25">
      <c r="A240" s="7" t="s">
        <v>2401</v>
      </c>
      <c r="B240" s="52">
        <v>44754</v>
      </c>
      <c r="C240" s="7">
        <f t="shared" si="3"/>
        <v>7</v>
      </c>
    </row>
    <row r="241" spans="1:3" x14ac:dyDescent="0.25">
      <c r="A241" s="7" t="s">
        <v>3086</v>
      </c>
      <c r="B241" s="52">
        <v>44842</v>
      </c>
      <c r="C241" s="7">
        <f t="shared" si="3"/>
        <v>10</v>
      </c>
    </row>
    <row r="242" spans="1:3" x14ac:dyDescent="0.25">
      <c r="A242" s="7" t="s">
        <v>2886</v>
      </c>
      <c r="B242" s="52">
        <v>44908</v>
      </c>
      <c r="C242" s="7">
        <f t="shared" si="3"/>
        <v>12</v>
      </c>
    </row>
    <row r="243" spans="1:3" x14ac:dyDescent="0.25">
      <c r="A243" s="7" t="s">
        <v>3110</v>
      </c>
      <c r="B243" s="52">
        <v>44848</v>
      </c>
      <c r="C243" s="7">
        <f t="shared" si="3"/>
        <v>10</v>
      </c>
    </row>
    <row r="244" spans="1:3" x14ac:dyDescent="0.25">
      <c r="A244" s="7" t="s">
        <v>1343</v>
      </c>
      <c r="B244" s="52">
        <v>44755</v>
      </c>
      <c r="C244" s="7">
        <f t="shared" si="3"/>
        <v>7</v>
      </c>
    </row>
    <row r="245" spans="1:3" x14ac:dyDescent="0.25">
      <c r="A245" s="7" t="s">
        <v>2067</v>
      </c>
      <c r="B245" s="52">
        <v>44913</v>
      </c>
      <c r="C245" s="7">
        <f t="shared" si="3"/>
        <v>12</v>
      </c>
    </row>
    <row r="246" spans="1:3" x14ac:dyDescent="0.25">
      <c r="A246" s="7" t="s">
        <v>1427</v>
      </c>
      <c r="B246" s="52">
        <v>44845</v>
      </c>
      <c r="C246" s="7">
        <f t="shared" si="3"/>
        <v>10</v>
      </c>
    </row>
    <row r="247" spans="1:3" x14ac:dyDescent="0.25">
      <c r="A247" s="7" t="s">
        <v>2018</v>
      </c>
      <c r="B247" s="52">
        <v>44753</v>
      </c>
      <c r="C247" s="7">
        <f t="shared" si="3"/>
        <v>7</v>
      </c>
    </row>
    <row r="248" spans="1:3" x14ac:dyDescent="0.25">
      <c r="A248" s="7" t="s">
        <v>2685</v>
      </c>
      <c r="B248" s="52">
        <v>44790</v>
      </c>
      <c r="C248" s="7">
        <f t="shared" si="3"/>
        <v>8</v>
      </c>
    </row>
    <row r="249" spans="1:3" x14ac:dyDescent="0.25">
      <c r="A249" s="7" t="s">
        <v>2411</v>
      </c>
      <c r="B249" s="52">
        <v>44780</v>
      </c>
      <c r="C249" s="7">
        <f t="shared" si="3"/>
        <v>8</v>
      </c>
    </row>
    <row r="250" spans="1:3" x14ac:dyDescent="0.25">
      <c r="A250" s="7" t="s">
        <v>2174</v>
      </c>
      <c r="B250" s="52">
        <v>44811</v>
      </c>
      <c r="C250" s="7">
        <f t="shared" si="3"/>
        <v>9</v>
      </c>
    </row>
    <row r="251" spans="1:3" x14ac:dyDescent="0.25">
      <c r="A251" s="7" t="s">
        <v>1742</v>
      </c>
      <c r="B251" s="52">
        <v>44754</v>
      </c>
      <c r="C251" s="7">
        <f t="shared" si="3"/>
        <v>7</v>
      </c>
    </row>
    <row r="252" spans="1:3" x14ac:dyDescent="0.25">
      <c r="A252" s="7" t="s">
        <v>1148</v>
      </c>
      <c r="B252" s="52">
        <v>44858</v>
      </c>
      <c r="C252" s="7">
        <f t="shared" si="3"/>
        <v>10</v>
      </c>
    </row>
    <row r="253" spans="1:3" x14ac:dyDescent="0.25">
      <c r="A253" s="7" t="s">
        <v>3082</v>
      </c>
      <c r="B253" s="52">
        <v>44846</v>
      </c>
      <c r="C253" s="7">
        <f t="shared" si="3"/>
        <v>10</v>
      </c>
    </row>
    <row r="254" spans="1:3" x14ac:dyDescent="0.25">
      <c r="A254" s="7" t="s">
        <v>1860</v>
      </c>
      <c r="B254" s="52">
        <v>44829</v>
      </c>
      <c r="C254" s="7">
        <f t="shared" si="3"/>
        <v>9</v>
      </c>
    </row>
    <row r="255" spans="1:3" x14ac:dyDescent="0.25">
      <c r="A255" s="7" t="s">
        <v>2365</v>
      </c>
      <c r="B255" s="52">
        <v>44855</v>
      </c>
      <c r="C255" s="7">
        <f t="shared" si="3"/>
        <v>10</v>
      </c>
    </row>
    <row r="256" spans="1:3" x14ac:dyDescent="0.25">
      <c r="A256" s="7" t="s">
        <v>2301</v>
      </c>
      <c r="B256" s="52">
        <v>44816</v>
      </c>
      <c r="C256" s="7">
        <f t="shared" si="3"/>
        <v>9</v>
      </c>
    </row>
    <row r="257" spans="1:3" x14ac:dyDescent="0.25">
      <c r="A257" s="7" t="s">
        <v>1402</v>
      </c>
      <c r="B257" s="52">
        <v>44762</v>
      </c>
      <c r="C257" s="7">
        <f t="shared" si="3"/>
        <v>7</v>
      </c>
    </row>
    <row r="258" spans="1:3" x14ac:dyDescent="0.25">
      <c r="A258" s="7" t="s">
        <v>2010</v>
      </c>
      <c r="B258" s="52">
        <v>44771</v>
      </c>
      <c r="C258" s="7">
        <f t="shared" ref="C258:C321" si="4">MONTH(B258)</f>
        <v>7</v>
      </c>
    </row>
    <row r="259" spans="1:3" x14ac:dyDescent="0.25">
      <c r="A259" s="7" t="s">
        <v>1525</v>
      </c>
      <c r="B259" s="52">
        <v>44824</v>
      </c>
      <c r="C259" s="7">
        <f t="shared" si="4"/>
        <v>9</v>
      </c>
    </row>
    <row r="260" spans="1:3" x14ac:dyDescent="0.25">
      <c r="A260" s="7" t="s">
        <v>1633</v>
      </c>
      <c r="B260" s="52">
        <v>44764</v>
      </c>
      <c r="C260" s="7">
        <f t="shared" si="4"/>
        <v>7</v>
      </c>
    </row>
    <row r="261" spans="1:3" x14ac:dyDescent="0.25">
      <c r="A261" s="7" t="s">
        <v>2779</v>
      </c>
      <c r="B261" s="52">
        <v>44888</v>
      </c>
      <c r="C261" s="7">
        <f t="shared" si="4"/>
        <v>11</v>
      </c>
    </row>
    <row r="262" spans="1:3" x14ac:dyDescent="0.25">
      <c r="A262" s="7" t="s">
        <v>1452</v>
      </c>
      <c r="B262" s="52">
        <v>44855</v>
      </c>
      <c r="C262" s="7">
        <f t="shared" si="4"/>
        <v>10</v>
      </c>
    </row>
    <row r="263" spans="1:3" x14ac:dyDescent="0.25">
      <c r="A263" s="7" t="s">
        <v>2736</v>
      </c>
      <c r="B263" s="52">
        <v>44858</v>
      </c>
      <c r="C263" s="7">
        <f t="shared" si="4"/>
        <v>10</v>
      </c>
    </row>
    <row r="264" spans="1:3" x14ac:dyDescent="0.25">
      <c r="A264" s="7" t="s">
        <v>2994</v>
      </c>
      <c r="B264" s="52">
        <v>44804</v>
      </c>
      <c r="C264" s="7">
        <f t="shared" si="4"/>
        <v>8</v>
      </c>
    </row>
    <row r="265" spans="1:3" x14ac:dyDescent="0.25">
      <c r="A265" s="7" t="s">
        <v>2601</v>
      </c>
      <c r="B265" s="52">
        <v>44800</v>
      </c>
      <c r="C265" s="7">
        <f t="shared" si="4"/>
        <v>8</v>
      </c>
    </row>
    <row r="266" spans="1:3" x14ac:dyDescent="0.25">
      <c r="A266" s="7" t="s">
        <v>1669</v>
      </c>
      <c r="B266" s="52">
        <v>44825</v>
      </c>
      <c r="C266" s="7">
        <f t="shared" si="4"/>
        <v>9</v>
      </c>
    </row>
    <row r="267" spans="1:3" x14ac:dyDescent="0.25">
      <c r="A267" s="7" t="s">
        <v>2962</v>
      </c>
      <c r="B267" s="52">
        <v>44837</v>
      </c>
      <c r="C267" s="7">
        <f t="shared" si="4"/>
        <v>10</v>
      </c>
    </row>
    <row r="268" spans="1:3" x14ac:dyDescent="0.25">
      <c r="A268" s="7" t="s">
        <v>2912</v>
      </c>
      <c r="B268" s="52">
        <v>44830</v>
      </c>
      <c r="C268" s="7">
        <f t="shared" si="4"/>
        <v>9</v>
      </c>
    </row>
    <row r="269" spans="1:3" x14ac:dyDescent="0.25">
      <c r="A269" s="7" t="s">
        <v>3075</v>
      </c>
      <c r="B269" s="52">
        <v>44838</v>
      </c>
      <c r="C269" s="7">
        <f t="shared" si="4"/>
        <v>10</v>
      </c>
    </row>
    <row r="270" spans="1:3" x14ac:dyDescent="0.25">
      <c r="A270" s="7" t="s">
        <v>1684</v>
      </c>
      <c r="B270" s="52">
        <v>44905</v>
      </c>
      <c r="C270" s="7">
        <f t="shared" si="4"/>
        <v>12</v>
      </c>
    </row>
    <row r="271" spans="1:3" x14ac:dyDescent="0.25">
      <c r="A271" s="7" t="s">
        <v>2385</v>
      </c>
      <c r="B271" s="52">
        <v>44828</v>
      </c>
      <c r="C271" s="7">
        <f t="shared" si="4"/>
        <v>9</v>
      </c>
    </row>
    <row r="272" spans="1:3" x14ac:dyDescent="0.25">
      <c r="A272" s="7" t="s">
        <v>2595</v>
      </c>
      <c r="B272" s="52">
        <v>44756</v>
      </c>
      <c r="C272" s="7">
        <f t="shared" si="4"/>
        <v>7</v>
      </c>
    </row>
    <row r="273" spans="1:3" x14ac:dyDescent="0.25">
      <c r="A273" s="7" t="s">
        <v>2305</v>
      </c>
      <c r="B273" s="52">
        <v>44746</v>
      </c>
      <c r="C273" s="7">
        <f t="shared" si="4"/>
        <v>7</v>
      </c>
    </row>
    <row r="274" spans="1:3" x14ac:dyDescent="0.25">
      <c r="A274" s="7" t="s">
        <v>2016</v>
      </c>
      <c r="B274" s="52">
        <v>44864</v>
      </c>
      <c r="C274" s="7">
        <f t="shared" si="4"/>
        <v>10</v>
      </c>
    </row>
    <row r="275" spans="1:3" x14ac:dyDescent="0.25">
      <c r="A275" s="7" t="s">
        <v>1390</v>
      </c>
      <c r="B275" s="52">
        <v>44837</v>
      </c>
      <c r="C275" s="7">
        <f t="shared" si="4"/>
        <v>10</v>
      </c>
    </row>
    <row r="276" spans="1:3" x14ac:dyDescent="0.25">
      <c r="A276" s="7" t="s">
        <v>2674</v>
      </c>
      <c r="B276" s="52">
        <v>44875</v>
      </c>
      <c r="C276" s="7">
        <f t="shared" si="4"/>
        <v>11</v>
      </c>
    </row>
    <row r="277" spans="1:3" x14ac:dyDescent="0.25">
      <c r="A277" s="7" t="s">
        <v>2633</v>
      </c>
      <c r="B277" s="52">
        <v>44786</v>
      </c>
      <c r="C277" s="7">
        <f t="shared" si="4"/>
        <v>8</v>
      </c>
    </row>
    <row r="278" spans="1:3" x14ac:dyDescent="0.25">
      <c r="A278" s="7" t="s">
        <v>1280</v>
      </c>
      <c r="B278" s="52">
        <v>44901</v>
      </c>
      <c r="C278" s="7">
        <f t="shared" si="4"/>
        <v>12</v>
      </c>
    </row>
    <row r="279" spans="1:3" x14ac:dyDescent="0.25">
      <c r="A279" s="7" t="s">
        <v>1542</v>
      </c>
      <c r="B279" s="52">
        <v>44843</v>
      </c>
      <c r="C279" s="7">
        <f t="shared" si="4"/>
        <v>10</v>
      </c>
    </row>
    <row r="280" spans="1:3" x14ac:dyDescent="0.25">
      <c r="A280" s="7" t="s">
        <v>1142</v>
      </c>
      <c r="B280" s="52">
        <v>44855</v>
      </c>
      <c r="C280" s="7">
        <f t="shared" si="4"/>
        <v>10</v>
      </c>
    </row>
    <row r="281" spans="1:3" x14ac:dyDescent="0.25">
      <c r="A281" s="7" t="s">
        <v>3067</v>
      </c>
      <c r="B281" s="52">
        <v>44810</v>
      </c>
      <c r="C281" s="7">
        <f t="shared" si="4"/>
        <v>9</v>
      </c>
    </row>
    <row r="282" spans="1:3" x14ac:dyDescent="0.25">
      <c r="A282" s="7" t="s">
        <v>1296</v>
      </c>
      <c r="B282" s="52">
        <v>44817</v>
      </c>
      <c r="C282" s="7">
        <f t="shared" si="4"/>
        <v>9</v>
      </c>
    </row>
    <row r="283" spans="1:3" x14ac:dyDescent="0.25">
      <c r="A283" s="7" t="s">
        <v>2756</v>
      </c>
      <c r="B283" s="52">
        <v>44767</v>
      </c>
      <c r="C283" s="7">
        <f t="shared" si="4"/>
        <v>7</v>
      </c>
    </row>
    <row r="284" spans="1:3" x14ac:dyDescent="0.25">
      <c r="A284" s="7" t="s">
        <v>1562</v>
      </c>
      <c r="B284" s="52">
        <v>44772</v>
      </c>
      <c r="C284" s="7">
        <f t="shared" si="4"/>
        <v>7</v>
      </c>
    </row>
    <row r="285" spans="1:3" x14ac:dyDescent="0.25">
      <c r="A285" s="7" t="s">
        <v>1581</v>
      </c>
      <c r="B285" s="52">
        <v>44797</v>
      </c>
      <c r="C285" s="7">
        <f t="shared" si="4"/>
        <v>8</v>
      </c>
    </row>
    <row r="286" spans="1:3" x14ac:dyDescent="0.25">
      <c r="A286" s="7" t="s">
        <v>1261</v>
      </c>
      <c r="B286" s="52">
        <v>44766</v>
      </c>
      <c r="C286" s="7">
        <f t="shared" si="4"/>
        <v>7</v>
      </c>
    </row>
    <row r="287" spans="1:3" x14ac:dyDescent="0.25">
      <c r="A287" s="7" t="s">
        <v>2288</v>
      </c>
      <c r="B287" s="52">
        <v>44849</v>
      </c>
      <c r="C287" s="7">
        <f t="shared" si="4"/>
        <v>10</v>
      </c>
    </row>
    <row r="288" spans="1:3" x14ac:dyDescent="0.25">
      <c r="A288" s="7" t="s">
        <v>1082</v>
      </c>
      <c r="B288" s="52">
        <v>44831</v>
      </c>
      <c r="C288" s="7">
        <f t="shared" si="4"/>
        <v>9</v>
      </c>
    </row>
    <row r="289" spans="1:3" x14ac:dyDescent="0.25">
      <c r="A289" s="7" t="s">
        <v>1827</v>
      </c>
      <c r="B289" s="52">
        <v>44765</v>
      </c>
      <c r="C289" s="7">
        <f t="shared" si="4"/>
        <v>7</v>
      </c>
    </row>
    <row r="290" spans="1:3" x14ac:dyDescent="0.25">
      <c r="A290" s="7" t="s">
        <v>1718</v>
      </c>
      <c r="B290" s="52">
        <v>44854</v>
      </c>
      <c r="C290" s="7">
        <f t="shared" si="4"/>
        <v>10</v>
      </c>
    </row>
    <row r="291" spans="1:3" x14ac:dyDescent="0.25">
      <c r="A291" s="7" t="s">
        <v>1310</v>
      </c>
      <c r="B291" s="52">
        <v>44812</v>
      </c>
      <c r="C291" s="7">
        <f t="shared" si="4"/>
        <v>9</v>
      </c>
    </row>
    <row r="292" spans="1:3" x14ac:dyDescent="0.25">
      <c r="A292" s="7" t="s">
        <v>1577</v>
      </c>
      <c r="B292" s="52">
        <v>44883</v>
      </c>
      <c r="C292" s="7">
        <f t="shared" si="4"/>
        <v>11</v>
      </c>
    </row>
    <row r="293" spans="1:3" x14ac:dyDescent="0.25">
      <c r="A293" s="7" t="s">
        <v>2613</v>
      </c>
      <c r="B293" s="52">
        <v>44765</v>
      </c>
      <c r="C293" s="7">
        <f t="shared" si="4"/>
        <v>7</v>
      </c>
    </row>
    <row r="294" spans="1:3" x14ac:dyDescent="0.25">
      <c r="A294" s="7" t="s">
        <v>1386</v>
      </c>
      <c r="B294" s="52">
        <v>44758</v>
      </c>
      <c r="C294" s="7">
        <f t="shared" si="4"/>
        <v>7</v>
      </c>
    </row>
    <row r="295" spans="1:3" x14ac:dyDescent="0.25">
      <c r="A295" s="7" t="s">
        <v>2129</v>
      </c>
      <c r="B295" s="52">
        <v>44778</v>
      </c>
      <c r="C295" s="7">
        <f t="shared" si="4"/>
        <v>8</v>
      </c>
    </row>
    <row r="296" spans="1:3" x14ac:dyDescent="0.25">
      <c r="A296" s="7" t="s">
        <v>1590</v>
      </c>
      <c r="B296" s="52">
        <v>44830</v>
      </c>
      <c r="C296" s="7">
        <f t="shared" si="4"/>
        <v>9</v>
      </c>
    </row>
    <row r="297" spans="1:3" x14ac:dyDescent="0.25">
      <c r="A297" s="7" t="s">
        <v>2548</v>
      </c>
      <c r="B297" s="52">
        <v>44764</v>
      </c>
      <c r="C297" s="7">
        <f t="shared" si="4"/>
        <v>7</v>
      </c>
    </row>
    <row r="298" spans="1:3" x14ac:dyDescent="0.25">
      <c r="A298" s="7" t="s">
        <v>2443</v>
      </c>
      <c r="B298" s="52">
        <v>44802</v>
      </c>
      <c r="C298" s="7">
        <f t="shared" si="4"/>
        <v>8</v>
      </c>
    </row>
    <row r="299" spans="1:3" x14ac:dyDescent="0.25">
      <c r="A299" s="7" t="s">
        <v>2689</v>
      </c>
      <c r="B299" s="52">
        <v>44817</v>
      </c>
      <c r="C299" s="7">
        <f t="shared" si="4"/>
        <v>9</v>
      </c>
    </row>
    <row r="300" spans="1:3" x14ac:dyDescent="0.25">
      <c r="A300" s="7" t="s">
        <v>1151</v>
      </c>
      <c r="B300" s="52">
        <v>44823</v>
      </c>
      <c r="C300" s="7">
        <f t="shared" si="4"/>
        <v>9</v>
      </c>
    </row>
    <row r="301" spans="1:3" x14ac:dyDescent="0.25">
      <c r="A301" s="7" t="s">
        <v>2563</v>
      </c>
      <c r="B301" s="52">
        <v>44809</v>
      </c>
      <c r="C301" s="7">
        <f t="shared" si="4"/>
        <v>9</v>
      </c>
    </row>
    <row r="302" spans="1:3" x14ac:dyDescent="0.25">
      <c r="A302" s="7" t="s">
        <v>2661</v>
      </c>
      <c r="B302" s="52">
        <v>44802</v>
      </c>
      <c r="C302" s="7">
        <f t="shared" si="4"/>
        <v>8</v>
      </c>
    </row>
    <row r="303" spans="1:3" x14ac:dyDescent="0.25">
      <c r="A303" s="7" t="s">
        <v>1873</v>
      </c>
      <c r="B303" s="52">
        <v>44837</v>
      </c>
      <c r="C303" s="7">
        <f t="shared" si="4"/>
        <v>10</v>
      </c>
    </row>
    <row r="304" spans="1:3" x14ac:dyDescent="0.25">
      <c r="A304" s="7" t="s">
        <v>2335</v>
      </c>
      <c r="B304" s="52">
        <v>44827</v>
      </c>
      <c r="C304" s="7">
        <f t="shared" si="4"/>
        <v>9</v>
      </c>
    </row>
    <row r="305" spans="1:3" x14ac:dyDescent="0.25">
      <c r="A305" s="7" t="s">
        <v>1419</v>
      </c>
      <c r="B305" s="52">
        <v>44749</v>
      </c>
      <c r="C305" s="7">
        <f t="shared" si="4"/>
        <v>7</v>
      </c>
    </row>
    <row r="306" spans="1:3" x14ac:dyDescent="0.25">
      <c r="A306" s="7" t="s">
        <v>1073</v>
      </c>
      <c r="B306" s="52">
        <v>44840</v>
      </c>
      <c r="C306" s="7">
        <f t="shared" si="4"/>
        <v>10</v>
      </c>
    </row>
    <row r="307" spans="1:3" x14ac:dyDescent="0.25">
      <c r="A307" s="7" t="s">
        <v>2589</v>
      </c>
      <c r="B307" s="52">
        <v>44916</v>
      </c>
      <c r="C307" s="7">
        <f t="shared" si="4"/>
        <v>12</v>
      </c>
    </row>
    <row r="308" spans="1:3" x14ac:dyDescent="0.25">
      <c r="A308" s="7" t="s">
        <v>2451</v>
      </c>
      <c r="B308" s="52">
        <v>44748</v>
      </c>
      <c r="C308" s="7">
        <f t="shared" si="4"/>
        <v>7</v>
      </c>
    </row>
    <row r="309" spans="1:3" x14ac:dyDescent="0.25">
      <c r="A309" s="7" t="s">
        <v>2323</v>
      </c>
      <c r="B309" s="52">
        <v>44780</v>
      </c>
      <c r="C309" s="7">
        <f t="shared" si="4"/>
        <v>8</v>
      </c>
    </row>
    <row r="310" spans="1:3" x14ac:dyDescent="0.25">
      <c r="A310" s="7" t="s">
        <v>2169</v>
      </c>
      <c r="B310" s="52">
        <v>44818</v>
      </c>
      <c r="C310" s="7">
        <f t="shared" si="4"/>
        <v>9</v>
      </c>
    </row>
    <row r="311" spans="1:3" x14ac:dyDescent="0.25">
      <c r="A311" s="7" t="s">
        <v>2555</v>
      </c>
      <c r="B311" s="52">
        <v>44767</v>
      </c>
      <c r="C311" s="7">
        <f t="shared" si="4"/>
        <v>7</v>
      </c>
    </row>
    <row r="312" spans="1:3" x14ac:dyDescent="0.25">
      <c r="A312" s="7" t="s">
        <v>2329</v>
      </c>
      <c r="B312" s="52">
        <v>44861</v>
      </c>
      <c r="C312" s="7">
        <f t="shared" si="4"/>
        <v>10</v>
      </c>
    </row>
    <row r="313" spans="1:3" x14ac:dyDescent="0.25">
      <c r="A313" s="7" t="s">
        <v>2133</v>
      </c>
      <c r="B313" s="52">
        <v>44824</v>
      </c>
      <c r="C313" s="7">
        <f t="shared" si="4"/>
        <v>9</v>
      </c>
    </row>
    <row r="314" spans="1:3" x14ac:dyDescent="0.25">
      <c r="A314" s="7" t="s">
        <v>2544</v>
      </c>
      <c r="B314" s="52">
        <v>44900</v>
      </c>
      <c r="C314" s="7">
        <f t="shared" si="4"/>
        <v>12</v>
      </c>
    </row>
    <row r="315" spans="1:3" x14ac:dyDescent="0.25">
      <c r="A315" s="7" t="s">
        <v>2559</v>
      </c>
      <c r="B315" s="52">
        <v>44828</v>
      </c>
      <c r="C315" s="7">
        <f t="shared" si="4"/>
        <v>9</v>
      </c>
    </row>
    <row r="316" spans="1:3" x14ac:dyDescent="0.25">
      <c r="A316" s="7" t="s">
        <v>3039</v>
      </c>
      <c r="B316" s="52">
        <v>44821</v>
      </c>
      <c r="C316" s="7">
        <f t="shared" si="4"/>
        <v>9</v>
      </c>
    </row>
    <row r="317" spans="1:3" x14ac:dyDescent="0.25">
      <c r="A317" s="7" t="s">
        <v>2501</v>
      </c>
      <c r="B317" s="52">
        <v>44850</v>
      </c>
      <c r="C317" s="7">
        <f t="shared" si="4"/>
        <v>10</v>
      </c>
    </row>
    <row r="318" spans="1:3" x14ac:dyDescent="0.25">
      <c r="A318" s="7" t="s">
        <v>2565</v>
      </c>
      <c r="B318" s="52">
        <v>44831</v>
      </c>
      <c r="C318" s="7">
        <f t="shared" si="4"/>
        <v>9</v>
      </c>
    </row>
    <row r="319" spans="1:3" x14ac:dyDescent="0.25">
      <c r="A319" s="7" t="s">
        <v>1203</v>
      </c>
      <c r="B319" s="52">
        <v>44890</v>
      </c>
      <c r="C319" s="7">
        <f t="shared" si="4"/>
        <v>11</v>
      </c>
    </row>
    <row r="320" spans="1:3" x14ac:dyDescent="0.25">
      <c r="A320" s="7" t="s">
        <v>2974</v>
      </c>
      <c r="B320" s="52">
        <v>44818</v>
      </c>
      <c r="C320" s="7">
        <f t="shared" si="4"/>
        <v>9</v>
      </c>
    </row>
    <row r="321" spans="1:3" x14ac:dyDescent="0.25">
      <c r="A321" s="7" t="s">
        <v>2882</v>
      </c>
      <c r="B321" s="52">
        <v>44844</v>
      </c>
      <c r="C321" s="7">
        <f t="shared" si="4"/>
        <v>10</v>
      </c>
    </row>
    <row r="322" spans="1:3" x14ac:dyDescent="0.25">
      <c r="A322" s="7" t="s">
        <v>1299</v>
      </c>
      <c r="B322" s="52">
        <v>44901</v>
      </c>
      <c r="C322" s="7">
        <f t="shared" ref="C322:C385" si="5">MONTH(B322)</f>
        <v>12</v>
      </c>
    </row>
    <row r="323" spans="1:3" x14ac:dyDescent="0.25">
      <c r="A323" s="7" t="s">
        <v>1883</v>
      </c>
      <c r="B323" s="52">
        <v>44881</v>
      </c>
      <c r="C323" s="7">
        <f t="shared" si="5"/>
        <v>11</v>
      </c>
    </row>
    <row r="324" spans="1:3" x14ac:dyDescent="0.25">
      <c r="A324" s="7" t="s">
        <v>3028</v>
      </c>
      <c r="B324" s="52">
        <v>44848</v>
      </c>
      <c r="C324" s="7">
        <f t="shared" si="5"/>
        <v>10</v>
      </c>
    </row>
    <row r="325" spans="1:3" x14ac:dyDescent="0.25">
      <c r="A325" s="7" t="s">
        <v>2890</v>
      </c>
      <c r="B325" s="52">
        <v>44830</v>
      </c>
      <c r="C325" s="7">
        <f t="shared" si="5"/>
        <v>9</v>
      </c>
    </row>
    <row r="326" spans="1:3" x14ac:dyDescent="0.25">
      <c r="A326" s="7" t="s">
        <v>2220</v>
      </c>
      <c r="B326" s="52">
        <v>44879</v>
      </c>
      <c r="C326" s="7">
        <f t="shared" si="5"/>
        <v>11</v>
      </c>
    </row>
    <row r="327" spans="1:3" x14ac:dyDescent="0.25">
      <c r="A327" s="7" t="s">
        <v>3006</v>
      </c>
      <c r="B327" s="52">
        <v>44896</v>
      </c>
      <c r="C327" s="7">
        <f t="shared" si="5"/>
        <v>12</v>
      </c>
    </row>
    <row r="328" spans="1:3" x14ac:dyDescent="0.25">
      <c r="A328" s="7" t="s">
        <v>1993</v>
      </c>
      <c r="B328" s="52">
        <v>44782</v>
      </c>
      <c r="C328" s="7">
        <f t="shared" si="5"/>
        <v>8</v>
      </c>
    </row>
    <row r="329" spans="1:3" x14ac:dyDescent="0.25">
      <c r="A329" s="7" t="s">
        <v>1486</v>
      </c>
      <c r="B329" s="52">
        <v>44820</v>
      </c>
      <c r="C329" s="7">
        <f t="shared" si="5"/>
        <v>9</v>
      </c>
    </row>
    <row r="330" spans="1:3" x14ac:dyDescent="0.25">
      <c r="A330" s="7" t="s">
        <v>1361</v>
      </c>
      <c r="B330" s="52">
        <v>44784</v>
      </c>
      <c r="C330" s="7">
        <f t="shared" si="5"/>
        <v>8</v>
      </c>
    </row>
    <row r="331" spans="1:3" x14ac:dyDescent="0.25">
      <c r="A331" s="7" t="s">
        <v>2978</v>
      </c>
      <c r="B331" s="52">
        <v>44896</v>
      </c>
      <c r="C331" s="7">
        <f t="shared" si="5"/>
        <v>12</v>
      </c>
    </row>
    <row r="332" spans="1:3" x14ac:dyDescent="0.25">
      <c r="A332" s="7" t="s">
        <v>2976</v>
      </c>
      <c r="B332" s="52">
        <v>44914</v>
      </c>
      <c r="C332" s="7">
        <f t="shared" si="5"/>
        <v>12</v>
      </c>
    </row>
    <row r="333" spans="1:3" x14ac:dyDescent="0.25">
      <c r="A333" s="7" t="s">
        <v>2538</v>
      </c>
      <c r="B333" s="52">
        <v>44853</v>
      </c>
      <c r="C333" s="7">
        <f t="shared" si="5"/>
        <v>10</v>
      </c>
    </row>
    <row r="334" spans="1:3" x14ac:dyDescent="0.25">
      <c r="A334" s="7" t="s">
        <v>1627</v>
      </c>
      <c r="B334" s="52">
        <v>44889</v>
      </c>
      <c r="C334" s="7">
        <f t="shared" si="5"/>
        <v>11</v>
      </c>
    </row>
    <row r="335" spans="1:3" x14ac:dyDescent="0.25">
      <c r="A335" s="7" t="s">
        <v>2253</v>
      </c>
      <c r="B335" s="52">
        <v>44749</v>
      </c>
      <c r="C335" s="7">
        <f t="shared" si="5"/>
        <v>7</v>
      </c>
    </row>
    <row r="336" spans="1:3" x14ac:dyDescent="0.25">
      <c r="A336" s="7" t="s">
        <v>1568</v>
      </c>
      <c r="B336" s="52">
        <v>44772</v>
      </c>
      <c r="C336" s="7">
        <f t="shared" si="5"/>
        <v>7</v>
      </c>
    </row>
    <row r="337" spans="1:3" x14ac:dyDescent="0.25">
      <c r="A337" s="7" t="s">
        <v>2663</v>
      </c>
      <c r="B337" s="52">
        <v>44763</v>
      </c>
      <c r="C337" s="7">
        <f t="shared" si="5"/>
        <v>7</v>
      </c>
    </row>
    <row r="338" spans="1:3" x14ac:dyDescent="0.25">
      <c r="A338" s="7" t="s">
        <v>1901</v>
      </c>
      <c r="B338" s="52">
        <v>44822</v>
      </c>
      <c r="C338" s="7">
        <f t="shared" si="5"/>
        <v>9</v>
      </c>
    </row>
    <row r="339" spans="1:3" x14ac:dyDescent="0.25">
      <c r="A339" s="7" t="s">
        <v>1686</v>
      </c>
      <c r="B339" s="52">
        <v>44868</v>
      </c>
      <c r="C339" s="7">
        <f t="shared" si="5"/>
        <v>11</v>
      </c>
    </row>
    <row r="340" spans="1:3" x14ac:dyDescent="0.25">
      <c r="A340" s="7" t="s">
        <v>1180</v>
      </c>
      <c r="B340" s="52">
        <v>44838</v>
      </c>
      <c r="C340" s="7">
        <f t="shared" si="5"/>
        <v>10</v>
      </c>
    </row>
    <row r="341" spans="1:3" x14ac:dyDescent="0.25">
      <c r="A341" s="7" t="s">
        <v>2046</v>
      </c>
      <c r="B341" s="52">
        <v>44826</v>
      </c>
      <c r="C341" s="7">
        <f t="shared" si="5"/>
        <v>9</v>
      </c>
    </row>
    <row r="342" spans="1:3" x14ac:dyDescent="0.25">
      <c r="A342" s="7" t="s">
        <v>2423</v>
      </c>
      <c r="B342" s="52">
        <v>44798</v>
      </c>
      <c r="C342" s="7">
        <f t="shared" si="5"/>
        <v>8</v>
      </c>
    </row>
    <row r="343" spans="1:3" x14ac:dyDescent="0.25">
      <c r="A343" s="7" t="s">
        <v>2407</v>
      </c>
      <c r="B343" s="52">
        <v>44879</v>
      </c>
      <c r="C343" s="7">
        <f t="shared" si="5"/>
        <v>11</v>
      </c>
    </row>
    <row r="344" spans="1:3" x14ac:dyDescent="0.25">
      <c r="A344" s="7" t="s">
        <v>1241</v>
      </c>
      <c r="B344" s="52">
        <v>44863</v>
      </c>
      <c r="C344" s="7">
        <f t="shared" si="5"/>
        <v>10</v>
      </c>
    </row>
    <row r="345" spans="1:3" x14ac:dyDescent="0.25">
      <c r="A345" s="7" t="s">
        <v>1294</v>
      </c>
      <c r="B345" s="52">
        <v>44895</v>
      </c>
      <c r="C345" s="7">
        <f t="shared" si="5"/>
        <v>11</v>
      </c>
    </row>
    <row r="346" spans="1:3" x14ac:dyDescent="0.25">
      <c r="A346" s="7" t="s">
        <v>2954</v>
      </c>
      <c r="B346" s="52">
        <v>44852</v>
      </c>
      <c r="C346" s="7">
        <f t="shared" si="5"/>
        <v>10</v>
      </c>
    </row>
    <row r="347" spans="1:3" x14ac:dyDescent="0.25">
      <c r="A347" s="7" t="s">
        <v>1476</v>
      </c>
      <c r="B347" s="52">
        <v>44804</v>
      </c>
      <c r="C347" s="7">
        <f t="shared" si="5"/>
        <v>8</v>
      </c>
    </row>
    <row r="348" spans="1:3" x14ac:dyDescent="0.25">
      <c r="A348" s="7" t="s">
        <v>1235</v>
      </c>
      <c r="B348" s="52">
        <v>44771</v>
      </c>
      <c r="C348" s="7">
        <f t="shared" si="5"/>
        <v>7</v>
      </c>
    </row>
    <row r="349" spans="1:3" x14ac:dyDescent="0.25">
      <c r="A349" s="7" t="s">
        <v>2139</v>
      </c>
      <c r="B349" s="52">
        <v>44801</v>
      </c>
      <c r="C349" s="7">
        <f t="shared" si="5"/>
        <v>8</v>
      </c>
    </row>
    <row r="350" spans="1:3" x14ac:dyDescent="0.25">
      <c r="A350" s="7" t="s">
        <v>2645</v>
      </c>
      <c r="B350" s="52">
        <v>44832</v>
      </c>
      <c r="C350" s="7">
        <f t="shared" si="5"/>
        <v>9</v>
      </c>
    </row>
    <row r="351" spans="1:3" x14ac:dyDescent="0.25">
      <c r="A351" s="7" t="s">
        <v>1738</v>
      </c>
      <c r="B351" s="52">
        <v>44787</v>
      </c>
      <c r="C351" s="7">
        <f t="shared" si="5"/>
        <v>8</v>
      </c>
    </row>
    <row r="352" spans="1:3" x14ac:dyDescent="0.25">
      <c r="A352" s="7" t="s">
        <v>1829</v>
      </c>
      <c r="B352" s="52">
        <v>44789</v>
      </c>
      <c r="C352" s="7">
        <f t="shared" si="5"/>
        <v>8</v>
      </c>
    </row>
    <row r="353" spans="1:3" x14ac:dyDescent="0.25">
      <c r="A353" s="7" t="s">
        <v>2803</v>
      </c>
      <c r="B353" s="52">
        <v>44906</v>
      </c>
      <c r="C353" s="7">
        <f t="shared" si="5"/>
        <v>12</v>
      </c>
    </row>
    <row r="354" spans="1:3" x14ac:dyDescent="0.25">
      <c r="A354" s="7" t="s">
        <v>1987</v>
      </c>
      <c r="B354" s="52">
        <v>44830</v>
      </c>
      <c r="C354" s="7">
        <f t="shared" si="5"/>
        <v>9</v>
      </c>
    </row>
    <row r="355" spans="1:3" x14ac:dyDescent="0.25">
      <c r="A355" s="7" t="s">
        <v>2083</v>
      </c>
      <c r="B355" s="52">
        <v>44843</v>
      </c>
      <c r="C355" s="7">
        <f t="shared" si="5"/>
        <v>10</v>
      </c>
    </row>
    <row r="356" spans="1:3" x14ac:dyDescent="0.25">
      <c r="A356" s="7" t="s">
        <v>1960</v>
      </c>
      <c r="B356" s="52">
        <v>44857</v>
      </c>
      <c r="C356" s="7">
        <f t="shared" si="5"/>
        <v>10</v>
      </c>
    </row>
    <row r="357" spans="1:3" x14ac:dyDescent="0.25">
      <c r="A357" s="7" t="s">
        <v>1891</v>
      </c>
      <c r="B357" s="52">
        <v>44796</v>
      </c>
      <c r="C357" s="7">
        <f t="shared" si="5"/>
        <v>8</v>
      </c>
    </row>
    <row r="358" spans="1:3" x14ac:dyDescent="0.25">
      <c r="A358" s="7" t="s">
        <v>2465</v>
      </c>
      <c r="B358" s="52">
        <v>44848</v>
      </c>
      <c r="C358" s="7">
        <f t="shared" si="5"/>
        <v>10</v>
      </c>
    </row>
    <row r="359" spans="1:3" x14ac:dyDescent="0.25">
      <c r="A359" s="7" t="s">
        <v>2266</v>
      </c>
      <c r="B359" s="52">
        <v>44827</v>
      </c>
      <c r="C359" s="7">
        <f t="shared" si="5"/>
        <v>9</v>
      </c>
    </row>
    <row r="360" spans="1:3" x14ac:dyDescent="0.25">
      <c r="A360" s="7" t="s">
        <v>1923</v>
      </c>
      <c r="B360" s="52">
        <v>44821</v>
      </c>
      <c r="C360" s="7">
        <f t="shared" si="5"/>
        <v>9</v>
      </c>
    </row>
    <row r="361" spans="1:3" x14ac:dyDescent="0.25">
      <c r="A361" s="7" t="s">
        <v>1785</v>
      </c>
      <c r="B361" s="52">
        <v>44853</v>
      </c>
      <c r="C361" s="7">
        <f t="shared" si="5"/>
        <v>10</v>
      </c>
    </row>
    <row r="362" spans="1:3" x14ac:dyDescent="0.25">
      <c r="A362" s="7" t="s">
        <v>1515</v>
      </c>
      <c r="B362" s="52">
        <v>44881</v>
      </c>
      <c r="C362" s="7">
        <f t="shared" si="5"/>
        <v>11</v>
      </c>
    </row>
    <row r="363" spans="1:3" x14ac:dyDescent="0.25">
      <c r="A363" s="7" t="s">
        <v>2872</v>
      </c>
      <c r="B363" s="52">
        <v>44814</v>
      </c>
      <c r="C363" s="7">
        <f t="shared" si="5"/>
        <v>9</v>
      </c>
    </row>
    <row r="364" spans="1:3" x14ac:dyDescent="0.25">
      <c r="A364" s="7" t="s">
        <v>1533</v>
      </c>
      <c r="B364" s="52">
        <v>44791</v>
      </c>
      <c r="C364" s="7">
        <f t="shared" si="5"/>
        <v>8</v>
      </c>
    </row>
    <row r="365" spans="1:3" x14ac:dyDescent="0.25">
      <c r="A365" s="7" t="s">
        <v>2783</v>
      </c>
      <c r="B365" s="52">
        <v>44831</v>
      </c>
      <c r="C365" s="7">
        <f t="shared" si="5"/>
        <v>9</v>
      </c>
    </row>
    <row r="366" spans="1:3" x14ac:dyDescent="0.25">
      <c r="A366" s="7" t="s">
        <v>1109</v>
      </c>
      <c r="B366" s="52">
        <v>44872</v>
      </c>
      <c r="C366" s="7">
        <f t="shared" si="5"/>
        <v>11</v>
      </c>
    </row>
    <row r="367" spans="1:3" x14ac:dyDescent="0.25">
      <c r="A367" s="7" t="s">
        <v>1858</v>
      </c>
      <c r="B367" s="52">
        <v>44858</v>
      </c>
      <c r="C367" s="7">
        <f t="shared" si="5"/>
        <v>10</v>
      </c>
    </row>
    <row r="368" spans="1:3" x14ac:dyDescent="0.25">
      <c r="A368" s="7" t="s">
        <v>2926</v>
      </c>
      <c r="B368" s="52">
        <v>44799</v>
      </c>
      <c r="C368" s="7">
        <f t="shared" si="5"/>
        <v>8</v>
      </c>
    </row>
    <row r="369" spans="1:3" x14ac:dyDescent="0.25">
      <c r="A369" s="7" t="s">
        <v>1663</v>
      </c>
      <c r="B369" s="52">
        <v>44801</v>
      </c>
      <c r="C369" s="7">
        <f t="shared" si="5"/>
        <v>8</v>
      </c>
    </row>
    <row r="370" spans="1:3" x14ac:dyDescent="0.25">
      <c r="A370" s="7" t="s">
        <v>2591</v>
      </c>
      <c r="B370" s="52">
        <v>44907</v>
      </c>
      <c r="C370" s="7">
        <f t="shared" si="5"/>
        <v>12</v>
      </c>
    </row>
    <row r="371" spans="1:3" x14ac:dyDescent="0.25">
      <c r="A371" s="7" t="s">
        <v>1195</v>
      </c>
      <c r="B371" s="52">
        <v>44915</v>
      </c>
      <c r="C371" s="7">
        <f t="shared" si="5"/>
        <v>12</v>
      </c>
    </row>
    <row r="372" spans="1:3" x14ac:dyDescent="0.25">
      <c r="A372" s="7" t="s">
        <v>2811</v>
      </c>
      <c r="B372" s="52">
        <v>44833</v>
      </c>
      <c r="C372" s="7">
        <f t="shared" si="5"/>
        <v>9</v>
      </c>
    </row>
    <row r="373" spans="1:3" x14ac:dyDescent="0.25">
      <c r="A373" s="7" t="s">
        <v>1430</v>
      </c>
      <c r="B373" s="52">
        <v>44868</v>
      </c>
      <c r="C373" s="7">
        <f t="shared" si="5"/>
        <v>11</v>
      </c>
    </row>
    <row r="374" spans="1:3" x14ac:dyDescent="0.25">
      <c r="A374" s="7" t="s">
        <v>2115</v>
      </c>
      <c r="B374" s="52">
        <v>44854</v>
      </c>
      <c r="C374" s="7">
        <f t="shared" si="5"/>
        <v>10</v>
      </c>
    </row>
    <row r="375" spans="1:3" x14ac:dyDescent="0.25">
      <c r="A375" s="7" t="s">
        <v>1352</v>
      </c>
      <c r="B375" s="52">
        <v>44803</v>
      </c>
      <c r="C375" s="7">
        <f t="shared" si="5"/>
        <v>8</v>
      </c>
    </row>
    <row r="376" spans="1:3" x14ac:dyDescent="0.25">
      <c r="A376" s="7" t="s">
        <v>2824</v>
      </c>
      <c r="B376" s="52">
        <v>44781</v>
      </c>
      <c r="C376" s="7">
        <f t="shared" si="5"/>
        <v>8</v>
      </c>
    </row>
    <row r="377" spans="1:3" x14ac:dyDescent="0.25">
      <c r="A377" s="7" t="s">
        <v>2842</v>
      </c>
      <c r="B377" s="52">
        <v>44917</v>
      </c>
      <c r="C377" s="7">
        <f t="shared" si="5"/>
        <v>12</v>
      </c>
    </row>
    <row r="378" spans="1:3" x14ac:dyDescent="0.25">
      <c r="A378" s="7" t="s">
        <v>2171</v>
      </c>
      <c r="B378" s="52">
        <v>44753</v>
      </c>
      <c r="C378" s="7">
        <f t="shared" si="5"/>
        <v>7</v>
      </c>
    </row>
    <row r="379" spans="1:3" x14ac:dyDescent="0.25">
      <c r="A379" s="7" t="s">
        <v>1570</v>
      </c>
      <c r="B379" s="52">
        <v>44881</v>
      </c>
      <c r="C379" s="7">
        <f t="shared" si="5"/>
        <v>11</v>
      </c>
    </row>
    <row r="380" spans="1:3" x14ac:dyDescent="0.25">
      <c r="A380" s="7" t="s">
        <v>2503</v>
      </c>
      <c r="B380" s="52">
        <v>44781</v>
      </c>
      <c r="C380" s="7">
        <f t="shared" si="5"/>
        <v>8</v>
      </c>
    </row>
    <row r="381" spans="1:3" x14ac:dyDescent="0.25">
      <c r="A381" s="7" t="s">
        <v>2159</v>
      </c>
      <c r="B381" s="52">
        <v>44789</v>
      </c>
      <c r="C381" s="7">
        <f t="shared" si="5"/>
        <v>8</v>
      </c>
    </row>
    <row r="382" spans="1:3" x14ac:dyDescent="0.25">
      <c r="A382" s="7" t="s">
        <v>2113</v>
      </c>
      <c r="B382" s="52">
        <v>44777</v>
      </c>
      <c r="C382" s="7">
        <f t="shared" si="5"/>
        <v>8</v>
      </c>
    </row>
    <row r="383" spans="1:3" x14ac:dyDescent="0.25">
      <c r="A383" s="7" t="s">
        <v>1889</v>
      </c>
      <c r="B383" s="52">
        <v>44812</v>
      </c>
      <c r="C383" s="7">
        <f t="shared" si="5"/>
        <v>9</v>
      </c>
    </row>
    <row r="384" spans="1:3" x14ac:dyDescent="0.25">
      <c r="A384" s="7" t="s">
        <v>1397</v>
      </c>
      <c r="B384" s="52">
        <v>44889</v>
      </c>
      <c r="C384" s="7">
        <f t="shared" si="5"/>
        <v>11</v>
      </c>
    </row>
    <row r="385" spans="1:3" x14ac:dyDescent="0.25">
      <c r="A385" s="7" t="s">
        <v>2832</v>
      </c>
      <c r="B385" s="52">
        <v>44770</v>
      </c>
      <c r="C385" s="7">
        <f t="shared" si="5"/>
        <v>7</v>
      </c>
    </row>
    <row r="386" spans="1:3" x14ac:dyDescent="0.25">
      <c r="A386" s="7" t="s">
        <v>2799</v>
      </c>
      <c r="B386" s="52">
        <v>44841</v>
      </c>
      <c r="C386" s="7">
        <f t="shared" ref="C386:C449" si="6">MONTH(B386)</f>
        <v>10</v>
      </c>
    </row>
    <row r="387" spans="1:3" x14ac:dyDescent="0.25">
      <c r="A387" s="7" t="s">
        <v>2582</v>
      </c>
      <c r="B387" s="52">
        <v>44878</v>
      </c>
      <c r="C387" s="7">
        <f t="shared" si="6"/>
        <v>11</v>
      </c>
    </row>
    <row r="388" spans="1:3" x14ac:dyDescent="0.25">
      <c r="A388" s="7" t="s">
        <v>2367</v>
      </c>
      <c r="B388" s="52">
        <v>44763</v>
      </c>
      <c r="C388" s="7">
        <f t="shared" si="6"/>
        <v>7</v>
      </c>
    </row>
    <row r="389" spans="1:3" x14ac:dyDescent="0.25">
      <c r="A389" s="7" t="s">
        <v>3014</v>
      </c>
      <c r="B389" s="52">
        <v>44760</v>
      </c>
      <c r="C389" s="7">
        <f t="shared" si="6"/>
        <v>7</v>
      </c>
    </row>
    <row r="390" spans="1:3" x14ac:dyDescent="0.25">
      <c r="A390" s="7" t="s">
        <v>2549</v>
      </c>
      <c r="B390" s="52">
        <v>44861</v>
      </c>
      <c r="C390" s="7">
        <f t="shared" si="6"/>
        <v>10</v>
      </c>
    </row>
    <row r="391" spans="1:3" x14ac:dyDescent="0.25">
      <c r="A391" s="7" t="s">
        <v>2730</v>
      </c>
      <c r="B391" s="52">
        <v>44767</v>
      </c>
      <c r="C391" s="7">
        <f t="shared" si="6"/>
        <v>7</v>
      </c>
    </row>
    <row r="392" spans="1:3" x14ac:dyDescent="0.25">
      <c r="A392" s="7" t="s">
        <v>2055</v>
      </c>
      <c r="B392" s="52">
        <v>44748</v>
      </c>
      <c r="C392" s="7">
        <f t="shared" si="6"/>
        <v>7</v>
      </c>
    </row>
    <row r="393" spans="1:3" x14ac:dyDescent="0.25">
      <c r="A393" s="7" t="s">
        <v>1158</v>
      </c>
      <c r="B393" s="52">
        <v>44758</v>
      </c>
      <c r="C393" s="7">
        <f t="shared" si="6"/>
        <v>7</v>
      </c>
    </row>
    <row r="394" spans="1:3" x14ac:dyDescent="0.25">
      <c r="A394" s="7" t="s">
        <v>2856</v>
      </c>
      <c r="B394" s="52">
        <v>44856</v>
      </c>
      <c r="C394" s="7">
        <f t="shared" si="6"/>
        <v>10</v>
      </c>
    </row>
    <row r="395" spans="1:3" x14ac:dyDescent="0.25">
      <c r="A395" s="7" t="s">
        <v>1769</v>
      </c>
      <c r="B395" s="52">
        <v>44857</v>
      </c>
      <c r="C395" s="7">
        <f t="shared" si="6"/>
        <v>10</v>
      </c>
    </row>
    <row r="396" spans="1:3" x14ac:dyDescent="0.25">
      <c r="A396" s="7" t="s">
        <v>2061</v>
      </c>
      <c r="B396" s="52">
        <v>44838</v>
      </c>
      <c r="C396" s="7">
        <f t="shared" si="6"/>
        <v>10</v>
      </c>
    </row>
    <row r="397" spans="1:3" x14ac:dyDescent="0.25">
      <c r="A397" s="7" t="s">
        <v>2787</v>
      </c>
      <c r="B397" s="52">
        <v>44808</v>
      </c>
      <c r="C397" s="7">
        <f t="shared" si="6"/>
        <v>9</v>
      </c>
    </row>
    <row r="398" spans="1:3" x14ac:dyDescent="0.25">
      <c r="A398" s="7" t="s">
        <v>1333</v>
      </c>
      <c r="B398" s="52">
        <v>44815</v>
      </c>
      <c r="C398" s="7">
        <f t="shared" si="6"/>
        <v>9</v>
      </c>
    </row>
    <row r="399" spans="1:3" x14ac:dyDescent="0.25">
      <c r="A399" s="7" t="s">
        <v>1800</v>
      </c>
      <c r="B399" s="52">
        <v>44886</v>
      </c>
      <c r="C399" s="7">
        <f t="shared" si="6"/>
        <v>11</v>
      </c>
    </row>
    <row r="400" spans="1:3" x14ac:dyDescent="0.25">
      <c r="A400" s="7" t="s">
        <v>2960</v>
      </c>
      <c r="B400" s="52">
        <v>44850</v>
      </c>
      <c r="C400" s="7">
        <f t="shared" si="6"/>
        <v>10</v>
      </c>
    </row>
    <row r="401" spans="1:3" x14ac:dyDescent="0.25">
      <c r="A401" s="7" t="s">
        <v>2819</v>
      </c>
      <c r="B401" s="52">
        <v>44808</v>
      </c>
      <c r="C401" s="7">
        <f t="shared" si="6"/>
        <v>9</v>
      </c>
    </row>
    <row r="402" spans="1:3" x14ac:dyDescent="0.25">
      <c r="A402" s="7" t="s">
        <v>2188</v>
      </c>
      <c r="B402" s="52">
        <v>44813</v>
      </c>
      <c r="C402" s="7">
        <f t="shared" si="6"/>
        <v>9</v>
      </c>
    </row>
    <row r="403" spans="1:3" x14ac:dyDescent="0.25">
      <c r="A403" s="7" t="s">
        <v>1474</v>
      </c>
      <c r="B403" s="52">
        <v>44832</v>
      </c>
      <c r="C403" s="7">
        <f t="shared" si="6"/>
        <v>9</v>
      </c>
    </row>
    <row r="404" spans="1:3" x14ac:dyDescent="0.25">
      <c r="A404" s="7" t="s">
        <v>1103</v>
      </c>
      <c r="B404" s="52">
        <v>44780</v>
      </c>
      <c r="C404" s="7">
        <f t="shared" si="6"/>
        <v>8</v>
      </c>
    </row>
    <row r="405" spans="1:3" x14ac:dyDescent="0.25">
      <c r="A405" s="7" t="s">
        <v>2519</v>
      </c>
      <c r="B405" s="52">
        <v>44860</v>
      </c>
      <c r="C405" s="7">
        <f t="shared" si="6"/>
        <v>10</v>
      </c>
    </row>
    <row r="406" spans="1:3" x14ac:dyDescent="0.25">
      <c r="A406" s="7" t="s">
        <v>3077</v>
      </c>
      <c r="B406" s="52">
        <v>44883</v>
      </c>
      <c r="C406" s="7">
        <f t="shared" si="6"/>
        <v>11</v>
      </c>
    </row>
    <row r="407" spans="1:3" x14ac:dyDescent="0.25">
      <c r="A407" s="7" t="s">
        <v>2475</v>
      </c>
      <c r="B407" s="52">
        <v>44796</v>
      </c>
      <c r="C407" s="7">
        <f t="shared" si="6"/>
        <v>8</v>
      </c>
    </row>
    <row r="408" spans="1:3" x14ac:dyDescent="0.25">
      <c r="A408" s="7" t="s">
        <v>2513</v>
      </c>
      <c r="B408" s="52">
        <v>44845</v>
      </c>
      <c r="C408" s="7">
        <f t="shared" si="6"/>
        <v>10</v>
      </c>
    </row>
    <row r="409" spans="1:3" x14ac:dyDescent="0.25">
      <c r="A409" s="7" t="s">
        <v>2375</v>
      </c>
      <c r="B409" s="52">
        <v>44889</v>
      </c>
      <c r="C409" s="7">
        <f t="shared" si="6"/>
        <v>11</v>
      </c>
    </row>
    <row r="410" spans="1:3" x14ac:dyDescent="0.25">
      <c r="A410" s="7" t="s">
        <v>1456</v>
      </c>
      <c r="B410" s="52">
        <v>44801</v>
      </c>
      <c r="C410" s="7">
        <f t="shared" si="6"/>
        <v>8</v>
      </c>
    </row>
    <row r="411" spans="1:3" x14ac:dyDescent="0.25">
      <c r="A411" s="7" t="s">
        <v>2673</v>
      </c>
      <c r="B411" s="52">
        <v>44915</v>
      </c>
      <c r="C411" s="7">
        <f t="shared" si="6"/>
        <v>12</v>
      </c>
    </row>
    <row r="412" spans="1:3" x14ac:dyDescent="0.25">
      <c r="A412" s="7" t="s">
        <v>2161</v>
      </c>
      <c r="B412" s="52">
        <v>44890</v>
      </c>
      <c r="C412" s="7">
        <f t="shared" si="6"/>
        <v>11</v>
      </c>
    </row>
    <row r="413" spans="1:3" x14ac:dyDescent="0.25">
      <c r="A413" s="7" t="s">
        <v>2874</v>
      </c>
      <c r="B413" s="52">
        <v>44811</v>
      </c>
      <c r="C413" s="7">
        <f t="shared" si="6"/>
        <v>9</v>
      </c>
    </row>
    <row r="414" spans="1:3" x14ac:dyDescent="0.25">
      <c r="A414" s="7" t="s">
        <v>1350</v>
      </c>
      <c r="B414" s="52">
        <v>44811</v>
      </c>
      <c r="C414" s="7">
        <f t="shared" si="6"/>
        <v>9</v>
      </c>
    </row>
    <row r="415" spans="1:3" x14ac:dyDescent="0.25">
      <c r="A415" s="7" t="s">
        <v>2222</v>
      </c>
      <c r="B415" s="52">
        <v>44857</v>
      </c>
      <c r="C415" s="7">
        <f t="shared" si="6"/>
        <v>10</v>
      </c>
    </row>
    <row r="416" spans="1:3" x14ac:dyDescent="0.25">
      <c r="A416" s="7" t="s">
        <v>2006</v>
      </c>
      <c r="B416" s="52">
        <v>44823</v>
      </c>
      <c r="C416" s="7">
        <f t="shared" si="6"/>
        <v>9</v>
      </c>
    </row>
    <row r="417" spans="1:3" x14ac:dyDescent="0.25">
      <c r="A417" s="7" t="s">
        <v>1897</v>
      </c>
      <c r="B417" s="52">
        <v>44840</v>
      </c>
      <c r="C417" s="7">
        <f t="shared" si="6"/>
        <v>10</v>
      </c>
    </row>
    <row r="418" spans="1:3" x14ac:dyDescent="0.25">
      <c r="A418" s="7" t="s">
        <v>2607</v>
      </c>
      <c r="B418" s="52">
        <v>44867</v>
      </c>
      <c r="C418" s="7">
        <f t="shared" si="6"/>
        <v>11</v>
      </c>
    </row>
    <row r="419" spans="1:3" x14ac:dyDescent="0.25">
      <c r="A419" s="7" t="s">
        <v>1101</v>
      </c>
      <c r="B419" s="52">
        <v>44756</v>
      </c>
      <c r="C419" s="7">
        <f t="shared" si="6"/>
        <v>7</v>
      </c>
    </row>
    <row r="420" spans="1:3" x14ac:dyDescent="0.25">
      <c r="A420" s="7" t="s">
        <v>2687</v>
      </c>
      <c r="B420" s="52">
        <v>44784</v>
      </c>
      <c r="C420" s="7">
        <f t="shared" si="6"/>
        <v>8</v>
      </c>
    </row>
    <row r="421" spans="1:3" x14ac:dyDescent="0.25">
      <c r="A421" s="7" t="s">
        <v>2746</v>
      </c>
      <c r="B421" s="52">
        <v>44801</v>
      </c>
      <c r="C421" s="7">
        <f t="shared" si="6"/>
        <v>8</v>
      </c>
    </row>
    <row r="422" spans="1:3" x14ac:dyDescent="0.25">
      <c r="A422" s="7" t="s">
        <v>1985</v>
      </c>
      <c r="B422" s="52">
        <v>44856</v>
      </c>
      <c r="C422" s="7">
        <f t="shared" si="6"/>
        <v>10</v>
      </c>
    </row>
    <row r="423" spans="1:3" x14ac:dyDescent="0.25">
      <c r="A423" s="7" t="s">
        <v>1507</v>
      </c>
      <c r="B423" s="52">
        <v>44784</v>
      </c>
      <c r="C423" s="7">
        <f t="shared" si="6"/>
        <v>8</v>
      </c>
    </row>
    <row r="424" spans="1:3" x14ac:dyDescent="0.25">
      <c r="A424" s="7" t="s">
        <v>2387</v>
      </c>
      <c r="B424" s="52">
        <v>44897</v>
      </c>
      <c r="C424" s="7">
        <f t="shared" si="6"/>
        <v>12</v>
      </c>
    </row>
    <row r="425" spans="1:3" x14ac:dyDescent="0.25">
      <c r="A425" s="7" t="s">
        <v>1255</v>
      </c>
      <c r="B425" s="52">
        <v>44773</v>
      </c>
      <c r="C425" s="7">
        <f t="shared" si="6"/>
        <v>7</v>
      </c>
    </row>
    <row r="426" spans="1:3" x14ac:dyDescent="0.25">
      <c r="A426" s="7" t="s">
        <v>2822</v>
      </c>
      <c r="B426" s="52">
        <v>44872</v>
      </c>
      <c r="C426" s="7">
        <f t="shared" si="6"/>
        <v>11</v>
      </c>
    </row>
    <row r="427" spans="1:3" x14ac:dyDescent="0.25">
      <c r="A427" s="7" t="s">
        <v>1645</v>
      </c>
      <c r="B427" s="52">
        <v>44864</v>
      </c>
      <c r="C427" s="7">
        <f t="shared" si="6"/>
        <v>10</v>
      </c>
    </row>
    <row r="428" spans="1:3" x14ac:dyDescent="0.25">
      <c r="A428" s="7" t="s">
        <v>2573</v>
      </c>
      <c r="B428" s="52">
        <v>44859</v>
      </c>
      <c r="C428" s="7">
        <f t="shared" si="6"/>
        <v>10</v>
      </c>
    </row>
    <row r="429" spans="1:3" x14ac:dyDescent="0.25">
      <c r="A429" s="7" t="s">
        <v>2657</v>
      </c>
      <c r="B429" s="52">
        <v>44775</v>
      </c>
      <c r="C429" s="7">
        <f t="shared" si="6"/>
        <v>8</v>
      </c>
    </row>
    <row r="430" spans="1:3" x14ac:dyDescent="0.25">
      <c r="A430" s="7" t="s">
        <v>1070</v>
      </c>
      <c r="B430" s="52">
        <v>44800</v>
      </c>
      <c r="C430" s="7">
        <f t="shared" si="6"/>
        <v>8</v>
      </c>
    </row>
    <row r="431" spans="1:3" x14ac:dyDescent="0.25">
      <c r="A431" s="7" t="s">
        <v>1948</v>
      </c>
      <c r="B431" s="52">
        <v>44885</v>
      </c>
      <c r="C431" s="7">
        <f t="shared" si="6"/>
        <v>11</v>
      </c>
    </row>
    <row r="432" spans="1:3" x14ac:dyDescent="0.25">
      <c r="A432" s="7" t="s">
        <v>3080</v>
      </c>
      <c r="B432" s="52">
        <v>44903</v>
      </c>
      <c r="C432" s="7">
        <f t="shared" si="6"/>
        <v>12</v>
      </c>
    </row>
    <row r="433" spans="1:3" x14ac:dyDescent="0.25">
      <c r="A433" s="7" t="s">
        <v>1605</v>
      </c>
      <c r="B433" s="52">
        <v>44876</v>
      </c>
      <c r="C433" s="7">
        <f t="shared" si="6"/>
        <v>11</v>
      </c>
    </row>
    <row r="434" spans="1:3" x14ac:dyDescent="0.25">
      <c r="A434" s="7" t="s">
        <v>2278</v>
      </c>
      <c r="B434" s="52">
        <v>44873</v>
      </c>
      <c r="C434" s="7">
        <f t="shared" si="6"/>
        <v>11</v>
      </c>
    </row>
    <row r="435" spans="1:3" x14ac:dyDescent="0.25">
      <c r="A435" s="7" t="s">
        <v>2870</v>
      </c>
      <c r="B435" s="52">
        <v>44791</v>
      </c>
      <c r="C435" s="7">
        <f t="shared" si="6"/>
        <v>8</v>
      </c>
    </row>
    <row r="436" spans="1:3" x14ac:dyDescent="0.25">
      <c r="A436" s="7" t="s">
        <v>2397</v>
      </c>
      <c r="B436" s="52">
        <v>44786</v>
      </c>
      <c r="C436" s="7">
        <f t="shared" si="6"/>
        <v>8</v>
      </c>
    </row>
    <row r="437" spans="1:3" x14ac:dyDescent="0.25">
      <c r="A437" s="7" t="s">
        <v>2669</v>
      </c>
      <c r="B437" s="52">
        <v>44775</v>
      </c>
      <c r="C437" s="7">
        <f t="shared" si="6"/>
        <v>8</v>
      </c>
    </row>
    <row r="438" spans="1:3" x14ac:dyDescent="0.25">
      <c r="A438" s="7" t="s">
        <v>1395</v>
      </c>
      <c r="B438" s="52">
        <v>44803</v>
      </c>
      <c r="C438" s="7">
        <f t="shared" si="6"/>
        <v>8</v>
      </c>
    </row>
    <row r="439" spans="1:3" x14ac:dyDescent="0.25">
      <c r="A439" s="7" t="s">
        <v>2449</v>
      </c>
      <c r="B439" s="52">
        <v>44782</v>
      </c>
      <c r="C439" s="7">
        <f t="shared" si="6"/>
        <v>8</v>
      </c>
    </row>
    <row r="440" spans="1:3" x14ac:dyDescent="0.25">
      <c r="A440" s="7" t="s">
        <v>1383</v>
      </c>
      <c r="B440" s="52">
        <v>44796</v>
      </c>
      <c r="C440" s="7">
        <f t="shared" si="6"/>
        <v>8</v>
      </c>
    </row>
    <row r="441" spans="1:3" x14ac:dyDescent="0.25">
      <c r="A441" s="7" t="s">
        <v>2758</v>
      </c>
      <c r="B441" s="52">
        <v>44902</v>
      </c>
      <c r="C441" s="7">
        <f t="shared" si="6"/>
        <v>12</v>
      </c>
    </row>
    <row r="442" spans="1:3" x14ac:dyDescent="0.25">
      <c r="A442" s="7" t="s">
        <v>1307</v>
      </c>
      <c r="B442" s="52">
        <v>44858</v>
      </c>
      <c r="C442" s="7">
        <f t="shared" si="6"/>
        <v>10</v>
      </c>
    </row>
    <row r="443" spans="1:3" x14ac:dyDescent="0.25">
      <c r="A443" s="7" t="s">
        <v>2495</v>
      </c>
      <c r="B443" s="52">
        <v>44819</v>
      </c>
      <c r="C443" s="7">
        <f t="shared" si="6"/>
        <v>9</v>
      </c>
    </row>
    <row r="444" spans="1:3" x14ac:dyDescent="0.25">
      <c r="A444" s="7" t="s">
        <v>2817</v>
      </c>
      <c r="B444" s="52">
        <v>44807</v>
      </c>
      <c r="C444" s="7">
        <f t="shared" si="6"/>
        <v>9</v>
      </c>
    </row>
    <row r="445" spans="1:3" x14ac:dyDescent="0.25">
      <c r="A445" s="7" t="s">
        <v>2459</v>
      </c>
      <c r="B445" s="52">
        <v>44861</v>
      </c>
      <c r="C445" s="7">
        <f t="shared" si="6"/>
        <v>10</v>
      </c>
    </row>
    <row r="446" spans="1:3" x14ac:dyDescent="0.25">
      <c r="A446" s="7" t="s">
        <v>3016</v>
      </c>
      <c r="B446" s="52">
        <v>44853</v>
      </c>
      <c r="C446" s="7">
        <f t="shared" si="6"/>
        <v>10</v>
      </c>
    </row>
    <row r="447" spans="1:3" x14ac:dyDescent="0.25">
      <c r="A447" s="7" t="s">
        <v>2081</v>
      </c>
      <c r="B447" s="52">
        <v>44883</v>
      </c>
      <c r="C447" s="7">
        <f t="shared" si="6"/>
        <v>11</v>
      </c>
    </row>
    <row r="448" spans="1:3" x14ac:dyDescent="0.25">
      <c r="A448" s="7" t="s">
        <v>1812</v>
      </c>
      <c r="B448" s="52">
        <v>44776</v>
      </c>
      <c r="C448" s="7">
        <f t="shared" si="6"/>
        <v>8</v>
      </c>
    </row>
    <row r="449" spans="1:3" x14ac:dyDescent="0.25">
      <c r="A449" s="7" t="s">
        <v>2637</v>
      </c>
      <c r="B449" s="52">
        <v>44809</v>
      </c>
      <c r="C449" s="7">
        <f t="shared" si="6"/>
        <v>9</v>
      </c>
    </row>
    <row r="450" spans="1:3" x14ac:dyDescent="0.25">
      <c r="A450" s="7" t="s">
        <v>1325</v>
      </c>
      <c r="B450" s="52">
        <v>44803</v>
      </c>
      <c r="C450" s="7">
        <f t="shared" ref="C450:C501" si="7">MONTH(B450)</f>
        <v>8</v>
      </c>
    </row>
    <row r="451" spans="1:3" x14ac:dyDescent="0.25">
      <c r="A451" s="7" t="s">
        <v>2097</v>
      </c>
      <c r="B451" s="52">
        <v>44856</v>
      </c>
      <c r="C451" s="7">
        <f t="shared" si="7"/>
        <v>10</v>
      </c>
    </row>
    <row r="452" spans="1:3" x14ac:dyDescent="0.25">
      <c r="A452" s="7" t="s">
        <v>1454</v>
      </c>
      <c r="B452" s="52">
        <v>44907</v>
      </c>
      <c r="C452" s="7">
        <f t="shared" si="7"/>
        <v>12</v>
      </c>
    </row>
    <row r="453" spans="1:3" x14ac:dyDescent="0.25">
      <c r="A453" s="7" t="s">
        <v>1925</v>
      </c>
      <c r="B453" s="52">
        <v>44806</v>
      </c>
      <c r="C453" s="7">
        <f t="shared" si="7"/>
        <v>9</v>
      </c>
    </row>
    <row r="454" spans="1:3" x14ac:dyDescent="0.25">
      <c r="A454" s="7" t="s">
        <v>2303</v>
      </c>
      <c r="B454" s="52">
        <v>44869</v>
      </c>
      <c r="C454" s="7">
        <f t="shared" si="7"/>
        <v>11</v>
      </c>
    </row>
    <row r="455" spans="1:3" x14ac:dyDescent="0.25">
      <c r="A455" s="7" t="s">
        <v>2750</v>
      </c>
      <c r="B455" s="52">
        <v>44887</v>
      </c>
      <c r="C455" s="7">
        <f t="shared" si="7"/>
        <v>11</v>
      </c>
    </row>
    <row r="456" spans="1:3" x14ac:dyDescent="0.25">
      <c r="A456" s="7" t="s">
        <v>1679</v>
      </c>
      <c r="B456" s="52">
        <v>44878</v>
      </c>
      <c r="C456" s="7">
        <f t="shared" si="7"/>
        <v>11</v>
      </c>
    </row>
    <row r="457" spans="1:3" x14ac:dyDescent="0.25">
      <c r="A457" s="7" t="s">
        <v>3117</v>
      </c>
      <c r="B457" s="52">
        <v>44777</v>
      </c>
      <c r="C457" s="7">
        <f t="shared" si="7"/>
        <v>8</v>
      </c>
    </row>
    <row r="458" spans="1:3" x14ac:dyDescent="0.25">
      <c r="A458" s="7" t="s">
        <v>1190</v>
      </c>
      <c r="B458" s="52">
        <v>44893</v>
      </c>
      <c r="C458" s="7">
        <f t="shared" si="7"/>
        <v>11</v>
      </c>
    </row>
    <row r="459" spans="1:3" x14ac:dyDescent="0.25">
      <c r="A459" s="7" t="s">
        <v>2431</v>
      </c>
      <c r="B459" s="52">
        <v>44788</v>
      </c>
      <c r="C459" s="7">
        <f t="shared" si="7"/>
        <v>8</v>
      </c>
    </row>
    <row r="460" spans="1:3" x14ac:dyDescent="0.25">
      <c r="A460" s="7" t="s">
        <v>2821</v>
      </c>
      <c r="B460" s="52">
        <v>44752</v>
      </c>
      <c r="C460" s="7">
        <f t="shared" si="7"/>
        <v>7</v>
      </c>
    </row>
    <row r="461" spans="1:3" x14ac:dyDescent="0.25">
      <c r="A461" s="7" t="s">
        <v>2163</v>
      </c>
      <c r="B461" s="52">
        <v>44765</v>
      </c>
      <c r="C461" s="7">
        <f t="shared" si="7"/>
        <v>7</v>
      </c>
    </row>
    <row r="462" spans="1:3" x14ac:dyDescent="0.25">
      <c r="A462" s="7" t="s">
        <v>2683</v>
      </c>
      <c r="B462" s="52">
        <v>44912</v>
      </c>
      <c r="C462" s="7">
        <f t="shared" si="7"/>
        <v>12</v>
      </c>
    </row>
    <row r="463" spans="1:3" x14ac:dyDescent="0.25">
      <c r="A463" s="7" t="s">
        <v>1556</v>
      </c>
      <c r="B463" s="52">
        <v>44871</v>
      </c>
      <c r="C463" s="7">
        <f t="shared" si="7"/>
        <v>11</v>
      </c>
    </row>
    <row r="464" spans="1:3" x14ac:dyDescent="0.25">
      <c r="A464" s="7" t="s">
        <v>1303</v>
      </c>
      <c r="B464" s="52">
        <v>44907</v>
      </c>
      <c r="C464" s="7">
        <f t="shared" si="7"/>
        <v>12</v>
      </c>
    </row>
    <row r="465" spans="1:3" x14ac:dyDescent="0.25">
      <c r="A465" s="7" t="s">
        <v>2251</v>
      </c>
      <c r="B465" s="52">
        <v>44810</v>
      </c>
      <c r="C465" s="7">
        <f t="shared" si="7"/>
        <v>9</v>
      </c>
    </row>
    <row r="466" spans="1:3" x14ac:dyDescent="0.25">
      <c r="A466" s="7" t="s">
        <v>2073</v>
      </c>
      <c r="B466" s="52">
        <v>44773</v>
      </c>
      <c r="C466" s="7">
        <f t="shared" si="7"/>
        <v>7</v>
      </c>
    </row>
    <row r="467" spans="1:3" x14ac:dyDescent="0.25">
      <c r="A467" s="7" t="s">
        <v>3026</v>
      </c>
      <c r="B467" s="52">
        <v>44770</v>
      </c>
      <c r="C467" s="7">
        <f t="shared" si="7"/>
        <v>7</v>
      </c>
    </row>
    <row r="468" spans="1:3" x14ac:dyDescent="0.25">
      <c r="A468" s="7" t="s">
        <v>3008</v>
      </c>
      <c r="B468" s="52">
        <v>44874</v>
      </c>
      <c r="C468" s="7">
        <f t="shared" si="7"/>
        <v>11</v>
      </c>
    </row>
    <row r="469" spans="1:3" x14ac:dyDescent="0.25">
      <c r="A469" s="7" t="s">
        <v>2659</v>
      </c>
      <c r="B469" s="52">
        <v>44807</v>
      </c>
      <c r="C469" s="7">
        <f t="shared" si="7"/>
        <v>9</v>
      </c>
    </row>
    <row r="470" spans="1:3" x14ac:dyDescent="0.25">
      <c r="A470" s="7" t="s">
        <v>1253</v>
      </c>
      <c r="B470" s="52">
        <v>44915</v>
      </c>
      <c r="C470" s="7">
        <f t="shared" si="7"/>
        <v>12</v>
      </c>
    </row>
    <row r="471" spans="1:3" x14ac:dyDescent="0.25">
      <c r="A471" s="7" t="s">
        <v>2038</v>
      </c>
      <c r="B471" s="52">
        <v>44835</v>
      </c>
      <c r="C471" s="7">
        <f t="shared" si="7"/>
        <v>10</v>
      </c>
    </row>
    <row r="472" spans="1:3" x14ac:dyDescent="0.25">
      <c r="A472" s="7" t="s">
        <v>2760</v>
      </c>
      <c r="B472" s="52">
        <v>44780</v>
      </c>
      <c r="C472" s="7">
        <f t="shared" si="7"/>
        <v>8</v>
      </c>
    </row>
    <row r="473" spans="1:3" x14ac:dyDescent="0.25">
      <c r="A473" s="7" t="s">
        <v>1500</v>
      </c>
      <c r="B473" s="52">
        <v>44822</v>
      </c>
      <c r="C473" s="7">
        <f t="shared" si="7"/>
        <v>9</v>
      </c>
    </row>
    <row r="474" spans="1:3" x14ac:dyDescent="0.25">
      <c r="A474" s="7" t="s">
        <v>1064</v>
      </c>
      <c r="B474" s="52">
        <v>44782</v>
      </c>
      <c r="C474" s="7">
        <f t="shared" si="7"/>
        <v>8</v>
      </c>
    </row>
    <row r="475" spans="1:3" x14ac:dyDescent="0.25">
      <c r="A475" s="7" t="s">
        <v>1722</v>
      </c>
      <c r="B475" s="52">
        <v>44873</v>
      </c>
      <c r="C475" s="7">
        <f t="shared" si="7"/>
        <v>11</v>
      </c>
    </row>
    <row r="476" spans="1:3" x14ac:dyDescent="0.25">
      <c r="A476" s="7" t="s">
        <v>3051</v>
      </c>
      <c r="B476" s="52">
        <v>44842</v>
      </c>
      <c r="C476" s="7">
        <f t="shared" si="7"/>
        <v>10</v>
      </c>
    </row>
    <row r="477" spans="1:3" x14ac:dyDescent="0.25">
      <c r="A477" s="7" t="s">
        <v>1198</v>
      </c>
      <c r="B477" s="52">
        <v>44832</v>
      </c>
      <c r="C477" s="7">
        <f t="shared" si="7"/>
        <v>9</v>
      </c>
    </row>
    <row r="478" spans="1:3" x14ac:dyDescent="0.25">
      <c r="A478" s="7" t="s">
        <v>2732</v>
      </c>
      <c r="B478" s="52">
        <v>44750</v>
      </c>
      <c r="C478" s="7">
        <f t="shared" si="7"/>
        <v>7</v>
      </c>
    </row>
    <row r="479" spans="1:3" x14ac:dyDescent="0.25">
      <c r="A479" s="7" t="s">
        <v>2469</v>
      </c>
      <c r="B479" s="52">
        <v>44897</v>
      </c>
      <c r="C479" s="7">
        <f t="shared" si="7"/>
        <v>12</v>
      </c>
    </row>
    <row r="480" spans="1:3" x14ac:dyDescent="0.25">
      <c r="A480" s="7" t="s">
        <v>2836</v>
      </c>
      <c r="B480" s="52">
        <v>44902</v>
      </c>
      <c r="C480" s="7">
        <f t="shared" si="7"/>
        <v>12</v>
      </c>
    </row>
    <row r="481" spans="1:3" x14ac:dyDescent="0.25">
      <c r="A481" s="7" t="s">
        <v>2651</v>
      </c>
      <c r="B481" s="52">
        <v>44789</v>
      </c>
      <c r="C481" s="7">
        <f t="shared" si="7"/>
        <v>8</v>
      </c>
    </row>
    <row r="482" spans="1:3" x14ac:dyDescent="0.25">
      <c r="A482" s="7" t="s">
        <v>2813</v>
      </c>
      <c r="B482" s="52">
        <v>44871</v>
      </c>
      <c r="C482" s="7">
        <f t="shared" si="7"/>
        <v>11</v>
      </c>
    </row>
    <row r="483" spans="1:3" x14ac:dyDescent="0.25">
      <c r="A483" s="7" t="s">
        <v>1995</v>
      </c>
      <c r="B483" s="52">
        <v>44905</v>
      </c>
      <c r="C483" s="7">
        <f t="shared" si="7"/>
        <v>12</v>
      </c>
    </row>
    <row r="484" spans="1:3" x14ac:dyDescent="0.25">
      <c r="A484" s="7" t="s">
        <v>2940</v>
      </c>
      <c r="B484" s="52">
        <v>44804</v>
      </c>
      <c r="C484" s="7">
        <f t="shared" si="7"/>
        <v>8</v>
      </c>
    </row>
    <row r="485" spans="1:3" x14ac:dyDescent="0.25">
      <c r="A485" s="7" t="s">
        <v>2724</v>
      </c>
      <c r="B485" s="52">
        <v>44863</v>
      </c>
      <c r="C485" s="7">
        <f t="shared" si="7"/>
        <v>10</v>
      </c>
    </row>
    <row r="486" spans="1:3" x14ac:dyDescent="0.25">
      <c r="A486" s="7" t="s">
        <v>2012</v>
      </c>
      <c r="B486" s="52">
        <v>44847</v>
      </c>
      <c r="C486" s="7">
        <f t="shared" si="7"/>
        <v>10</v>
      </c>
    </row>
    <row r="487" spans="1:3" x14ac:dyDescent="0.25">
      <c r="A487" s="7" t="s">
        <v>2371</v>
      </c>
      <c r="B487" s="52">
        <v>44783</v>
      </c>
      <c r="C487" s="7">
        <f t="shared" si="7"/>
        <v>8</v>
      </c>
    </row>
    <row r="488" spans="1:3" x14ac:dyDescent="0.25">
      <c r="A488" s="7" t="s">
        <v>2481</v>
      </c>
      <c r="B488" s="52">
        <v>44832</v>
      </c>
      <c r="C488" s="7">
        <f t="shared" si="7"/>
        <v>9</v>
      </c>
    </row>
    <row r="489" spans="1:3" x14ac:dyDescent="0.25">
      <c r="A489" s="7" t="s">
        <v>1962</v>
      </c>
      <c r="B489" s="52">
        <v>44754</v>
      </c>
      <c r="C489" s="7">
        <f t="shared" si="7"/>
        <v>7</v>
      </c>
    </row>
    <row r="490" spans="1:3" x14ac:dyDescent="0.25">
      <c r="A490" s="7" t="s">
        <v>2834</v>
      </c>
      <c r="B490" s="52">
        <v>44791</v>
      </c>
      <c r="C490" s="7">
        <f t="shared" si="7"/>
        <v>8</v>
      </c>
    </row>
    <row r="491" spans="1:3" x14ac:dyDescent="0.25">
      <c r="A491" s="7" t="s">
        <v>1972</v>
      </c>
      <c r="B491" s="52">
        <v>44842</v>
      </c>
      <c r="C491" s="7">
        <f t="shared" si="7"/>
        <v>10</v>
      </c>
    </row>
    <row r="492" spans="1:3" x14ac:dyDescent="0.25">
      <c r="A492" s="7" t="s">
        <v>2262</v>
      </c>
      <c r="B492" s="52">
        <v>44816</v>
      </c>
      <c r="C492" s="7">
        <f t="shared" si="7"/>
        <v>9</v>
      </c>
    </row>
    <row r="493" spans="1:3" x14ac:dyDescent="0.25">
      <c r="A493" s="7" t="s">
        <v>2127</v>
      </c>
      <c r="B493" s="52">
        <v>44761</v>
      </c>
      <c r="C493" s="7">
        <f t="shared" si="7"/>
        <v>7</v>
      </c>
    </row>
    <row r="494" spans="1:3" x14ac:dyDescent="0.25">
      <c r="A494" s="7" t="s">
        <v>1671</v>
      </c>
      <c r="B494" s="52">
        <v>44788</v>
      </c>
      <c r="C494" s="7">
        <f t="shared" si="7"/>
        <v>8</v>
      </c>
    </row>
    <row r="495" spans="1:3" x14ac:dyDescent="0.25">
      <c r="A495" s="7" t="s">
        <v>2447</v>
      </c>
      <c r="B495" s="52">
        <v>44879</v>
      </c>
      <c r="C495" s="7">
        <f t="shared" si="7"/>
        <v>11</v>
      </c>
    </row>
    <row r="496" spans="1:3" x14ac:dyDescent="0.25">
      <c r="A496" s="7" t="s">
        <v>3009</v>
      </c>
      <c r="B496" s="52">
        <v>44814</v>
      </c>
      <c r="C496" s="7">
        <f t="shared" si="7"/>
        <v>9</v>
      </c>
    </row>
    <row r="497" spans="1:3" x14ac:dyDescent="0.25">
      <c r="A497" s="7" t="s">
        <v>2916</v>
      </c>
      <c r="B497" s="52">
        <v>44864</v>
      </c>
      <c r="C497" s="7">
        <f t="shared" si="7"/>
        <v>10</v>
      </c>
    </row>
    <row r="498" spans="1:3" x14ac:dyDescent="0.25">
      <c r="A498" s="7" t="s">
        <v>3055</v>
      </c>
      <c r="B498" s="52">
        <v>44839</v>
      </c>
      <c r="C498" s="7">
        <f t="shared" si="7"/>
        <v>10</v>
      </c>
    </row>
    <row r="499" spans="1:3" x14ac:dyDescent="0.25">
      <c r="A499" s="7" t="s">
        <v>2157</v>
      </c>
      <c r="B499" s="52">
        <v>44912</v>
      </c>
      <c r="C499" s="7">
        <f t="shared" si="7"/>
        <v>12</v>
      </c>
    </row>
    <row r="500" spans="1:3" x14ac:dyDescent="0.25">
      <c r="A500" s="7" t="s">
        <v>1950</v>
      </c>
      <c r="B500" s="52">
        <v>44781</v>
      </c>
      <c r="C500" s="7">
        <f t="shared" si="7"/>
        <v>8</v>
      </c>
    </row>
    <row r="501" spans="1:3" x14ac:dyDescent="0.25">
      <c r="A501" s="7" t="s">
        <v>2493</v>
      </c>
      <c r="B501" s="52">
        <v>44746</v>
      </c>
      <c r="C501" s="7">
        <f t="shared" si="7"/>
        <v>7</v>
      </c>
    </row>
  </sheetData>
  <autoFilter ref="A1:C1" xr:uid="{AFB670B2-54DD-4EAE-A87B-849FDFBD6112}">
    <sortState xmlns:xlrd2="http://schemas.microsoft.com/office/spreadsheetml/2017/richdata2" ref="A2:C501">
      <sortCondition ref="A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E4166-199C-48C6-9528-79632040DF51}">
  <dimension ref="A1:W1001"/>
  <sheetViews>
    <sheetView topLeftCell="R1" workbookViewId="0">
      <selection activeCell="R3" sqref="R3"/>
    </sheetView>
  </sheetViews>
  <sheetFormatPr defaultRowHeight="15" x14ac:dyDescent="0.25"/>
  <cols>
    <col min="1" max="1" width="7.140625" bestFit="1" customWidth="1"/>
    <col min="2" max="2" width="13.140625" bestFit="1" customWidth="1"/>
    <col min="3" max="3" width="11.5703125" bestFit="1" customWidth="1"/>
    <col min="4" max="4" width="24.7109375" bestFit="1" customWidth="1"/>
    <col min="5" max="6" width="7" bestFit="1" customWidth="1"/>
    <col min="7" max="7" width="4.5703125" bestFit="1" customWidth="1"/>
    <col min="8" max="9" width="7" bestFit="1" customWidth="1"/>
    <col min="10" max="10" width="4.5703125" bestFit="1" customWidth="1"/>
    <col min="11" max="11" width="6" bestFit="1" customWidth="1"/>
    <col min="12" max="12" width="10.7109375" bestFit="1" customWidth="1"/>
    <col min="13" max="13" width="12.85546875" bestFit="1" customWidth="1"/>
    <col min="14" max="14" width="10.28515625" bestFit="1" customWidth="1"/>
    <col min="15" max="15" width="6.28515625" bestFit="1" customWidth="1"/>
    <col min="16" max="16" width="12.42578125" bestFit="1" customWidth="1"/>
    <col min="17" max="17" width="32.5703125" bestFit="1" customWidth="1"/>
    <col min="18" max="18" width="12.140625" bestFit="1" customWidth="1"/>
    <col min="19" max="19" width="11.5703125" bestFit="1" customWidth="1"/>
    <col min="20" max="20" width="30.5703125" bestFit="1" customWidth="1"/>
    <col min="21" max="21" width="15.140625" bestFit="1" customWidth="1"/>
    <col min="22" max="22" width="15" customWidth="1"/>
  </cols>
  <sheetData>
    <row r="1" spans="1:23" x14ac:dyDescent="0.25">
      <c r="A1" t="s">
        <v>3140</v>
      </c>
      <c r="B1" t="s">
        <v>1055</v>
      </c>
      <c r="C1" t="s">
        <v>1009</v>
      </c>
      <c r="D1" t="s">
        <v>3160</v>
      </c>
      <c r="E1" t="s">
        <v>1019</v>
      </c>
      <c r="F1" t="s">
        <v>1020</v>
      </c>
      <c r="G1" t="s">
        <v>1021</v>
      </c>
      <c r="H1" t="s">
        <v>1022</v>
      </c>
      <c r="I1" t="s">
        <v>1023</v>
      </c>
      <c r="J1" t="s">
        <v>1024</v>
      </c>
      <c r="K1" t="s">
        <v>1025</v>
      </c>
      <c r="L1" s="26" t="s">
        <v>3163</v>
      </c>
      <c r="M1" t="s">
        <v>3168</v>
      </c>
      <c r="N1" t="s">
        <v>1026</v>
      </c>
      <c r="O1" t="s">
        <v>1035</v>
      </c>
      <c r="P1" t="s">
        <v>1008</v>
      </c>
      <c r="Q1" t="s">
        <v>1060</v>
      </c>
      <c r="R1" s="51" t="s">
        <v>1057</v>
      </c>
      <c r="S1" s="51" t="s">
        <v>1058</v>
      </c>
      <c r="T1" s="51" t="s">
        <v>1059</v>
      </c>
      <c r="U1" s="51" t="s">
        <v>1056</v>
      </c>
    </row>
    <row r="2" spans="1:23" ht="15.75" x14ac:dyDescent="0.25">
      <c r="A2">
        <v>16</v>
      </c>
      <c r="B2" s="3" t="str">
        <f>CONCATENATE("A",TEXT(Main!A2,"0000"))</f>
        <v>A0016</v>
      </c>
      <c r="C2" t="s">
        <v>1015</v>
      </c>
      <c r="D2" s="3" t="str">
        <f>VLOOKUP(B2,Detail!$G$1:$H$1001,2,FALSE)</f>
        <v>Baktiono Kurniawan</v>
      </c>
      <c r="E2">
        <v>72</v>
      </c>
      <c r="F2">
        <v>64</v>
      </c>
      <c r="G2" s="35">
        <v>79</v>
      </c>
      <c r="H2">
        <v>59</v>
      </c>
      <c r="I2">
        <v>82</v>
      </c>
      <c r="J2">
        <v>88</v>
      </c>
      <c r="K2">
        <v>69</v>
      </c>
      <c r="L2" s="26">
        <f>IFERROR(VLOOKUP(B2,Absen!$A$1:$C$501,2,FALSE),"No")</f>
        <v>44828</v>
      </c>
      <c r="M2" s="44">
        <f t="shared" ref="M2:M65" si="0">IF(L2="no",K2,K2-10)*10%</f>
        <v>5.9</v>
      </c>
      <c r="N2" s="35">
        <f t="shared" ref="N2:N65" si="1">SUM(E2*12.5%,F2*12.5%,H2*12.5%,I2*12.5%,G2*20%,J2*20%,M2)</f>
        <v>73.925000000000011</v>
      </c>
      <c r="O2" t="str">
        <f>VLOOKUP(N2,Helper!$B$30:$C$35,2,TRUE)</f>
        <v>B</v>
      </c>
      <c r="P2" s="26">
        <f>INDEX(Detail!$A$1:$A$1001,MATCH(B2,Detail!$G$1:$G$1001,0))</f>
        <v>37464</v>
      </c>
      <c r="Q2" s="3" t="str">
        <f>INDEX(Detail!$F$1:$F$1001,MATCH(Main!B2,Detail!$G$1:$G$1001,0))</f>
        <v>Padangpanjang</v>
      </c>
      <c r="R2" s="7">
        <f>INDEX(Detail!$C$1:$C$1001,MATCH(B2,Detail!$G$1:$G$1001,0),1)</f>
        <v>159</v>
      </c>
      <c r="S2" s="7">
        <f>INDEX(Detail!$D$1:$D$1001,MATCH(B2,Detail!$G$1:$G$1001,0),1)</f>
        <v>56</v>
      </c>
      <c r="T2" s="7" t="str">
        <f>INDEX(Detail!$E$1:$E$1001,MATCH(Main!B2,Detail!$G$1:$G$1001,0))</f>
        <v>Gang Ahmad Dahlan No. 37</v>
      </c>
      <c r="U2" s="7" t="str">
        <f>INDEX(Detail!$B$1:$B$1001,MATCH(B2,Detail!$G$1:$G$1001,0),1)</f>
        <v>O-</v>
      </c>
      <c r="W2" t="str">
        <f ca="1">_xlfn.FORMULATEXT(W3)</f>
        <v>=INDEX(Dosen!$A$2:$E$8;MATCH('Golongan darah dan alamat'!$C$2;Dosen!$A$2:$A$8;0);IF(AND('Golongan darah dan alamat'!A2&gt;=1;'Golongan darah dan alamat'!A2&lt;=250);1;IF(AND('Golongan darah dan alamat'!A2&gt;=251;'Golongan darah dan alamat'!A2&lt;=500);2;IF(AND('Golongan darah dan alamat'!A2&gt;=501;'Golongan darah dan alamat'!A2&lt;=750);3;4))))</v>
      </c>
    </row>
    <row r="3" spans="1:23" ht="15.75" x14ac:dyDescent="0.25">
      <c r="A3">
        <v>20</v>
      </c>
      <c r="B3" s="3" t="str">
        <f>CONCATENATE("A",TEXT(Main!A3,"0000"))</f>
        <v>A0020</v>
      </c>
      <c r="C3" t="s">
        <v>1015</v>
      </c>
      <c r="D3" s="3" t="str">
        <f>VLOOKUP(B3,Detail!$G$1:$H$1001,2,FALSE)</f>
        <v>Halima Marbun</v>
      </c>
      <c r="E3">
        <v>60</v>
      </c>
      <c r="F3">
        <v>69</v>
      </c>
      <c r="G3" s="35">
        <v>93</v>
      </c>
      <c r="H3">
        <v>72</v>
      </c>
      <c r="I3">
        <v>60</v>
      </c>
      <c r="J3">
        <v>100</v>
      </c>
      <c r="K3">
        <v>70</v>
      </c>
      <c r="L3" s="26">
        <f>IFERROR(VLOOKUP(B3,Absen!$A$1:$C$501,2,FALSE),"No")</f>
        <v>44762</v>
      </c>
      <c r="M3" s="44">
        <f t="shared" si="0"/>
        <v>6</v>
      </c>
      <c r="N3" s="35">
        <f t="shared" si="1"/>
        <v>77.224999999999994</v>
      </c>
      <c r="O3" t="str">
        <f>VLOOKUP(N3,Helper!$B$30:$C$35,2,TRUE)</f>
        <v>B</v>
      </c>
      <c r="P3" s="26">
        <f>INDEX(Detail!$A$1:$A$1001,MATCH(B3,Detail!$G$1:$G$1001,0))</f>
        <v>37957</v>
      </c>
      <c r="Q3" s="3" t="str">
        <f>INDEX(Detail!$F$1:$F$1001,MATCH(Main!B3,Detail!$G$1:$G$1001,0))</f>
        <v>Palu</v>
      </c>
      <c r="R3" s="7">
        <f>INDEX(Detail!$C$1:$C$1001,MATCH(B3,Detail!$G$1:$G$1001,0),1)</f>
        <v>160</v>
      </c>
      <c r="S3" s="7">
        <f>INDEX(Detail!$D$1:$D$1001,MATCH(B3,Detail!$G$1:$G$1001,0),1)</f>
        <v>73</v>
      </c>
      <c r="T3" s="7" t="str">
        <f>INDEX(Detail!$E$1:$E$1001,MATCH(Main!B3,Detail!$G$1:$G$1001,0))</f>
        <v xml:space="preserve">Jl. Gedebage Selatan No. 4
</v>
      </c>
      <c r="U3" s="7" t="str">
        <f>INDEX(Detail!$B$1:$B$1001,MATCH(B3,Detail!$G$1:$G$1001,0),1)</f>
        <v>O+</v>
      </c>
      <c r="W3" t="str" cm="1">
        <f t="array" ref="W3">INDEX(Dosen!$A$2:$E$8,MATCH('Golongan darah dan alamat'!$C$2,Dosen!$A$2:$A$8,0),IF(AND('Golongan darah dan alamat'!A2&gt;=1,'Golongan darah dan alamat'!A2&lt;=250),1,IF(AND('Golongan darah dan alamat'!A2&gt;=251,'Golongan darah dan alamat'!A2&lt;=500),2,IF(AND('Golongan darah dan alamat'!A2&gt;=501,'Golongan darah dan alamat'!A2&lt;=750),3,4))))</f>
        <v>Matematika</v>
      </c>
    </row>
    <row r="4" spans="1:23" ht="15.75" x14ac:dyDescent="0.25">
      <c r="A4">
        <v>22</v>
      </c>
      <c r="B4" s="3" t="str">
        <f>CONCATENATE("A",TEXT(Main!A4,"0000"))</f>
        <v>A0022</v>
      </c>
      <c r="C4" t="s">
        <v>1015</v>
      </c>
      <c r="D4" s="3" t="str">
        <f>VLOOKUP(B4,Detail!$G$1:$H$1001,2,FALSE)</f>
        <v>Ira Firgantoro</v>
      </c>
      <c r="E4">
        <v>51</v>
      </c>
      <c r="F4">
        <v>42</v>
      </c>
      <c r="G4" s="35">
        <v>38</v>
      </c>
      <c r="H4">
        <v>73</v>
      </c>
      <c r="I4">
        <v>63</v>
      </c>
      <c r="J4">
        <v>52</v>
      </c>
      <c r="K4">
        <v>71</v>
      </c>
      <c r="L4" s="26" t="str">
        <f>IFERROR(VLOOKUP(B4,Absen!$A$1:$C$501,2,FALSE),"No")</f>
        <v>No</v>
      </c>
      <c r="M4" s="44">
        <f t="shared" si="0"/>
        <v>7.1000000000000005</v>
      </c>
      <c r="N4" s="35">
        <f t="shared" si="1"/>
        <v>53.725000000000001</v>
      </c>
      <c r="O4" t="str">
        <f>VLOOKUP(N4,Helper!$B$30:$C$35,2,TRUE)</f>
        <v>D</v>
      </c>
      <c r="P4" s="26">
        <f>INDEX(Detail!$A$1:$A$1001,MATCH(B4,Detail!$G$1:$G$1001,0))</f>
        <v>37815</v>
      </c>
      <c r="Q4" s="3" t="str">
        <f>INDEX(Detail!$F$1:$F$1001,MATCH(Main!B4,Detail!$G$1:$G$1001,0))</f>
        <v>Banjarbaru</v>
      </c>
      <c r="R4" s="7">
        <f>INDEX(Detail!$C$1:$C$1001,MATCH(B4,Detail!$G$1:$G$1001,0),1)</f>
        <v>173</v>
      </c>
      <c r="S4" s="7">
        <f>INDEX(Detail!$D$1:$D$1001,MATCH(B4,Detail!$G$1:$G$1001,0),1)</f>
        <v>86</v>
      </c>
      <c r="T4" s="7" t="str">
        <f>INDEX(Detail!$E$1:$E$1001,MATCH(Main!B4,Detail!$G$1:$G$1001,0))</f>
        <v>Gg. Kutai No. 02</v>
      </c>
      <c r="U4" s="7" t="str">
        <f>INDEX(Detail!$B$1:$B$1001,MATCH(B4,Detail!$G$1:$G$1001,0),1)</f>
        <v>AB-</v>
      </c>
    </row>
    <row r="5" spans="1:23" ht="15.75" x14ac:dyDescent="0.25">
      <c r="A5">
        <v>26</v>
      </c>
      <c r="B5" s="3" t="str">
        <f>CONCATENATE("A",TEXT(Main!A5,"0000"))</f>
        <v>A0026</v>
      </c>
      <c r="C5" t="s">
        <v>1015</v>
      </c>
      <c r="D5" s="3" t="str">
        <f>VLOOKUP(B5,Detail!$G$1:$H$1001,2,FALSE)</f>
        <v>Samsul Kusmawati</v>
      </c>
      <c r="E5">
        <v>74</v>
      </c>
      <c r="F5">
        <v>57</v>
      </c>
      <c r="G5" s="35">
        <v>49</v>
      </c>
      <c r="H5">
        <v>53</v>
      </c>
      <c r="I5">
        <v>70</v>
      </c>
      <c r="J5">
        <v>57</v>
      </c>
      <c r="K5">
        <v>63</v>
      </c>
      <c r="L5" s="26">
        <f>IFERROR(VLOOKUP(B5,Absen!$A$1:$C$501,2,FALSE),"No")</f>
        <v>44811</v>
      </c>
      <c r="M5" s="44">
        <f t="shared" si="0"/>
        <v>5.3000000000000007</v>
      </c>
      <c r="N5" s="35">
        <f t="shared" si="1"/>
        <v>58.25</v>
      </c>
      <c r="O5" t="str">
        <f>VLOOKUP(N5,Helper!$B$30:$C$35,2,TRUE)</f>
        <v>D</v>
      </c>
      <c r="P5" s="26">
        <f>INDEX(Detail!$A$1:$A$1001,MATCH(B5,Detail!$G$1:$G$1001,0))</f>
        <v>37135</v>
      </c>
      <c r="Q5" s="3" t="str">
        <f>INDEX(Detail!$F$1:$F$1001,MATCH(Main!B5,Detail!$G$1:$G$1001,0))</f>
        <v>Lubuklinggau</v>
      </c>
      <c r="R5" s="7">
        <f>INDEX(Detail!$C$1:$C$1001,MATCH(B5,Detail!$G$1:$G$1001,0),1)</f>
        <v>156</v>
      </c>
      <c r="S5" s="7">
        <f>INDEX(Detail!$D$1:$D$1001,MATCH(B5,Detail!$G$1:$G$1001,0),1)</f>
        <v>86</v>
      </c>
      <c r="T5" s="7" t="str">
        <f>INDEX(Detail!$E$1:$E$1001,MATCH(Main!B5,Detail!$G$1:$G$1001,0))</f>
        <v xml:space="preserve">Gang Otto Iskandardinata No. 1
</v>
      </c>
      <c r="U5" s="7" t="str">
        <f>INDEX(Detail!$B$1:$B$1001,MATCH(B5,Detail!$G$1:$G$1001,0),1)</f>
        <v>A+</v>
      </c>
    </row>
    <row r="6" spans="1:23" ht="15.75" x14ac:dyDescent="0.25">
      <c r="A6">
        <v>31</v>
      </c>
      <c r="B6" s="3" t="str">
        <f>CONCATENATE("A",TEXT(Main!A6,"0000"))</f>
        <v>A0031</v>
      </c>
      <c r="C6" t="s">
        <v>1015</v>
      </c>
      <c r="D6" s="3" t="str">
        <f>VLOOKUP(B6,Detail!$G$1:$H$1001,2,FALSE)</f>
        <v>Koko Suartini</v>
      </c>
      <c r="E6">
        <v>75</v>
      </c>
      <c r="F6">
        <v>60</v>
      </c>
      <c r="G6" s="35">
        <v>55</v>
      </c>
      <c r="H6">
        <v>74</v>
      </c>
      <c r="I6">
        <v>91</v>
      </c>
      <c r="J6">
        <v>65</v>
      </c>
      <c r="K6">
        <v>81</v>
      </c>
      <c r="L6" s="26" t="str">
        <f>IFERROR(VLOOKUP(B6,Absen!$A$1:$C$501,2,FALSE),"No")</f>
        <v>No</v>
      </c>
      <c r="M6" s="44">
        <f t="shared" si="0"/>
        <v>8.1</v>
      </c>
      <c r="N6" s="35">
        <f t="shared" si="1"/>
        <v>69.599999999999994</v>
      </c>
      <c r="O6" t="str">
        <f>VLOOKUP(N6,Helper!$B$30:$C$35,2,TRUE)</f>
        <v>C</v>
      </c>
      <c r="P6" s="26">
        <f>INDEX(Detail!$A$1:$A$1001,MATCH(B6,Detail!$G$1:$G$1001,0))</f>
        <v>38316</v>
      </c>
      <c r="Q6" s="3" t="str">
        <f>INDEX(Detail!$F$1:$F$1001,MATCH(Main!B6,Detail!$G$1:$G$1001,0))</f>
        <v>Lubuklinggau</v>
      </c>
      <c r="R6" s="7">
        <f>INDEX(Detail!$C$1:$C$1001,MATCH(B6,Detail!$G$1:$G$1001,0),1)</f>
        <v>175</v>
      </c>
      <c r="S6" s="7">
        <f>INDEX(Detail!$D$1:$D$1001,MATCH(B6,Detail!$G$1:$G$1001,0),1)</f>
        <v>87</v>
      </c>
      <c r="T6" s="7" t="str">
        <f>INDEX(Detail!$E$1:$E$1001,MATCH(Main!B6,Detail!$G$1:$G$1001,0))</f>
        <v>Jl. Moch. Toha No. 97</v>
      </c>
      <c r="U6" s="7" t="str">
        <f>INDEX(Detail!$B$1:$B$1001,MATCH(B6,Detail!$G$1:$G$1001,0),1)</f>
        <v>O+</v>
      </c>
    </row>
    <row r="7" spans="1:23" ht="15.75" x14ac:dyDescent="0.25">
      <c r="A7">
        <v>33</v>
      </c>
      <c r="B7" s="3" t="str">
        <f>CONCATENATE("A",TEXT(Main!A7,"0000"))</f>
        <v>A0033</v>
      </c>
      <c r="C7" t="s">
        <v>1015</v>
      </c>
      <c r="D7" s="3" t="str">
        <f>VLOOKUP(B7,Detail!$G$1:$H$1001,2,FALSE)</f>
        <v>Dalimin Natsir</v>
      </c>
      <c r="E7">
        <v>73</v>
      </c>
      <c r="F7">
        <v>64</v>
      </c>
      <c r="G7" s="35">
        <v>40</v>
      </c>
      <c r="H7">
        <v>61</v>
      </c>
      <c r="I7">
        <v>89</v>
      </c>
      <c r="J7">
        <v>75</v>
      </c>
      <c r="K7">
        <v>65</v>
      </c>
      <c r="L7" s="26">
        <f>IFERROR(VLOOKUP(B7,Absen!$A$1:$C$501,2,FALSE),"No")</f>
        <v>44880</v>
      </c>
      <c r="M7" s="44">
        <f t="shared" si="0"/>
        <v>5.5</v>
      </c>
      <c r="N7" s="35">
        <f t="shared" si="1"/>
        <v>64.375</v>
      </c>
      <c r="O7" t="str">
        <f>VLOOKUP(N7,Helper!$B$30:$C$35,2,TRUE)</f>
        <v>C</v>
      </c>
      <c r="P7" s="26">
        <f>INDEX(Detail!$A$1:$A$1001,MATCH(B7,Detail!$G$1:$G$1001,0))</f>
        <v>37644</v>
      </c>
      <c r="Q7" s="3" t="str">
        <f>INDEX(Detail!$F$1:$F$1001,MATCH(Main!B7,Detail!$G$1:$G$1001,0))</f>
        <v>Padang Sidempuan</v>
      </c>
      <c r="R7" s="7">
        <f>INDEX(Detail!$C$1:$C$1001,MATCH(B7,Detail!$G$1:$G$1001,0),1)</f>
        <v>174</v>
      </c>
      <c r="S7" s="7">
        <f>INDEX(Detail!$D$1:$D$1001,MATCH(B7,Detail!$G$1:$G$1001,0),1)</f>
        <v>86</v>
      </c>
      <c r="T7" s="7" t="str">
        <f>INDEX(Detail!$E$1:$E$1001,MATCH(Main!B7,Detail!$G$1:$G$1001,0))</f>
        <v>Jalan Jayawijaya No. 91</v>
      </c>
      <c r="U7" s="7" t="str">
        <f>INDEX(Detail!$B$1:$B$1001,MATCH(B7,Detail!$G$1:$G$1001,0),1)</f>
        <v>B-</v>
      </c>
    </row>
    <row r="8" spans="1:23" ht="15.75" x14ac:dyDescent="0.25">
      <c r="A8">
        <v>34</v>
      </c>
      <c r="B8" s="3" t="str">
        <f>CONCATENATE("A",TEXT(Main!A8,"0000"))</f>
        <v>A0034</v>
      </c>
      <c r="C8" t="s">
        <v>1015</v>
      </c>
      <c r="D8" s="3" t="str">
        <f>VLOOKUP(B8,Detail!$G$1:$H$1001,2,FALSE)</f>
        <v>Paulin Januar</v>
      </c>
      <c r="E8">
        <v>58</v>
      </c>
      <c r="F8">
        <v>57</v>
      </c>
      <c r="G8" s="35">
        <v>78</v>
      </c>
      <c r="H8">
        <v>55</v>
      </c>
      <c r="I8">
        <v>63</v>
      </c>
      <c r="J8">
        <v>49</v>
      </c>
      <c r="K8">
        <v>94</v>
      </c>
      <c r="L8" s="26">
        <f>IFERROR(VLOOKUP(B8,Absen!$A$1:$C$501,2,FALSE),"No")</f>
        <v>44765</v>
      </c>
      <c r="M8" s="44">
        <f t="shared" si="0"/>
        <v>8.4</v>
      </c>
      <c r="N8" s="35">
        <f t="shared" si="1"/>
        <v>62.925000000000004</v>
      </c>
      <c r="O8" t="str">
        <f>VLOOKUP(N8,Helper!$B$30:$C$35,2,TRUE)</f>
        <v>C</v>
      </c>
      <c r="P8" s="26">
        <f>INDEX(Detail!$A$1:$A$1001,MATCH(B8,Detail!$G$1:$G$1001,0))</f>
        <v>38456</v>
      </c>
      <c r="Q8" s="3" t="str">
        <f>INDEX(Detail!$F$1:$F$1001,MATCH(Main!B8,Detail!$G$1:$G$1001,0))</f>
        <v>Kota Administrasi Jakarta Selatan</v>
      </c>
      <c r="R8" s="7">
        <f>INDEX(Detail!$C$1:$C$1001,MATCH(B8,Detail!$G$1:$G$1001,0),1)</f>
        <v>151</v>
      </c>
      <c r="S8" s="7">
        <f>INDEX(Detail!$D$1:$D$1001,MATCH(B8,Detail!$G$1:$G$1001,0),1)</f>
        <v>72</v>
      </c>
      <c r="T8" s="7" t="str">
        <f>INDEX(Detail!$E$1:$E$1001,MATCH(Main!B8,Detail!$G$1:$G$1001,0))</f>
        <v>Jalan Cikutra Timur No. 51</v>
      </c>
      <c r="U8" s="7" t="str">
        <f>INDEX(Detail!$B$1:$B$1001,MATCH(B8,Detail!$G$1:$G$1001,0),1)</f>
        <v>AB-</v>
      </c>
    </row>
    <row r="9" spans="1:23" ht="15.75" x14ac:dyDescent="0.25">
      <c r="A9">
        <v>41</v>
      </c>
      <c r="B9" s="3" t="str">
        <f>CONCATENATE("A",TEXT(Main!A9,"0000"))</f>
        <v>A0041</v>
      </c>
      <c r="C9" t="s">
        <v>1015</v>
      </c>
      <c r="D9" s="3" t="str">
        <f>VLOOKUP(B9,Detail!$G$1:$H$1001,2,FALSE)</f>
        <v>Gangsa Riyanti</v>
      </c>
      <c r="E9">
        <v>53</v>
      </c>
      <c r="F9">
        <v>48</v>
      </c>
      <c r="G9" s="35">
        <v>88</v>
      </c>
      <c r="H9">
        <v>59</v>
      </c>
      <c r="I9">
        <v>90</v>
      </c>
      <c r="J9">
        <v>49</v>
      </c>
      <c r="K9">
        <v>70</v>
      </c>
      <c r="L9" s="26" t="str">
        <f>IFERROR(VLOOKUP(B9,Absen!$A$1:$C$501,2,FALSE),"No")</f>
        <v>No</v>
      </c>
      <c r="M9" s="44">
        <f t="shared" si="0"/>
        <v>7</v>
      </c>
      <c r="N9" s="35">
        <f t="shared" si="1"/>
        <v>65.650000000000006</v>
      </c>
      <c r="O9" t="str">
        <f>VLOOKUP(N9,Helper!$B$30:$C$35,2,TRUE)</f>
        <v>C</v>
      </c>
      <c r="P9" s="26">
        <f>INDEX(Detail!$A$1:$A$1001,MATCH(B9,Detail!$G$1:$G$1001,0))</f>
        <v>37504</v>
      </c>
      <c r="Q9" s="3" t="str">
        <f>INDEX(Detail!$F$1:$F$1001,MATCH(Main!B9,Detail!$G$1:$G$1001,0))</f>
        <v>Kota Administrasi Jakarta Timur</v>
      </c>
      <c r="R9" s="7">
        <f>INDEX(Detail!$C$1:$C$1001,MATCH(B9,Detail!$G$1:$G$1001,0),1)</f>
        <v>156</v>
      </c>
      <c r="S9" s="7">
        <f>INDEX(Detail!$D$1:$D$1001,MATCH(B9,Detail!$G$1:$G$1001,0),1)</f>
        <v>95</v>
      </c>
      <c r="T9" s="7" t="str">
        <f>INDEX(Detail!$E$1:$E$1001,MATCH(Main!B9,Detail!$G$1:$G$1001,0))</f>
        <v xml:space="preserve">Gg. M.H Thamrin No. 5
</v>
      </c>
      <c r="U9" s="7" t="str">
        <f>INDEX(Detail!$B$1:$B$1001,MATCH(B9,Detail!$G$1:$G$1001,0),1)</f>
        <v>B+</v>
      </c>
    </row>
    <row r="10" spans="1:23" ht="15.75" x14ac:dyDescent="0.25">
      <c r="A10">
        <v>51</v>
      </c>
      <c r="B10" s="3" t="str">
        <f>CONCATENATE("A",TEXT(Main!A10,"0000"))</f>
        <v>A0051</v>
      </c>
      <c r="C10" t="s">
        <v>1015</v>
      </c>
      <c r="D10" s="3" t="str">
        <f>VLOOKUP(B10,Detail!$G$1:$H$1001,2,FALSE)</f>
        <v>Jamalia Zulaika</v>
      </c>
      <c r="E10">
        <v>65</v>
      </c>
      <c r="F10">
        <v>64</v>
      </c>
      <c r="G10" s="35">
        <v>62</v>
      </c>
      <c r="H10">
        <v>54</v>
      </c>
      <c r="I10">
        <v>79</v>
      </c>
      <c r="J10">
        <v>82</v>
      </c>
      <c r="K10">
        <v>76</v>
      </c>
      <c r="L10" s="26">
        <f>IFERROR(VLOOKUP(B10,Absen!$A$1:$C$501,2,FALSE),"No")</f>
        <v>44771</v>
      </c>
      <c r="M10" s="44">
        <f t="shared" si="0"/>
        <v>6.6000000000000005</v>
      </c>
      <c r="N10" s="35">
        <f t="shared" si="1"/>
        <v>68.149999999999991</v>
      </c>
      <c r="O10" t="str">
        <f>VLOOKUP(N10,Helper!$B$30:$C$35,2,TRUE)</f>
        <v>C</v>
      </c>
      <c r="P10" s="26">
        <f>INDEX(Detail!$A$1:$A$1001,MATCH(B10,Detail!$G$1:$G$1001,0))</f>
        <v>37719</v>
      </c>
      <c r="Q10" s="3" t="str">
        <f>INDEX(Detail!$F$1:$F$1001,MATCH(Main!B10,Detail!$G$1:$G$1001,0))</f>
        <v>Tanjungbalai</v>
      </c>
      <c r="R10" s="7">
        <f>INDEX(Detail!$C$1:$C$1001,MATCH(B10,Detail!$G$1:$G$1001,0),1)</f>
        <v>171</v>
      </c>
      <c r="S10" s="7">
        <f>INDEX(Detail!$D$1:$D$1001,MATCH(B10,Detail!$G$1:$G$1001,0),1)</f>
        <v>79</v>
      </c>
      <c r="T10" s="7" t="str">
        <f>INDEX(Detail!$E$1:$E$1001,MATCH(Main!B10,Detail!$G$1:$G$1001,0))</f>
        <v>Gang Surapati No. 48</v>
      </c>
      <c r="U10" s="7" t="str">
        <f>INDEX(Detail!$B$1:$B$1001,MATCH(B10,Detail!$G$1:$G$1001,0),1)</f>
        <v>O+</v>
      </c>
    </row>
    <row r="11" spans="1:23" ht="15.75" x14ac:dyDescent="0.25">
      <c r="A11">
        <v>63</v>
      </c>
      <c r="B11" s="3" t="str">
        <f>CONCATENATE("A",TEXT(Main!A11,"0000"))</f>
        <v>A0063</v>
      </c>
      <c r="C11" t="s">
        <v>1015</v>
      </c>
      <c r="D11" s="3" t="str">
        <f>VLOOKUP(B11,Detail!$G$1:$H$1001,2,FALSE)</f>
        <v>Salwa Wasita</v>
      </c>
      <c r="E11">
        <v>74</v>
      </c>
      <c r="F11">
        <v>52</v>
      </c>
      <c r="G11" s="35">
        <v>71</v>
      </c>
      <c r="H11">
        <v>59</v>
      </c>
      <c r="I11">
        <v>72</v>
      </c>
      <c r="J11">
        <v>54</v>
      </c>
      <c r="K11">
        <v>79</v>
      </c>
      <c r="L11" s="26">
        <f>IFERROR(VLOOKUP(B11,Absen!$A$1:$C$501,2,FALSE),"No")</f>
        <v>44836</v>
      </c>
      <c r="M11" s="44">
        <f t="shared" si="0"/>
        <v>6.9</v>
      </c>
      <c r="N11" s="35">
        <f t="shared" si="1"/>
        <v>64.025000000000006</v>
      </c>
      <c r="O11" t="str">
        <f>VLOOKUP(N11,Helper!$B$30:$C$35,2,TRUE)</f>
        <v>C</v>
      </c>
      <c r="P11" s="26">
        <f>INDEX(Detail!$A$1:$A$1001,MATCH(B11,Detail!$G$1:$G$1001,0))</f>
        <v>38293</v>
      </c>
      <c r="Q11" s="3" t="str">
        <f>INDEX(Detail!$F$1:$F$1001,MATCH(Main!B11,Detail!$G$1:$G$1001,0))</f>
        <v>Salatiga</v>
      </c>
      <c r="R11" s="7">
        <f>INDEX(Detail!$C$1:$C$1001,MATCH(B11,Detail!$G$1:$G$1001,0),1)</f>
        <v>162</v>
      </c>
      <c r="S11" s="7">
        <f>INDEX(Detail!$D$1:$D$1001,MATCH(B11,Detail!$G$1:$G$1001,0),1)</f>
        <v>84</v>
      </c>
      <c r="T11" s="7" t="str">
        <f>INDEX(Detail!$E$1:$E$1001,MATCH(Main!B11,Detail!$G$1:$G$1001,0))</f>
        <v>Jl. Kiaracondong No. 45</v>
      </c>
      <c r="U11" s="7" t="str">
        <f>INDEX(Detail!$B$1:$B$1001,MATCH(B11,Detail!$G$1:$G$1001,0),1)</f>
        <v>AB+</v>
      </c>
    </row>
    <row r="12" spans="1:23" ht="15.75" x14ac:dyDescent="0.25">
      <c r="A12">
        <v>65</v>
      </c>
      <c r="B12" s="3" t="str">
        <f>CONCATENATE("A",TEXT(Main!A12,"0000"))</f>
        <v>A0065</v>
      </c>
      <c r="C12" t="s">
        <v>1015</v>
      </c>
      <c r="D12" s="3" t="str">
        <f>VLOOKUP(B12,Detail!$G$1:$H$1001,2,FALSE)</f>
        <v>Ajiman Mulyani</v>
      </c>
      <c r="E12">
        <v>81</v>
      </c>
      <c r="F12">
        <v>41</v>
      </c>
      <c r="G12" s="35">
        <v>67</v>
      </c>
      <c r="H12">
        <v>54</v>
      </c>
      <c r="I12">
        <v>95</v>
      </c>
      <c r="J12">
        <v>52</v>
      </c>
      <c r="K12">
        <v>71</v>
      </c>
      <c r="L12" s="26">
        <f>IFERROR(VLOOKUP(B12,Absen!$A$1:$C$501,2,FALSE),"No")</f>
        <v>44852</v>
      </c>
      <c r="M12" s="44">
        <f t="shared" si="0"/>
        <v>6.1000000000000005</v>
      </c>
      <c r="N12" s="35">
        <f t="shared" si="1"/>
        <v>63.774999999999999</v>
      </c>
      <c r="O12" t="str">
        <f>VLOOKUP(N12,Helper!$B$30:$C$35,2,TRUE)</f>
        <v>C</v>
      </c>
      <c r="P12" s="26">
        <f>INDEX(Detail!$A$1:$A$1001,MATCH(B12,Detail!$G$1:$G$1001,0))</f>
        <v>38212</v>
      </c>
      <c r="Q12" s="3" t="str">
        <f>INDEX(Detail!$F$1:$F$1001,MATCH(Main!B12,Detail!$G$1:$G$1001,0))</f>
        <v>Balikpapan</v>
      </c>
      <c r="R12" s="7">
        <f>INDEX(Detail!$C$1:$C$1001,MATCH(B12,Detail!$G$1:$G$1001,0),1)</f>
        <v>166</v>
      </c>
      <c r="S12" s="7">
        <f>INDEX(Detail!$D$1:$D$1001,MATCH(B12,Detail!$G$1:$G$1001,0),1)</f>
        <v>81</v>
      </c>
      <c r="T12" s="7" t="str">
        <f>INDEX(Detail!$E$1:$E$1001,MATCH(Main!B12,Detail!$G$1:$G$1001,0))</f>
        <v xml:space="preserve">Jalan M.T Haryono No. 8
</v>
      </c>
      <c r="U12" s="7" t="str">
        <f>INDEX(Detail!$B$1:$B$1001,MATCH(B12,Detail!$G$1:$G$1001,0),1)</f>
        <v>O+</v>
      </c>
    </row>
    <row r="13" spans="1:23" ht="15.75" x14ac:dyDescent="0.25">
      <c r="A13">
        <v>83</v>
      </c>
      <c r="B13" s="3" t="str">
        <f>CONCATENATE("A",TEXT(Main!A13,"0000"))</f>
        <v>A0083</v>
      </c>
      <c r="C13" t="s">
        <v>1015</v>
      </c>
      <c r="D13" s="3" t="str">
        <f>VLOOKUP(B13,Detail!$G$1:$H$1001,2,FALSE)</f>
        <v>Keisha Suryatmi</v>
      </c>
      <c r="E13">
        <v>58</v>
      </c>
      <c r="F13">
        <v>72</v>
      </c>
      <c r="G13" s="35">
        <v>75</v>
      </c>
      <c r="H13">
        <v>60</v>
      </c>
      <c r="I13">
        <v>75</v>
      </c>
      <c r="J13">
        <v>58</v>
      </c>
      <c r="K13">
        <v>93</v>
      </c>
      <c r="L13" s="26">
        <f>IFERROR(VLOOKUP(B13,Absen!$A$1:$C$501,2,FALSE),"No")</f>
        <v>44762</v>
      </c>
      <c r="M13" s="44">
        <f t="shared" si="0"/>
        <v>8.3000000000000007</v>
      </c>
      <c r="N13" s="35">
        <f t="shared" si="1"/>
        <v>68.025000000000006</v>
      </c>
      <c r="O13" t="str">
        <f>VLOOKUP(N13,Helper!$B$30:$C$35,2,TRUE)</f>
        <v>C</v>
      </c>
      <c r="P13" s="26">
        <f>INDEX(Detail!$A$1:$A$1001,MATCH(B13,Detail!$G$1:$G$1001,0))</f>
        <v>37240</v>
      </c>
      <c r="Q13" s="3" t="str">
        <f>INDEX(Detail!$F$1:$F$1001,MATCH(Main!B13,Detail!$G$1:$G$1001,0))</f>
        <v>Bau-Bau</v>
      </c>
      <c r="R13" s="7">
        <f>INDEX(Detail!$C$1:$C$1001,MATCH(B13,Detail!$G$1:$G$1001,0),1)</f>
        <v>160</v>
      </c>
      <c r="S13" s="7">
        <f>INDEX(Detail!$D$1:$D$1001,MATCH(B13,Detail!$G$1:$G$1001,0),1)</f>
        <v>50</v>
      </c>
      <c r="T13" s="7" t="str">
        <f>INDEX(Detail!$E$1:$E$1001,MATCH(Main!B13,Detail!$G$1:$G$1001,0))</f>
        <v>Jl. Bangka Raya No. 62</v>
      </c>
      <c r="U13" s="7" t="str">
        <f>INDEX(Detail!$B$1:$B$1001,MATCH(B13,Detail!$G$1:$G$1001,0),1)</f>
        <v>AB-</v>
      </c>
    </row>
    <row r="14" spans="1:23" ht="15.75" x14ac:dyDescent="0.25">
      <c r="A14">
        <v>84</v>
      </c>
      <c r="B14" s="3" t="str">
        <f>CONCATENATE("A",TEXT(Main!A14,"0000"))</f>
        <v>A0084</v>
      </c>
      <c r="C14" t="s">
        <v>1015</v>
      </c>
      <c r="D14" s="3" t="str">
        <f>VLOOKUP(B14,Detail!$G$1:$H$1001,2,FALSE)</f>
        <v>Kadir Anggriawan</v>
      </c>
      <c r="E14">
        <v>86</v>
      </c>
      <c r="F14">
        <v>61</v>
      </c>
      <c r="G14" s="35">
        <v>71</v>
      </c>
      <c r="H14">
        <v>59</v>
      </c>
      <c r="I14">
        <v>62</v>
      </c>
      <c r="J14">
        <v>45</v>
      </c>
      <c r="K14">
        <v>84</v>
      </c>
      <c r="L14" s="26" t="str">
        <f>IFERROR(VLOOKUP(B14,Absen!$A$1:$C$501,2,FALSE),"No")</f>
        <v>No</v>
      </c>
      <c r="M14" s="44">
        <f t="shared" si="0"/>
        <v>8.4</v>
      </c>
      <c r="N14" s="35">
        <f t="shared" si="1"/>
        <v>65.100000000000009</v>
      </c>
      <c r="O14" t="str">
        <f>VLOOKUP(N14,Helper!$B$30:$C$35,2,TRUE)</f>
        <v>C</v>
      </c>
      <c r="P14" s="26">
        <f>INDEX(Detail!$A$1:$A$1001,MATCH(B14,Detail!$G$1:$G$1001,0))</f>
        <v>38089</v>
      </c>
      <c r="Q14" s="3" t="str">
        <f>INDEX(Detail!$F$1:$F$1001,MATCH(Main!B14,Detail!$G$1:$G$1001,0))</f>
        <v>Makassar</v>
      </c>
      <c r="R14" s="7">
        <f>INDEX(Detail!$C$1:$C$1001,MATCH(B14,Detail!$G$1:$G$1001,0),1)</f>
        <v>156</v>
      </c>
      <c r="S14" s="7">
        <f>INDEX(Detail!$D$1:$D$1001,MATCH(B14,Detail!$G$1:$G$1001,0),1)</f>
        <v>50</v>
      </c>
      <c r="T14" s="7" t="str">
        <f>INDEX(Detail!$E$1:$E$1001,MATCH(Main!B14,Detail!$G$1:$G$1001,0))</f>
        <v xml:space="preserve">Gang Waringin No. 6
</v>
      </c>
      <c r="U14" s="7" t="str">
        <f>INDEX(Detail!$B$1:$B$1001,MATCH(B14,Detail!$G$1:$G$1001,0),1)</f>
        <v>B-</v>
      </c>
    </row>
    <row r="15" spans="1:23" ht="15.75" x14ac:dyDescent="0.25">
      <c r="A15">
        <v>94</v>
      </c>
      <c r="B15" s="3" t="str">
        <f>CONCATENATE("A",TEXT(Main!A15,"0000"))</f>
        <v>A0094</v>
      </c>
      <c r="C15" t="s">
        <v>1015</v>
      </c>
      <c r="D15" s="3" t="str">
        <f>VLOOKUP(B15,Detail!$G$1:$H$1001,2,FALSE)</f>
        <v>Umay Suryono</v>
      </c>
      <c r="E15">
        <v>60</v>
      </c>
      <c r="F15">
        <v>46</v>
      </c>
      <c r="G15" s="35">
        <v>92</v>
      </c>
      <c r="H15">
        <v>75</v>
      </c>
      <c r="I15">
        <v>72</v>
      </c>
      <c r="J15">
        <v>69</v>
      </c>
      <c r="K15">
        <v>87</v>
      </c>
      <c r="L15" s="26" t="str">
        <f>IFERROR(VLOOKUP(B15,Absen!$A$1:$C$501,2,FALSE),"No")</f>
        <v>No</v>
      </c>
      <c r="M15" s="44">
        <f t="shared" si="0"/>
        <v>8.7000000000000011</v>
      </c>
      <c r="N15" s="35">
        <f t="shared" si="1"/>
        <v>72.525000000000006</v>
      </c>
      <c r="O15" t="str">
        <f>VLOOKUP(N15,Helper!$B$30:$C$35,2,TRUE)</f>
        <v>B</v>
      </c>
      <c r="P15" s="26">
        <f>INDEX(Detail!$A$1:$A$1001,MATCH(B15,Detail!$G$1:$G$1001,0))</f>
        <v>37701</v>
      </c>
      <c r="Q15" s="3" t="str">
        <f>INDEX(Detail!$F$1:$F$1001,MATCH(Main!B15,Detail!$G$1:$G$1001,0))</f>
        <v>Lubuklinggau</v>
      </c>
      <c r="R15" s="7">
        <f>INDEX(Detail!$C$1:$C$1001,MATCH(B15,Detail!$G$1:$G$1001,0),1)</f>
        <v>160</v>
      </c>
      <c r="S15" s="7">
        <f>INDEX(Detail!$D$1:$D$1001,MATCH(B15,Detail!$G$1:$G$1001,0),1)</f>
        <v>69</v>
      </c>
      <c r="T15" s="7" t="str">
        <f>INDEX(Detail!$E$1:$E$1001,MATCH(Main!B15,Detail!$G$1:$G$1001,0))</f>
        <v xml:space="preserve">Jl. Gegerkalong Hilir No. 0
</v>
      </c>
      <c r="U15" s="7" t="str">
        <f>INDEX(Detail!$B$1:$B$1001,MATCH(B15,Detail!$G$1:$G$1001,0),1)</f>
        <v>AB-</v>
      </c>
    </row>
    <row r="16" spans="1:23" ht="15.75" x14ac:dyDescent="0.25">
      <c r="A16">
        <v>100</v>
      </c>
      <c r="B16" s="3" t="str">
        <f>CONCATENATE("A",TEXT(Main!A16,"0000"))</f>
        <v>A0100</v>
      </c>
      <c r="C16" t="s">
        <v>1015</v>
      </c>
      <c r="D16" s="3" t="str">
        <f>VLOOKUP(B16,Detail!$G$1:$H$1001,2,FALSE)</f>
        <v>Jarwa Maulana</v>
      </c>
      <c r="E16">
        <v>50</v>
      </c>
      <c r="F16">
        <v>44</v>
      </c>
      <c r="G16" s="35">
        <v>51</v>
      </c>
      <c r="H16">
        <v>69</v>
      </c>
      <c r="I16">
        <v>54</v>
      </c>
      <c r="J16">
        <v>82</v>
      </c>
      <c r="K16">
        <v>66</v>
      </c>
      <c r="L16" s="26">
        <f>IFERROR(VLOOKUP(B16,Absen!$A$1:$C$501,2,FALSE),"No")</f>
        <v>44811</v>
      </c>
      <c r="M16" s="44">
        <f t="shared" si="0"/>
        <v>5.6000000000000005</v>
      </c>
      <c r="N16" s="35">
        <f t="shared" si="1"/>
        <v>59.32500000000001</v>
      </c>
      <c r="O16" t="str">
        <f>VLOOKUP(N16,Helper!$B$30:$C$35,2,TRUE)</f>
        <v>D</v>
      </c>
      <c r="P16" s="26">
        <f>INDEX(Detail!$A$1:$A$1001,MATCH(B16,Detail!$G$1:$G$1001,0))</f>
        <v>37996</v>
      </c>
      <c r="Q16" s="3" t="str">
        <f>INDEX(Detail!$F$1:$F$1001,MATCH(Main!B16,Detail!$G$1:$G$1001,0))</f>
        <v>Bitung</v>
      </c>
      <c r="R16" s="7">
        <f>INDEX(Detail!$C$1:$C$1001,MATCH(B16,Detail!$G$1:$G$1001,0),1)</f>
        <v>168</v>
      </c>
      <c r="S16" s="7">
        <f>INDEX(Detail!$D$1:$D$1001,MATCH(B16,Detail!$G$1:$G$1001,0),1)</f>
        <v>62</v>
      </c>
      <c r="T16" s="7" t="str">
        <f>INDEX(Detail!$E$1:$E$1001,MATCH(Main!B16,Detail!$G$1:$G$1001,0))</f>
        <v xml:space="preserve">Gang Sukabumi No. 7
</v>
      </c>
      <c r="U16" s="7" t="str">
        <f>INDEX(Detail!$B$1:$B$1001,MATCH(B16,Detail!$G$1:$G$1001,0),1)</f>
        <v>O-</v>
      </c>
    </row>
    <row r="17" spans="1:21" ht="15.75" x14ac:dyDescent="0.25">
      <c r="A17">
        <v>110</v>
      </c>
      <c r="B17" s="3" t="str">
        <f>CONCATENATE("A",TEXT(Main!A17,"0000"))</f>
        <v>A0110</v>
      </c>
      <c r="C17" t="s">
        <v>1015</v>
      </c>
      <c r="D17" s="3" t="str">
        <f>VLOOKUP(B17,Detail!$G$1:$H$1001,2,FALSE)</f>
        <v>Wisnu Pangestu</v>
      </c>
      <c r="E17">
        <v>84</v>
      </c>
      <c r="F17">
        <v>68</v>
      </c>
      <c r="G17" s="35">
        <v>58</v>
      </c>
      <c r="H17">
        <v>51</v>
      </c>
      <c r="I17">
        <v>80</v>
      </c>
      <c r="J17">
        <v>46</v>
      </c>
      <c r="K17">
        <v>88</v>
      </c>
      <c r="L17" s="26" t="str">
        <f>IFERROR(VLOOKUP(B17,Absen!$A$1:$C$501,2,FALSE),"No")</f>
        <v>No</v>
      </c>
      <c r="M17" s="44">
        <f t="shared" si="0"/>
        <v>8.8000000000000007</v>
      </c>
      <c r="N17" s="35">
        <f t="shared" si="1"/>
        <v>64.975000000000009</v>
      </c>
      <c r="O17" t="str">
        <f>VLOOKUP(N17,Helper!$B$30:$C$35,2,TRUE)</f>
        <v>C</v>
      </c>
      <c r="P17" s="26">
        <f>INDEX(Detail!$A$1:$A$1001,MATCH(B17,Detail!$G$1:$G$1001,0))</f>
        <v>37705</v>
      </c>
      <c r="Q17" s="3" t="str">
        <f>INDEX(Detail!$F$1:$F$1001,MATCH(Main!B17,Detail!$G$1:$G$1001,0))</f>
        <v>Pematangsiantar</v>
      </c>
      <c r="R17" s="7">
        <f>INDEX(Detail!$C$1:$C$1001,MATCH(B17,Detail!$G$1:$G$1001,0),1)</f>
        <v>172</v>
      </c>
      <c r="S17" s="7">
        <f>INDEX(Detail!$D$1:$D$1001,MATCH(B17,Detail!$G$1:$G$1001,0),1)</f>
        <v>48</v>
      </c>
      <c r="T17" s="7" t="str">
        <f>INDEX(Detail!$E$1:$E$1001,MATCH(Main!B17,Detail!$G$1:$G$1001,0))</f>
        <v>Gg. R.E Martadinata No. 43</v>
      </c>
      <c r="U17" s="7" t="str">
        <f>INDEX(Detail!$B$1:$B$1001,MATCH(B17,Detail!$G$1:$G$1001,0),1)</f>
        <v>AB+</v>
      </c>
    </row>
    <row r="18" spans="1:21" ht="15.75" x14ac:dyDescent="0.25">
      <c r="A18">
        <v>111</v>
      </c>
      <c r="B18" s="3" t="str">
        <f>CONCATENATE("A",TEXT(Main!A18,"0000"))</f>
        <v>A0111</v>
      </c>
      <c r="C18" t="s">
        <v>1015</v>
      </c>
      <c r="D18" s="3" t="str">
        <f>VLOOKUP(B18,Detail!$G$1:$H$1001,2,FALSE)</f>
        <v>Jumadi Wahyuni</v>
      </c>
      <c r="E18">
        <v>73</v>
      </c>
      <c r="F18">
        <v>74</v>
      </c>
      <c r="G18" s="35">
        <v>64</v>
      </c>
      <c r="H18">
        <v>51</v>
      </c>
      <c r="I18">
        <v>95</v>
      </c>
      <c r="J18">
        <v>85</v>
      </c>
      <c r="K18">
        <v>99</v>
      </c>
      <c r="L18" s="26" t="str">
        <f>IFERROR(VLOOKUP(B18,Absen!$A$1:$C$501,2,FALSE),"No")</f>
        <v>No</v>
      </c>
      <c r="M18" s="44">
        <f t="shared" si="0"/>
        <v>9.9</v>
      </c>
      <c r="N18" s="35">
        <f t="shared" si="1"/>
        <v>76.325000000000003</v>
      </c>
      <c r="O18" t="str">
        <f>VLOOKUP(N18,Helper!$B$30:$C$35,2,TRUE)</f>
        <v>B</v>
      </c>
      <c r="P18" s="26">
        <f>INDEX(Detail!$A$1:$A$1001,MATCH(B18,Detail!$G$1:$G$1001,0))</f>
        <v>37290</v>
      </c>
      <c r="Q18" s="3" t="str">
        <f>INDEX(Detail!$F$1:$F$1001,MATCH(Main!B18,Detail!$G$1:$G$1001,0))</f>
        <v>Pariaman</v>
      </c>
      <c r="R18" s="7">
        <f>INDEX(Detail!$C$1:$C$1001,MATCH(B18,Detail!$G$1:$G$1001,0),1)</f>
        <v>154</v>
      </c>
      <c r="S18" s="7">
        <f>INDEX(Detail!$D$1:$D$1001,MATCH(B18,Detail!$G$1:$G$1001,0),1)</f>
        <v>95</v>
      </c>
      <c r="T18" s="7" t="str">
        <f>INDEX(Detail!$E$1:$E$1001,MATCH(Main!B18,Detail!$G$1:$G$1001,0))</f>
        <v>Gang Yos Sudarso No. 81</v>
      </c>
      <c r="U18" s="7" t="str">
        <f>INDEX(Detail!$B$1:$B$1001,MATCH(B18,Detail!$G$1:$G$1001,0),1)</f>
        <v>A+</v>
      </c>
    </row>
    <row r="19" spans="1:21" ht="15.75" x14ac:dyDescent="0.25">
      <c r="A19">
        <v>130</v>
      </c>
      <c r="B19" s="3" t="str">
        <f>CONCATENATE("A",TEXT(Main!A19,"0000"))</f>
        <v>A0130</v>
      </c>
      <c r="C19" t="s">
        <v>1015</v>
      </c>
      <c r="D19" s="3" t="str">
        <f>VLOOKUP(B19,Detail!$G$1:$H$1001,2,FALSE)</f>
        <v>Amalia Pratiwi</v>
      </c>
      <c r="E19">
        <v>62</v>
      </c>
      <c r="F19">
        <v>48</v>
      </c>
      <c r="G19" s="35">
        <v>51</v>
      </c>
      <c r="H19">
        <v>68</v>
      </c>
      <c r="I19">
        <v>83</v>
      </c>
      <c r="J19">
        <v>60</v>
      </c>
      <c r="K19">
        <v>78</v>
      </c>
      <c r="L19" s="26" t="str">
        <f>IFERROR(VLOOKUP(B19,Absen!$A$1:$C$501,2,FALSE),"No")</f>
        <v>No</v>
      </c>
      <c r="M19" s="44">
        <f t="shared" si="0"/>
        <v>7.8000000000000007</v>
      </c>
      <c r="N19" s="35">
        <f t="shared" si="1"/>
        <v>62.625</v>
      </c>
      <c r="O19" t="str">
        <f>VLOOKUP(N19,Helper!$B$30:$C$35,2,TRUE)</f>
        <v>C</v>
      </c>
      <c r="P19" s="26">
        <f>INDEX(Detail!$A$1:$A$1001,MATCH(B19,Detail!$G$1:$G$1001,0))</f>
        <v>38454</v>
      </c>
      <c r="Q19" s="3" t="str">
        <f>INDEX(Detail!$F$1:$F$1001,MATCH(Main!B19,Detail!$G$1:$G$1001,0))</f>
        <v>Tasikmalaya</v>
      </c>
      <c r="R19" s="7">
        <f>INDEX(Detail!$C$1:$C$1001,MATCH(B19,Detail!$G$1:$G$1001,0),1)</f>
        <v>155</v>
      </c>
      <c r="S19" s="7">
        <f>INDEX(Detail!$D$1:$D$1001,MATCH(B19,Detail!$G$1:$G$1001,0),1)</f>
        <v>82</v>
      </c>
      <c r="T19" s="7" t="str">
        <f>INDEX(Detail!$E$1:$E$1001,MATCH(Main!B19,Detail!$G$1:$G$1001,0))</f>
        <v>Jalan Kutisari Selatan No. 49</v>
      </c>
      <c r="U19" s="7" t="str">
        <f>INDEX(Detail!$B$1:$B$1001,MATCH(B19,Detail!$G$1:$G$1001,0),1)</f>
        <v>O+</v>
      </c>
    </row>
    <row r="20" spans="1:21" ht="15.75" x14ac:dyDescent="0.25">
      <c r="A20">
        <v>137</v>
      </c>
      <c r="B20" s="3" t="str">
        <f>CONCATENATE("A",TEXT(Main!A20,"0000"))</f>
        <v>A0137</v>
      </c>
      <c r="C20" t="s">
        <v>1015</v>
      </c>
      <c r="D20" s="3" t="str">
        <f>VLOOKUP(B20,Detail!$G$1:$H$1001,2,FALSE)</f>
        <v>Rika Firmansyah</v>
      </c>
      <c r="E20">
        <v>60</v>
      </c>
      <c r="F20">
        <v>61</v>
      </c>
      <c r="G20" s="35">
        <v>89</v>
      </c>
      <c r="H20">
        <v>58</v>
      </c>
      <c r="I20">
        <v>55</v>
      </c>
      <c r="J20">
        <v>76</v>
      </c>
      <c r="K20">
        <v>74</v>
      </c>
      <c r="L20" s="26">
        <f>IFERROR(VLOOKUP(B20,Absen!$A$1:$C$501,2,FALSE),"No")</f>
        <v>44854</v>
      </c>
      <c r="M20" s="44">
        <f t="shared" si="0"/>
        <v>6.4</v>
      </c>
      <c r="N20" s="35">
        <f t="shared" si="1"/>
        <v>68.650000000000006</v>
      </c>
      <c r="O20" t="str">
        <f>VLOOKUP(N20,Helper!$B$30:$C$35,2,TRUE)</f>
        <v>C</v>
      </c>
      <c r="P20" s="26">
        <f>INDEX(Detail!$A$1:$A$1001,MATCH(B20,Detail!$G$1:$G$1001,0))</f>
        <v>37220</v>
      </c>
      <c r="Q20" s="3" t="str">
        <f>INDEX(Detail!$F$1:$F$1001,MATCH(Main!B20,Detail!$G$1:$G$1001,0))</f>
        <v>Tebingtinggi</v>
      </c>
      <c r="R20" s="7">
        <f>INDEX(Detail!$C$1:$C$1001,MATCH(B20,Detail!$G$1:$G$1001,0),1)</f>
        <v>174</v>
      </c>
      <c r="S20" s="7">
        <f>INDEX(Detail!$D$1:$D$1001,MATCH(B20,Detail!$G$1:$G$1001,0),1)</f>
        <v>91</v>
      </c>
      <c r="T20" s="7" t="str">
        <f>INDEX(Detail!$E$1:$E$1001,MATCH(Main!B20,Detail!$G$1:$G$1001,0))</f>
        <v xml:space="preserve">Gang Jamika No. 9
</v>
      </c>
      <c r="U20" s="7" t="str">
        <f>INDEX(Detail!$B$1:$B$1001,MATCH(B20,Detail!$G$1:$G$1001,0),1)</f>
        <v>AB+</v>
      </c>
    </row>
    <row r="21" spans="1:21" ht="15.75" x14ac:dyDescent="0.25">
      <c r="A21">
        <v>144</v>
      </c>
      <c r="B21" s="3" t="str">
        <f>CONCATENATE("A",TEXT(Main!A21,"0000"))</f>
        <v>A0144</v>
      </c>
      <c r="C21" t="s">
        <v>1015</v>
      </c>
      <c r="D21" s="3" t="str">
        <f>VLOOKUP(B21,Detail!$G$1:$H$1001,2,FALSE)</f>
        <v>Kusuma Uwais</v>
      </c>
      <c r="E21">
        <v>76</v>
      </c>
      <c r="F21">
        <v>64</v>
      </c>
      <c r="G21" s="35">
        <v>84</v>
      </c>
      <c r="H21">
        <v>66</v>
      </c>
      <c r="I21">
        <v>66</v>
      </c>
      <c r="J21">
        <v>42</v>
      </c>
      <c r="K21">
        <v>63</v>
      </c>
      <c r="L21" s="26" t="str">
        <f>IFERROR(VLOOKUP(B21,Absen!$A$1:$C$501,2,FALSE),"No")</f>
        <v>No</v>
      </c>
      <c r="M21" s="44">
        <f t="shared" si="0"/>
        <v>6.3000000000000007</v>
      </c>
      <c r="N21" s="35">
        <f t="shared" si="1"/>
        <v>65.5</v>
      </c>
      <c r="O21" t="str">
        <f>VLOOKUP(N21,Helper!$B$30:$C$35,2,TRUE)</f>
        <v>C</v>
      </c>
      <c r="P21" s="26">
        <f>INDEX(Detail!$A$1:$A$1001,MATCH(B21,Detail!$G$1:$G$1001,0))</f>
        <v>37753</v>
      </c>
      <c r="Q21" s="3" t="str">
        <f>INDEX(Detail!$F$1:$F$1001,MATCH(Main!B21,Detail!$G$1:$G$1001,0))</f>
        <v>Payakumbuh</v>
      </c>
      <c r="R21" s="7">
        <f>INDEX(Detail!$C$1:$C$1001,MATCH(B21,Detail!$G$1:$G$1001,0),1)</f>
        <v>172</v>
      </c>
      <c r="S21" s="7">
        <f>INDEX(Detail!$D$1:$D$1001,MATCH(B21,Detail!$G$1:$G$1001,0),1)</f>
        <v>62</v>
      </c>
      <c r="T21" s="7" t="str">
        <f>INDEX(Detail!$E$1:$E$1001,MATCH(Main!B21,Detail!$G$1:$G$1001,0))</f>
        <v>Gang Kiaracondong No. 04</v>
      </c>
      <c r="U21" s="7" t="str">
        <f>INDEX(Detail!$B$1:$B$1001,MATCH(B21,Detail!$G$1:$G$1001,0),1)</f>
        <v>O-</v>
      </c>
    </row>
    <row r="22" spans="1:21" ht="15.75" x14ac:dyDescent="0.25">
      <c r="A22">
        <v>150</v>
      </c>
      <c r="B22" s="3" t="str">
        <f>CONCATENATE("A",TEXT(Main!A22,"0000"))</f>
        <v>A0150</v>
      </c>
      <c r="C22" t="s">
        <v>1015</v>
      </c>
      <c r="D22" s="3" t="str">
        <f>VLOOKUP(B22,Detail!$G$1:$H$1001,2,FALSE)</f>
        <v>Yuliana Mahendra</v>
      </c>
      <c r="E22">
        <v>83</v>
      </c>
      <c r="F22">
        <v>75</v>
      </c>
      <c r="G22" s="35">
        <v>86</v>
      </c>
      <c r="H22">
        <v>59</v>
      </c>
      <c r="I22">
        <v>57</v>
      </c>
      <c r="J22">
        <v>99</v>
      </c>
      <c r="K22">
        <v>99</v>
      </c>
      <c r="L22" s="26" t="str">
        <f>IFERROR(VLOOKUP(B22,Absen!$A$1:$C$501,2,FALSE),"No")</f>
        <v>No</v>
      </c>
      <c r="M22" s="44">
        <f t="shared" si="0"/>
        <v>9.9</v>
      </c>
      <c r="N22" s="35">
        <f t="shared" si="1"/>
        <v>81.150000000000006</v>
      </c>
      <c r="O22" t="str">
        <f>VLOOKUP(N22,Helper!$B$30:$C$35,2,TRUE)</f>
        <v>A</v>
      </c>
      <c r="P22" s="26">
        <f>INDEX(Detail!$A$1:$A$1001,MATCH(B22,Detail!$G$1:$G$1001,0))</f>
        <v>37038</v>
      </c>
      <c r="Q22" s="3" t="str">
        <f>INDEX(Detail!$F$1:$F$1001,MATCH(Main!B22,Detail!$G$1:$G$1001,0))</f>
        <v>Banjar</v>
      </c>
      <c r="R22" s="7">
        <f>INDEX(Detail!$C$1:$C$1001,MATCH(B22,Detail!$G$1:$G$1001,0),1)</f>
        <v>157</v>
      </c>
      <c r="S22" s="7">
        <f>INDEX(Detail!$D$1:$D$1001,MATCH(B22,Detail!$G$1:$G$1001,0),1)</f>
        <v>54</v>
      </c>
      <c r="T22" s="7" t="str">
        <f>INDEX(Detail!$E$1:$E$1001,MATCH(Main!B22,Detail!$G$1:$G$1001,0))</f>
        <v>Jalan Surapati No. 77</v>
      </c>
      <c r="U22" s="7" t="str">
        <f>INDEX(Detail!$B$1:$B$1001,MATCH(B22,Detail!$G$1:$G$1001,0),1)</f>
        <v>B-</v>
      </c>
    </row>
    <row r="23" spans="1:21" ht="15.75" x14ac:dyDescent="0.25">
      <c r="A23">
        <v>154</v>
      </c>
      <c r="B23" s="3" t="str">
        <f>CONCATENATE("A",TEXT(Main!A23,"0000"))</f>
        <v>A0154</v>
      </c>
      <c r="C23" t="s">
        <v>1015</v>
      </c>
      <c r="D23" s="3" t="str">
        <f>VLOOKUP(B23,Detail!$G$1:$H$1001,2,FALSE)</f>
        <v>Atmaja Nainggolan</v>
      </c>
      <c r="E23">
        <v>53</v>
      </c>
      <c r="F23">
        <v>67</v>
      </c>
      <c r="G23" s="35">
        <v>85</v>
      </c>
      <c r="H23">
        <v>60</v>
      </c>
      <c r="I23">
        <v>50</v>
      </c>
      <c r="J23">
        <v>44</v>
      </c>
      <c r="K23">
        <v>88</v>
      </c>
      <c r="L23" s="26">
        <f>IFERROR(VLOOKUP(B23,Absen!$A$1:$C$501,2,FALSE),"No")</f>
        <v>44858</v>
      </c>
      <c r="M23" s="44">
        <f t="shared" si="0"/>
        <v>7.8000000000000007</v>
      </c>
      <c r="N23" s="35">
        <f t="shared" si="1"/>
        <v>62.349999999999994</v>
      </c>
      <c r="O23" t="str">
        <f>VLOOKUP(N23,Helper!$B$30:$C$35,2,TRUE)</f>
        <v>C</v>
      </c>
      <c r="P23" s="26">
        <f>INDEX(Detail!$A$1:$A$1001,MATCH(B23,Detail!$G$1:$G$1001,0))</f>
        <v>37673</v>
      </c>
      <c r="Q23" s="3" t="str">
        <f>INDEX(Detail!$F$1:$F$1001,MATCH(Main!B23,Detail!$G$1:$G$1001,0))</f>
        <v>Pematangsiantar</v>
      </c>
      <c r="R23" s="7">
        <f>INDEX(Detail!$C$1:$C$1001,MATCH(B23,Detail!$G$1:$G$1001,0),1)</f>
        <v>165</v>
      </c>
      <c r="S23" s="7">
        <f>INDEX(Detail!$D$1:$D$1001,MATCH(B23,Detail!$G$1:$G$1001,0),1)</f>
        <v>85</v>
      </c>
      <c r="T23" s="7" t="str">
        <f>INDEX(Detail!$E$1:$E$1001,MATCH(Main!B23,Detail!$G$1:$G$1001,0))</f>
        <v>Gang Rumah Sakit No. 08</v>
      </c>
      <c r="U23" s="7" t="str">
        <f>INDEX(Detail!$B$1:$B$1001,MATCH(B23,Detail!$G$1:$G$1001,0),1)</f>
        <v>A+</v>
      </c>
    </row>
    <row r="24" spans="1:21" ht="15.75" x14ac:dyDescent="0.25">
      <c r="A24">
        <v>156</v>
      </c>
      <c r="B24" s="3" t="str">
        <f>CONCATENATE("A",TEXT(Main!A24,"0000"))</f>
        <v>A0156</v>
      </c>
      <c r="C24" t="s">
        <v>1015</v>
      </c>
      <c r="D24" s="3" t="str">
        <f>VLOOKUP(B24,Detail!$G$1:$H$1001,2,FALSE)</f>
        <v>Jaswadi Permata</v>
      </c>
      <c r="E24">
        <v>87</v>
      </c>
      <c r="F24">
        <v>43</v>
      </c>
      <c r="G24" s="35">
        <v>93</v>
      </c>
      <c r="H24">
        <v>57</v>
      </c>
      <c r="I24">
        <v>62</v>
      </c>
      <c r="J24">
        <v>99</v>
      </c>
      <c r="K24">
        <v>83</v>
      </c>
      <c r="L24" s="26">
        <f>IFERROR(VLOOKUP(B24,Absen!$A$1:$C$501,2,FALSE),"No")</f>
        <v>44810</v>
      </c>
      <c r="M24" s="44">
        <f t="shared" si="0"/>
        <v>7.3000000000000007</v>
      </c>
      <c r="N24" s="35">
        <f t="shared" si="1"/>
        <v>76.825000000000003</v>
      </c>
      <c r="O24" t="str">
        <f>VLOOKUP(N24,Helper!$B$30:$C$35,2,TRUE)</f>
        <v>B</v>
      </c>
      <c r="P24" s="26">
        <f>INDEX(Detail!$A$1:$A$1001,MATCH(B24,Detail!$G$1:$G$1001,0))</f>
        <v>37752</v>
      </c>
      <c r="Q24" s="3" t="str">
        <f>INDEX(Detail!$F$1:$F$1001,MATCH(Main!B24,Detail!$G$1:$G$1001,0))</f>
        <v>Manado</v>
      </c>
      <c r="R24" s="7">
        <f>INDEX(Detail!$C$1:$C$1001,MATCH(B24,Detail!$G$1:$G$1001,0),1)</f>
        <v>161</v>
      </c>
      <c r="S24" s="7">
        <f>INDEX(Detail!$D$1:$D$1001,MATCH(B24,Detail!$G$1:$G$1001,0),1)</f>
        <v>62</v>
      </c>
      <c r="T24" s="7" t="str">
        <f>INDEX(Detail!$E$1:$E$1001,MATCH(Main!B24,Detail!$G$1:$G$1001,0))</f>
        <v xml:space="preserve">Jalan HOS. Cokroaminoto No. 2
</v>
      </c>
      <c r="U24" s="7" t="str">
        <f>INDEX(Detail!$B$1:$B$1001,MATCH(B24,Detail!$G$1:$G$1001,0),1)</f>
        <v>B+</v>
      </c>
    </row>
    <row r="25" spans="1:21" ht="15.75" x14ac:dyDescent="0.25">
      <c r="A25">
        <v>169</v>
      </c>
      <c r="B25" s="3" t="str">
        <f>CONCATENATE("A",TEXT(Main!A25,"0000"))</f>
        <v>A0169</v>
      </c>
      <c r="C25" t="s">
        <v>1015</v>
      </c>
      <c r="D25" s="3" t="str">
        <f>VLOOKUP(B25,Detail!$G$1:$H$1001,2,FALSE)</f>
        <v>Yunita Oktaviani</v>
      </c>
      <c r="E25">
        <v>79</v>
      </c>
      <c r="F25">
        <v>40</v>
      </c>
      <c r="G25" s="35">
        <v>58</v>
      </c>
      <c r="H25">
        <v>56</v>
      </c>
      <c r="I25">
        <v>73</v>
      </c>
      <c r="J25">
        <v>50</v>
      </c>
      <c r="K25">
        <v>60</v>
      </c>
      <c r="L25" s="26" t="str">
        <f>IFERROR(VLOOKUP(B25,Absen!$A$1:$C$501,2,FALSE),"No")</f>
        <v>No</v>
      </c>
      <c r="M25" s="44">
        <f t="shared" si="0"/>
        <v>6</v>
      </c>
      <c r="N25" s="35">
        <f t="shared" si="1"/>
        <v>58.6</v>
      </c>
      <c r="O25" t="str">
        <f>VLOOKUP(N25,Helper!$B$30:$C$35,2,TRUE)</f>
        <v>D</v>
      </c>
      <c r="P25" s="26">
        <f>INDEX(Detail!$A$1:$A$1001,MATCH(B25,Detail!$G$1:$G$1001,0))</f>
        <v>37145</v>
      </c>
      <c r="Q25" s="3" t="str">
        <f>INDEX(Detail!$F$1:$F$1001,MATCH(Main!B25,Detail!$G$1:$G$1001,0))</f>
        <v>Batu</v>
      </c>
      <c r="R25" s="7">
        <f>INDEX(Detail!$C$1:$C$1001,MATCH(B25,Detail!$G$1:$G$1001,0),1)</f>
        <v>178</v>
      </c>
      <c r="S25" s="7">
        <f>INDEX(Detail!$D$1:$D$1001,MATCH(B25,Detail!$G$1:$G$1001,0),1)</f>
        <v>91</v>
      </c>
      <c r="T25" s="7" t="str">
        <f>INDEX(Detail!$E$1:$E$1001,MATCH(Main!B25,Detail!$G$1:$G$1001,0))</f>
        <v xml:space="preserve">Gg. Kutisari Selatan No. 7
</v>
      </c>
      <c r="U25" s="7" t="str">
        <f>INDEX(Detail!$B$1:$B$1001,MATCH(B25,Detail!$G$1:$G$1001,0),1)</f>
        <v>A-</v>
      </c>
    </row>
    <row r="26" spans="1:21" ht="15.75" x14ac:dyDescent="0.25">
      <c r="A26">
        <v>174</v>
      </c>
      <c r="B26" s="3" t="str">
        <f>CONCATENATE("A",TEXT(Main!A26,"0000"))</f>
        <v>A0174</v>
      </c>
      <c r="C26" t="s">
        <v>1015</v>
      </c>
      <c r="D26" s="3" t="str">
        <f>VLOOKUP(B26,Detail!$G$1:$H$1001,2,FALSE)</f>
        <v>Padma Namaga</v>
      </c>
      <c r="E26">
        <v>87</v>
      </c>
      <c r="F26">
        <v>56</v>
      </c>
      <c r="G26" s="35">
        <v>57</v>
      </c>
      <c r="H26">
        <v>65</v>
      </c>
      <c r="I26">
        <v>89</v>
      </c>
      <c r="J26">
        <v>41</v>
      </c>
      <c r="K26">
        <v>63</v>
      </c>
      <c r="L26" s="26" t="str">
        <f>IFERROR(VLOOKUP(B26,Absen!$A$1:$C$501,2,FALSE),"No")</f>
        <v>No</v>
      </c>
      <c r="M26" s="44">
        <f t="shared" si="0"/>
        <v>6.3000000000000007</v>
      </c>
      <c r="N26" s="35">
        <f t="shared" si="1"/>
        <v>63.025000000000006</v>
      </c>
      <c r="O26" t="str">
        <f>VLOOKUP(N26,Helper!$B$30:$C$35,2,TRUE)</f>
        <v>C</v>
      </c>
      <c r="P26" s="26">
        <f>INDEX(Detail!$A$1:$A$1001,MATCH(B26,Detail!$G$1:$G$1001,0))</f>
        <v>38032</v>
      </c>
      <c r="Q26" s="3" t="str">
        <f>INDEX(Detail!$F$1:$F$1001,MATCH(Main!B26,Detail!$G$1:$G$1001,0))</f>
        <v>Mataram</v>
      </c>
      <c r="R26" s="7">
        <f>INDEX(Detail!$C$1:$C$1001,MATCH(B26,Detail!$G$1:$G$1001,0),1)</f>
        <v>177</v>
      </c>
      <c r="S26" s="7">
        <f>INDEX(Detail!$D$1:$D$1001,MATCH(B26,Detail!$G$1:$G$1001,0),1)</f>
        <v>87</v>
      </c>
      <c r="T26" s="7" t="str">
        <f>INDEX(Detail!$E$1:$E$1001,MATCH(Main!B26,Detail!$G$1:$G$1001,0))</f>
        <v xml:space="preserve">Gang Asia Afrika No. 4
</v>
      </c>
      <c r="U26" s="7" t="str">
        <f>INDEX(Detail!$B$1:$B$1001,MATCH(B26,Detail!$G$1:$G$1001,0),1)</f>
        <v>A-</v>
      </c>
    </row>
    <row r="27" spans="1:21" ht="15.75" x14ac:dyDescent="0.25">
      <c r="A27">
        <v>181</v>
      </c>
      <c r="B27" s="3" t="str">
        <f>CONCATENATE("A",TEXT(Main!A27,"0000"))</f>
        <v>A0181</v>
      </c>
      <c r="C27" t="s">
        <v>1015</v>
      </c>
      <c r="D27" s="3" t="str">
        <f>VLOOKUP(B27,Detail!$G$1:$H$1001,2,FALSE)</f>
        <v>Sakura Dabukke</v>
      </c>
      <c r="E27">
        <v>69</v>
      </c>
      <c r="F27">
        <v>41</v>
      </c>
      <c r="G27" s="35">
        <v>56</v>
      </c>
      <c r="H27">
        <v>70</v>
      </c>
      <c r="I27">
        <v>82</v>
      </c>
      <c r="J27">
        <v>80</v>
      </c>
      <c r="K27">
        <v>95</v>
      </c>
      <c r="L27" s="26" t="str">
        <f>IFERROR(VLOOKUP(B27,Absen!$A$1:$C$501,2,FALSE),"No")</f>
        <v>No</v>
      </c>
      <c r="M27" s="44">
        <f t="shared" si="0"/>
        <v>9.5</v>
      </c>
      <c r="N27" s="35">
        <f t="shared" si="1"/>
        <v>69.45</v>
      </c>
      <c r="O27" t="str">
        <f>VLOOKUP(N27,Helper!$B$30:$C$35,2,TRUE)</f>
        <v>C</v>
      </c>
      <c r="P27" s="26">
        <f>INDEX(Detail!$A$1:$A$1001,MATCH(B27,Detail!$G$1:$G$1001,0))</f>
        <v>37164</v>
      </c>
      <c r="Q27" s="3" t="str">
        <f>INDEX(Detail!$F$1:$F$1001,MATCH(Main!B27,Detail!$G$1:$G$1001,0))</f>
        <v>Meulaboh</v>
      </c>
      <c r="R27" s="7">
        <f>INDEX(Detail!$C$1:$C$1001,MATCH(B27,Detail!$G$1:$G$1001,0),1)</f>
        <v>179</v>
      </c>
      <c r="S27" s="7">
        <f>INDEX(Detail!$D$1:$D$1001,MATCH(B27,Detail!$G$1:$G$1001,0),1)</f>
        <v>51</v>
      </c>
      <c r="T27" s="7" t="str">
        <f>INDEX(Detail!$E$1:$E$1001,MATCH(Main!B27,Detail!$G$1:$G$1001,0))</f>
        <v xml:space="preserve">Gang BKR No. 7
</v>
      </c>
      <c r="U27" s="7" t="str">
        <f>INDEX(Detail!$B$1:$B$1001,MATCH(B27,Detail!$G$1:$G$1001,0),1)</f>
        <v>A+</v>
      </c>
    </row>
    <row r="28" spans="1:21" ht="15.75" x14ac:dyDescent="0.25">
      <c r="A28">
        <v>185</v>
      </c>
      <c r="B28" s="3" t="str">
        <f>CONCATENATE("A",TEXT(Main!A28,"0000"))</f>
        <v>A0185</v>
      </c>
      <c r="C28" t="s">
        <v>1015</v>
      </c>
      <c r="D28" s="3" t="str">
        <f>VLOOKUP(B28,Detail!$G$1:$H$1001,2,FALSE)</f>
        <v>Rina Yuniar</v>
      </c>
      <c r="E28">
        <v>84</v>
      </c>
      <c r="F28">
        <v>47</v>
      </c>
      <c r="G28" s="35">
        <v>74</v>
      </c>
      <c r="H28">
        <v>70</v>
      </c>
      <c r="I28">
        <v>85</v>
      </c>
      <c r="J28">
        <v>91</v>
      </c>
      <c r="K28">
        <v>73</v>
      </c>
      <c r="L28" s="26" t="str">
        <f>IFERROR(VLOOKUP(B28,Absen!$A$1:$C$501,2,FALSE),"No")</f>
        <v>No</v>
      </c>
      <c r="M28" s="44">
        <f t="shared" si="0"/>
        <v>7.3000000000000007</v>
      </c>
      <c r="N28" s="35">
        <f t="shared" si="1"/>
        <v>76.05</v>
      </c>
      <c r="O28" t="str">
        <f>VLOOKUP(N28,Helper!$B$30:$C$35,2,TRUE)</f>
        <v>B</v>
      </c>
      <c r="P28" s="26">
        <f>INDEX(Detail!$A$1:$A$1001,MATCH(B28,Detail!$G$1:$G$1001,0))</f>
        <v>37015</v>
      </c>
      <c r="Q28" s="3" t="str">
        <f>INDEX(Detail!$F$1:$F$1001,MATCH(Main!B28,Detail!$G$1:$G$1001,0))</f>
        <v>Bandung</v>
      </c>
      <c r="R28" s="7">
        <f>INDEX(Detail!$C$1:$C$1001,MATCH(B28,Detail!$G$1:$G$1001,0),1)</f>
        <v>154</v>
      </c>
      <c r="S28" s="7">
        <f>INDEX(Detail!$D$1:$D$1001,MATCH(B28,Detail!$G$1:$G$1001,0),1)</f>
        <v>62</v>
      </c>
      <c r="T28" s="7" t="str">
        <f>INDEX(Detail!$E$1:$E$1001,MATCH(Main!B28,Detail!$G$1:$G$1001,0))</f>
        <v xml:space="preserve">Gg. Kutai No. 3
</v>
      </c>
      <c r="U28" s="7" t="str">
        <f>INDEX(Detail!$B$1:$B$1001,MATCH(B28,Detail!$G$1:$G$1001,0),1)</f>
        <v>A+</v>
      </c>
    </row>
    <row r="29" spans="1:21" ht="15.75" x14ac:dyDescent="0.25">
      <c r="A29">
        <v>187</v>
      </c>
      <c r="B29" s="3" t="str">
        <f>CONCATENATE("A",TEXT(Main!A29,"0000"))</f>
        <v>A0187</v>
      </c>
      <c r="C29" t="s">
        <v>1015</v>
      </c>
      <c r="D29" s="3" t="str">
        <f>VLOOKUP(B29,Detail!$G$1:$H$1001,2,FALSE)</f>
        <v>Karja Winarsih</v>
      </c>
      <c r="E29">
        <v>65</v>
      </c>
      <c r="F29">
        <v>73</v>
      </c>
      <c r="G29" s="35">
        <v>43</v>
      </c>
      <c r="H29">
        <v>72</v>
      </c>
      <c r="I29">
        <v>72</v>
      </c>
      <c r="J29">
        <v>54</v>
      </c>
      <c r="K29">
        <v>99</v>
      </c>
      <c r="L29" s="26">
        <f>IFERROR(VLOOKUP(B29,Absen!$A$1:$C$501,2,FALSE),"No")</f>
        <v>44820</v>
      </c>
      <c r="M29" s="44">
        <f t="shared" si="0"/>
        <v>8.9</v>
      </c>
      <c r="N29" s="35">
        <f t="shared" si="1"/>
        <v>63.550000000000004</v>
      </c>
      <c r="O29" t="str">
        <f>VLOOKUP(N29,Helper!$B$30:$C$35,2,TRUE)</f>
        <v>C</v>
      </c>
      <c r="P29" s="26">
        <f>INDEX(Detail!$A$1:$A$1001,MATCH(B29,Detail!$G$1:$G$1001,0))</f>
        <v>38155</v>
      </c>
      <c r="Q29" s="3" t="str">
        <f>INDEX(Detail!$F$1:$F$1001,MATCH(Main!B29,Detail!$G$1:$G$1001,0))</f>
        <v>Prabumulih</v>
      </c>
      <c r="R29" s="7">
        <f>INDEX(Detail!$C$1:$C$1001,MATCH(B29,Detail!$G$1:$G$1001,0),1)</f>
        <v>177</v>
      </c>
      <c r="S29" s="7">
        <f>INDEX(Detail!$D$1:$D$1001,MATCH(B29,Detail!$G$1:$G$1001,0),1)</f>
        <v>91</v>
      </c>
      <c r="T29" s="7" t="str">
        <f>INDEX(Detail!$E$1:$E$1001,MATCH(Main!B29,Detail!$G$1:$G$1001,0))</f>
        <v>Gang Astana Anyar No. 45</v>
      </c>
      <c r="U29" s="7" t="str">
        <f>INDEX(Detail!$B$1:$B$1001,MATCH(B29,Detail!$G$1:$G$1001,0),1)</f>
        <v>A+</v>
      </c>
    </row>
    <row r="30" spans="1:21" ht="15.75" x14ac:dyDescent="0.25">
      <c r="A30">
        <v>188</v>
      </c>
      <c r="B30" s="3" t="str">
        <f>CONCATENATE("A",TEXT(Main!A30,"0000"))</f>
        <v>A0188</v>
      </c>
      <c r="C30" t="s">
        <v>1015</v>
      </c>
      <c r="D30" s="3" t="str">
        <f>VLOOKUP(B30,Detail!$G$1:$H$1001,2,FALSE)</f>
        <v>Wira Firmansyah</v>
      </c>
      <c r="E30">
        <v>74</v>
      </c>
      <c r="F30">
        <v>72</v>
      </c>
      <c r="G30" s="35">
        <v>30</v>
      </c>
      <c r="H30">
        <v>69</v>
      </c>
      <c r="I30">
        <v>90</v>
      </c>
      <c r="J30">
        <v>98</v>
      </c>
      <c r="K30">
        <v>66</v>
      </c>
      <c r="L30" s="26">
        <f>IFERROR(VLOOKUP(B30,Absen!$A$1:$C$501,2,FALSE),"No")</f>
        <v>44803</v>
      </c>
      <c r="M30" s="44">
        <f t="shared" si="0"/>
        <v>5.6000000000000005</v>
      </c>
      <c r="N30" s="35">
        <f t="shared" si="1"/>
        <v>69.325000000000003</v>
      </c>
      <c r="O30" t="str">
        <f>VLOOKUP(N30,Helper!$B$30:$C$35,2,TRUE)</f>
        <v>C</v>
      </c>
      <c r="P30" s="26">
        <f>INDEX(Detail!$A$1:$A$1001,MATCH(B30,Detail!$G$1:$G$1001,0))</f>
        <v>37610</v>
      </c>
      <c r="Q30" s="3" t="str">
        <f>INDEX(Detail!$F$1:$F$1001,MATCH(Main!B30,Detail!$G$1:$G$1001,0))</f>
        <v>Pangkalpinang</v>
      </c>
      <c r="R30" s="7">
        <f>INDEX(Detail!$C$1:$C$1001,MATCH(B30,Detail!$G$1:$G$1001,0),1)</f>
        <v>166</v>
      </c>
      <c r="S30" s="7">
        <f>INDEX(Detail!$D$1:$D$1001,MATCH(B30,Detail!$G$1:$G$1001,0),1)</f>
        <v>78</v>
      </c>
      <c r="T30" s="7" t="str">
        <f>INDEX(Detail!$E$1:$E$1001,MATCH(Main!B30,Detail!$G$1:$G$1001,0))</f>
        <v>Gg. Suryakencana No. 67</v>
      </c>
      <c r="U30" s="7" t="str">
        <f>INDEX(Detail!$B$1:$B$1001,MATCH(B30,Detail!$G$1:$G$1001,0),1)</f>
        <v>B+</v>
      </c>
    </row>
    <row r="31" spans="1:21" ht="15.75" x14ac:dyDescent="0.25">
      <c r="A31">
        <v>192</v>
      </c>
      <c r="B31" s="3" t="str">
        <f>CONCATENATE("A",TEXT(Main!A31,"0000"))</f>
        <v>A0192</v>
      </c>
      <c r="C31" t="s">
        <v>1015</v>
      </c>
      <c r="D31" s="3" t="str">
        <f>VLOOKUP(B31,Detail!$G$1:$H$1001,2,FALSE)</f>
        <v>Jessica Pradipta</v>
      </c>
      <c r="E31">
        <v>81</v>
      </c>
      <c r="F31">
        <v>67</v>
      </c>
      <c r="G31" s="35">
        <v>60</v>
      </c>
      <c r="H31">
        <v>75</v>
      </c>
      <c r="I31">
        <v>87</v>
      </c>
      <c r="J31">
        <v>64</v>
      </c>
      <c r="K31">
        <v>75</v>
      </c>
      <c r="L31" s="26">
        <f>IFERROR(VLOOKUP(B31,Absen!$A$1:$C$501,2,FALSE),"No")</f>
        <v>44835</v>
      </c>
      <c r="M31" s="44">
        <f t="shared" si="0"/>
        <v>6.5</v>
      </c>
      <c r="N31" s="35">
        <f t="shared" si="1"/>
        <v>70.05</v>
      </c>
      <c r="O31" t="str">
        <f>VLOOKUP(N31,Helper!$B$30:$C$35,2,TRUE)</f>
        <v>B</v>
      </c>
      <c r="P31" s="26">
        <f>INDEX(Detail!$A$1:$A$1001,MATCH(B31,Detail!$G$1:$G$1001,0))</f>
        <v>37106</v>
      </c>
      <c r="Q31" s="3" t="str">
        <f>INDEX(Detail!$F$1:$F$1001,MATCH(Main!B31,Detail!$G$1:$G$1001,0))</f>
        <v>Banjar</v>
      </c>
      <c r="R31" s="7">
        <f>INDEX(Detail!$C$1:$C$1001,MATCH(B31,Detail!$G$1:$G$1001,0),1)</f>
        <v>156</v>
      </c>
      <c r="S31" s="7">
        <f>INDEX(Detail!$D$1:$D$1001,MATCH(B31,Detail!$G$1:$G$1001,0),1)</f>
        <v>61</v>
      </c>
      <c r="T31" s="7" t="str">
        <f>INDEX(Detail!$E$1:$E$1001,MATCH(Main!B31,Detail!$G$1:$G$1001,0))</f>
        <v>Jalan Sukabumi No. 61</v>
      </c>
      <c r="U31" s="7" t="str">
        <f>INDEX(Detail!$B$1:$B$1001,MATCH(B31,Detail!$G$1:$G$1001,0),1)</f>
        <v>A-</v>
      </c>
    </row>
    <row r="32" spans="1:21" ht="15.75" x14ac:dyDescent="0.25">
      <c r="A32">
        <v>196</v>
      </c>
      <c r="B32" s="3" t="str">
        <f>CONCATENATE("A",TEXT(Main!A32,"0000"))</f>
        <v>A0196</v>
      </c>
      <c r="C32" t="s">
        <v>1015</v>
      </c>
      <c r="D32" s="3" t="str">
        <f>VLOOKUP(B32,Detail!$G$1:$H$1001,2,FALSE)</f>
        <v>Jail Mulyani</v>
      </c>
      <c r="E32">
        <v>68</v>
      </c>
      <c r="F32">
        <v>61</v>
      </c>
      <c r="G32" s="35">
        <v>65</v>
      </c>
      <c r="H32">
        <v>53</v>
      </c>
      <c r="I32">
        <v>82</v>
      </c>
      <c r="J32">
        <v>43</v>
      </c>
      <c r="K32">
        <v>78</v>
      </c>
      <c r="L32" s="26">
        <f>IFERROR(VLOOKUP(B32,Absen!$A$1:$C$501,2,FALSE),"No")</f>
        <v>44872</v>
      </c>
      <c r="M32" s="44">
        <f t="shared" si="0"/>
        <v>6.8000000000000007</v>
      </c>
      <c r="N32" s="35">
        <f t="shared" si="1"/>
        <v>61.400000000000006</v>
      </c>
      <c r="O32" t="str">
        <f>VLOOKUP(N32,Helper!$B$30:$C$35,2,TRUE)</f>
        <v>C</v>
      </c>
      <c r="P32" s="26">
        <f>INDEX(Detail!$A$1:$A$1001,MATCH(B32,Detail!$G$1:$G$1001,0))</f>
        <v>38299</v>
      </c>
      <c r="Q32" s="3" t="str">
        <f>INDEX(Detail!$F$1:$F$1001,MATCH(Main!B32,Detail!$G$1:$G$1001,0))</f>
        <v>Madiun</v>
      </c>
      <c r="R32" s="7">
        <f>INDEX(Detail!$C$1:$C$1001,MATCH(B32,Detail!$G$1:$G$1001,0),1)</f>
        <v>156</v>
      </c>
      <c r="S32" s="7">
        <f>INDEX(Detail!$D$1:$D$1001,MATCH(B32,Detail!$G$1:$G$1001,0),1)</f>
        <v>68</v>
      </c>
      <c r="T32" s="7" t="str">
        <f>INDEX(Detail!$E$1:$E$1001,MATCH(Main!B32,Detail!$G$1:$G$1001,0))</f>
        <v>Jalan Jakarta No. 90</v>
      </c>
      <c r="U32" s="7" t="str">
        <f>INDEX(Detail!$B$1:$B$1001,MATCH(B32,Detail!$G$1:$G$1001,0),1)</f>
        <v>B-</v>
      </c>
    </row>
    <row r="33" spans="1:21" ht="15.75" x14ac:dyDescent="0.25">
      <c r="A33">
        <v>197</v>
      </c>
      <c r="B33" s="3" t="str">
        <f>CONCATENATE("A",TEXT(Main!A33,"0000"))</f>
        <v>A0197</v>
      </c>
      <c r="C33" t="s">
        <v>1015</v>
      </c>
      <c r="D33" s="3" t="str">
        <f>VLOOKUP(B33,Detail!$G$1:$H$1001,2,FALSE)</f>
        <v>Hafshah Padmasari</v>
      </c>
      <c r="E33">
        <v>59</v>
      </c>
      <c r="F33">
        <v>64</v>
      </c>
      <c r="G33" s="35">
        <v>37</v>
      </c>
      <c r="H33">
        <v>53</v>
      </c>
      <c r="I33">
        <v>52</v>
      </c>
      <c r="J33">
        <v>63</v>
      </c>
      <c r="K33">
        <v>77</v>
      </c>
      <c r="L33" s="26" t="str">
        <f>IFERROR(VLOOKUP(B33,Absen!$A$1:$C$501,2,FALSE),"No")</f>
        <v>No</v>
      </c>
      <c r="M33" s="44">
        <f t="shared" si="0"/>
        <v>7.7</v>
      </c>
      <c r="N33" s="35">
        <f t="shared" si="1"/>
        <v>56.2</v>
      </c>
      <c r="O33" t="str">
        <f>VLOOKUP(N33,Helper!$B$30:$C$35,2,TRUE)</f>
        <v>D</v>
      </c>
      <c r="P33" s="26">
        <f>INDEX(Detail!$A$1:$A$1001,MATCH(B33,Detail!$G$1:$G$1001,0))</f>
        <v>37473</v>
      </c>
      <c r="Q33" s="3" t="str">
        <f>INDEX(Detail!$F$1:$F$1001,MATCH(Main!B33,Detail!$G$1:$G$1001,0))</f>
        <v>Padangpanjang</v>
      </c>
      <c r="R33" s="7">
        <f>INDEX(Detail!$C$1:$C$1001,MATCH(B33,Detail!$G$1:$G$1001,0),1)</f>
        <v>162</v>
      </c>
      <c r="S33" s="7">
        <f>INDEX(Detail!$D$1:$D$1001,MATCH(B33,Detail!$G$1:$G$1001,0),1)</f>
        <v>78</v>
      </c>
      <c r="T33" s="7" t="str">
        <f>INDEX(Detail!$E$1:$E$1001,MATCH(Main!B33,Detail!$G$1:$G$1001,0))</f>
        <v>Gang Rawamangun No. 44</v>
      </c>
      <c r="U33" s="7" t="str">
        <f>INDEX(Detail!$B$1:$B$1001,MATCH(B33,Detail!$G$1:$G$1001,0),1)</f>
        <v>O+</v>
      </c>
    </row>
    <row r="34" spans="1:21" ht="15.75" x14ac:dyDescent="0.25">
      <c r="A34">
        <v>201</v>
      </c>
      <c r="B34" s="3" t="str">
        <f>CONCATENATE("A",TEXT(Main!A34,"0000"))</f>
        <v>A0201</v>
      </c>
      <c r="C34" t="s">
        <v>1015</v>
      </c>
      <c r="D34" s="3" t="str">
        <f>VLOOKUP(B34,Detail!$G$1:$H$1001,2,FALSE)</f>
        <v>Taufik Wasita</v>
      </c>
      <c r="E34">
        <v>76</v>
      </c>
      <c r="F34">
        <v>44</v>
      </c>
      <c r="G34" s="35">
        <v>33</v>
      </c>
      <c r="H34">
        <v>64</v>
      </c>
      <c r="I34">
        <v>84</v>
      </c>
      <c r="J34">
        <v>96</v>
      </c>
      <c r="K34">
        <v>66</v>
      </c>
      <c r="L34" s="26">
        <f>IFERROR(VLOOKUP(B34,Absen!$A$1:$C$501,2,FALSE),"No")</f>
        <v>44855</v>
      </c>
      <c r="M34" s="44">
        <f t="shared" si="0"/>
        <v>5.6000000000000005</v>
      </c>
      <c r="N34" s="35">
        <f t="shared" si="1"/>
        <v>64.900000000000006</v>
      </c>
      <c r="O34" t="str">
        <f>VLOOKUP(N34,Helper!$B$30:$C$35,2,TRUE)</f>
        <v>C</v>
      </c>
      <c r="P34" s="26">
        <f>INDEX(Detail!$A$1:$A$1001,MATCH(B34,Detail!$G$1:$G$1001,0))</f>
        <v>37479</v>
      </c>
      <c r="Q34" s="3" t="str">
        <f>INDEX(Detail!$F$1:$F$1001,MATCH(Main!B34,Detail!$G$1:$G$1001,0))</f>
        <v>Kotamobagu</v>
      </c>
      <c r="R34" s="7">
        <f>INDEX(Detail!$C$1:$C$1001,MATCH(B34,Detail!$G$1:$G$1001,0),1)</f>
        <v>173</v>
      </c>
      <c r="S34" s="7">
        <f>INDEX(Detail!$D$1:$D$1001,MATCH(B34,Detail!$G$1:$G$1001,0),1)</f>
        <v>78</v>
      </c>
      <c r="T34" s="7" t="str">
        <f>INDEX(Detail!$E$1:$E$1001,MATCH(Main!B34,Detail!$G$1:$G$1001,0))</f>
        <v xml:space="preserve">Gang Pasirkoja No. 7
</v>
      </c>
      <c r="U34" s="7" t="str">
        <f>INDEX(Detail!$B$1:$B$1001,MATCH(B34,Detail!$G$1:$G$1001,0),1)</f>
        <v>O-</v>
      </c>
    </row>
    <row r="35" spans="1:21" ht="15.75" x14ac:dyDescent="0.25">
      <c r="A35">
        <v>207</v>
      </c>
      <c r="B35" s="3" t="str">
        <f>CONCATENATE("A",TEXT(Main!A35,"0000"))</f>
        <v>A0207</v>
      </c>
      <c r="C35" t="s">
        <v>1015</v>
      </c>
      <c r="D35" s="3" t="str">
        <f>VLOOKUP(B35,Detail!$G$1:$H$1001,2,FALSE)</f>
        <v>Nalar Andriani</v>
      </c>
      <c r="E35">
        <v>65</v>
      </c>
      <c r="F35">
        <v>40</v>
      </c>
      <c r="G35" s="35">
        <v>94</v>
      </c>
      <c r="H35">
        <v>73</v>
      </c>
      <c r="I35">
        <v>57</v>
      </c>
      <c r="J35">
        <v>61</v>
      </c>
      <c r="K35">
        <v>62</v>
      </c>
      <c r="L35" s="26">
        <f>IFERROR(VLOOKUP(B35,Absen!$A$1:$C$501,2,FALSE),"No")</f>
        <v>44912</v>
      </c>
      <c r="M35" s="44">
        <f t="shared" si="0"/>
        <v>5.2</v>
      </c>
      <c r="N35" s="35">
        <f t="shared" si="1"/>
        <v>65.575000000000003</v>
      </c>
      <c r="O35" t="str">
        <f>VLOOKUP(N35,Helper!$B$30:$C$35,2,TRUE)</f>
        <v>C</v>
      </c>
      <c r="P35" s="26">
        <f>INDEX(Detail!$A$1:$A$1001,MATCH(B35,Detail!$G$1:$G$1001,0))</f>
        <v>37489</v>
      </c>
      <c r="Q35" s="3" t="str">
        <f>INDEX(Detail!$F$1:$F$1001,MATCH(Main!B35,Detail!$G$1:$G$1001,0))</f>
        <v>Jayapura</v>
      </c>
      <c r="R35" s="7">
        <f>INDEX(Detail!$C$1:$C$1001,MATCH(B35,Detail!$G$1:$G$1001,0),1)</f>
        <v>179</v>
      </c>
      <c r="S35" s="7">
        <f>INDEX(Detail!$D$1:$D$1001,MATCH(B35,Detail!$G$1:$G$1001,0),1)</f>
        <v>73</v>
      </c>
      <c r="T35" s="7" t="str">
        <f>INDEX(Detail!$E$1:$E$1001,MATCH(Main!B35,Detail!$G$1:$G$1001,0))</f>
        <v xml:space="preserve">Gg. K.H. Wahid Hasyim No. 1
</v>
      </c>
      <c r="U35" s="7" t="str">
        <f>INDEX(Detail!$B$1:$B$1001,MATCH(B35,Detail!$G$1:$G$1001,0),1)</f>
        <v>B-</v>
      </c>
    </row>
    <row r="36" spans="1:21" ht="15.75" x14ac:dyDescent="0.25">
      <c r="A36">
        <v>209</v>
      </c>
      <c r="B36" s="3" t="str">
        <f>CONCATENATE("A",TEXT(Main!A36,"0000"))</f>
        <v>A0209</v>
      </c>
      <c r="C36" t="s">
        <v>1015</v>
      </c>
      <c r="D36" s="3" t="str">
        <f>VLOOKUP(B36,Detail!$G$1:$H$1001,2,FALSE)</f>
        <v>Kasiran Nugroho</v>
      </c>
      <c r="E36">
        <v>53</v>
      </c>
      <c r="F36">
        <v>70</v>
      </c>
      <c r="G36" s="35">
        <v>90</v>
      </c>
      <c r="H36">
        <v>66</v>
      </c>
      <c r="I36">
        <v>70</v>
      </c>
      <c r="J36">
        <v>62</v>
      </c>
      <c r="K36">
        <v>91</v>
      </c>
      <c r="L36" s="26">
        <f>IFERROR(VLOOKUP(B36,Absen!$A$1:$C$501,2,FALSE),"No")</f>
        <v>44871</v>
      </c>
      <c r="M36" s="44">
        <f t="shared" si="0"/>
        <v>8.1</v>
      </c>
      <c r="N36" s="35">
        <f t="shared" si="1"/>
        <v>70.875</v>
      </c>
      <c r="O36" t="str">
        <f>VLOOKUP(N36,Helper!$B$30:$C$35,2,TRUE)</f>
        <v>B</v>
      </c>
      <c r="P36" s="26">
        <f>INDEX(Detail!$A$1:$A$1001,MATCH(B36,Detail!$G$1:$G$1001,0))</f>
        <v>38302</v>
      </c>
      <c r="Q36" s="3" t="str">
        <f>INDEX(Detail!$F$1:$F$1001,MATCH(Main!B36,Detail!$G$1:$G$1001,0))</f>
        <v>Bitung</v>
      </c>
      <c r="R36" s="7">
        <f>INDEX(Detail!$C$1:$C$1001,MATCH(B36,Detail!$G$1:$G$1001,0),1)</f>
        <v>163</v>
      </c>
      <c r="S36" s="7">
        <f>INDEX(Detail!$D$1:$D$1001,MATCH(B36,Detail!$G$1:$G$1001,0),1)</f>
        <v>62</v>
      </c>
      <c r="T36" s="7" t="str">
        <f>INDEX(Detail!$E$1:$E$1001,MATCH(Main!B36,Detail!$G$1:$G$1001,0))</f>
        <v>Gang Stasiun Wonokromo No. 62</v>
      </c>
      <c r="U36" s="7" t="str">
        <f>INDEX(Detail!$B$1:$B$1001,MATCH(B36,Detail!$G$1:$G$1001,0),1)</f>
        <v>AB+</v>
      </c>
    </row>
    <row r="37" spans="1:21" ht="15.75" x14ac:dyDescent="0.25">
      <c r="A37">
        <v>213</v>
      </c>
      <c r="B37" s="3" t="str">
        <f>CONCATENATE("A",TEXT(Main!A37,"0000"))</f>
        <v>A0213</v>
      </c>
      <c r="C37" t="s">
        <v>1015</v>
      </c>
      <c r="D37" s="3" t="str">
        <f>VLOOKUP(B37,Detail!$G$1:$H$1001,2,FALSE)</f>
        <v>Raihan Susanti</v>
      </c>
      <c r="E37">
        <v>95</v>
      </c>
      <c r="F37">
        <v>49</v>
      </c>
      <c r="G37" s="35">
        <v>93</v>
      </c>
      <c r="H37">
        <v>71</v>
      </c>
      <c r="I37">
        <v>68</v>
      </c>
      <c r="J37">
        <v>86</v>
      </c>
      <c r="K37">
        <v>62</v>
      </c>
      <c r="L37" s="26">
        <f>IFERROR(VLOOKUP(B37,Absen!$A$1:$C$501,2,FALSE),"No")</f>
        <v>44858</v>
      </c>
      <c r="M37" s="44">
        <f t="shared" si="0"/>
        <v>5.2</v>
      </c>
      <c r="N37" s="35">
        <f t="shared" si="1"/>
        <v>76.375</v>
      </c>
      <c r="O37" t="str">
        <f>VLOOKUP(N37,Helper!$B$30:$C$35,2,TRUE)</f>
        <v>B</v>
      </c>
      <c r="P37" s="26">
        <f>INDEX(Detail!$A$1:$A$1001,MATCH(B37,Detail!$G$1:$G$1001,0))</f>
        <v>37157</v>
      </c>
      <c r="Q37" s="3" t="str">
        <f>INDEX(Detail!$F$1:$F$1001,MATCH(Main!B37,Detail!$G$1:$G$1001,0))</f>
        <v>Palopo</v>
      </c>
      <c r="R37" s="7">
        <f>INDEX(Detail!$C$1:$C$1001,MATCH(B37,Detail!$G$1:$G$1001,0),1)</f>
        <v>180</v>
      </c>
      <c r="S37" s="7">
        <f>INDEX(Detail!$D$1:$D$1001,MATCH(B37,Detail!$G$1:$G$1001,0),1)</f>
        <v>93</v>
      </c>
      <c r="T37" s="7" t="str">
        <f>INDEX(Detail!$E$1:$E$1001,MATCH(Main!B37,Detail!$G$1:$G$1001,0))</f>
        <v>Jalan Jend. A. Yani No. 43</v>
      </c>
      <c r="U37" s="7" t="str">
        <f>INDEX(Detail!$B$1:$B$1001,MATCH(B37,Detail!$G$1:$G$1001,0),1)</f>
        <v>O-</v>
      </c>
    </row>
    <row r="38" spans="1:21" ht="15.75" x14ac:dyDescent="0.25">
      <c r="A38">
        <v>217</v>
      </c>
      <c r="B38" s="3" t="str">
        <f>CONCATENATE("A",TEXT(Main!A38,"0000"))</f>
        <v>A0217</v>
      </c>
      <c r="C38" t="s">
        <v>1015</v>
      </c>
      <c r="D38" s="3" t="str">
        <f>VLOOKUP(B38,Detail!$G$1:$H$1001,2,FALSE)</f>
        <v>Lili Nainggolan</v>
      </c>
      <c r="E38">
        <v>61</v>
      </c>
      <c r="F38">
        <v>68</v>
      </c>
      <c r="G38" s="35">
        <v>94</v>
      </c>
      <c r="H38">
        <v>60</v>
      </c>
      <c r="I38">
        <v>90</v>
      </c>
      <c r="J38">
        <v>89</v>
      </c>
      <c r="K38">
        <v>65</v>
      </c>
      <c r="L38" s="26" t="str">
        <f>IFERROR(VLOOKUP(B38,Absen!$A$1:$C$501,2,FALSE),"No")</f>
        <v>No</v>
      </c>
      <c r="M38" s="44">
        <f t="shared" si="0"/>
        <v>6.5</v>
      </c>
      <c r="N38" s="35">
        <f t="shared" si="1"/>
        <v>77.974999999999994</v>
      </c>
      <c r="O38" t="str">
        <f>VLOOKUP(N38,Helper!$B$30:$C$35,2,TRUE)</f>
        <v>B</v>
      </c>
      <c r="P38" s="26">
        <f>INDEX(Detail!$A$1:$A$1001,MATCH(B38,Detail!$G$1:$G$1001,0))</f>
        <v>37464</v>
      </c>
      <c r="Q38" s="3" t="str">
        <f>INDEX(Detail!$F$1:$F$1001,MATCH(Main!B38,Detail!$G$1:$G$1001,0))</f>
        <v>Tegal</v>
      </c>
      <c r="R38" s="7">
        <f>INDEX(Detail!$C$1:$C$1001,MATCH(B38,Detail!$G$1:$G$1001,0),1)</f>
        <v>163</v>
      </c>
      <c r="S38" s="7">
        <f>INDEX(Detail!$D$1:$D$1001,MATCH(B38,Detail!$G$1:$G$1001,0),1)</f>
        <v>50</v>
      </c>
      <c r="T38" s="7" t="str">
        <f>INDEX(Detail!$E$1:$E$1001,MATCH(Main!B38,Detail!$G$1:$G$1001,0))</f>
        <v>Jalan Wonoayu No. 69</v>
      </c>
      <c r="U38" s="7" t="str">
        <f>INDEX(Detail!$B$1:$B$1001,MATCH(B38,Detail!$G$1:$G$1001,0),1)</f>
        <v>O+</v>
      </c>
    </row>
    <row r="39" spans="1:21" ht="15.75" x14ac:dyDescent="0.25">
      <c r="A39">
        <v>239</v>
      </c>
      <c r="B39" s="3" t="str">
        <f>CONCATENATE("A",TEXT(Main!A39,"0000"))</f>
        <v>A0239</v>
      </c>
      <c r="C39" t="s">
        <v>1015</v>
      </c>
      <c r="D39" s="3" t="str">
        <f>VLOOKUP(B39,Detail!$G$1:$H$1001,2,FALSE)</f>
        <v>Elvina Siregar</v>
      </c>
      <c r="E39">
        <v>61</v>
      </c>
      <c r="F39">
        <v>40</v>
      </c>
      <c r="G39" s="35">
        <v>32</v>
      </c>
      <c r="H39">
        <v>56</v>
      </c>
      <c r="I39">
        <v>50</v>
      </c>
      <c r="J39">
        <v>84</v>
      </c>
      <c r="K39">
        <v>80</v>
      </c>
      <c r="L39" s="26" t="str">
        <f>IFERROR(VLOOKUP(B39,Absen!$A$1:$C$501,2,FALSE),"No")</f>
        <v>No</v>
      </c>
      <c r="M39" s="44">
        <f t="shared" si="0"/>
        <v>8</v>
      </c>
      <c r="N39" s="35">
        <f t="shared" si="1"/>
        <v>57.075000000000003</v>
      </c>
      <c r="O39" t="str">
        <f>VLOOKUP(N39,Helper!$B$30:$C$35,2,TRUE)</f>
        <v>D</v>
      </c>
      <c r="P39" s="26">
        <f>INDEX(Detail!$A$1:$A$1001,MATCH(B39,Detail!$G$1:$G$1001,0))</f>
        <v>37086</v>
      </c>
      <c r="Q39" s="3" t="str">
        <f>INDEX(Detail!$F$1:$F$1001,MATCH(Main!B39,Detail!$G$1:$G$1001,0))</f>
        <v>Bontang</v>
      </c>
      <c r="R39" s="7">
        <f>INDEX(Detail!$C$1:$C$1001,MATCH(B39,Detail!$G$1:$G$1001,0),1)</f>
        <v>180</v>
      </c>
      <c r="S39" s="7">
        <f>INDEX(Detail!$D$1:$D$1001,MATCH(B39,Detail!$G$1:$G$1001,0),1)</f>
        <v>91</v>
      </c>
      <c r="T39" s="7" t="str">
        <f>INDEX(Detail!$E$1:$E$1001,MATCH(Main!B39,Detail!$G$1:$G$1001,0))</f>
        <v>Jl. Surapati No. 98</v>
      </c>
      <c r="U39" s="7" t="str">
        <f>INDEX(Detail!$B$1:$B$1001,MATCH(B39,Detail!$G$1:$G$1001,0),1)</f>
        <v>AB+</v>
      </c>
    </row>
    <row r="40" spans="1:21" ht="15.75" x14ac:dyDescent="0.25">
      <c r="A40">
        <v>265</v>
      </c>
      <c r="B40" s="3" t="str">
        <f>CONCATENATE("A",TEXT(Main!A40,"0000"))</f>
        <v>A0265</v>
      </c>
      <c r="C40" t="s">
        <v>1015</v>
      </c>
      <c r="D40" s="3" t="str">
        <f>VLOOKUP(B40,Detail!$G$1:$H$1001,2,FALSE)</f>
        <v>Asmuni Anggriawan</v>
      </c>
      <c r="E40">
        <v>69</v>
      </c>
      <c r="F40">
        <v>52</v>
      </c>
      <c r="G40" s="35">
        <v>30</v>
      </c>
      <c r="H40">
        <v>64</v>
      </c>
      <c r="I40">
        <v>90</v>
      </c>
      <c r="J40">
        <v>91</v>
      </c>
      <c r="K40">
        <v>93</v>
      </c>
      <c r="L40" s="26">
        <f>IFERROR(VLOOKUP(B40,Absen!$A$1:$C$501,2,FALSE),"No")</f>
        <v>44874</v>
      </c>
      <c r="M40" s="44">
        <f t="shared" si="0"/>
        <v>8.3000000000000007</v>
      </c>
      <c r="N40" s="35">
        <f t="shared" si="1"/>
        <v>66.875</v>
      </c>
      <c r="O40" t="str">
        <f>VLOOKUP(N40,Helper!$B$30:$C$35,2,TRUE)</f>
        <v>C</v>
      </c>
      <c r="P40" s="26">
        <f>INDEX(Detail!$A$1:$A$1001,MATCH(B40,Detail!$G$1:$G$1001,0))</f>
        <v>38109</v>
      </c>
      <c r="Q40" s="3" t="str">
        <f>INDEX(Detail!$F$1:$F$1001,MATCH(Main!B40,Detail!$G$1:$G$1001,0))</f>
        <v>Sungai Penuh</v>
      </c>
      <c r="R40" s="7">
        <f>INDEX(Detail!$C$1:$C$1001,MATCH(B40,Detail!$G$1:$G$1001,0),1)</f>
        <v>175</v>
      </c>
      <c r="S40" s="7">
        <f>INDEX(Detail!$D$1:$D$1001,MATCH(B40,Detail!$G$1:$G$1001,0),1)</f>
        <v>52</v>
      </c>
      <c r="T40" s="7" t="str">
        <f>INDEX(Detail!$E$1:$E$1001,MATCH(Main!B40,Detail!$G$1:$G$1001,0))</f>
        <v>Gang Moch. Ramdan No. 56</v>
      </c>
      <c r="U40" s="7" t="str">
        <f>INDEX(Detail!$B$1:$B$1001,MATCH(B40,Detail!$G$1:$G$1001,0),1)</f>
        <v>B+</v>
      </c>
    </row>
    <row r="41" spans="1:21" ht="15.75" x14ac:dyDescent="0.25">
      <c r="A41">
        <v>272</v>
      </c>
      <c r="B41" s="3" t="str">
        <f>CONCATENATE("A",TEXT(Main!A41,"0000"))</f>
        <v>A0272</v>
      </c>
      <c r="C41" t="s">
        <v>1015</v>
      </c>
      <c r="D41" s="3" t="str">
        <f>VLOOKUP(B41,Detail!$G$1:$H$1001,2,FALSE)</f>
        <v>Soleh Wasita</v>
      </c>
      <c r="E41">
        <v>84</v>
      </c>
      <c r="F41">
        <v>50</v>
      </c>
      <c r="G41" s="35">
        <v>56</v>
      </c>
      <c r="H41">
        <v>60</v>
      </c>
      <c r="I41">
        <v>57</v>
      </c>
      <c r="J41">
        <v>74</v>
      </c>
      <c r="K41">
        <v>99</v>
      </c>
      <c r="L41" s="26">
        <f>IFERROR(VLOOKUP(B41,Absen!$A$1:$C$501,2,FALSE),"No")</f>
        <v>44865</v>
      </c>
      <c r="M41" s="44">
        <f t="shared" si="0"/>
        <v>8.9</v>
      </c>
      <c r="N41" s="35">
        <f t="shared" si="1"/>
        <v>66.275000000000006</v>
      </c>
      <c r="O41" t="str">
        <f>VLOOKUP(N41,Helper!$B$30:$C$35,2,TRUE)</f>
        <v>C</v>
      </c>
      <c r="P41" s="26">
        <f>INDEX(Detail!$A$1:$A$1001,MATCH(B41,Detail!$G$1:$G$1001,0))</f>
        <v>37256</v>
      </c>
      <c r="Q41" s="3" t="str">
        <f>INDEX(Detail!$F$1:$F$1001,MATCH(Main!B41,Detail!$G$1:$G$1001,0))</f>
        <v>Padang</v>
      </c>
      <c r="R41" s="7">
        <f>INDEX(Detail!$C$1:$C$1001,MATCH(B41,Detail!$G$1:$G$1001,0),1)</f>
        <v>171</v>
      </c>
      <c r="S41" s="7">
        <f>INDEX(Detail!$D$1:$D$1001,MATCH(B41,Detail!$G$1:$G$1001,0),1)</f>
        <v>81</v>
      </c>
      <c r="T41" s="7" t="str">
        <f>INDEX(Detail!$E$1:$E$1001,MATCH(Main!B41,Detail!$G$1:$G$1001,0))</f>
        <v>Gang Veteran No. 08</v>
      </c>
      <c r="U41" s="7" t="str">
        <f>INDEX(Detail!$B$1:$B$1001,MATCH(B41,Detail!$G$1:$G$1001,0),1)</f>
        <v>B+</v>
      </c>
    </row>
    <row r="42" spans="1:21" ht="15.75" x14ac:dyDescent="0.25">
      <c r="A42">
        <v>276</v>
      </c>
      <c r="B42" s="3" t="str">
        <f>CONCATENATE("A",TEXT(Main!A42,"0000"))</f>
        <v>A0276</v>
      </c>
      <c r="C42" t="s">
        <v>1015</v>
      </c>
      <c r="D42" s="3" t="str">
        <f>VLOOKUP(B42,Detail!$G$1:$H$1001,2,FALSE)</f>
        <v>Ajeng Setiawan</v>
      </c>
      <c r="E42">
        <v>90</v>
      </c>
      <c r="F42">
        <v>65</v>
      </c>
      <c r="G42" s="35">
        <v>35</v>
      </c>
      <c r="H42">
        <v>56</v>
      </c>
      <c r="I42">
        <v>55</v>
      </c>
      <c r="J42">
        <v>42</v>
      </c>
      <c r="K42">
        <v>80</v>
      </c>
      <c r="L42" s="26" t="str">
        <f>IFERROR(VLOOKUP(B42,Absen!$A$1:$C$501,2,FALSE),"No")</f>
        <v>No</v>
      </c>
      <c r="M42" s="44">
        <f t="shared" si="0"/>
        <v>8</v>
      </c>
      <c r="N42" s="35">
        <f t="shared" si="1"/>
        <v>56.65</v>
      </c>
      <c r="O42" t="str">
        <f>VLOOKUP(N42,Helper!$B$30:$C$35,2,TRUE)</f>
        <v>D</v>
      </c>
      <c r="P42" s="26">
        <f>INDEX(Detail!$A$1:$A$1001,MATCH(B42,Detail!$G$1:$G$1001,0))</f>
        <v>37274</v>
      </c>
      <c r="Q42" s="3" t="str">
        <f>INDEX(Detail!$F$1:$F$1001,MATCH(Main!B42,Detail!$G$1:$G$1001,0))</f>
        <v>Kota Administrasi Jakarta Selatan</v>
      </c>
      <c r="R42" s="7">
        <f>INDEX(Detail!$C$1:$C$1001,MATCH(B42,Detail!$G$1:$G$1001,0),1)</f>
        <v>150</v>
      </c>
      <c r="S42" s="7">
        <f>INDEX(Detail!$D$1:$D$1001,MATCH(B42,Detail!$G$1:$G$1001,0),1)</f>
        <v>53</v>
      </c>
      <c r="T42" s="7" t="str">
        <f>INDEX(Detail!$E$1:$E$1001,MATCH(Main!B42,Detail!$G$1:$G$1001,0))</f>
        <v xml:space="preserve">Gang Joyoboyo No. 8
</v>
      </c>
      <c r="U42" s="7" t="str">
        <f>INDEX(Detail!$B$1:$B$1001,MATCH(B42,Detail!$G$1:$G$1001,0),1)</f>
        <v>AB+</v>
      </c>
    </row>
    <row r="43" spans="1:21" ht="15.75" x14ac:dyDescent="0.25">
      <c r="A43">
        <v>279</v>
      </c>
      <c r="B43" s="3" t="str">
        <f>CONCATENATE("A",TEXT(Main!A43,"0000"))</f>
        <v>A0279</v>
      </c>
      <c r="C43" t="s">
        <v>1015</v>
      </c>
      <c r="D43" s="3" t="str">
        <f>VLOOKUP(B43,Detail!$G$1:$H$1001,2,FALSE)</f>
        <v>Dono Dabukke</v>
      </c>
      <c r="E43">
        <v>74</v>
      </c>
      <c r="F43">
        <v>44</v>
      </c>
      <c r="G43" s="35">
        <v>83</v>
      </c>
      <c r="H43">
        <v>70</v>
      </c>
      <c r="I43">
        <v>70</v>
      </c>
      <c r="J43">
        <v>79</v>
      </c>
      <c r="K43">
        <v>71</v>
      </c>
      <c r="L43" s="26">
        <f>IFERROR(VLOOKUP(B43,Absen!$A$1:$C$501,2,FALSE),"No")</f>
        <v>44859</v>
      </c>
      <c r="M43" s="44">
        <f t="shared" si="0"/>
        <v>6.1000000000000005</v>
      </c>
      <c r="N43" s="35">
        <f t="shared" si="1"/>
        <v>70.75</v>
      </c>
      <c r="O43" t="str">
        <f>VLOOKUP(N43,Helper!$B$30:$C$35,2,TRUE)</f>
        <v>B</v>
      </c>
      <c r="P43" s="26">
        <f>INDEX(Detail!$A$1:$A$1001,MATCH(B43,Detail!$G$1:$G$1001,0))</f>
        <v>37678</v>
      </c>
      <c r="Q43" s="3" t="str">
        <f>INDEX(Detail!$F$1:$F$1001,MATCH(Main!B43,Detail!$G$1:$G$1001,0))</f>
        <v>Surakarta</v>
      </c>
      <c r="R43" s="7">
        <f>INDEX(Detail!$C$1:$C$1001,MATCH(B43,Detail!$G$1:$G$1001,0),1)</f>
        <v>168</v>
      </c>
      <c r="S43" s="7">
        <f>INDEX(Detail!$D$1:$D$1001,MATCH(B43,Detail!$G$1:$G$1001,0),1)</f>
        <v>55</v>
      </c>
      <c r="T43" s="7" t="str">
        <f>INDEX(Detail!$E$1:$E$1001,MATCH(Main!B43,Detail!$G$1:$G$1001,0))</f>
        <v>Gg. HOS. Cokroaminoto No. 02</v>
      </c>
      <c r="U43" s="7" t="str">
        <f>INDEX(Detail!$B$1:$B$1001,MATCH(B43,Detail!$G$1:$G$1001,0),1)</f>
        <v>B-</v>
      </c>
    </row>
    <row r="44" spans="1:21" ht="15.75" x14ac:dyDescent="0.25">
      <c r="A44">
        <v>281</v>
      </c>
      <c r="B44" s="3" t="str">
        <f>CONCATENATE("A",TEXT(Main!A44,"0000"))</f>
        <v>A0281</v>
      </c>
      <c r="C44" t="s">
        <v>1015</v>
      </c>
      <c r="D44" s="3" t="str">
        <f>VLOOKUP(B44,Detail!$G$1:$H$1001,2,FALSE)</f>
        <v>Upik Nababan</v>
      </c>
      <c r="E44">
        <v>71</v>
      </c>
      <c r="F44">
        <v>72</v>
      </c>
      <c r="G44" s="35">
        <v>72</v>
      </c>
      <c r="H44">
        <v>71</v>
      </c>
      <c r="I44">
        <v>79</v>
      </c>
      <c r="J44">
        <v>77</v>
      </c>
      <c r="K44">
        <v>78</v>
      </c>
      <c r="L44" s="26">
        <f>IFERROR(VLOOKUP(B44,Absen!$A$1:$C$501,2,FALSE),"No")</f>
        <v>44808</v>
      </c>
      <c r="M44" s="44">
        <f t="shared" si="0"/>
        <v>6.8000000000000007</v>
      </c>
      <c r="N44" s="35">
        <f t="shared" si="1"/>
        <v>73.224999999999994</v>
      </c>
      <c r="O44" t="str">
        <f>VLOOKUP(N44,Helper!$B$30:$C$35,2,TRUE)</f>
        <v>B</v>
      </c>
      <c r="P44" s="26">
        <f>INDEX(Detail!$A$1:$A$1001,MATCH(B44,Detail!$G$1:$G$1001,0))</f>
        <v>38056</v>
      </c>
      <c r="Q44" s="3" t="str">
        <f>INDEX(Detail!$F$1:$F$1001,MATCH(Main!B44,Detail!$G$1:$G$1001,0))</f>
        <v>Metro</v>
      </c>
      <c r="R44" s="7">
        <f>INDEX(Detail!$C$1:$C$1001,MATCH(B44,Detail!$G$1:$G$1001,0),1)</f>
        <v>159</v>
      </c>
      <c r="S44" s="7">
        <f>INDEX(Detail!$D$1:$D$1001,MATCH(B44,Detail!$G$1:$G$1001,0),1)</f>
        <v>81</v>
      </c>
      <c r="T44" s="7" t="str">
        <f>INDEX(Detail!$E$1:$E$1001,MATCH(Main!B44,Detail!$G$1:$G$1001,0))</f>
        <v>Jalan Rajawali Timur No. 17</v>
      </c>
      <c r="U44" s="7" t="str">
        <f>INDEX(Detail!$B$1:$B$1001,MATCH(B44,Detail!$G$1:$G$1001,0),1)</f>
        <v>A+</v>
      </c>
    </row>
    <row r="45" spans="1:21" ht="15.75" x14ac:dyDescent="0.25">
      <c r="A45">
        <v>284</v>
      </c>
      <c r="B45" s="3" t="str">
        <f>CONCATENATE("A",TEXT(Main!A45,"0000"))</f>
        <v>A0284</v>
      </c>
      <c r="C45" t="s">
        <v>1015</v>
      </c>
      <c r="D45" s="3" t="str">
        <f>VLOOKUP(B45,Detail!$G$1:$H$1001,2,FALSE)</f>
        <v>Chelsea Purnawati</v>
      </c>
      <c r="E45">
        <v>62</v>
      </c>
      <c r="F45">
        <v>62</v>
      </c>
      <c r="G45" s="35">
        <v>43</v>
      </c>
      <c r="H45">
        <v>53</v>
      </c>
      <c r="I45">
        <v>68</v>
      </c>
      <c r="J45">
        <v>84</v>
      </c>
      <c r="K45">
        <v>67</v>
      </c>
      <c r="L45" s="26" t="str">
        <f>IFERROR(VLOOKUP(B45,Absen!$A$1:$C$501,2,FALSE),"No")</f>
        <v>No</v>
      </c>
      <c r="M45" s="44">
        <f t="shared" si="0"/>
        <v>6.7</v>
      </c>
      <c r="N45" s="35">
        <f t="shared" si="1"/>
        <v>62.725000000000009</v>
      </c>
      <c r="O45" t="str">
        <f>VLOOKUP(N45,Helper!$B$30:$C$35,2,TRUE)</f>
        <v>C</v>
      </c>
      <c r="P45" s="26">
        <f>INDEX(Detail!$A$1:$A$1001,MATCH(B45,Detail!$G$1:$G$1001,0))</f>
        <v>37933</v>
      </c>
      <c r="Q45" s="3" t="str">
        <f>INDEX(Detail!$F$1:$F$1001,MATCH(Main!B45,Detail!$G$1:$G$1001,0))</f>
        <v>Surakarta</v>
      </c>
      <c r="R45" s="7">
        <f>INDEX(Detail!$C$1:$C$1001,MATCH(B45,Detail!$G$1:$G$1001,0),1)</f>
        <v>166</v>
      </c>
      <c r="S45" s="7">
        <f>INDEX(Detail!$D$1:$D$1001,MATCH(B45,Detail!$G$1:$G$1001,0),1)</f>
        <v>85</v>
      </c>
      <c r="T45" s="7" t="str">
        <f>INDEX(Detail!$E$1:$E$1001,MATCH(Main!B45,Detail!$G$1:$G$1001,0))</f>
        <v>Jl. Otto Iskandardinata No. 55</v>
      </c>
      <c r="U45" s="7" t="str">
        <f>INDEX(Detail!$B$1:$B$1001,MATCH(B45,Detail!$G$1:$G$1001,0),1)</f>
        <v>A-</v>
      </c>
    </row>
    <row r="46" spans="1:21" ht="15.75" x14ac:dyDescent="0.25">
      <c r="A46">
        <v>288</v>
      </c>
      <c r="B46" s="3" t="str">
        <f>CONCATENATE("A",TEXT(Main!A46,"0000"))</f>
        <v>A0288</v>
      </c>
      <c r="C46" t="s">
        <v>1015</v>
      </c>
      <c r="D46" s="3" t="str">
        <f>VLOOKUP(B46,Detail!$G$1:$H$1001,2,FALSE)</f>
        <v>Wulan Lailasari</v>
      </c>
      <c r="E46">
        <v>66</v>
      </c>
      <c r="F46">
        <v>42</v>
      </c>
      <c r="G46" s="35">
        <v>81</v>
      </c>
      <c r="H46">
        <v>54</v>
      </c>
      <c r="I46">
        <v>77</v>
      </c>
      <c r="J46">
        <v>81</v>
      </c>
      <c r="K46">
        <v>75</v>
      </c>
      <c r="L46" s="26" t="str">
        <f>IFERROR(VLOOKUP(B46,Absen!$A$1:$C$501,2,FALSE),"No")</f>
        <v>No</v>
      </c>
      <c r="M46" s="44">
        <f t="shared" si="0"/>
        <v>7.5</v>
      </c>
      <c r="N46" s="35">
        <f t="shared" si="1"/>
        <v>69.775000000000006</v>
      </c>
      <c r="O46" t="str">
        <f>VLOOKUP(N46,Helper!$B$30:$C$35,2,TRUE)</f>
        <v>C</v>
      </c>
      <c r="P46" s="26">
        <f>INDEX(Detail!$A$1:$A$1001,MATCH(B46,Detail!$G$1:$G$1001,0))</f>
        <v>38363</v>
      </c>
      <c r="Q46" s="3" t="str">
        <f>INDEX(Detail!$F$1:$F$1001,MATCH(Main!B46,Detail!$G$1:$G$1001,0))</f>
        <v>Bima</v>
      </c>
      <c r="R46" s="7">
        <f>INDEX(Detail!$C$1:$C$1001,MATCH(B46,Detail!$G$1:$G$1001,0),1)</f>
        <v>172</v>
      </c>
      <c r="S46" s="7">
        <f>INDEX(Detail!$D$1:$D$1001,MATCH(B46,Detail!$G$1:$G$1001,0),1)</f>
        <v>83</v>
      </c>
      <c r="T46" s="7" t="str">
        <f>INDEX(Detail!$E$1:$E$1001,MATCH(Main!B46,Detail!$G$1:$G$1001,0))</f>
        <v>Jl. Moch. Ramdan No. 70</v>
      </c>
      <c r="U46" s="7" t="str">
        <f>INDEX(Detail!$B$1:$B$1001,MATCH(B46,Detail!$G$1:$G$1001,0),1)</f>
        <v>O-</v>
      </c>
    </row>
    <row r="47" spans="1:21" ht="15.75" x14ac:dyDescent="0.25">
      <c r="A47">
        <v>289</v>
      </c>
      <c r="B47" s="3" t="str">
        <f>CONCATENATE("A",TEXT(Main!A47,"0000"))</f>
        <v>A0289</v>
      </c>
      <c r="C47" t="s">
        <v>1015</v>
      </c>
      <c r="D47" s="3" t="str">
        <f>VLOOKUP(B47,Detail!$G$1:$H$1001,2,FALSE)</f>
        <v>Agus Jailani</v>
      </c>
      <c r="E47">
        <v>69</v>
      </c>
      <c r="F47">
        <v>45</v>
      </c>
      <c r="G47" s="35">
        <v>54</v>
      </c>
      <c r="H47">
        <v>51</v>
      </c>
      <c r="I47">
        <v>80</v>
      </c>
      <c r="J47">
        <v>90</v>
      </c>
      <c r="K47">
        <v>63</v>
      </c>
      <c r="L47" s="26">
        <f>IFERROR(VLOOKUP(B47,Absen!$A$1:$C$501,2,FALSE),"No")</f>
        <v>44842</v>
      </c>
      <c r="M47" s="44">
        <f t="shared" si="0"/>
        <v>5.3000000000000007</v>
      </c>
      <c r="N47" s="35">
        <f t="shared" si="1"/>
        <v>64.724999999999994</v>
      </c>
      <c r="O47" t="str">
        <f>VLOOKUP(N47,Helper!$B$30:$C$35,2,TRUE)</f>
        <v>C</v>
      </c>
      <c r="P47" s="26">
        <f>INDEX(Detail!$A$1:$A$1001,MATCH(B47,Detail!$G$1:$G$1001,0))</f>
        <v>37638</v>
      </c>
      <c r="Q47" s="3" t="str">
        <f>INDEX(Detail!$F$1:$F$1001,MATCH(Main!B47,Detail!$G$1:$G$1001,0))</f>
        <v>Meulaboh</v>
      </c>
      <c r="R47" s="7">
        <f>INDEX(Detail!$C$1:$C$1001,MATCH(B47,Detail!$G$1:$G$1001,0),1)</f>
        <v>157</v>
      </c>
      <c r="S47" s="7">
        <f>INDEX(Detail!$D$1:$D$1001,MATCH(B47,Detail!$G$1:$G$1001,0),1)</f>
        <v>83</v>
      </c>
      <c r="T47" s="7" t="str">
        <f>INDEX(Detail!$E$1:$E$1001,MATCH(Main!B47,Detail!$G$1:$G$1001,0))</f>
        <v>Jl. Cikutra Barat No. 38</v>
      </c>
      <c r="U47" s="7" t="str">
        <f>INDEX(Detail!$B$1:$B$1001,MATCH(B47,Detail!$G$1:$G$1001,0),1)</f>
        <v>AB-</v>
      </c>
    </row>
    <row r="48" spans="1:21" ht="15.75" x14ac:dyDescent="0.25">
      <c r="A48">
        <v>299</v>
      </c>
      <c r="B48" s="3" t="str">
        <f>CONCATENATE("A",TEXT(Main!A48,"0000"))</f>
        <v>A0299</v>
      </c>
      <c r="C48" t="s">
        <v>1015</v>
      </c>
      <c r="D48" s="3" t="str">
        <f>VLOOKUP(B48,Detail!$G$1:$H$1001,2,FALSE)</f>
        <v>Irfan Pranowo</v>
      </c>
      <c r="E48">
        <v>72</v>
      </c>
      <c r="F48">
        <v>69</v>
      </c>
      <c r="G48" s="35">
        <v>67</v>
      </c>
      <c r="H48">
        <v>72</v>
      </c>
      <c r="I48">
        <v>72</v>
      </c>
      <c r="J48">
        <v>61</v>
      </c>
      <c r="K48">
        <v>74</v>
      </c>
      <c r="L48" s="26">
        <f>IFERROR(VLOOKUP(B48,Absen!$A$1:$C$501,2,FALSE),"No")</f>
        <v>44910</v>
      </c>
      <c r="M48" s="44">
        <f t="shared" si="0"/>
        <v>6.4</v>
      </c>
      <c r="N48" s="35">
        <f t="shared" si="1"/>
        <v>67.625</v>
      </c>
      <c r="O48" t="str">
        <f>VLOOKUP(N48,Helper!$B$30:$C$35,2,TRUE)</f>
        <v>C</v>
      </c>
      <c r="P48" s="26">
        <f>INDEX(Detail!$A$1:$A$1001,MATCH(B48,Detail!$G$1:$G$1001,0))</f>
        <v>38244</v>
      </c>
      <c r="Q48" s="3" t="str">
        <f>INDEX(Detail!$F$1:$F$1001,MATCH(Main!B48,Detail!$G$1:$G$1001,0))</f>
        <v>Makassar</v>
      </c>
      <c r="R48" s="7">
        <f>INDEX(Detail!$C$1:$C$1001,MATCH(B48,Detail!$G$1:$G$1001,0),1)</f>
        <v>151</v>
      </c>
      <c r="S48" s="7">
        <f>INDEX(Detail!$D$1:$D$1001,MATCH(B48,Detail!$G$1:$G$1001,0),1)</f>
        <v>50</v>
      </c>
      <c r="T48" s="7" t="str">
        <f>INDEX(Detail!$E$1:$E$1001,MATCH(Main!B48,Detail!$G$1:$G$1001,0))</f>
        <v xml:space="preserve">Gg. Gegerkalong Hilir No. 4
</v>
      </c>
      <c r="U48" s="7" t="str">
        <f>INDEX(Detail!$B$1:$B$1001,MATCH(B48,Detail!$G$1:$G$1001,0),1)</f>
        <v>B+</v>
      </c>
    </row>
    <row r="49" spans="1:21" ht="15.75" x14ac:dyDescent="0.25">
      <c r="A49">
        <v>301</v>
      </c>
      <c r="B49" s="3" t="str">
        <f>CONCATENATE("A",TEXT(Main!A49,"0000"))</f>
        <v>A0301</v>
      </c>
      <c r="C49" t="s">
        <v>1015</v>
      </c>
      <c r="D49" s="3" t="str">
        <f>VLOOKUP(B49,Detail!$G$1:$H$1001,2,FALSE)</f>
        <v>Akarsana Lestari</v>
      </c>
      <c r="E49">
        <v>75</v>
      </c>
      <c r="F49">
        <v>65</v>
      </c>
      <c r="G49" s="35">
        <v>43</v>
      </c>
      <c r="H49">
        <v>52</v>
      </c>
      <c r="I49">
        <v>56</v>
      </c>
      <c r="J49">
        <v>84</v>
      </c>
      <c r="K49">
        <v>92</v>
      </c>
      <c r="L49" s="26">
        <f>IFERROR(VLOOKUP(B49,Absen!$A$1:$C$501,2,FALSE),"No")</f>
        <v>44896</v>
      </c>
      <c r="M49" s="44">
        <f t="shared" si="0"/>
        <v>8.2000000000000011</v>
      </c>
      <c r="N49" s="35">
        <f t="shared" si="1"/>
        <v>64.600000000000009</v>
      </c>
      <c r="O49" t="str">
        <f>VLOOKUP(N49,Helper!$B$30:$C$35,2,TRUE)</f>
        <v>C</v>
      </c>
      <c r="P49" s="26">
        <f>INDEX(Detail!$A$1:$A$1001,MATCH(B49,Detail!$G$1:$G$1001,0))</f>
        <v>37902</v>
      </c>
      <c r="Q49" s="3" t="str">
        <f>INDEX(Detail!$F$1:$F$1001,MATCH(Main!B49,Detail!$G$1:$G$1001,0))</f>
        <v>Tangerang</v>
      </c>
      <c r="R49" s="7">
        <f>INDEX(Detail!$C$1:$C$1001,MATCH(B49,Detail!$G$1:$G$1001,0),1)</f>
        <v>165</v>
      </c>
      <c r="S49" s="7">
        <f>INDEX(Detail!$D$1:$D$1001,MATCH(B49,Detail!$G$1:$G$1001,0),1)</f>
        <v>69</v>
      </c>
      <c r="T49" s="7" t="str">
        <f>INDEX(Detail!$E$1:$E$1001,MATCH(Main!B49,Detail!$G$1:$G$1001,0))</f>
        <v>Jalan M.H Thamrin No. 47</v>
      </c>
      <c r="U49" s="7" t="str">
        <f>INDEX(Detail!$B$1:$B$1001,MATCH(B49,Detail!$G$1:$G$1001,0),1)</f>
        <v>A-</v>
      </c>
    </row>
    <row r="50" spans="1:21" ht="15.75" x14ac:dyDescent="0.25">
      <c r="A50">
        <v>319</v>
      </c>
      <c r="B50" s="3" t="str">
        <f>CONCATENATE("A",TEXT(Main!A50,"0000"))</f>
        <v>A0319</v>
      </c>
      <c r="C50" t="s">
        <v>1015</v>
      </c>
      <c r="D50" s="3" t="str">
        <f>VLOOKUP(B50,Detail!$G$1:$H$1001,2,FALSE)</f>
        <v>Kamila Megantara</v>
      </c>
      <c r="E50">
        <v>50</v>
      </c>
      <c r="F50">
        <v>68</v>
      </c>
      <c r="G50" s="35">
        <v>94</v>
      </c>
      <c r="H50">
        <v>64</v>
      </c>
      <c r="I50">
        <v>63</v>
      </c>
      <c r="J50">
        <v>44</v>
      </c>
      <c r="K50">
        <v>79</v>
      </c>
      <c r="L50" s="26">
        <f>IFERROR(VLOOKUP(B50,Absen!$A$1:$C$501,2,FALSE),"No")</f>
        <v>44901</v>
      </c>
      <c r="M50" s="44">
        <f t="shared" si="0"/>
        <v>6.9</v>
      </c>
      <c r="N50" s="35">
        <f t="shared" si="1"/>
        <v>65.125</v>
      </c>
      <c r="O50" t="str">
        <f>VLOOKUP(N50,Helper!$B$30:$C$35,2,TRUE)</f>
        <v>C</v>
      </c>
      <c r="P50" s="26">
        <f>INDEX(Detail!$A$1:$A$1001,MATCH(B50,Detail!$G$1:$G$1001,0))</f>
        <v>37114</v>
      </c>
      <c r="Q50" s="3" t="str">
        <f>INDEX(Detail!$F$1:$F$1001,MATCH(Main!B50,Detail!$G$1:$G$1001,0))</f>
        <v>Palangkaraya</v>
      </c>
      <c r="R50" s="7">
        <f>INDEX(Detail!$C$1:$C$1001,MATCH(B50,Detail!$G$1:$G$1001,0),1)</f>
        <v>172</v>
      </c>
      <c r="S50" s="7">
        <f>INDEX(Detail!$D$1:$D$1001,MATCH(B50,Detail!$G$1:$G$1001,0),1)</f>
        <v>90</v>
      </c>
      <c r="T50" s="7" t="str">
        <f>INDEX(Detail!$E$1:$E$1001,MATCH(Main!B50,Detail!$G$1:$G$1001,0))</f>
        <v>Jl. Veteran No. 54</v>
      </c>
      <c r="U50" s="7" t="str">
        <f>INDEX(Detail!$B$1:$B$1001,MATCH(B50,Detail!$G$1:$G$1001,0),1)</f>
        <v>A+</v>
      </c>
    </row>
    <row r="51" spans="1:21" ht="15.75" x14ac:dyDescent="0.25">
      <c r="A51">
        <v>321</v>
      </c>
      <c r="B51" s="3" t="str">
        <f>CONCATENATE("A",TEXT(Main!A51,"0000"))</f>
        <v>A0321</v>
      </c>
      <c r="C51" t="s">
        <v>1015</v>
      </c>
      <c r="D51" s="3" t="str">
        <f>VLOOKUP(B51,Detail!$G$1:$H$1001,2,FALSE)</f>
        <v>Lidya Prasetya</v>
      </c>
      <c r="E51">
        <v>67</v>
      </c>
      <c r="F51">
        <v>52</v>
      </c>
      <c r="G51" s="35">
        <v>76</v>
      </c>
      <c r="H51">
        <v>73</v>
      </c>
      <c r="I51">
        <v>52</v>
      </c>
      <c r="J51">
        <v>76</v>
      </c>
      <c r="K51">
        <v>63</v>
      </c>
      <c r="L51" s="26">
        <f>IFERROR(VLOOKUP(B51,Absen!$A$1:$C$501,2,FALSE),"No")</f>
        <v>44752</v>
      </c>
      <c r="M51" s="44">
        <f t="shared" si="0"/>
        <v>5.3000000000000007</v>
      </c>
      <c r="N51" s="35">
        <f t="shared" si="1"/>
        <v>66.2</v>
      </c>
      <c r="O51" t="str">
        <f>VLOOKUP(N51,Helper!$B$30:$C$35,2,TRUE)</f>
        <v>C</v>
      </c>
      <c r="P51" s="26">
        <f>INDEX(Detail!$A$1:$A$1001,MATCH(B51,Detail!$G$1:$G$1001,0))</f>
        <v>37075</v>
      </c>
      <c r="Q51" s="3" t="str">
        <f>INDEX(Detail!$F$1:$F$1001,MATCH(Main!B51,Detail!$G$1:$G$1001,0))</f>
        <v>Sungai Penuh</v>
      </c>
      <c r="R51" s="7">
        <f>INDEX(Detail!$C$1:$C$1001,MATCH(B51,Detail!$G$1:$G$1001,0),1)</f>
        <v>151</v>
      </c>
      <c r="S51" s="7">
        <f>INDEX(Detail!$D$1:$D$1001,MATCH(B51,Detail!$G$1:$G$1001,0),1)</f>
        <v>70</v>
      </c>
      <c r="T51" s="7" t="str">
        <f>INDEX(Detail!$E$1:$E$1001,MATCH(Main!B51,Detail!$G$1:$G$1001,0))</f>
        <v>Jalan Bangka Raya No. 21</v>
      </c>
      <c r="U51" s="7" t="str">
        <f>INDEX(Detail!$B$1:$B$1001,MATCH(B51,Detail!$G$1:$G$1001,0),1)</f>
        <v>A+</v>
      </c>
    </row>
    <row r="52" spans="1:21" ht="15.75" x14ac:dyDescent="0.25">
      <c r="A52">
        <v>355</v>
      </c>
      <c r="B52" s="3" t="str">
        <f>CONCATENATE("A",TEXT(Main!A52,"0000"))</f>
        <v>A0355</v>
      </c>
      <c r="C52" t="s">
        <v>1015</v>
      </c>
      <c r="D52" s="3" t="str">
        <f>VLOOKUP(B52,Detail!$G$1:$H$1001,2,FALSE)</f>
        <v>Jatmiko Pangestu</v>
      </c>
      <c r="E52">
        <v>51</v>
      </c>
      <c r="F52">
        <v>69</v>
      </c>
      <c r="G52" s="35">
        <v>49</v>
      </c>
      <c r="H52">
        <v>57</v>
      </c>
      <c r="I52">
        <v>94</v>
      </c>
      <c r="J52">
        <v>49</v>
      </c>
      <c r="K52">
        <v>86</v>
      </c>
      <c r="L52" s="26">
        <f>IFERROR(VLOOKUP(B52,Absen!$A$1:$C$501,2,FALSE),"No")</f>
        <v>44834</v>
      </c>
      <c r="M52" s="44">
        <f t="shared" si="0"/>
        <v>7.6000000000000005</v>
      </c>
      <c r="N52" s="35">
        <f t="shared" si="1"/>
        <v>61.074999999999996</v>
      </c>
      <c r="O52" t="str">
        <f>VLOOKUP(N52,Helper!$B$30:$C$35,2,TRUE)</f>
        <v>C</v>
      </c>
      <c r="P52" s="26">
        <f>INDEX(Detail!$A$1:$A$1001,MATCH(B52,Detail!$G$1:$G$1001,0))</f>
        <v>37337</v>
      </c>
      <c r="Q52" s="3" t="str">
        <f>INDEX(Detail!$F$1:$F$1001,MATCH(Main!B52,Detail!$G$1:$G$1001,0))</f>
        <v>Tarakan</v>
      </c>
      <c r="R52" s="7">
        <f>INDEX(Detail!$C$1:$C$1001,MATCH(B52,Detail!$G$1:$G$1001,0),1)</f>
        <v>178</v>
      </c>
      <c r="S52" s="7">
        <f>INDEX(Detail!$D$1:$D$1001,MATCH(B52,Detail!$G$1:$G$1001,0),1)</f>
        <v>94</v>
      </c>
      <c r="T52" s="7" t="str">
        <f>INDEX(Detail!$E$1:$E$1001,MATCH(Main!B52,Detail!$G$1:$G$1001,0))</f>
        <v xml:space="preserve">Gang Setiabudhi No. 0
</v>
      </c>
      <c r="U52" s="7" t="str">
        <f>INDEX(Detail!$B$1:$B$1001,MATCH(B52,Detail!$G$1:$G$1001,0),1)</f>
        <v>A-</v>
      </c>
    </row>
    <row r="53" spans="1:21" ht="15.75" x14ac:dyDescent="0.25">
      <c r="A53">
        <v>358</v>
      </c>
      <c r="B53" s="3" t="str">
        <f>CONCATENATE("A",TEXT(Main!A53,"0000"))</f>
        <v>A0358</v>
      </c>
      <c r="C53" t="s">
        <v>1015</v>
      </c>
      <c r="D53" s="3" t="str">
        <f>VLOOKUP(B53,Detail!$G$1:$H$1001,2,FALSE)</f>
        <v>Hartaka Rahimah</v>
      </c>
      <c r="E53">
        <v>50</v>
      </c>
      <c r="F53">
        <v>46</v>
      </c>
      <c r="G53" s="35">
        <v>63</v>
      </c>
      <c r="H53">
        <v>51</v>
      </c>
      <c r="I53">
        <v>89</v>
      </c>
      <c r="J53">
        <v>80</v>
      </c>
      <c r="K53">
        <v>95</v>
      </c>
      <c r="L53" s="26">
        <f>IFERROR(VLOOKUP(B53,Absen!$A$1:$C$501,2,FALSE),"No")</f>
        <v>44908</v>
      </c>
      <c r="M53" s="44">
        <f t="shared" si="0"/>
        <v>8.5</v>
      </c>
      <c r="N53" s="35">
        <f t="shared" si="1"/>
        <v>66.599999999999994</v>
      </c>
      <c r="O53" t="str">
        <f>VLOOKUP(N53,Helper!$B$30:$C$35,2,TRUE)</f>
        <v>C</v>
      </c>
      <c r="P53" s="26">
        <f>INDEX(Detail!$A$1:$A$1001,MATCH(B53,Detail!$G$1:$G$1001,0))</f>
        <v>37437</v>
      </c>
      <c r="Q53" s="3" t="str">
        <f>INDEX(Detail!$F$1:$F$1001,MATCH(Main!B53,Detail!$G$1:$G$1001,0))</f>
        <v>Sawahlunto</v>
      </c>
      <c r="R53" s="7">
        <f>INDEX(Detail!$C$1:$C$1001,MATCH(B53,Detail!$G$1:$G$1001,0),1)</f>
        <v>153</v>
      </c>
      <c r="S53" s="7">
        <f>INDEX(Detail!$D$1:$D$1001,MATCH(B53,Detail!$G$1:$G$1001,0),1)</f>
        <v>54</v>
      </c>
      <c r="T53" s="7" t="str">
        <f>INDEX(Detail!$E$1:$E$1001,MATCH(Main!B53,Detail!$G$1:$G$1001,0))</f>
        <v>Gang Veteran No. 39</v>
      </c>
      <c r="U53" s="7" t="str">
        <f>INDEX(Detail!$B$1:$B$1001,MATCH(B53,Detail!$G$1:$G$1001,0),1)</f>
        <v>O+</v>
      </c>
    </row>
    <row r="54" spans="1:21" ht="15.75" x14ac:dyDescent="0.25">
      <c r="A54">
        <v>364</v>
      </c>
      <c r="B54" s="3" t="str">
        <f>CONCATENATE("A",TEXT(Main!A54,"0000"))</f>
        <v>A0364</v>
      </c>
      <c r="C54" t="s">
        <v>1015</v>
      </c>
      <c r="D54" s="3" t="str">
        <f>VLOOKUP(B54,Detail!$G$1:$H$1001,2,FALSE)</f>
        <v>Kamal Saefullah</v>
      </c>
      <c r="E54">
        <v>87</v>
      </c>
      <c r="F54">
        <v>69</v>
      </c>
      <c r="G54" s="35">
        <v>75</v>
      </c>
      <c r="H54">
        <v>56</v>
      </c>
      <c r="I54">
        <v>52</v>
      </c>
      <c r="J54">
        <v>94</v>
      </c>
      <c r="K54">
        <v>72</v>
      </c>
      <c r="L54" s="26" t="str">
        <f>IFERROR(VLOOKUP(B54,Absen!$A$1:$C$501,2,FALSE),"No")</f>
        <v>No</v>
      </c>
      <c r="M54" s="44">
        <f t="shared" si="0"/>
        <v>7.2</v>
      </c>
      <c r="N54" s="35">
        <f t="shared" si="1"/>
        <v>74</v>
      </c>
      <c r="O54" t="str">
        <f>VLOOKUP(N54,Helper!$B$30:$C$35,2,TRUE)</f>
        <v>B</v>
      </c>
      <c r="P54" s="26">
        <f>INDEX(Detail!$A$1:$A$1001,MATCH(B54,Detail!$G$1:$G$1001,0))</f>
        <v>38050</v>
      </c>
      <c r="Q54" s="3" t="str">
        <f>INDEX(Detail!$F$1:$F$1001,MATCH(Main!B54,Detail!$G$1:$G$1001,0))</f>
        <v>Tomohon</v>
      </c>
      <c r="R54" s="7">
        <f>INDEX(Detail!$C$1:$C$1001,MATCH(B54,Detail!$G$1:$G$1001,0),1)</f>
        <v>179</v>
      </c>
      <c r="S54" s="7">
        <f>INDEX(Detail!$D$1:$D$1001,MATCH(B54,Detail!$G$1:$G$1001,0),1)</f>
        <v>66</v>
      </c>
      <c r="T54" s="7" t="str">
        <f>INDEX(Detail!$E$1:$E$1001,MATCH(Main!B54,Detail!$G$1:$G$1001,0))</f>
        <v>Gang Pasir Koja No. 61</v>
      </c>
      <c r="U54" s="7" t="str">
        <f>INDEX(Detail!$B$1:$B$1001,MATCH(B54,Detail!$G$1:$G$1001,0),1)</f>
        <v>AB-</v>
      </c>
    </row>
    <row r="55" spans="1:21" ht="15.75" x14ac:dyDescent="0.25">
      <c r="A55">
        <v>370</v>
      </c>
      <c r="B55" s="3" t="str">
        <f>CONCATENATE("A",TEXT(Main!A55,"0000"))</f>
        <v>A0370</v>
      </c>
      <c r="C55" t="s">
        <v>1015</v>
      </c>
      <c r="D55" s="3" t="str">
        <f>VLOOKUP(B55,Detail!$G$1:$H$1001,2,FALSE)</f>
        <v>Cahyono Hartati</v>
      </c>
      <c r="E55">
        <v>56</v>
      </c>
      <c r="F55">
        <v>70</v>
      </c>
      <c r="G55" s="35">
        <v>86</v>
      </c>
      <c r="H55">
        <v>59</v>
      </c>
      <c r="I55">
        <v>69</v>
      </c>
      <c r="J55">
        <v>60</v>
      </c>
      <c r="K55">
        <v>70</v>
      </c>
      <c r="L55" s="26">
        <f>IFERROR(VLOOKUP(B55,Absen!$A$1:$C$501,2,FALSE),"No")</f>
        <v>44771</v>
      </c>
      <c r="M55" s="44">
        <f t="shared" si="0"/>
        <v>6</v>
      </c>
      <c r="N55" s="35">
        <f t="shared" si="1"/>
        <v>66.95</v>
      </c>
      <c r="O55" t="str">
        <f>VLOOKUP(N55,Helper!$B$30:$C$35,2,TRUE)</f>
        <v>C</v>
      </c>
      <c r="P55" s="26">
        <f>INDEX(Detail!$A$1:$A$1001,MATCH(B55,Detail!$G$1:$G$1001,0))</f>
        <v>37907</v>
      </c>
      <c r="Q55" s="3" t="str">
        <f>INDEX(Detail!$F$1:$F$1001,MATCH(Main!B55,Detail!$G$1:$G$1001,0))</f>
        <v>Tebingtinggi</v>
      </c>
      <c r="R55" s="7">
        <f>INDEX(Detail!$C$1:$C$1001,MATCH(B55,Detail!$G$1:$G$1001,0),1)</f>
        <v>175</v>
      </c>
      <c r="S55" s="7">
        <f>INDEX(Detail!$D$1:$D$1001,MATCH(B55,Detail!$G$1:$G$1001,0),1)</f>
        <v>47</v>
      </c>
      <c r="T55" s="7" t="str">
        <f>INDEX(Detail!$E$1:$E$1001,MATCH(Main!B55,Detail!$G$1:$G$1001,0))</f>
        <v>Gang Jend. Sudirman No. 69</v>
      </c>
      <c r="U55" s="7" t="str">
        <f>INDEX(Detail!$B$1:$B$1001,MATCH(B55,Detail!$G$1:$G$1001,0),1)</f>
        <v>AB+</v>
      </c>
    </row>
    <row r="56" spans="1:21" ht="15.75" x14ac:dyDescent="0.25">
      <c r="A56">
        <v>373</v>
      </c>
      <c r="B56" s="3" t="str">
        <f>CONCATENATE("A",TEXT(Main!A56,"0000"))</f>
        <v>A0373</v>
      </c>
      <c r="C56" t="s">
        <v>1015</v>
      </c>
      <c r="D56" s="3" t="str">
        <f>VLOOKUP(B56,Detail!$G$1:$H$1001,2,FALSE)</f>
        <v>Cawisadi Suartini</v>
      </c>
      <c r="E56">
        <v>57</v>
      </c>
      <c r="F56">
        <v>55</v>
      </c>
      <c r="G56" s="35">
        <v>59</v>
      </c>
      <c r="H56">
        <v>64</v>
      </c>
      <c r="I56">
        <v>58</v>
      </c>
      <c r="J56">
        <v>85</v>
      </c>
      <c r="K56">
        <v>67</v>
      </c>
      <c r="L56" s="26">
        <f>IFERROR(VLOOKUP(B56,Absen!$A$1:$C$501,2,FALSE),"No")</f>
        <v>44863</v>
      </c>
      <c r="M56" s="44">
        <f t="shared" si="0"/>
        <v>5.7</v>
      </c>
      <c r="N56" s="35">
        <f t="shared" si="1"/>
        <v>63.75</v>
      </c>
      <c r="O56" t="str">
        <f>VLOOKUP(N56,Helper!$B$30:$C$35,2,TRUE)</f>
        <v>C</v>
      </c>
      <c r="P56" s="26">
        <f>INDEX(Detail!$A$1:$A$1001,MATCH(B56,Detail!$G$1:$G$1001,0))</f>
        <v>38347</v>
      </c>
      <c r="Q56" s="3" t="str">
        <f>INDEX(Detail!$F$1:$F$1001,MATCH(Main!B56,Detail!$G$1:$G$1001,0))</f>
        <v>Pangkalpinang</v>
      </c>
      <c r="R56" s="7">
        <f>INDEX(Detail!$C$1:$C$1001,MATCH(B56,Detail!$G$1:$G$1001,0),1)</f>
        <v>177</v>
      </c>
      <c r="S56" s="7">
        <f>INDEX(Detail!$D$1:$D$1001,MATCH(B56,Detail!$G$1:$G$1001,0),1)</f>
        <v>61</v>
      </c>
      <c r="T56" s="7" t="str">
        <f>INDEX(Detail!$E$1:$E$1001,MATCH(Main!B56,Detail!$G$1:$G$1001,0))</f>
        <v xml:space="preserve">Gang Ciwastra No. 6
</v>
      </c>
      <c r="U56" s="7" t="str">
        <f>INDEX(Detail!$B$1:$B$1001,MATCH(B56,Detail!$G$1:$G$1001,0),1)</f>
        <v>AB-</v>
      </c>
    </row>
    <row r="57" spans="1:21" ht="15.75" x14ac:dyDescent="0.25">
      <c r="A57">
        <v>394</v>
      </c>
      <c r="B57" s="3" t="str">
        <f>CONCATENATE("A",TEXT(Main!A57,"0000"))</f>
        <v>A0394</v>
      </c>
      <c r="C57" t="s">
        <v>1015</v>
      </c>
      <c r="D57" s="3" t="str">
        <f>VLOOKUP(B57,Detail!$G$1:$H$1001,2,FALSE)</f>
        <v>Anita Tamba</v>
      </c>
      <c r="E57">
        <v>57</v>
      </c>
      <c r="F57">
        <v>43</v>
      </c>
      <c r="G57" s="35">
        <v>39</v>
      </c>
      <c r="H57">
        <v>55</v>
      </c>
      <c r="I57">
        <v>67</v>
      </c>
      <c r="J57">
        <v>92</v>
      </c>
      <c r="K57">
        <v>79</v>
      </c>
      <c r="L57" s="26" t="str">
        <f>IFERROR(VLOOKUP(B57,Absen!$A$1:$C$501,2,FALSE),"No")</f>
        <v>No</v>
      </c>
      <c r="M57" s="44">
        <f t="shared" si="0"/>
        <v>7.9</v>
      </c>
      <c r="N57" s="35">
        <f t="shared" si="1"/>
        <v>61.85</v>
      </c>
      <c r="O57" t="str">
        <f>VLOOKUP(N57,Helper!$B$30:$C$35,2,TRUE)</f>
        <v>C</v>
      </c>
      <c r="P57" s="26">
        <f>INDEX(Detail!$A$1:$A$1001,MATCH(B57,Detail!$G$1:$G$1001,0))</f>
        <v>38197</v>
      </c>
      <c r="Q57" s="3" t="str">
        <f>INDEX(Detail!$F$1:$F$1001,MATCH(Main!B57,Detail!$G$1:$G$1001,0))</f>
        <v>Depok</v>
      </c>
      <c r="R57" s="7">
        <f>INDEX(Detail!$C$1:$C$1001,MATCH(B57,Detail!$G$1:$G$1001,0),1)</f>
        <v>176</v>
      </c>
      <c r="S57" s="7">
        <f>INDEX(Detail!$D$1:$D$1001,MATCH(B57,Detail!$G$1:$G$1001,0),1)</f>
        <v>47</v>
      </c>
      <c r="T57" s="7" t="str">
        <f>INDEX(Detail!$E$1:$E$1001,MATCH(Main!B57,Detail!$G$1:$G$1001,0))</f>
        <v>Gang K.H. Wahid Hasyim No. 25</v>
      </c>
      <c r="U57" s="7" t="str">
        <f>INDEX(Detail!$B$1:$B$1001,MATCH(B57,Detail!$G$1:$G$1001,0),1)</f>
        <v>A-</v>
      </c>
    </row>
    <row r="58" spans="1:21" ht="15.75" x14ac:dyDescent="0.25">
      <c r="A58">
        <v>399</v>
      </c>
      <c r="B58" s="3" t="str">
        <f>CONCATENATE("A",TEXT(Main!A58,"0000"))</f>
        <v>A0399</v>
      </c>
      <c r="C58" t="s">
        <v>1015</v>
      </c>
      <c r="D58" s="3" t="str">
        <f>VLOOKUP(B58,Detail!$G$1:$H$1001,2,FALSE)</f>
        <v>Hadi Pudjiastuti</v>
      </c>
      <c r="E58">
        <v>80</v>
      </c>
      <c r="F58">
        <v>57</v>
      </c>
      <c r="G58" s="35">
        <v>41</v>
      </c>
      <c r="H58">
        <v>63</v>
      </c>
      <c r="I58">
        <v>55</v>
      </c>
      <c r="J58">
        <v>67</v>
      </c>
      <c r="K58">
        <v>61</v>
      </c>
      <c r="L58" s="26" t="str">
        <f>IFERROR(VLOOKUP(B58,Absen!$A$1:$C$501,2,FALSE),"No")</f>
        <v>No</v>
      </c>
      <c r="M58" s="44">
        <f t="shared" si="0"/>
        <v>6.1000000000000005</v>
      </c>
      <c r="N58" s="35">
        <f t="shared" si="1"/>
        <v>59.575000000000003</v>
      </c>
      <c r="O58" t="str">
        <f>VLOOKUP(N58,Helper!$B$30:$C$35,2,TRUE)</f>
        <v>D</v>
      </c>
      <c r="P58" s="26">
        <f>INDEX(Detail!$A$1:$A$1001,MATCH(B58,Detail!$G$1:$G$1001,0))</f>
        <v>38171</v>
      </c>
      <c r="Q58" s="3" t="str">
        <f>INDEX(Detail!$F$1:$F$1001,MATCH(Main!B58,Detail!$G$1:$G$1001,0))</f>
        <v>Banda Aceh</v>
      </c>
      <c r="R58" s="7">
        <f>INDEX(Detail!$C$1:$C$1001,MATCH(B58,Detail!$G$1:$G$1001,0),1)</f>
        <v>176</v>
      </c>
      <c r="S58" s="7">
        <f>INDEX(Detail!$D$1:$D$1001,MATCH(B58,Detail!$G$1:$G$1001,0),1)</f>
        <v>87</v>
      </c>
      <c r="T58" s="7" t="str">
        <f>INDEX(Detail!$E$1:$E$1001,MATCH(Main!B58,Detail!$G$1:$G$1001,0))</f>
        <v>Jl. Raya Ujungberung No. 00</v>
      </c>
      <c r="U58" s="7" t="str">
        <f>INDEX(Detail!$B$1:$B$1001,MATCH(B58,Detail!$G$1:$G$1001,0),1)</f>
        <v>B-</v>
      </c>
    </row>
    <row r="59" spans="1:21" ht="15.75" x14ac:dyDescent="0.25">
      <c r="A59">
        <v>405</v>
      </c>
      <c r="B59" s="3" t="str">
        <f>CONCATENATE("A",TEXT(Main!A59,"0000"))</f>
        <v>A0405</v>
      </c>
      <c r="C59" t="s">
        <v>1015</v>
      </c>
      <c r="D59" s="3" t="str">
        <f>VLOOKUP(B59,Detail!$G$1:$H$1001,2,FALSE)</f>
        <v>Aisyah Nashiruddin</v>
      </c>
      <c r="E59">
        <v>57</v>
      </c>
      <c r="F59">
        <v>55</v>
      </c>
      <c r="G59" s="35">
        <v>48</v>
      </c>
      <c r="H59">
        <v>65</v>
      </c>
      <c r="I59">
        <v>77</v>
      </c>
      <c r="J59">
        <v>58</v>
      </c>
      <c r="K59">
        <v>71</v>
      </c>
      <c r="L59" s="26">
        <f>IFERROR(VLOOKUP(B59,Absen!$A$1:$C$501,2,FALSE),"No")</f>
        <v>44880</v>
      </c>
      <c r="M59" s="44">
        <f t="shared" si="0"/>
        <v>6.1000000000000005</v>
      </c>
      <c r="N59" s="35">
        <f t="shared" si="1"/>
        <v>59.050000000000004</v>
      </c>
      <c r="O59" t="str">
        <f>VLOOKUP(N59,Helper!$B$30:$C$35,2,TRUE)</f>
        <v>D</v>
      </c>
      <c r="P59" s="26">
        <f>INDEX(Detail!$A$1:$A$1001,MATCH(B59,Detail!$G$1:$G$1001,0))</f>
        <v>37887</v>
      </c>
      <c r="Q59" s="3" t="str">
        <f>INDEX(Detail!$F$1:$F$1001,MATCH(Main!B59,Detail!$G$1:$G$1001,0))</f>
        <v>Bekasi</v>
      </c>
      <c r="R59" s="7">
        <f>INDEX(Detail!$C$1:$C$1001,MATCH(B59,Detail!$G$1:$G$1001,0),1)</f>
        <v>153</v>
      </c>
      <c r="S59" s="7">
        <f>INDEX(Detail!$D$1:$D$1001,MATCH(B59,Detail!$G$1:$G$1001,0),1)</f>
        <v>60</v>
      </c>
      <c r="T59" s="7" t="str">
        <f>INDEX(Detail!$E$1:$E$1001,MATCH(Main!B59,Detail!$G$1:$G$1001,0))</f>
        <v>Gang Medokan Ayu No. 80</v>
      </c>
      <c r="U59" s="7" t="str">
        <f>INDEX(Detail!$B$1:$B$1001,MATCH(B59,Detail!$G$1:$G$1001,0),1)</f>
        <v>O-</v>
      </c>
    </row>
    <row r="60" spans="1:21" ht="15.75" x14ac:dyDescent="0.25">
      <c r="A60">
        <v>407</v>
      </c>
      <c r="B60" s="3" t="str">
        <f>CONCATENATE("A",TEXT(Main!A60,"0000"))</f>
        <v>A0407</v>
      </c>
      <c r="C60" t="s">
        <v>1015</v>
      </c>
      <c r="D60" s="3" t="str">
        <f>VLOOKUP(B60,Detail!$G$1:$H$1001,2,FALSE)</f>
        <v>Janet Pradana</v>
      </c>
      <c r="E60">
        <v>58</v>
      </c>
      <c r="F60">
        <v>73</v>
      </c>
      <c r="G60" s="35">
        <v>95</v>
      </c>
      <c r="H60">
        <v>66</v>
      </c>
      <c r="I60">
        <v>93</v>
      </c>
      <c r="J60">
        <v>76</v>
      </c>
      <c r="K60">
        <v>63</v>
      </c>
      <c r="L60" s="26">
        <f>IFERROR(VLOOKUP(B60,Absen!$A$1:$C$501,2,FALSE),"No")</f>
        <v>44914</v>
      </c>
      <c r="M60" s="44">
        <f t="shared" si="0"/>
        <v>5.3000000000000007</v>
      </c>
      <c r="N60" s="35">
        <f t="shared" si="1"/>
        <v>75.75</v>
      </c>
      <c r="O60" t="str">
        <f>VLOOKUP(N60,Helper!$B$30:$C$35,2,TRUE)</f>
        <v>B</v>
      </c>
      <c r="P60" s="26">
        <f>INDEX(Detail!$A$1:$A$1001,MATCH(B60,Detail!$G$1:$G$1001,0))</f>
        <v>37702</v>
      </c>
      <c r="Q60" s="3" t="str">
        <f>INDEX(Detail!$F$1:$F$1001,MATCH(Main!B60,Detail!$G$1:$G$1001,0))</f>
        <v>Binjai</v>
      </c>
      <c r="R60" s="7">
        <f>INDEX(Detail!$C$1:$C$1001,MATCH(B60,Detail!$G$1:$G$1001,0),1)</f>
        <v>180</v>
      </c>
      <c r="S60" s="7">
        <f>INDEX(Detail!$D$1:$D$1001,MATCH(B60,Detail!$G$1:$G$1001,0),1)</f>
        <v>94</v>
      </c>
      <c r="T60" s="7" t="str">
        <f>INDEX(Detail!$E$1:$E$1001,MATCH(Main!B60,Detail!$G$1:$G$1001,0))</f>
        <v>Gang Merdeka No. 47</v>
      </c>
      <c r="U60" s="7" t="str">
        <f>INDEX(Detail!$B$1:$B$1001,MATCH(B60,Detail!$G$1:$G$1001,0),1)</f>
        <v>A+</v>
      </c>
    </row>
    <row r="61" spans="1:21" ht="15.75" x14ac:dyDescent="0.25">
      <c r="A61">
        <v>415</v>
      </c>
      <c r="B61" s="3" t="str">
        <f>CONCATENATE("A",TEXT(Main!A61,"0000"))</f>
        <v>A0415</v>
      </c>
      <c r="C61" t="s">
        <v>1015</v>
      </c>
      <c r="D61" s="3" t="str">
        <f>VLOOKUP(B61,Detail!$G$1:$H$1001,2,FALSE)</f>
        <v>Martana Rajasa</v>
      </c>
      <c r="E61">
        <v>64</v>
      </c>
      <c r="F61">
        <v>44</v>
      </c>
      <c r="G61" s="35">
        <v>33</v>
      </c>
      <c r="H61">
        <v>68</v>
      </c>
      <c r="I61">
        <v>79</v>
      </c>
      <c r="J61">
        <v>54</v>
      </c>
      <c r="K61">
        <v>98</v>
      </c>
      <c r="L61" s="26">
        <f>IFERROR(VLOOKUP(B61,Absen!$A$1:$C$501,2,FALSE),"No")</f>
        <v>44830</v>
      </c>
      <c r="M61" s="44">
        <f t="shared" si="0"/>
        <v>8.8000000000000007</v>
      </c>
      <c r="N61" s="35">
        <f t="shared" si="1"/>
        <v>58.075000000000003</v>
      </c>
      <c r="O61" t="str">
        <f>VLOOKUP(N61,Helper!$B$30:$C$35,2,TRUE)</f>
        <v>D</v>
      </c>
      <c r="P61" s="26">
        <f>INDEX(Detail!$A$1:$A$1001,MATCH(B61,Detail!$G$1:$G$1001,0))</f>
        <v>38148</v>
      </c>
      <c r="Q61" s="3" t="str">
        <f>INDEX(Detail!$F$1:$F$1001,MATCH(Main!B61,Detail!$G$1:$G$1001,0))</f>
        <v>Pangkalpinang</v>
      </c>
      <c r="R61" s="7">
        <f>INDEX(Detail!$C$1:$C$1001,MATCH(B61,Detail!$G$1:$G$1001,0),1)</f>
        <v>172</v>
      </c>
      <c r="S61" s="7">
        <f>INDEX(Detail!$D$1:$D$1001,MATCH(B61,Detail!$G$1:$G$1001,0),1)</f>
        <v>71</v>
      </c>
      <c r="T61" s="7" t="str">
        <f>INDEX(Detail!$E$1:$E$1001,MATCH(Main!B61,Detail!$G$1:$G$1001,0))</f>
        <v xml:space="preserve">Jalan Kutai No. 7
</v>
      </c>
      <c r="U61" s="7" t="str">
        <f>INDEX(Detail!$B$1:$B$1001,MATCH(B61,Detail!$G$1:$G$1001,0),1)</f>
        <v>AB-</v>
      </c>
    </row>
    <row r="62" spans="1:21" ht="15.75" x14ac:dyDescent="0.25">
      <c r="A62">
        <v>432</v>
      </c>
      <c r="B62" s="3" t="str">
        <f>CONCATENATE("A",TEXT(Main!A62,"0000"))</f>
        <v>A0432</v>
      </c>
      <c r="C62" t="s">
        <v>1015</v>
      </c>
      <c r="D62" s="3" t="str">
        <f>VLOOKUP(B62,Detail!$G$1:$H$1001,2,FALSE)</f>
        <v>Ivan Manullang</v>
      </c>
      <c r="E62">
        <v>85</v>
      </c>
      <c r="F62">
        <v>66</v>
      </c>
      <c r="G62" s="35">
        <v>46</v>
      </c>
      <c r="H62">
        <v>51</v>
      </c>
      <c r="I62">
        <v>92</v>
      </c>
      <c r="J62">
        <v>99</v>
      </c>
      <c r="K62">
        <v>100</v>
      </c>
      <c r="L62" s="26">
        <f>IFERROR(VLOOKUP(B62,Absen!$A$1:$C$501,2,FALSE),"No")</f>
        <v>44867</v>
      </c>
      <c r="M62" s="44">
        <f t="shared" si="0"/>
        <v>9</v>
      </c>
      <c r="N62" s="35">
        <f t="shared" si="1"/>
        <v>74.75</v>
      </c>
      <c r="O62" t="str">
        <f>VLOOKUP(N62,Helper!$B$30:$C$35,2,TRUE)</f>
        <v>B</v>
      </c>
      <c r="P62" s="26">
        <f>INDEX(Detail!$A$1:$A$1001,MATCH(B62,Detail!$G$1:$G$1001,0))</f>
        <v>38017</v>
      </c>
      <c r="Q62" s="3" t="str">
        <f>INDEX(Detail!$F$1:$F$1001,MATCH(Main!B62,Detail!$G$1:$G$1001,0))</f>
        <v>Meulaboh</v>
      </c>
      <c r="R62" s="7">
        <f>INDEX(Detail!$C$1:$C$1001,MATCH(B62,Detail!$G$1:$G$1001,0),1)</f>
        <v>173</v>
      </c>
      <c r="S62" s="7">
        <f>INDEX(Detail!$D$1:$D$1001,MATCH(B62,Detail!$G$1:$G$1001,0),1)</f>
        <v>88</v>
      </c>
      <c r="T62" s="7" t="str">
        <f>INDEX(Detail!$E$1:$E$1001,MATCH(Main!B62,Detail!$G$1:$G$1001,0))</f>
        <v>Gg. BKR No. 46</v>
      </c>
      <c r="U62" s="7" t="str">
        <f>INDEX(Detail!$B$1:$B$1001,MATCH(B62,Detail!$G$1:$G$1001,0),1)</f>
        <v>B-</v>
      </c>
    </row>
    <row r="63" spans="1:21" ht="15.75" x14ac:dyDescent="0.25">
      <c r="A63">
        <v>438</v>
      </c>
      <c r="B63" s="3" t="str">
        <f>CONCATENATE("A",TEXT(Main!A63,"0000"))</f>
        <v>A0438</v>
      </c>
      <c r="C63" t="s">
        <v>1015</v>
      </c>
      <c r="D63" s="3" t="str">
        <f>VLOOKUP(B63,Detail!$G$1:$H$1001,2,FALSE)</f>
        <v>Daniswara Damanik</v>
      </c>
      <c r="E63">
        <v>95</v>
      </c>
      <c r="F63">
        <v>60</v>
      </c>
      <c r="G63" s="35">
        <v>91</v>
      </c>
      <c r="H63">
        <v>53</v>
      </c>
      <c r="I63">
        <v>94</v>
      </c>
      <c r="J63">
        <v>76</v>
      </c>
      <c r="K63">
        <v>86</v>
      </c>
      <c r="L63" s="26">
        <f>IFERROR(VLOOKUP(B63,Absen!$A$1:$C$501,2,FALSE),"No")</f>
        <v>44797</v>
      </c>
      <c r="M63" s="44">
        <f t="shared" si="0"/>
        <v>7.6000000000000005</v>
      </c>
      <c r="N63" s="35">
        <f t="shared" si="1"/>
        <v>78.75</v>
      </c>
      <c r="O63" t="str">
        <f>VLOOKUP(N63,Helper!$B$30:$C$35,2,TRUE)</f>
        <v>B</v>
      </c>
      <c r="P63" s="26">
        <f>INDEX(Detail!$A$1:$A$1001,MATCH(B63,Detail!$G$1:$G$1001,0))</f>
        <v>37024</v>
      </c>
      <c r="Q63" s="3" t="str">
        <f>INDEX(Detail!$F$1:$F$1001,MATCH(Main!B63,Detail!$G$1:$G$1001,0))</f>
        <v>Banjarmasin</v>
      </c>
      <c r="R63" s="7">
        <f>INDEX(Detail!$C$1:$C$1001,MATCH(B63,Detail!$G$1:$G$1001,0),1)</f>
        <v>163</v>
      </c>
      <c r="S63" s="7">
        <f>INDEX(Detail!$D$1:$D$1001,MATCH(B63,Detail!$G$1:$G$1001,0),1)</f>
        <v>53</v>
      </c>
      <c r="T63" s="7" t="str">
        <f>INDEX(Detail!$E$1:$E$1001,MATCH(Main!B63,Detail!$G$1:$G$1001,0))</f>
        <v>Gg. Soekarno Hatta No. 12</v>
      </c>
      <c r="U63" s="7" t="str">
        <f>INDEX(Detail!$B$1:$B$1001,MATCH(B63,Detail!$G$1:$G$1001,0),1)</f>
        <v>AB-</v>
      </c>
    </row>
    <row r="64" spans="1:21" ht="15.75" x14ac:dyDescent="0.25">
      <c r="A64">
        <v>470</v>
      </c>
      <c r="B64" s="3" t="str">
        <f>CONCATENATE("A",TEXT(Main!A64,"0000"))</f>
        <v>A0470</v>
      </c>
      <c r="C64" t="s">
        <v>1015</v>
      </c>
      <c r="D64" s="3" t="str">
        <f>VLOOKUP(B64,Detail!$G$1:$H$1001,2,FALSE)</f>
        <v>Lantar Haryanti</v>
      </c>
      <c r="E64">
        <v>84</v>
      </c>
      <c r="F64">
        <v>61</v>
      </c>
      <c r="G64" s="35">
        <v>59</v>
      </c>
      <c r="H64">
        <v>56</v>
      </c>
      <c r="I64">
        <v>82</v>
      </c>
      <c r="J64">
        <v>64</v>
      </c>
      <c r="K64">
        <v>84</v>
      </c>
      <c r="L64" s="26" t="str">
        <f>IFERROR(VLOOKUP(B64,Absen!$A$1:$C$501,2,FALSE),"No")</f>
        <v>No</v>
      </c>
      <c r="M64" s="44">
        <f t="shared" si="0"/>
        <v>8.4</v>
      </c>
      <c r="N64" s="35">
        <f t="shared" si="1"/>
        <v>68.375</v>
      </c>
      <c r="O64" t="str">
        <f>VLOOKUP(N64,Helper!$B$30:$C$35,2,TRUE)</f>
        <v>C</v>
      </c>
      <c r="P64" s="26">
        <f>INDEX(Detail!$A$1:$A$1001,MATCH(B64,Detail!$G$1:$G$1001,0))</f>
        <v>38049</v>
      </c>
      <c r="Q64" s="3" t="str">
        <f>INDEX(Detail!$F$1:$F$1001,MATCH(Main!B64,Detail!$G$1:$G$1001,0))</f>
        <v>Yogyakarta</v>
      </c>
      <c r="R64" s="7">
        <f>INDEX(Detail!$C$1:$C$1001,MATCH(B64,Detail!$G$1:$G$1001,0),1)</f>
        <v>171</v>
      </c>
      <c r="S64" s="7">
        <f>INDEX(Detail!$D$1:$D$1001,MATCH(B64,Detail!$G$1:$G$1001,0),1)</f>
        <v>53</v>
      </c>
      <c r="T64" s="7" t="str">
        <f>INDEX(Detail!$E$1:$E$1001,MATCH(Main!B64,Detail!$G$1:$G$1001,0))</f>
        <v xml:space="preserve">Gang Ahmad Yani No. 0
</v>
      </c>
      <c r="U64" s="7" t="str">
        <f>INDEX(Detail!$B$1:$B$1001,MATCH(B64,Detail!$G$1:$G$1001,0),1)</f>
        <v>O+</v>
      </c>
    </row>
    <row r="65" spans="1:21" ht="15.75" x14ac:dyDescent="0.25">
      <c r="A65">
        <v>475</v>
      </c>
      <c r="B65" s="3" t="str">
        <f>CONCATENATE("A",TEXT(Main!A65,"0000"))</f>
        <v>A0475</v>
      </c>
      <c r="C65" t="s">
        <v>1015</v>
      </c>
      <c r="D65" s="3" t="str">
        <f>VLOOKUP(B65,Detail!$G$1:$H$1001,2,FALSE)</f>
        <v>Mahfud Melani</v>
      </c>
      <c r="E65">
        <v>68</v>
      </c>
      <c r="F65">
        <v>67</v>
      </c>
      <c r="G65" s="35">
        <v>81</v>
      </c>
      <c r="H65">
        <v>70</v>
      </c>
      <c r="I65">
        <v>91</v>
      </c>
      <c r="J65">
        <v>40</v>
      </c>
      <c r="K65">
        <v>70</v>
      </c>
      <c r="L65" s="26">
        <f>IFERROR(VLOOKUP(B65,Absen!$A$1:$C$501,2,FALSE),"No")</f>
        <v>44870</v>
      </c>
      <c r="M65" s="44">
        <f t="shared" si="0"/>
        <v>6</v>
      </c>
      <c r="N65" s="35">
        <f t="shared" si="1"/>
        <v>67.2</v>
      </c>
      <c r="O65" t="str">
        <f>VLOOKUP(N65,Helper!$B$30:$C$35,2,TRUE)</f>
        <v>C</v>
      </c>
      <c r="P65" s="26">
        <f>INDEX(Detail!$A$1:$A$1001,MATCH(B65,Detail!$G$1:$G$1001,0))</f>
        <v>37772</v>
      </c>
      <c r="Q65" s="3" t="str">
        <f>INDEX(Detail!$F$1:$F$1001,MATCH(Main!B65,Detail!$G$1:$G$1001,0))</f>
        <v>Depok</v>
      </c>
      <c r="R65" s="7">
        <f>INDEX(Detail!$C$1:$C$1001,MATCH(B65,Detail!$G$1:$G$1001,0),1)</f>
        <v>164</v>
      </c>
      <c r="S65" s="7">
        <f>INDEX(Detail!$D$1:$D$1001,MATCH(B65,Detail!$G$1:$G$1001,0),1)</f>
        <v>47</v>
      </c>
      <c r="T65" s="7" t="str">
        <f>INDEX(Detail!$E$1:$E$1001,MATCH(Main!B65,Detail!$G$1:$G$1001,0))</f>
        <v xml:space="preserve">Gg. KH Amin Jasuta No. 8
</v>
      </c>
      <c r="U65" s="7" t="str">
        <f>INDEX(Detail!$B$1:$B$1001,MATCH(B65,Detail!$G$1:$G$1001,0),1)</f>
        <v>A-</v>
      </c>
    </row>
    <row r="66" spans="1:21" ht="15.75" x14ac:dyDescent="0.25">
      <c r="A66">
        <v>482</v>
      </c>
      <c r="B66" s="3" t="str">
        <f>CONCATENATE("A",TEXT(Main!A66,"0000"))</f>
        <v>A0482</v>
      </c>
      <c r="C66" t="s">
        <v>1015</v>
      </c>
      <c r="D66" s="3" t="str">
        <f>VLOOKUP(B66,Detail!$G$1:$H$1001,2,FALSE)</f>
        <v>Harto Tarihoran</v>
      </c>
      <c r="E66">
        <v>76</v>
      </c>
      <c r="F66">
        <v>51</v>
      </c>
      <c r="G66" s="35">
        <v>54</v>
      </c>
      <c r="H66">
        <v>69</v>
      </c>
      <c r="I66">
        <v>67</v>
      </c>
      <c r="J66">
        <v>70</v>
      </c>
      <c r="K66">
        <v>61</v>
      </c>
      <c r="L66" s="26" t="str">
        <f>IFERROR(VLOOKUP(B66,Absen!$A$1:$C$501,2,FALSE),"No")</f>
        <v>No</v>
      </c>
      <c r="M66" s="44">
        <f t="shared" ref="M66:M129" si="2">IF(L66="no",K66,K66-10)*10%</f>
        <v>6.1000000000000005</v>
      </c>
      <c r="N66" s="35">
        <f t="shared" ref="N66:N129" si="3">SUM(E66*12.5%,F66*12.5%,H66*12.5%,I66*12.5%,G66*20%,J66*20%,M66)</f>
        <v>63.774999999999999</v>
      </c>
      <c r="O66" t="str">
        <f>VLOOKUP(N66,Helper!$B$30:$C$35,2,TRUE)</f>
        <v>C</v>
      </c>
      <c r="P66" s="26">
        <f>INDEX(Detail!$A$1:$A$1001,MATCH(B66,Detail!$G$1:$G$1001,0))</f>
        <v>38450</v>
      </c>
      <c r="Q66" s="3" t="str">
        <f>INDEX(Detail!$F$1:$F$1001,MATCH(Main!B66,Detail!$G$1:$G$1001,0))</f>
        <v>Blitar</v>
      </c>
      <c r="R66" s="7">
        <f>INDEX(Detail!$C$1:$C$1001,MATCH(B66,Detail!$G$1:$G$1001,0),1)</f>
        <v>177</v>
      </c>
      <c r="S66" s="7">
        <f>INDEX(Detail!$D$1:$D$1001,MATCH(B66,Detail!$G$1:$G$1001,0),1)</f>
        <v>76</v>
      </c>
      <c r="T66" s="7" t="str">
        <f>INDEX(Detail!$E$1:$E$1001,MATCH(Main!B66,Detail!$G$1:$G$1001,0))</f>
        <v xml:space="preserve">Jalan K.H. Wahid Hasyim No. 4
</v>
      </c>
      <c r="U66" s="7" t="str">
        <f>INDEX(Detail!$B$1:$B$1001,MATCH(B66,Detail!$G$1:$G$1001,0),1)</f>
        <v>AB-</v>
      </c>
    </row>
    <row r="67" spans="1:21" ht="15.75" x14ac:dyDescent="0.25">
      <c r="A67">
        <v>485</v>
      </c>
      <c r="B67" s="3" t="str">
        <f>CONCATENATE("A",TEXT(Main!A67,"0000"))</f>
        <v>A0485</v>
      </c>
      <c r="C67" t="s">
        <v>1015</v>
      </c>
      <c r="D67" s="3" t="str">
        <f>VLOOKUP(B67,Detail!$G$1:$H$1001,2,FALSE)</f>
        <v>Dina Marbun</v>
      </c>
      <c r="E67">
        <v>58</v>
      </c>
      <c r="F67">
        <v>57</v>
      </c>
      <c r="G67" s="35">
        <v>49</v>
      </c>
      <c r="H67">
        <v>53</v>
      </c>
      <c r="I67">
        <v>79</v>
      </c>
      <c r="J67">
        <v>91</v>
      </c>
      <c r="K67">
        <v>67</v>
      </c>
      <c r="L67" s="26" t="str">
        <f>IFERROR(VLOOKUP(B67,Absen!$A$1:$C$501,2,FALSE),"No")</f>
        <v>No</v>
      </c>
      <c r="M67" s="44">
        <f t="shared" si="2"/>
        <v>6.7</v>
      </c>
      <c r="N67" s="35">
        <f t="shared" si="3"/>
        <v>65.575000000000003</v>
      </c>
      <c r="O67" t="str">
        <f>VLOOKUP(N67,Helper!$B$30:$C$35,2,TRUE)</f>
        <v>C</v>
      </c>
      <c r="P67" s="26">
        <f>INDEX(Detail!$A$1:$A$1001,MATCH(B67,Detail!$G$1:$G$1001,0))</f>
        <v>37563</v>
      </c>
      <c r="Q67" s="3" t="str">
        <f>INDEX(Detail!$F$1:$F$1001,MATCH(Main!B67,Detail!$G$1:$G$1001,0))</f>
        <v>Bontang</v>
      </c>
      <c r="R67" s="7">
        <f>INDEX(Detail!$C$1:$C$1001,MATCH(B67,Detail!$G$1:$G$1001,0),1)</f>
        <v>179</v>
      </c>
      <c r="S67" s="7">
        <f>INDEX(Detail!$D$1:$D$1001,MATCH(B67,Detail!$G$1:$G$1001,0),1)</f>
        <v>54</v>
      </c>
      <c r="T67" s="7" t="str">
        <f>INDEX(Detail!$E$1:$E$1001,MATCH(Main!B67,Detail!$G$1:$G$1001,0))</f>
        <v xml:space="preserve">Gg. Kiaracondong No. 6
</v>
      </c>
      <c r="U67" s="7" t="str">
        <f>INDEX(Detail!$B$1:$B$1001,MATCH(B67,Detail!$G$1:$G$1001,0),1)</f>
        <v>AB-</v>
      </c>
    </row>
    <row r="68" spans="1:21" ht="15.75" x14ac:dyDescent="0.25">
      <c r="A68">
        <v>488</v>
      </c>
      <c r="B68" s="3" t="str">
        <f>CONCATENATE("A",TEXT(Main!A68,"0000"))</f>
        <v>A0488</v>
      </c>
      <c r="C68" t="s">
        <v>1015</v>
      </c>
      <c r="D68" s="3" t="str">
        <f>VLOOKUP(B68,Detail!$G$1:$H$1001,2,FALSE)</f>
        <v>Setya Uyainah</v>
      </c>
      <c r="E68">
        <v>67</v>
      </c>
      <c r="F68">
        <v>70</v>
      </c>
      <c r="G68" s="35">
        <v>67</v>
      </c>
      <c r="H68">
        <v>68</v>
      </c>
      <c r="I68">
        <v>71</v>
      </c>
      <c r="J68">
        <v>42</v>
      </c>
      <c r="K68">
        <v>73</v>
      </c>
      <c r="L68" s="26">
        <f>IFERROR(VLOOKUP(B68,Absen!$A$1:$C$501,2,FALSE),"No")</f>
        <v>44796</v>
      </c>
      <c r="M68" s="44">
        <f t="shared" si="2"/>
        <v>6.3000000000000007</v>
      </c>
      <c r="N68" s="35">
        <f t="shared" si="3"/>
        <v>62.599999999999994</v>
      </c>
      <c r="O68" t="str">
        <f>VLOOKUP(N68,Helper!$B$30:$C$35,2,TRUE)</f>
        <v>C</v>
      </c>
      <c r="P68" s="26">
        <f>INDEX(Detail!$A$1:$A$1001,MATCH(B68,Detail!$G$1:$G$1001,0))</f>
        <v>37197</v>
      </c>
      <c r="Q68" s="3" t="str">
        <f>INDEX(Detail!$F$1:$F$1001,MATCH(Main!B68,Detail!$G$1:$G$1001,0))</f>
        <v>Kota Administrasi Jakarta Selatan</v>
      </c>
      <c r="R68" s="7">
        <f>INDEX(Detail!$C$1:$C$1001,MATCH(B68,Detail!$G$1:$G$1001,0),1)</f>
        <v>162</v>
      </c>
      <c r="S68" s="7">
        <f>INDEX(Detail!$D$1:$D$1001,MATCH(B68,Detail!$G$1:$G$1001,0),1)</f>
        <v>72</v>
      </c>
      <c r="T68" s="7" t="str">
        <f>INDEX(Detail!$E$1:$E$1001,MATCH(Main!B68,Detail!$G$1:$G$1001,0))</f>
        <v>Jalan Tubagus Ismail No. 73</v>
      </c>
      <c r="U68" s="7" t="str">
        <f>INDEX(Detail!$B$1:$B$1001,MATCH(B68,Detail!$G$1:$G$1001,0),1)</f>
        <v>AB-</v>
      </c>
    </row>
    <row r="69" spans="1:21" ht="15.75" x14ac:dyDescent="0.25">
      <c r="A69">
        <v>493</v>
      </c>
      <c r="B69" s="3" t="str">
        <f>CONCATENATE("A",TEXT(Main!A69,"0000"))</f>
        <v>A0493</v>
      </c>
      <c r="C69" t="s">
        <v>1015</v>
      </c>
      <c r="D69" s="3" t="str">
        <f>VLOOKUP(B69,Detail!$G$1:$H$1001,2,FALSE)</f>
        <v>Nyana Lestari</v>
      </c>
      <c r="E69">
        <v>57</v>
      </c>
      <c r="F69">
        <v>59</v>
      </c>
      <c r="G69" s="35">
        <v>78</v>
      </c>
      <c r="H69">
        <v>63</v>
      </c>
      <c r="I69">
        <v>93</v>
      </c>
      <c r="J69">
        <v>64</v>
      </c>
      <c r="K69">
        <v>94</v>
      </c>
      <c r="L69" s="26" t="str">
        <f>IFERROR(VLOOKUP(B69,Absen!$A$1:$C$501,2,FALSE),"No")</f>
        <v>No</v>
      </c>
      <c r="M69" s="44">
        <f t="shared" si="2"/>
        <v>9.4</v>
      </c>
      <c r="N69" s="35">
        <f t="shared" si="3"/>
        <v>71.800000000000011</v>
      </c>
      <c r="O69" t="str">
        <f>VLOOKUP(N69,Helper!$B$30:$C$35,2,TRUE)</f>
        <v>B</v>
      </c>
      <c r="P69" s="26">
        <f>INDEX(Detail!$A$1:$A$1001,MATCH(B69,Detail!$G$1:$G$1001,0))</f>
        <v>37572</v>
      </c>
      <c r="Q69" s="3" t="str">
        <f>INDEX(Detail!$F$1:$F$1001,MATCH(Main!B69,Detail!$G$1:$G$1001,0))</f>
        <v>Balikpapan</v>
      </c>
      <c r="R69" s="7">
        <f>INDEX(Detail!$C$1:$C$1001,MATCH(B69,Detail!$G$1:$G$1001,0),1)</f>
        <v>157</v>
      </c>
      <c r="S69" s="7">
        <f>INDEX(Detail!$D$1:$D$1001,MATCH(B69,Detail!$G$1:$G$1001,0),1)</f>
        <v>93</v>
      </c>
      <c r="T69" s="7" t="str">
        <f>INDEX(Detail!$E$1:$E$1001,MATCH(Main!B69,Detail!$G$1:$G$1001,0))</f>
        <v>Jalan Kendalsari No. 53</v>
      </c>
      <c r="U69" s="7" t="str">
        <f>INDEX(Detail!$B$1:$B$1001,MATCH(B69,Detail!$G$1:$G$1001,0),1)</f>
        <v>O+</v>
      </c>
    </row>
    <row r="70" spans="1:21" ht="15.75" x14ac:dyDescent="0.25">
      <c r="A70">
        <v>497</v>
      </c>
      <c r="B70" s="3" t="str">
        <f>CONCATENATE("A",TEXT(Main!A70,"0000"))</f>
        <v>A0497</v>
      </c>
      <c r="C70" t="s">
        <v>1015</v>
      </c>
      <c r="D70" s="3" t="str">
        <f>VLOOKUP(B70,Detail!$G$1:$H$1001,2,FALSE)</f>
        <v>Ibun Hutapea</v>
      </c>
      <c r="E70">
        <v>94</v>
      </c>
      <c r="F70">
        <v>47</v>
      </c>
      <c r="G70" s="35">
        <v>30</v>
      </c>
      <c r="H70">
        <v>75</v>
      </c>
      <c r="I70">
        <v>90</v>
      </c>
      <c r="J70">
        <v>67</v>
      </c>
      <c r="K70">
        <v>85</v>
      </c>
      <c r="L70" s="26" t="str">
        <f>IFERROR(VLOOKUP(B70,Absen!$A$1:$C$501,2,FALSE),"No")</f>
        <v>No</v>
      </c>
      <c r="M70" s="44">
        <f t="shared" si="2"/>
        <v>8.5</v>
      </c>
      <c r="N70" s="35">
        <f t="shared" si="3"/>
        <v>66.150000000000006</v>
      </c>
      <c r="O70" t="str">
        <f>VLOOKUP(N70,Helper!$B$30:$C$35,2,TRUE)</f>
        <v>C</v>
      </c>
      <c r="P70" s="26">
        <f>INDEX(Detail!$A$1:$A$1001,MATCH(B70,Detail!$G$1:$G$1001,0))</f>
        <v>37781</v>
      </c>
      <c r="Q70" s="3" t="str">
        <f>INDEX(Detail!$F$1:$F$1001,MATCH(Main!B70,Detail!$G$1:$G$1001,0))</f>
        <v>Bitung</v>
      </c>
      <c r="R70" s="7">
        <f>INDEX(Detail!$C$1:$C$1001,MATCH(B70,Detail!$G$1:$G$1001,0),1)</f>
        <v>165</v>
      </c>
      <c r="S70" s="7">
        <f>INDEX(Detail!$D$1:$D$1001,MATCH(B70,Detail!$G$1:$G$1001,0),1)</f>
        <v>61</v>
      </c>
      <c r="T70" s="7" t="str">
        <f>INDEX(Detail!$E$1:$E$1001,MATCH(Main!B70,Detail!$G$1:$G$1001,0))</f>
        <v>Jl. Medokan Ayu No. 42</v>
      </c>
      <c r="U70" s="7" t="str">
        <f>INDEX(Detail!$B$1:$B$1001,MATCH(B70,Detail!$G$1:$G$1001,0),1)</f>
        <v>A+</v>
      </c>
    </row>
    <row r="71" spans="1:21" ht="15.75" x14ac:dyDescent="0.25">
      <c r="A71">
        <v>500</v>
      </c>
      <c r="B71" s="3" t="str">
        <f>CONCATENATE("A",TEXT(Main!A71,"0000"))</f>
        <v>A0500</v>
      </c>
      <c r="C71" t="s">
        <v>1015</v>
      </c>
      <c r="D71" s="3" t="str">
        <f>VLOOKUP(B71,Detail!$G$1:$H$1001,2,FALSE)</f>
        <v>Arsipatra Prasetya</v>
      </c>
      <c r="E71">
        <v>79</v>
      </c>
      <c r="F71">
        <v>47</v>
      </c>
      <c r="G71" s="35">
        <v>47</v>
      </c>
      <c r="H71">
        <v>68</v>
      </c>
      <c r="I71">
        <v>73</v>
      </c>
      <c r="J71">
        <v>43</v>
      </c>
      <c r="K71">
        <v>64</v>
      </c>
      <c r="L71" s="26" t="str">
        <f>IFERROR(VLOOKUP(B71,Absen!$A$1:$C$501,2,FALSE),"No")</f>
        <v>No</v>
      </c>
      <c r="M71" s="44">
        <f t="shared" si="2"/>
        <v>6.4</v>
      </c>
      <c r="N71" s="35">
        <f t="shared" si="3"/>
        <v>57.774999999999999</v>
      </c>
      <c r="O71" t="str">
        <f>VLOOKUP(N71,Helper!$B$30:$C$35,2,TRUE)</f>
        <v>D</v>
      </c>
      <c r="P71" s="26">
        <f>INDEX(Detail!$A$1:$A$1001,MATCH(B71,Detail!$G$1:$G$1001,0))</f>
        <v>37102</v>
      </c>
      <c r="Q71" s="3" t="str">
        <f>INDEX(Detail!$F$1:$F$1001,MATCH(Main!B71,Detail!$G$1:$G$1001,0))</f>
        <v>Surabaya</v>
      </c>
      <c r="R71" s="7">
        <f>INDEX(Detail!$C$1:$C$1001,MATCH(B71,Detail!$G$1:$G$1001,0),1)</f>
        <v>176</v>
      </c>
      <c r="S71" s="7">
        <f>INDEX(Detail!$D$1:$D$1001,MATCH(B71,Detail!$G$1:$G$1001,0),1)</f>
        <v>60</v>
      </c>
      <c r="T71" s="7" t="str">
        <f>INDEX(Detail!$E$1:$E$1001,MATCH(Main!B71,Detail!$G$1:$G$1001,0))</f>
        <v>Jl. Wonoayu No. 03</v>
      </c>
      <c r="U71" s="7" t="str">
        <f>INDEX(Detail!$B$1:$B$1001,MATCH(B71,Detail!$G$1:$G$1001,0),1)</f>
        <v>A-</v>
      </c>
    </row>
    <row r="72" spans="1:21" ht="15.75" x14ac:dyDescent="0.25">
      <c r="A72">
        <v>503</v>
      </c>
      <c r="B72" s="3" t="str">
        <f>CONCATENATE("A",TEXT(Main!A72,"0000"))</f>
        <v>A0503</v>
      </c>
      <c r="C72" t="s">
        <v>1015</v>
      </c>
      <c r="D72" s="3" t="str">
        <f>VLOOKUP(B72,Detail!$G$1:$H$1001,2,FALSE)</f>
        <v>Kala Uwais</v>
      </c>
      <c r="E72">
        <v>59</v>
      </c>
      <c r="F72">
        <v>45</v>
      </c>
      <c r="G72" s="35">
        <v>85</v>
      </c>
      <c r="H72">
        <v>50</v>
      </c>
      <c r="I72">
        <v>73</v>
      </c>
      <c r="J72">
        <v>77</v>
      </c>
      <c r="K72">
        <v>71</v>
      </c>
      <c r="L72" s="26" t="str">
        <f>IFERROR(VLOOKUP(B72,Absen!$A$1:$C$501,2,FALSE),"No")</f>
        <v>No</v>
      </c>
      <c r="M72" s="44">
        <f t="shared" si="2"/>
        <v>7.1000000000000005</v>
      </c>
      <c r="N72" s="35">
        <f t="shared" si="3"/>
        <v>67.875</v>
      </c>
      <c r="O72" t="str">
        <f>VLOOKUP(N72,Helper!$B$30:$C$35,2,TRUE)</f>
        <v>C</v>
      </c>
      <c r="P72" s="26">
        <f>INDEX(Detail!$A$1:$A$1001,MATCH(B72,Detail!$G$1:$G$1001,0))</f>
        <v>37513</v>
      </c>
      <c r="Q72" s="3" t="str">
        <f>INDEX(Detail!$F$1:$F$1001,MATCH(Main!B72,Detail!$G$1:$G$1001,0))</f>
        <v>Banjar</v>
      </c>
      <c r="R72" s="7">
        <f>INDEX(Detail!$C$1:$C$1001,MATCH(B72,Detail!$G$1:$G$1001,0),1)</f>
        <v>153</v>
      </c>
      <c r="S72" s="7">
        <f>INDEX(Detail!$D$1:$D$1001,MATCH(B72,Detail!$G$1:$G$1001,0),1)</f>
        <v>84</v>
      </c>
      <c r="T72" s="7" t="str">
        <f>INDEX(Detail!$E$1:$E$1001,MATCH(Main!B72,Detail!$G$1:$G$1001,0))</f>
        <v xml:space="preserve">Gg. Rungkut Industri No. 2
</v>
      </c>
      <c r="U72" s="7" t="str">
        <f>INDEX(Detail!$B$1:$B$1001,MATCH(B72,Detail!$G$1:$G$1001,0),1)</f>
        <v>AB+</v>
      </c>
    </row>
    <row r="73" spans="1:21" ht="15.75" x14ac:dyDescent="0.25">
      <c r="A73">
        <v>525</v>
      </c>
      <c r="B73" s="3" t="str">
        <f>CONCATENATE("A",TEXT(Main!A73,"0000"))</f>
        <v>A0525</v>
      </c>
      <c r="C73" t="s">
        <v>1015</v>
      </c>
      <c r="D73" s="3" t="str">
        <f>VLOOKUP(B73,Detail!$G$1:$H$1001,2,FALSE)</f>
        <v>Harjo Pertiwi</v>
      </c>
      <c r="E73">
        <v>87</v>
      </c>
      <c r="F73">
        <v>58</v>
      </c>
      <c r="G73" s="35">
        <v>61</v>
      </c>
      <c r="H73">
        <v>54</v>
      </c>
      <c r="I73">
        <v>57</v>
      </c>
      <c r="J73">
        <v>67</v>
      </c>
      <c r="K73">
        <v>78</v>
      </c>
      <c r="L73" s="26" t="str">
        <f>IFERROR(VLOOKUP(B73,Absen!$A$1:$C$501,2,FALSE),"No")</f>
        <v>No</v>
      </c>
      <c r="M73" s="44">
        <f t="shared" si="2"/>
        <v>7.8000000000000007</v>
      </c>
      <c r="N73" s="35">
        <f t="shared" si="3"/>
        <v>65.400000000000006</v>
      </c>
      <c r="O73" t="str">
        <f>VLOOKUP(N73,Helper!$B$30:$C$35,2,TRUE)</f>
        <v>C</v>
      </c>
      <c r="P73" s="26">
        <f>INDEX(Detail!$A$1:$A$1001,MATCH(B73,Detail!$G$1:$G$1001,0))</f>
        <v>37728</v>
      </c>
      <c r="Q73" s="3" t="str">
        <f>INDEX(Detail!$F$1:$F$1001,MATCH(Main!B73,Detail!$G$1:$G$1001,0))</f>
        <v>Tanjungpinang</v>
      </c>
      <c r="R73" s="7">
        <f>INDEX(Detail!$C$1:$C$1001,MATCH(B73,Detail!$G$1:$G$1001,0),1)</f>
        <v>164</v>
      </c>
      <c r="S73" s="7">
        <f>INDEX(Detail!$D$1:$D$1001,MATCH(B73,Detail!$G$1:$G$1001,0),1)</f>
        <v>92</v>
      </c>
      <c r="T73" s="7" t="str">
        <f>INDEX(Detail!$E$1:$E$1001,MATCH(Main!B73,Detail!$G$1:$G$1001,0))</f>
        <v>Gg. Cempaka No. 15</v>
      </c>
      <c r="U73" s="7" t="str">
        <f>INDEX(Detail!$B$1:$B$1001,MATCH(B73,Detail!$G$1:$G$1001,0),1)</f>
        <v>B-</v>
      </c>
    </row>
    <row r="74" spans="1:21" ht="15.75" x14ac:dyDescent="0.25">
      <c r="A74">
        <v>526</v>
      </c>
      <c r="B74" s="3" t="str">
        <f>CONCATENATE("A",TEXT(Main!A74,"0000"))</f>
        <v>A0526</v>
      </c>
      <c r="C74" t="s">
        <v>1015</v>
      </c>
      <c r="D74" s="3" t="str">
        <f>VLOOKUP(B74,Detail!$G$1:$H$1001,2,FALSE)</f>
        <v>Hartana Hassanah</v>
      </c>
      <c r="E74">
        <v>78</v>
      </c>
      <c r="F74">
        <v>60</v>
      </c>
      <c r="G74" s="35">
        <v>39</v>
      </c>
      <c r="H74">
        <v>73</v>
      </c>
      <c r="I74">
        <v>51</v>
      </c>
      <c r="J74">
        <v>92</v>
      </c>
      <c r="K74">
        <v>75</v>
      </c>
      <c r="L74" s="26">
        <f>IFERROR(VLOOKUP(B74,Absen!$A$1:$C$501,2,FALSE),"No")</f>
        <v>44830</v>
      </c>
      <c r="M74" s="44">
        <f t="shared" si="2"/>
        <v>6.5</v>
      </c>
      <c r="N74" s="35">
        <f t="shared" si="3"/>
        <v>65.45</v>
      </c>
      <c r="O74" t="str">
        <f>VLOOKUP(N74,Helper!$B$30:$C$35,2,TRUE)</f>
        <v>C</v>
      </c>
      <c r="P74" s="26">
        <f>INDEX(Detail!$A$1:$A$1001,MATCH(B74,Detail!$G$1:$G$1001,0))</f>
        <v>37413</v>
      </c>
      <c r="Q74" s="3" t="str">
        <f>INDEX(Detail!$F$1:$F$1001,MATCH(Main!B74,Detail!$G$1:$G$1001,0))</f>
        <v>Pontianak</v>
      </c>
      <c r="R74" s="7">
        <f>INDEX(Detail!$C$1:$C$1001,MATCH(B74,Detail!$G$1:$G$1001,0),1)</f>
        <v>156</v>
      </c>
      <c r="S74" s="7">
        <f>INDEX(Detail!$D$1:$D$1001,MATCH(B74,Detail!$G$1:$G$1001,0),1)</f>
        <v>53</v>
      </c>
      <c r="T74" s="7" t="str">
        <f>INDEX(Detail!$E$1:$E$1001,MATCH(Main!B74,Detail!$G$1:$G$1001,0))</f>
        <v>Gg. Pasir Koja No. 65</v>
      </c>
      <c r="U74" s="7" t="str">
        <f>INDEX(Detail!$B$1:$B$1001,MATCH(B74,Detail!$G$1:$G$1001,0),1)</f>
        <v>B-</v>
      </c>
    </row>
    <row r="75" spans="1:21" ht="15.75" x14ac:dyDescent="0.25">
      <c r="A75">
        <v>529</v>
      </c>
      <c r="B75" s="3" t="str">
        <f>CONCATENATE("A",TEXT(Main!A75,"0000"))</f>
        <v>A0529</v>
      </c>
      <c r="C75" t="s">
        <v>1015</v>
      </c>
      <c r="D75" s="3" t="str">
        <f>VLOOKUP(B75,Detail!$G$1:$H$1001,2,FALSE)</f>
        <v>Belinda Widiastuti</v>
      </c>
      <c r="E75">
        <v>86</v>
      </c>
      <c r="F75">
        <v>71</v>
      </c>
      <c r="G75" s="35">
        <v>72</v>
      </c>
      <c r="H75">
        <v>69</v>
      </c>
      <c r="I75">
        <v>88</v>
      </c>
      <c r="J75">
        <v>82</v>
      </c>
      <c r="K75">
        <v>88</v>
      </c>
      <c r="L75" s="26" t="str">
        <f>IFERROR(VLOOKUP(B75,Absen!$A$1:$C$501,2,FALSE),"No")</f>
        <v>No</v>
      </c>
      <c r="M75" s="44">
        <f t="shared" si="2"/>
        <v>8.8000000000000007</v>
      </c>
      <c r="N75" s="35">
        <f t="shared" si="3"/>
        <v>78.849999999999994</v>
      </c>
      <c r="O75" t="str">
        <f>VLOOKUP(N75,Helper!$B$30:$C$35,2,TRUE)</f>
        <v>B</v>
      </c>
      <c r="P75" s="26">
        <f>INDEX(Detail!$A$1:$A$1001,MATCH(B75,Detail!$G$1:$G$1001,0))</f>
        <v>37407</v>
      </c>
      <c r="Q75" s="3" t="str">
        <f>INDEX(Detail!$F$1:$F$1001,MATCH(Main!B75,Detail!$G$1:$G$1001,0))</f>
        <v>Tasikmalaya</v>
      </c>
      <c r="R75" s="7">
        <f>INDEX(Detail!$C$1:$C$1001,MATCH(B75,Detail!$G$1:$G$1001,0),1)</f>
        <v>175</v>
      </c>
      <c r="S75" s="7">
        <f>INDEX(Detail!$D$1:$D$1001,MATCH(B75,Detail!$G$1:$G$1001,0),1)</f>
        <v>87</v>
      </c>
      <c r="T75" s="7" t="str">
        <f>INDEX(Detail!$E$1:$E$1001,MATCH(Main!B75,Detail!$G$1:$G$1001,0))</f>
        <v>Jalan Raya Setiabudhi No. 92</v>
      </c>
      <c r="U75" s="7" t="str">
        <f>INDEX(Detail!$B$1:$B$1001,MATCH(B75,Detail!$G$1:$G$1001,0),1)</f>
        <v>O-</v>
      </c>
    </row>
    <row r="76" spans="1:21" ht="15.75" x14ac:dyDescent="0.25">
      <c r="A76">
        <v>534</v>
      </c>
      <c r="B76" s="3" t="str">
        <f>CONCATENATE("A",TEXT(Main!A76,"0000"))</f>
        <v>A0534</v>
      </c>
      <c r="C76" t="s">
        <v>1015</v>
      </c>
      <c r="D76" s="3" t="str">
        <f>VLOOKUP(B76,Detail!$G$1:$H$1001,2,FALSE)</f>
        <v>Reksa Wulandari</v>
      </c>
      <c r="E76">
        <v>88</v>
      </c>
      <c r="F76">
        <v>73</v>
      </c>
      <c r="G76" s="35">
        <v>72</v>
      </c>
      <c r="H76">
        <v>59</v>
      </c>
      <c r="I76">
        <v>81</v>
      </c>
      <c r="J76">
        <v>80</v>
      </c>
      <c r="K76">
        <v>91</v>
      </c>
      <c r="L76" s="26">
        <f>IFERROR(VLOOKUP(B76,Absen!$A$1:$C$501,2,FALSE),"No")</f>
        <v>44881</v>
      </c>
      <c r="M76" s="44">
        <f t="shared" si="2"/>
        <v>8.1</v>
      </c>
      <c r="N76" s="35">
        <f t="shared" si="3"/>
        <v>76.125</v>
      </c>
      <c r="O76" t="str">
        <f>VLOOKUP(N76,Helper!$B$30:$C$35,2,TRUE)</f>
        <v>B</v>
      </c>
      <c r="P76" s="26">
        <f>INDEX(Detail!$A$1:$A$1001,MATCH(B76,Detail!$G$1:$G$1001,0))</f>
        <v>37129</v>
      </c>
      <c r="Q76" s="3" t="str">
        <f>INDEX(Detail!$F$1:$F$1001,MATCH(Main!B76,Detail!$G$1:$G$1001,0))</f>
        <v>Ambon</v>
      </c>
      <c r="R76" s="7">
        <f>INDEX(Detail!$C$1:$C$1001,MATCH(B76,Detail!$G$1:$G$1001,0),1)</f>
        <v>173</v>
      </c>
      <c r="S76" s="7">
        <f>INDEX(Detail!$D$1:$D$1001,MATCH(B76,Detail!$G$1:$G$1001,0),1)</f>
        <v>59</v>
      </c>
      <c r="T76" s="7" t="str">
        <f>INDEX(Detail!$E$1:$E$1001,MATCH(Main!B76,Detail!$G$1:$G$1001,0))</f>
        <v>Jalan Jamika No. 77</v>
      </c>
      <c r="U76" s="7" t="str">
        <f>INDEX(Detail!$B$1:$B$1001,MATCH(B76,Detail!$G$1:$G$1001,0),1)</f>
        <v>A+</v>
      </c>
    </row>
    <row r="77" spans="1:21" ht="15.75" x14ac:dyDescent="0.25">
      <c r="A77">
        <v>536</v>
      </c>
      <c r="B77" s="3" t="str">
        <f>CONCATENATE("A",TEXT(Main!A77,"0000"))</f>
        <v>A0536</v>
      </c>
      <c r="C77" t="s">
        <v>1015</v>
      </c>
      <c r="D77" s="3" t="str">
        <f>VLOOKUP(B77,Detail!$G$1:$H$1001,2,FALSE)</f>
        <v>Gabriella Pratiwi</v>
      </c>
      <c r="E77">
        <v>53</v>
      </c>
      <c r="F77">
        <v>42</v>
      </c>
      <c r="G77" s="35">
        <v>37</v>
      </c>
      <c r="H77">
        <v>50</v>
      </c>
      <c r="I77">
        <v>71</v>
      </c>
      <c r="J77">
        <v>45</v>
      </c>
      <c r="K77">
        <v>82</v>
      </c>
      <c r="L77" s="26">
        <f>IFERROR(VLOOKUP(B77,Absen!$A$1:$C$501,2,FALSE),"No")</f>
        <v>44807</v>
      </c>
      <c r="M77" s="44">
        <f t="shared" si="2"/>
        <v>7.2</v>
      </c>
      <c r="N77" s="35">
        <f t="shared" si="3"/>
        <v>50.6</v>
      </c>
      <c r="O77" t="str">
        <f>VLOOKUP(N77,Helper!$B$30:$C$35,2,TRUE)</f>
        <v>D</v>
      </c>
      <c r="P77" s="26">
        <f>INDEX(Detail!$A$1:$A$1001,MATCH(B77,Detail!$G$1:$G$1001,0))</f>
        <v>37515</v>
      </c>
      <c r="Q77" s="3" t="str">
        <f>INDEX(Detail!$F$1:$F$1001,MATCH(Main!B77,Detail!$G$1:$G$1001,0))</f>
        <v>Mataram</v>
      </c>
      <c r="R77" s="7">
        <f>INDEX(Detail!$C$1:$C$1001,MATCH(B77,Detail!$G$1:$G$1001,0),1)</f>
        <v>179</v>
      </c>
      <c r="S77" s="7">
        <f>INDEX(Detail!$D$1:$D$1001,MATCH(B77,Detail!$G$1:$G$1001,0),1)</f>
        <v>95</v>
      </c>
      <c r="T77" s="7" t="str">
        <f>INDEX(Detail!$E$1:$E$1001,MATCH(Main!B77,Detail!$G$1:$G$1001,0))</f>
        <v>Jl. Soekarno Hatta No. 88</v>
      </c>
      <c r="U77" s="7" t="str">
        <f>INDEX(Detail!$B$1:$B$1001,MATCH(B77,Detail!$G$1:$G$1001,0),1)</f>
        <v>AB+</v>
      </c>
    </row>
    <row r="78" spans="1:21" ht="15.75" x14ac:dyDescent="0.25">
      <c r="A78">
        <v>561</v>
      </c>
      <c r="B78" s="3" t="str">
        <f>CONCATENATE("A",TEXT(Main!A78,"0000"))</f>
        <v>A0561</v>
      </c>
      <c r="C78" t="s">
        <v>1015</v>
      </c>
      <c r="D78" s="3" t="str">
        <f>VLOOKUP(B78,Detail!$G$1:$H$1001,2,FALSE)</f>
        <v>Hafshah Utama</v>
      </c>
      <c r="E78">
        <v>84</v>
      </c>
      <c r="F78">
        <v>60</v>
      </c>
      <c r="G78" s="35">
        <v>55</v>
      </c>
      <c r="H78">
        <v>63</v>
      </c>
      <c r="I78">
        <v>94</v>
      </c>
      <c r="J78">
        <v>79</v>
      </c>
      <c r="K78">
        <v>85</v>
      </c>
      <c r="L78" s="26">
        <f>IFERROR(VLOOKUP(B78,Absen!$A$1:$C$501,2,FALSE),"No")</f>
        <v>44832</v>
      </c>
      <c r="M78" s="44">
        <f t="shared" si="2"/>
        <v>7.5</v>
      </c>
      <c r="N78" s="35">
        <f t="shared" si="3"/>
        <v>71.924999999999997</v>
      </c>
      <c r="O78" t="str">
        <f>VLOOKUP(N78,Helper!$B$30:$C$35,2,TRUE)</f>
        <v>B</v>
      </c>
      <c r="P78" s="26">
        <f>INDEX(Detail!$A$1:$A$1001,MATCH(B78,Detail!$G$1:$G$1001,0))</f>
        <v>37333</v>
      </c>
      <c r="Q78" s="3" t="str">
        <f>INDEX(Detail!$F$1:$F$1001,MATCH(Main!B78,Detail!$G$1:$G$1001,0))</f>
        <v>Palembang</v>
      </c>
      <c r="R78" s="7">
        <f>INDEX(Detail!$C$1:$C$1001,MATCH(B78,Detail!$G$1:$G$1001,0),1)</f>
        <v>180</v>
      </c>
      <c r="S78" s="7">
        <f>INDEX(Detail!$D$1:$D$1001,MATCH(B78,Detail!$G$1:$G$1001,0),1)</f>
        <v>55</v>
      </c>
      <c r="T78" s="7" t="str">
        <f>INDEX(Detail!$E$1:$E$1001,MATCH(Main!B78,Detail!$G$1:$G$1001,0))</f>
        <v>Jl. Rajawali Timur No. 25</v>
      </c>
      <c r="U78" s="7" t="str">
        <f>INDEX(Detail!$B$1:$B$1001,MATCH(B78,Detail!$G$1:$G$1001,0),1)</f>
        <v>AB-</v>
      </c>
    </row>
    <row r="79" spans="1:21" ht="15.75" x14ac:dyDescent="0.25">
      <c r="A79">
        <v>563</v>
      </c>
      <c r="B79" s="3" t="str">
        <f>CONCATENATE("A",TEXT(Main!A79,"0000"))</f>
        <v>A0563</v>
      </c>
      <c r="C79" t="s">
        <v>1015</v>
      </c>
      <c r="D79" s="3" t="str">
        <f>VLOOKUP(B79,Detail!$G$1:$H$1001,2,FALSE)</f>
        <v>Tirta Saputra</v>
      </c>
      <c r="E79">
        <v>54</v>
      </c>
      <c r="F79">
        <v>42</v>
      </c>
      <c r="G79" s="35">
        <v>38</v>
      </c>
      <c r="H79">
        <v>54</v>
      </c>
      <c r="I79">
        <v>82</v>
      </c>
      <c r="J79">
        <v>86</v>
      </c>
      <c r="K79">
        <v>77</v>
      </c>
      <c r="L79" s="26" t="str">
        <f>IFERROR(VLOOKUP(B79,Absen!$A$1:$C$501,2,FALSE),"No")</f>
        <v>No</v>
      </c>
      <c r="M79" s="44">
        <f t="shared" si="2"/>
        <v>7.7</v>
      </c>
      <c r="N79" s="35">
        <f t="shared" si="3"/>
        <v>61.5</v>
      </c>
      <c r="O79" t="str">
        <f>VLOOKUP(N79,Helper!$B$30:$C$35,2,TRUE)</f>
        <v>C</v>
      </c>
      <c r="P79" s="26">
        <f>INDEX(Detail!$A$1:$A$1001,MATCH(B79,Detail!$G$1:$G$1001,0))</f>
        <v>37463</v>
      </c>
      <c r="Q79" s="3" t="str">
        <f>INDEX(Detail!$F$1:$F$1001,MATCH(Main!B79,Detail!$G$1:$G$1001,0))</f>
        <v>Langsa</v>
      </c>
      <c r="R79" s="7">
        <f>INDEX(Detail!$C$1:$C$1001,MATCH(B79,Detail!$G$1:$G$1001,0),1)</f>
        <v>167</v>
      </c>
      <c r="S79" s="7">
        <f>INDEX(Detail!$D$1:$D$1001,MATCH(B79,Detail!$G$1:$G$1001,0),1)</f>
        <v>78</v>
      </c>
      <c r="T79" s="7" t="str">
        <f>INDEX(Detail!$E$1:$E$1001,MATCH(Main!B79,Detail!$G$1:$G$1001,0))</f>
        <v>Jl. Rumah Sakit No. 75</v>
      </c>
      <c r="U79" s="7" t="str">
        <f>INDEX(Detail!$B$1:$B$1001,MATCH(B79,Detail!$G$1:$G$1001,0),1)</f>
        <v>B+</v>
      </c>
    </row>
    <row r="80" spans="1:21" ht="15.75" x14ac:dyDescent="0.25">
      <c r="A80">
        <v>566</v>
      </c>
      <c r="B80" s="3" t="str">
        <f>CONCATENATE("A",TEXT(Main!A80,"0000"))</f>
        <v>A0566</v>
      </c>
      <c r="C80" t="s">
        <v>1015</v>
      </c>
      <c r="D80" s="3" t="str">
        <f>VLOOKUP(B80,Detail!$G$1:$H$1001,2,FALSE)</f>
        <v>Perkasa Handayani</v>
      </c>
      <c r="E80">
        <v>75</v>
      </c>
      <c r="F80">
        <v>52</v>
      </c>
      <c r="G80" s="35">
        <v>32</v>
      </c>
      <c r="H80">
        <v>72</v>
      </c>
      <c r="I80">
        <v>52</v>
      </c>
      <c r="J80">
        <v>61</v>
      </c>
      <c r="K80">
        <v>100</v>
      </c>
      <c r="L80" s="26">
        <f>IFERROR(VLOOKUP(B80,Absen!$A$1:$C$501,2,FALSE),"No")</f>
        <v>44777</v>
      </c>
      <c r="M80" s="44">
        <f t="shared" si="2"/>
        <v>9</v>
      </c>
      <c r="N80" s="35">
        <f t="shared" si="3"/>
        <v>58.975000000000001</v>
      </c>
      <c r="O80" t="str">
        <f>VLOOKUP(N80,Helper!$B$30:$C$35,2,TRUE)</f>
        <v>D</v>
      </c>
      <c r="P80" s="26">
        <f>INDEX(Detail!$A$1:$A$1001,MATCH(B80,Detail!$G$1:$G$1001,0))</f>
        <v>37924</v>
      </c>
      <c r="Q80" s="3" t="str">
        <f>INDEX(Detail!$F$1:$F$1001,MATCH(Main!B80,Detail!$G$1:$G$1001,0))</f>
        <v>Prabumulih</v>
      </c>
      <c r="R80" s="7">
        <f>INDEX(Detail!$C$1:$C$1001,MATCH(B80,Detail!$G$1:$G$1001,0),1)</f>
        <v>173</v>
      </c>
      <c r="S80" s="7">
        <f>INDEX(Detail!$D$1:$D$1001,MATCH(B80,Detail!$G$1:$G$1001,0),1)</f>
        <v>81</v>
      </c>
      <c r="T80" s="7" t="str">
        <f>INDEX(Detail!$E$1:$E$1001,MATCH(Main!B80,Detail!$G$1:$G$1001,0))</f>
        <v xml:space="preserve">Jalan M.H Thamrin No. 4
</v>
      </c>
      <c r="U80" s="7" t="str">
        <f>INDEX(Detail!$B$1:$B$1001,MATCH(B80,Detail!$G$1:$G$1001,0),1)</f>
        <v>A+</v>
      </c>
    </row>
    <row r="81" spans="1:21" ht="15.75" x14ac:dyDescent="0.25">
      <c r="A81">
        <v>582</v>
      </c>
      <c r="B81" s="3" t="str">
        <f>CONCATENATE("A",TEXT(Main!A81,"0000"))</f>
        <v>A0582</v>
      </c>
      <c r="C81" t="s">
        <v>1015</v>
      </c>
      <c r="D81" s="3" t="str">
        <f>VLOOKUP(B81,Detail!$G$1:$H$1001,2,FALSE)</f>
        <v>Lega Nababan</v>
      </c>
      <c r="E81">
        <v>94</v>
      </c>
      <c r="F81">
        <v>45</v>
      </c>
      <c r="G81" s="35">
        <v>54</v>
      </c>
      <c r="H81">
        <v>51</v>
      </c>
      <c r="I81">
        <v>57</v>
      </c>
      <c r="J81">
        <v>41</v>
      </c>
      <c r="K81">
        <v>75</v>
      </c>
      <c r="L81" s="26" t="str">
        <f>IFERROR(VLOOKUP(B81,Absen!$A$1:$C$501,2,FALSE),"No")</f>
        <v>No</v>
      </c>
      <c r="M81" s="44">
        <f t="shared" si="2"/>
        <v>7.5</v>
      </c>
      <c r="N81" s="35">
        <f t="shared" si="3"/>
        <v>57.375</v>
      </c>
      <c r="O81" t="str">
        <f>VLOOKUP(N81,Helper!$B$30:$C$35,2,TRUE)</f>
        <v>D</v>
      </c>
      <c r="P81" s="26">
        <f>INDEX(Detail!$A$1:$A$1001,MATCH(B81,Detail!$G$1:$G$1001,0))</f>
        <v>38051</v>
      </c>
      <c r="Q81" s="3" t="str">
        <f>INDEX(Detail!$F$1:$F$1001,MATCH(Main!B81,Detail!$G$1:$G$1001,0))</f>
        <v>Depok</v>
      </c>
      <c r="R81" s="7">
        <f>INDEX(Detail!$C$1:$C$1001,MATCH(B81,Detail!$G$1:$G$1001,0),1)</f>
        <v>155</v>
      </c>
      <c r="S81" s="7">
        <f>INDEX(Detail!$D$1:$D$1001,MATCH(B81,Detail!$G$1:$G$1001,0),1)</f>
        <v>59</v>
      </c>
      <c r="T81" s="7" t="str">
        <f>INDEX(Detail!$E$1:$E$1001,MATCH(Main!B81,Detail!$G$1:$G$1001,0))</f>
        <v>Jl. Jend. A. Yani No. 23</v>
      </c>
      <c r="U81" s="7" t="str">
        <f>INDEX(Detail!$B$1:$B$1001,MATCH(B81,Detail!$G$1:$G$1001,0),1)</f>
        <v>O+</v>
      </c>
    </row>
    <row r="82" spans="1:21" ht="15.75" x14ac:dyDescent="0.25">
      <c r="A82">
        <v>584</v>
      </c>
      <c r="B82" s="3" t="str">
        <f>CONCATENATE("A",TEXT(Main!A82,"0000"))</f>
        <v>A0584</v>
      </c>
      <c r="C82" t="s">
        <v>1015</v>
      </c>
      <c r="D82" s="3" t="str">
        <f>VLOOKUP(B82,Detail!$G$1:$H$1001,2,FALSE)</f>
        <v>Muni Aryani</v>
      </c>
      <c r="E82">
        <v>89</v>
      </c>
      <c r="F82">
        <v>65</v>
      </c>
      <c r="G82" s="35">
        <v>76</v>
      </c>
      <c r="H82">
        <v>74</v>
      </c>
      <c r="I82">
        <v>58</v>
      </c>
      <c r="J82">
        <v>62</v>
      </c>
      <c r="K82">
        <v>89</v>
      </c>
      <c r="L82" s="26">
        <f>IFERROR(VLOOKUP(B82,Absen!$A$1:$C$501,2,FALSE),"No")</f>
        <v>44848</v>
      </c>
      <c r="M82" s="44">
        <f t="shared" si="2"/>
        <v>7.9</v>
      </c>
      <c r="N82" s="35">
        <f t="shared" si="3"/>
        <v>71.25</v>
      </c>
      <c r="O82" t="str">
        <f>VLOOKUP(N82,Helper!$B$30:$C$35,2,TRUE)</f>
        <v>B</v>
      </c>
      <c r="P82" s="26">
        <f>INDEX(Detail!$A$1:$A$1001,MATCH(B82,Detail!$G$1:$G$1001,0))</f>
        <v>37710</v>
      </c>
      <c r="Q82" s="3" t="str">
        <f>INDEX(Detail!$F$1:$F$1001,MATCH(Main!B82,Detail!$G$1:$G$1001,0))</f>
        <v>Mojokerto</v>
      </c>
      <c r="R82" s="7">
        <f>INDEX(Detail!$C$1:$C$1001,MATCH(B82,Detail!$G$1:$G$1001,0),1)</f>
        <v>180</v>
      </c>
      <c r="S82" s="7">
        <f>INDEX(Detail!$D$1:$D$1001,MATCH(B82,Detail!$G$1:$G$1001,0),1)</f>
        <v>67</v>
      </c>
      <c r="T82" s="7" t="str">
        <f>INDEX(Detail!$E$1:$E$1001,MATCH(Main!B82,Detail!$G$1:$G$1001,0))</f>
        <v xml:space="preserve">Jalan Erlangga No. 8
</v>
      </c>
      <c r="U82" s="7" t="str">
        <f>INDEX(Detail!$B$1:$B$1001,MATCH(B82,Detail!$G$1:$G$1001,0),1)</f>
        <v>A-</v>
      </c>
    </row>
    <row r="83" spans="1:21" ht="15.75" x14ac:dyDescent="0.25">
      <c r="A83">
        <v>588</v>
      </c>
      <c r="B83" s="3" t="str">
        <f>CONCATENATE("A",TEXT(Main!A83,"0000"))</f>
        <v>A0588</v>
      </c>
      <c r="C83" t="s">
        <v>1015</v>
      </c>
      <c r="D83" s="3" t="str">
        <f>VLOOKUP(B83,Detail!$G$1:$H$1001,2,FALSE)</f>
        <v>Yani Santoso</v>
      </c>
      <c r="E83">
        <v>53</v>
      </c>
      <c r="F83">
        <v>59</v>
      </c>
      <c r="G83" s="35">
        <v>90</v>
      </c>
      <c r="H83">
        <v>67</v>
      </c>
      <c r="I83">
        <v>88</v>
      </c>
      <c r="J83">
        <v>72</v>
      </c>
      <c r="K83">
        <v>79</v>
      </c>
      <c r="L83" s="26" t="str">
        <f>IFERROR(VLOOKUP(B83,Absen!$A$1:$C$501,2,FALSE),"No")</f>
        <v>No</v>
      </c>
      <c r="M83" s="44">
        <f t="shared" si="2"/>
        <v>7.9</v>
      </c>
      <c r="N83" s="35">
        <f t="shared" si="3"/>
        <v>73.675000000000011</v>
      </c>
      <c r="O83" t="str">
        <f>VLOOKUP(N83,Helper!$B$30:$C$35,2,TRUE)</f>
        <v>B</v>
      </c>
      <c r="P83" s="26">
        <f>INDEX(Detail!$A$1:$A$1001,MATCH(B83,Detail!$G$1:$G$1001,0))</f>
        <v>37474</v>
      </c>
      <c r="Q83" s="3" t="str">
        <f>INDEX(Detail!$F$1:$F$1001,MATCH(Main!B83,Detail!$G$1:$G$1001,0))</f>
        <v>Padang</v>
      </c>
      <c r="R83" s="7">
        <f>INDEX(Detail!$C$1:$C$1001,MATCH(B83,Detail!$G$1:$G$1001,0),1)</f>
        <v>172</v>
      </c>
      <c r="S83" s="7">
        <f>INDEX(Detail!$D$1:$D$1001,MATCH(B83,Detail!$G$1:$G$1001,0),1)</f>
        <v>66</v>
      </c>
      <c r="T83" s="7" t="str">
        <f>INDEX(Detail!$E$1:$E$1001,MATCH(Main!B83,Detail!$G$1:$G$1001,0))</f>
        <v xml:space="preserve">Gang Kendalsari No. 7
</v>
      </c>
      <c r="U83" s="7" t="str">
        <f>INDEX(Detail!$B$1:$B$1001,MATCH(B83,Detail!$G$1:$G$1001,0),1)</f>
        <v>A-</v>
      </c>
    </row>
    <row r="84" spans="1:21" ht="15.75" x14ac:dyDescent="0.25">
      <c r="A84">
        <v>596</v>
      </c>
      <c r="B84" s="3" t="str">
        <f>CONCATENATE("A",TEXT(Main!A84,"0000"))</f>
        <v>A0596</v>
      </c>
      <c r="C84" t="s">
        <v>1015</v>
      </c>
      <c r="D84" s="3" t="str">
        <f>VLOOKUP(B84,Detail!$G$1:$H$1001,2,FALSE)</f>
        <v>Gada Mardhiyah</v>
      </c>
      <c r="E84">
        <v>76</v>
      </c>
      <c r="F84">
        <v>40</v>
      </c>
      <c r="G84" s="35">
        <v>48</v>
      </c>
      <c r="H84">
        <v>53</v>
      </c>
      <c r="I84">
        <v>53</v>
      </c>
      <c r="J84">
        <v>69</v>
      </c>
      <c r="K84">
        <v>70</v>
      </c>
      <c r="L84" s="26">
        <f>IFERROR(VLOOKUP(B84,Absen!$A$1:$C$501,2,FALSE),"No")</f>
        <v>44753</v>
      </c>
      <c r="M84" s="44">
        <f t="shared" si="2"/>
        <v>6</v>
      </c>
      <c r="N84" s="35">
        <f t="shared" si="3"/>
        <v>57.150000000000006</v>
      </c>
      <c r="O84" t="str">
        <f>VLOOKUP(N84,Helper!$B$30:$C$35,2,TRUE)</f>
        <v>D</v>
      </c>
      <c r="P84" s="26">
        <f>INDEX(Detail!$A$1:$A$1001,MATCH(B84,Detail!$G$1:$G$1001,0))</f>
        <v>37953</v>
      </c>
      <c r="Q84" s="3" t="str">
        <f>INDEX(Detail!$F$1:$F$1001,MATCH(Main!B84,Detail!$G$1:$G$1001,0))</f>
        <v>Samarinda</v>
      </c>
      <c r="R84" s="7">
        <f>INDEX(Detail!$C$1:$C$1001,MATCH(B84,Detail!$G$1:$G$1001,0),1)</f>
        <v>155</v>
      </c>
      <c r="S84" s="7">
        <f>INDEX(Detail!$D$1:$D$1001,MATCH(B84,Detail!$G$1:$G$1001,0),1)</f>
        <v>77</v>
      </c>
      <c r="T84" s="7" t="str">
        <f>INDEX(Detail!$E$1:$E$1001,MATCH(Main!B84,Detail!$G$1:$G$1001,0))</f>
        <v>Jalan Gardujati No. 82</v>
      </c>
      <c r="U84" s="7" t="str">
        <f>INDEX(Detail!$B$1:$B$1001,MATCH(B84,Detail!$G$1:$G$1001,0),1)</f>
        <v>A+</v>
      </c>
    </row>
    <row r="85" spans="1:21" ht="15.75" x14ac:dyDescent="0.25">
      <c r="A85">
        <v>601</v>
      </c>
      <c r="B85" s="3" t="str">
        <f>CONCATENATE("A",TEXT(Main!A85,"0000"))</f>
        <v>A0601</v>
      </c>
      <c r="C85" t="s">
        <v>1015</v>
      </c>
      <c r="D85" s="3" t="str">
        <f>VLOOKUP(B85,Detail!$G$1:$H$1001,2,FALSE)</f>
        <v>Chelsea Adriansyah</v>
      </c>
      <c r="E85">
        <v>94</v>
      </c>
      <c r="F85">
        <v>60</v>
      </c>
      <c r="G85" s="35">
        <v>55</v>
      </c>
      <c r="H85">
        <v>60</v>
      </c>
      <c r="I85">
        <v>54</v>
      </c>
      <c r="J85">
        <v>61</v>
      </c>
      <c r="K85">
        <v>100</v>
      </c>
      <c r="L85" s="26">
        <f>IFERROR(VLOOKUP(B85,Absen!$A$1:$C$501,2,FALSE),"No")</f>
        <v>44820</v>
      </c>
      <c r="M85" s="44">
        <f t="shared" si="2"/>
        <v>9</v>
      </c>
      <c r="N85" s="35">
        <f t="shared" si="3"/>
        <v>65.7</v>
      </c>
      <c r="O85" t="str">
        <f>VLOOKUP(N85,Helper!$B$30:$C$35,2,TRUE)</f>
        <v>C</v>
      </c>
      <c r="P85" s="26">
        <f>INDEX(Detail!$A$1:$A$1001,MATCH(B85,Detail!$G$1:$G$1001,0))</f>
        <v>38437</v>
      </c>
      <c r="Q85" s="3" t="str">
        <f>INDEX(Detail!$F$1:$F$1001,MATCH(Main!B85,Detail!$G$1:$G$1001,0))</f>
        <v>Blitar</v>
      </c>
      <c r="R85" s="7">
        <f>INDEX(Detail!$C$1:$C$1001,MATCH(B85,Detail!$G$1:$G$1001,0),1)</f>
        <v>156</v>
      </c>
      <c r="S85" s="7">
        <f>INDEX(Detail!$D$1:$D$1001,MATCH(B85,Detail!$G$1:$G$1001,0),1)</f>
        <v>48</v>
      </c>
      <c r="T85" s="7" t="str">
        <f>INDEX(Detail!$E$1:$E$1001,MATCH(Main!B85,Detail!$G$1:$G$1001,0))</f>
        <v xml:space="preserve">Gg. Kutisari Selatan No. 0
</v>
      </c>
      <c r="U85" s="7" t="str">
        <f>INDEX(Detail!$B$1:$B$1001,MATCH(B85,Detail!$G$1:$G$1001,0),1)</f>
        <v>A-</v>
      </c>
    </row>
    <row r="86" spans="1:21" ht="15.75" x14ac:dyDescent="0.25">
      <c r="A86">
        <v>604</v>
      </c>
      <c r="B86" s="3" t="str">
        <f>CONCATENATE("A",TEXT(Main!A86,"0000"))</f>
        <v>A0604</v>
      </c>
      <c r="C86" t="s">
        <v>1015</v>
      </c>
      <c r="D86" s="3" t="str">
        <f>VLOOKUP(B86,Detail!$G$1:$H$1001,2,FALSE)</f>
        <v>Diana Zulaika</v>
      </c>
      <c r="E86">
        <v>93</v>
      </c>
      <c r="F86">
        <v>57</v>
      </c>
      <c r="G86" s="35">
        <v>61</v>
      </c>
      <c r="H86">
        <v>68</v>
      </c>
      <c r="I86">
        <v>75</v>
      </c>
      <c r="J86">
        <v>42</v>
      </c>
      <c r="K86">
        <v>100</v>
      </c>
      <c r="L86" s="26">
        <f>IFERROR(VLOOKUP(B86,Absen!$A$1:$C$501,2,FALSE),"No")</f>
        <v>44799</v>
      </c>
      <c r="M86" s="44">
        <f t="shared" si="2"/>
        <v>9</v>
      </c>
      <c r="N86" s="35">
        <f t="shared" si="3"/>
        <v>66.224999999999994</v>
      </c>
      <c r="O86" t="str">
        <f>VLOOKUP(N86,Helper!$B$30:$C$35,2,TRUE)</f>
        <v>C</v>
      </c>
      <c r="P86" s="26">
        <f>INDEX(Detail!$A$1:$A$1001,MATCH(B86,Detail!$G$1:$G$1001,0))</f>
        <v>37780</v>
      </c>
      <c r="Q86" s="3" t="str">
        <f>INDEX(Detail!$F$1:$F$1001,MATCH(Main!B86,Detail!$G$1:$G$1001,0))</f>
        <v>Lubuklinggau</v>
      </c>
      <c r="R86" s="7">
        <f>INDEX(Detail!$C$1:$C$1001,MATCH(B86,Detail!$G$1:$G$1001,0),1)</f>
        <v>178</v>
      </c>
      <c r="S86" s="7">
        <f>INDEX(Detail!$D$1:$D$1001,MATCH(B86,Detail!$G$1:$G$1001,0),1)</f>
        <v>77</v>
      </c>
      <c r="T86" s="7" t="str">
        <f>INDEX(Detail!$E$1:$E$1001,MATCH(Main!B86,Detail!$G$1:$G$1001,0))</f>
        <v>Gang Otto Iskandardinata No. 69</v>
      </c>
      <c r="U86" s="7" t="str">
        <f>INDEX(Detail!$B$1:$B$1001,MATCH(B86,Detail!$G$1:$G$1001,0),1)</f>
        <v>O-</v>
      </c>
    </row>
    <row r="87" spans="1:21" ht="15.75" x14ac:dyDescent="0.25">
      <c r="A87">
        <v>607</v>
      </c>
      <c r="B87" s="3" t="str">
        <f>CONCATENATE("A",TEXT(Main!A87,"0000"))</f>
        <v>A0607</v>
      </c>
      <c r="C87" t="s">
        <v>1015</v>
      </c>
      <c r="D87" s="3" t="str">
        <f>VLOOKUP(B87,Detail!$G$1:$H$1001,2,FALSE)</f>
        <v>Leo Tarihoran</v>
      </c>
      <c r="E87">
        <v>78</v>
      </c>
      <c r="F87">
        <v>42</v>
      </c>
      <c r="G87" s="35">
        <v>39</v>
      </c>
      <c r="H87">
        <v>61</v>
      </c>
      <c r="I87">
        <v>51</v>
      </c>
      <c r="J87">
        <v>42</v>
      </c>
      <c r="K87">
        <v>96</v>
      </c>
      <c r="L87" s="26" t="str">
        <f>IFERROR(VLOOKUP(B87,Absen!$A$1:$C$501,2,FALSE),"No")</f>
        <v>No</v>
      </c>
      <c r="M87" s="44">
        <f t="shared" si="2"/>
        <v>9.6000000000000014</v>
      </c>
      <c r="N87" s="35">
        <f t="shared" si="3"/>
        <v>54.8</v>
      </c>
      <c r="O87" t="str">
        <f>VLOOKUP(N87,Helper!$B$30:$C$35,2,TRUE)</f>
        <v>D</v>
      </c>
      <c r="P87" s="26">
        <f>INDEX(Detail!$A$1:$A$1001,MATCH(B87,Detail!$G$1:$G$1001,0))</f>
        <v>37112</v>
      </c>
      <c r="Q87" s="3" t="str">
        <f>INDEX(Detail!$F$1:$F$1001,MATCH(Main!B87,Detail!$G$1:$G$1001,0))</f>
        <v>Kupang</v>
      </c>
      <c r="R87" s="7">
        <f>INDEX(Detail!$C$1:$C$1001,MATCH(B87,Detail!$G$1:$G$1001,0),1)</f>
        <v>158</v>
      </c>
      <c r="S87" s="7">
        <f>INDEX(Detail!$D$1:$D$1001,MATCH(B87,Detail!$G$1:$G$1001,0),1)</f>
        <v>50</v>
      </c>
      <c r="T87" s="7" t="str">
        <f>INDEX(Detail!$E$1:$E$1001,MATCH(Main!B87,Detail!$G$1:$G$1001,0))</f>
        <v>Jalan M.H Thamrin No. 28</v>
      </c>
      <c r="U87" s="7" t="str">
        <f>INDEX(Detail!$B$1:$B$1001,MATCH(B87,Detail!$G$1:$G$1001,0),1)</f>
        <v>O+</v>
      </c>
    </row>
    <row r="88" spans="1:21" ht="15.75" x14ac:dyDescent="0.25">
      <c r="A88">
        <v>609</v>
      </c>
      <c r="B88" s="3" t="str">
        <f>CONCATENATE("A",TEXT(Main!A88,"0000"))</f>
        <v>A0609</v>
      </c>
      <c r="C88" t="s">
        <v>1015</v>
      </c>
      <c r="D88" s="3" t="str">
        <f>VLOOKUP(B88,Detail!$G$1:$H$1001,2,FALSE)</f>
        <v>Ganda Setiawan</v>
      </c>
      <c r="E88">
        <v>92</v>
      </c>
      <c r="F88">
        <v>65</v>
      </c>
      <c r="G88" s="35">
        <v>54</v>
      </c>
      <c r="H88">
        <v>70</v>
      </c>
      <c r="I88">
        <v>93</v>
      </c>
      <c r="J88">
        <v>77</v>
      </c>
      <c r="K88">
        <v>66</v>
      </c>
      <c r="L88" s="26">
        <f>IFERROR(VLOOKUP(B88,Absen!$A$1:$C$501,2,FALSE),"No")</f>
        <v>44897</v>
      </c>
      <c r="M88" s="44">
        <f t="shared" si="2"/>
        <v>5.6000000000000005</v>
      </c>
      <c r="N88" s="35">
        <f t="shared" si="3"/>
        <v>71.8</v>
      </c>
      <c r="O88" t="str">
        <f>VLOOKUP(N88,Helper!$B$30:$C$35,2,TRUE)</f>
        <v>B</v>
      </c>
      <c r="P88" s="26">
        <f>INDEX(Detail!$A$1:$A$1001,MATCH(B88,Detail!$G$1:$G$1001,0))</f>
        <v>37283</v>
      </c>
      <c r="Q88" s="3" t="str">
        <f>INDEX(Detail!$F$1:$F$1001,MATCH(Main!B88,Detail!$G$1:$G$1001,0))</f>
        <v>Solok</v>
      </c>
      <c r="R88" s="7">
        <f>INDEX(Detail!$C$1:$C$1001,MATCH(B88,Detail!$G$1:$G$1001,0),1)</f>
        <v>180</v>
      </c>
      <c r="S88" s="7">
        <f>INDEX(Detail!$D$1:$D$1001,MATCH(B88,Detail!$G$1:$G$1001,0),1)</f>
        <v>46</v>
      </c>
      <c r="T88" s="7" t="str">
        <f>INDEX(Detail!$E$1:$E$1001,MATCH(Main!B88,Detail!$G$1:$G$1001,0))</f>
        <v>Jalan Bangka Raya No. 36</v>
      </c>
      <c r="U88" s="7" t="str">
        <f>INDEX(Detail!$B$1:$B$1001,MATCH(B88,Detail!$G$1:$G$1001,0),1)</f>
        <v>A+</v>
      </c>
    </row>
    <row r="89" spans="1:21" ht="15.75" x14ac:dyDescent="0.25">
      <c r="A89">
        <v>633</v>
      </c>
      <c r="B89" s="3" t="str">
        <f>CONCATENATE("A",TEXT(Main!A89,"0000"))</f>
        <v>A0633</v>
      </c>
      <c r="C89" t="s">
        <v>1015</v>
      </c>
      <c r="D89" s="3" t="str">
        <f>VLOOKUP(B89,Detail!$G$1:$H$1001,2,FALSE)</f>
        <v>Mursita Palastri</v>
      </c>
      <c r="E89">
        <v>79</v>
      </c>
      <c r="F89">
        <v>46</v>
      </c>
      <c r="G89" s="35">
        <v>54</v>
      </c>
      <c r="H89">
        <v>53</v>
      </c>
      <c r="I89">
        <v>60</v>
      </c>
      <c r="J89">
        <v>99</v>
      </c>
      <c r="K89">
        <v>71</v>
      </c>
      <c r="L89" s="26" t="str">
        <f>IFERROR(VLOOKUP(B89,Absen!$A$1:$C$501,2,FALSE),"No")</f>
        <v>No</v>
      </c>
      <c r="M89" s="44">
        <f t="shared" si="2"/>
        <v>7.1000000000000005</v>
      </c>
      <c r="N89" s="35">
        <f t="shared" si="3"/>
        <v>67.449999999999989</v>
      </c>
      <c r="O89" t="str">
        <f>VLOOKUP(N89,Helper!$B$30:$C$35,2,TRUE)</f>
        <v>C</v>
      </c>
      <c r="P89" s="26">
        <f>INDEX(Detail!$A$1:$A$1001,MATCH(B89,Detail!$G$1:$G$1001,0))</f>
        <v>37605</v>
      </c>
      <c r="Q89" s="3" t="str">
        <f>INDEX(Detail!$F$1:$F$1001,MATCH(Main!B89,Detail!$G$1:$G$1001,0))</f>
        <v>Probolinggo</v>
      </c>
      <c r="R89" s="7">
        <f>INDEX(Detail!$C$1:$C$1001,MATCH(B89,Detail!$G$1:$G$1001,0),1)</f>
        <v>159</v>
      </c>
      <c r="S89" s="7">
        <f>INDEX(Detail!$D$1:$D$1001,MATCH(B89,Detail!$G$1:$G$1001,0),1)</f>
        <v>88</v>
      </c>
      <c r="T89" s="7" t="str">
        <f>INDEX(Detail!$E$1:$E$1001,MATCH(Main!B89,Detail!$G$1:$G$1001,0))</f>
        <v>Jalan H.J Maemunah No. 82</v>
      </c>
      <c r="U89" s="7" t="str">
        <f>INDEX(Detail!$B$1:$B$1001,MATCH(B89,Detail!$G$1:$G$1001,0),1)</f>
        <v>O+</v>
      </c>
    </row>
    <row r="90" spans="1:21" ht="15.75" x14ac:dyDescent="0.25">
      <c r="A90">
        <v>638</v>
      </c>
      <c r="B90" s="3" t="str">
        <f>CONCATENATE("A",TEXT(Main!A90,"0000"))</f>
        <v>A0638</v>
      </c>
      <c r="C90" t="s">
        <v>1015</v>
      </c>
      <c r="D90" s="3" t="str">
        <f>VLOOKUP(B90,Detail!$G$1:$H$1001,2,FALSE)</f>
        <v>Puspa Laksita</v>
      </c>
      <c r="E90">
        <v>71</v>
      </c>
      <c r="F90">
        <v>68</v>
      </c>
      <c r="G90" s="35">
        <v>82</v>
      </c>
      <c r="H90">
        <v>67</v>
      </c>
      <c r="I90">
        <v>51</v>
      </c>
      <c r="J90">
        <v>71</v>
      </c>
      <c r="K90">
        <v>100</v>
      </c>
      <c r="L90" s="26" t="str">
        <f>IFERROR(VLOOKUP(B90,Absen!$A$1:$C$501,2,FALSE),"No")</f>
        <v>No</v>
      </c>
      <c r="M90" s="44">
        <f t="shared" si="2"/>
        <v>10</v>
      </c>
      <c r="N90" s="35">
        <f t="shared" si="3"/>
        <v>72.725000000000009</v>
      </c>
      <c r="O90" t="str">
        <f>VLOOKUP(N90,Helper!$B$30:$C$35,2,TRUE)</f>
        <v>B</v>
      </c>
      <c r="P90" s="26">
        <f>INDEX(Detail!$A$1:$A$1001,MATCH(B90,Detail!$G$1:$G$1001,0))</f>
        <v>38163</v>
      </c>
      <c r="Q90" s="3" t="str">
        <f>INDEX(Detail!$F$1:$F$1001,MATCH(Main!B90,Detail!$G$1:$G$1001,0))</f>
        <v>Cirebon</v>
      </c>
      <c r="R90" s="7">
        <f>INDEX(Detail!$C$1:$C$1001,MATCH(B90,Detail!$G$1:$G$1001,0),1)</f>
        <v>172</v>
      </c>
      <c r="S90" s="7">
        <f>INDEX(Detail!$D$1:$D$1001,MATCH(B90,Detail!$G$1:$G$1001,0),1)</f>
        <v>54</v>
      </c>
      <c r="T90" s="7" t="str">
        <f>INDEX(Detail!$E$1:$E$1001,MATCH(Main!B90,Detail!$G$1:$G$1001,0))</f>
        <v xml:space="preserve">Jl. Wonoayu No. 1
</v>
      </c>
      <c r="U90" s="7" t="str">
        <f>INDEX(Detail!$B$1:$B$1001,MATCH(B90,Detail!$G$1:$G$1001,0),1)</f>
        <v>B+</v>
      </c>
    </row>
    <row r="91" spans="1:21" ht="15.75" x14ac:dyDescent="0.25">
      <c r="A91">
        <v>653</v>
      </c>
      <c r="B91" s="3" t="str">
        <f>CONCATENATE("A",TEXT(Main!A91,"0000"))</f>
        <v>A0653</v>
      </c>
      <c r="C91" t="s">
        <v>1015</v>
      </c>
      <c r="D91" s="3" t="str">
        <f>VLOOKUP(B91,Detail!$G$1:$H$1001,2,FALSE)</f>
        <v>Rafi Halimah</v>
      </c>
      <c r="E91">
        <v>69</v>
      </c>
      <c r="F91">
        <v>40</v>
      </c>
      <c r="G91" s="35">
        <v>57</v>
      </c>
      <c r="H91">
        <v>75</v>
      </c>
      <c r="I91">
        <v>68</v>
      </c>
      <c r="J91">
        <v>84</v>
      </c>
      <c r="K91">
        <v>85</v>
      </c>
      <c r="L91" s="26" t="str">
        <f>IFERROR(VLOOKUP(B91,Absen!$A$1:$C$501,2,FALSE),"No")</f>
        <v>No</v>
      </c>
      <c r="M91" s="44">
        <f t="shared" si="2"/>
        <v>8.5</v>
      </c>
      <c r="N91" s="35">
        <f t="shared" si="3"/>
        <v>68.2</v>
      </c>
      <c r="O91" t="str">
        <f>VLOOKUP(N91,Helper!$B$30:$C$35,2,TRUE)</f>
        <v>C</v>
      </c>
      <c r="P91" s="26">
        <f>INDEX(Detail!$A$1:$A$1001,MATCH(B91,Detail!$G$1:$G$1001,0))</f>
        <v>37263</v>
      </c>
      <c r="Q91" s="3" t="str">
        <f>INDEX(Detail!$F$1:$F$1001,MATCH(Main!B91,Detail!$G$1:$G$1001,0))</f>
        <v>Purwokerto</v>
      </c>
      <c r="R91" s="7">
        <f>INDEX(Detail!$C$1:$C$1001,MATCH(B91,Detail!$G$1:$G$1001,0),1)</f>
        <v>180</v>
      </c>
      <c r="S91" s="7">
        <f>INDEX(Detail!$D$1:$D$1001,MATCH(B91,Detail!$G$1:$G$1001,0),1)</f>
        <v>89</v>
      </c>
      <c r="T91" s="7" t="str">
        <f>INDEX(Detail!$E$1:$E$1001,MATCH(Main!B91,Detail!$G$1:$G$1001,0))</f>
        <v>Gg. Astana Anyar No. 10</v>
      </c>
      <c r="U91" s="7" t="str">
        <f>INDEX(Detail!$B$1:$B$1001,MATCH(B91,Detail!$G$1:$G$1001,0),1)</f>
        <v>O+</v>
      </c>
    </row>
    <row r="92" spans="1:21" ht="15.75" x14ac:dyDescent="0.25">
      <c r="A92">
        <v>659</v>
      </c>
      <c r="B92" s="3" t="str">
        <f>CONCATENATE("A",TEXT(Main!A92,"0000"))</f>
        <v>A0659</v>
      </c>
      <c r="C92" t="s">
        <v>1015</v>
      </c>
      <c r="D92" s="3" t="str">
        <f>VLOOKUP(B92,Detail!$G$1:$H$1001,2,FALSE)</f>
        <v>Jarwadi Lailasari</v>
      </c>
      <c r="E92">
        <v>67</v>
      </c>
      <c r="F92">
        <v>51</v>
      </c>
      <c r="G92" s="35">
        <v>75</v>
      </c>
      <c r="H92">
        <v>56</v>
      </c>
      <c r="I92">
        <v>82</v>
      </c>
      <c r="J92">
        <v>70</v>
      </c>
      <c r="K92">
        <v>100</v>
      </c>
      <c r="L92" s="26" t="str">
        <f>IFERROR(VLOOKUP(B92,Absen!$A$1:$C$501,2,FALSE),"No")</f>
        <v>No</v>
      </c>
      <c r="M92" s="44">
        <f t="shared" si="2"/>
        <v>10</v>
      </c>
      <c r="N92" s="35">
        <f t="shared" si="3"/>
        <v>71</v>
      </c>
      <c r="O92" t="str">
        <f>VLOOKUP(N92,Helper!$B$30:$C$35,2,TRUE)</f>
        <v>B</v>
      </c>
      <c r="P92" s="26">
        <f>INDEX(Detail!$A$1:$A$1001,MATCH(B92,Detail!$G$1:$G$1001,0))</f>
        <v>38382</v>
      </c>
      <c r="Q92" s="3" t="str">
        <f>INDEX(Detail!$F$1:$F$1001,MATCH(Main!B92,Detail!$G$1:$G$1001,0))</f>
        <v>Banjar</v>
      </c>
      <c r="R92" s="7">
        <f>INDEX(Detail!$C$1:$C$1001,MATCH(B92,Detail!$G$1:$G$1001,0),1)</f>
        <v>174</v>
      </c>
      <c r="S92" s="7">
        <f>INDEX(Detail!$D$1:$D$1001,MATCH(B92,Detail!$G$1:$G$1001,0),1)</f>
        <v>72</v>
      </c>
      <c r="T92" s="7" t="str">
        <f>INDEX(Detail!$E$1:$E$1001,MATCH(Main!B92,Detail!$G$1:$G$1001,0))</f>
        <v>Gang H.J Maemunah No. 43</v>
      </c>
      <c r="U92" s="7" t="str">
        <f>INDEX(Detail!$B$1:$B$1001,MATCH(B92,Detail!$G$1:$G$1001,0),1)</f>
        <v>AB+</v>
      </c>
    </row>
    <row r="93" spans="1:21" ht="15.75" x14ac:dyDescent="0.25">
      <c r="A93">
        <v>664</v>
      </c>
      <c r="B93" s="3" t="str">
        <f>CONCATENATE("A",TEXT(Main!A93,"0000"))</f>
        <v>A0664</v>
      </c>
      <c r="C93" t="s">
        <v>1015</v>
      </c>
      <c r="D93" s="3" t="str">
        <f>VLOOKUP(B93,Detail!$G$1:$H$1001,2,FALSE)</f>
        <v>Maryadi Nainggolan</v>
      </c>
      <c r="E93">
        <v>64</v>
      </c>
      <c r="F93">
        <v>65</v>
      </c>
      <c r="G93" s="35">
        <v>48</v>
      </c>
      <c r="H93">
        <v>60</v>
      </c>
      <c r="I93">
        <v>56</v>
      </c>
      <c r="J93">
        <v>96</v>
      </c>
      <c r="K93">
        <v>65</v>
      </c>
      <c r="L93" s="26">
        <f>IFERROR(VLOOKUP(B93,Absen!$A$1:$C$501,2,FALSE),"No")</f>
        <v>44795</v>
      </c>
      <c r="M93" s="44">
        <f t="shared" si="2"/>
        <v>5.5</v>
      </c>
      <c r="N93" s="35">
        <f t="shared" si="3"/>
        <v>64.925000000000011</v>
      </c>
      <c r="O93" t="str">
        <f>VLOOKUP(N93,Helper!$B$30:$C$35,2,TRUE)</f>
        <v>C</v>
      </c>
      <c r="P93" s="26">
        <f>INDEX(Detail!$A$1:$A$1001,MATCH(B93,Detail!$G$1:$G$1001,0))</f>
        <v>37878</v>
      </c>
      <c r="Q93" s="3" t="str">
        <f>INDEX(Detail!$F$1:$F$1001,MATCH(Main!B93,Detail!$G$1:$G$1001,0))</f>
        <v>Kotamobagu</v>
      </c>
      <c r="R93" s="7">
        <f>INDEX(Detail!$C$1:$C$1001,MATCH(B93,Detail!$G$1:$G$1001,0),1)</f>
        <v>179</v>
      </c>
      <c r="S93" s="7">
        <f>INDEX(Detail!$D$1:$D$1001,MATCH(B93,Detail!$G$1:$G$1001,0),1)</f>
        <v>55</v>
      </c>
      <c r="T93" s="7" t="str">
        <f>INDEX(Detail!$E$1:$E$1001,MATCH(Main!B93,Detail!$G$1:$G$1001,0))</f>
        <v xml:space="preserve">Jl. Rajawali Timur No. 7
</v>
      </c>
      <c r="U93" s="7" t="str">
        <f>INDEX(Detail!$B$1:$B$1001,MATCH(B93,Detail!$G$1:$G$1001,0),1)</f>
        <v>B-</v>
      </c>
    </row>
    <row r="94" spans="1:21" ht="15.75" x14ac:dyDescent="0.25">
      <c r="A94">
        <v>671</v>
      </c>
      <c r="B94" s="3" t="str">
        <f>CONCATENATE("A",TEXT(Main!A94,"0000"))</f>
        <v>A0671</v>
      </c>
      <c r="C94" t="s">
        <v>1015</v>
      </c>
      <c r="D94" s="3" t="str">
        <f>VLOOKUP(B94,Detail!$G$1:$H$1001,2,FALSE)</f>
        <v>Hartana Dongoran</v>
      </c>
      <c r="E94">
        <v>55</v>
      </c>
      <c r="F94">
        <v>49</v>
      </c>
      <c r="G94" s="35">
        <v>75</v>
      </c>
      <c r="H94">
        <v>70</v>
      </c>
      <c r="I94">
        <v>77</v>
      </c>
      <c r="J94">
        <v>85</v>
      </c>
      <c r="K94">
        <v>97</v>
      </c>
      <c r="L94" s="26" t="str">
        <f>IFERROR(VLOOKUP(B94,Absen!$A$1:$C$501,2,FALSE),"No")</f>
        <v>No</v>
      </c>
      <c r="M94" s="44">
        <f t="shared" si="2"/>
        <v>9.7000000000000011</v>
      </c>
      <c r="N94" s="35">
        <f t="shared" si="3"/>
        <v>73.075000000000003</v>
      </c>
      <c r="O94" t="str">
        <f>VLOOKUP(N94,Helper!$B$30:$C$35,2,TRUE)</f>
        <v>B</v>
      </c>
      <c r="P94" s="26">
        <f>INDEX(Detail!$A$1:$A$1001,MATCH(B94,Detail!$G$1:$G$1001,0))</f>
        <v>37082</v>
      </c>
      <c r="Q94" s="3" t="str">
        <f>INDEX(Detail!$F$1:$F$1001,MATCH(Main!B94,Detail!$G$1:$G$1001,0))</f>
        <v>Palembang</v>
      </c>
      <c r="R94" s="7">
        <f>INDEX(Detail!$C$1:$C$1001,MATCH(B94,Detail!$G$1:$G$1001,0),1)</f>
        <v>168</v>
      </c>
      <c r="S94" s="7">
        <f>INDEX(Detail!$D$1:$D$1001,MATCH(B94,Detail!$G$1:$G$1001,0),1)</f>
        <v>64</v>
      </c>
      <c r="T94" s="7" t="str">
        <f>INDEX(Detail!$E$1:$E$1001,MATCH(Main!B94,Detail!$G$1:$G$1001,0))</f>
        <v xml:space="preserve">Gg. Joyoboyo No. 5
</v>
      </c>
      <c r="U94" s="7" t="str">
        <f>INDEX(Detail!$B$1:$B$1001,MATCH(B94,Detail!$G$1:$G$1001,0),1)</f>
        <v>A-</v>
      </c>
    </row>
    <row r="95" spans="1:21" ht="15.75" x14ac:dyDescent="0.25">
      <c r="A95">
        <v>674</v>
      </c>
      <c r="B95" s="3" t="str">
        <f>CONCATENATE("A",TEXT(Main!A95,"0000"))</f>
        <v>A0674</v>
      </c>
      <c r="C95" t="s">
        <v>1015</v>
      </c>
      <c r="D95" s="3" t="str">
        <f>VLOOKUP(B95,Detail!$G$1:$H$1001,2,FALSE)</f>
        <v>Zalindra Widodo</v>
      </c>
      <c r="E95">
        <v>71</v>
      </c>
      <c r="F95">
        <v>43</v>
      </c>
      <c r="G95" s="35">
        <v>59</v>
      </c>
      <c r="H95">
        <v>51</v>
      </c>
      <c r="I95">
        <v>73</v>
      </c>
      <c r="J95">
        <v>87</v>
      </c>
      <c r="K95">
        <v>94</v>
      </c>
      <c r="L95" s="26" t="str">
        <f>IFERROR(VLOOKUP(B95,Absen!$A$1:$C$501,2,FALSE),"No")</f>
        <v>No</v>
      </c>
      <c r="M95" s="44">
        <f t="shared" si="2"/>
        <v>9.4</v>
      </c>
      <c r="N95" s="35">
        <f t="shared" si="3"/>
        <v>68.350000000000009</v>
      </c>
      <c r="O95" t="str">
        <f>VLOOKUP(N95,Helper!$B$30:$C$35,2,TRUE)</f>
        <v>C</v>
      </c>
      <c r="P95" s="26">
        <f>INDEX(Detail!$A$1:$A$1001,MATCH(B95,Detail!$G$1:$G$1001,0))</f>
        <v>37983</v>
      </c>
      <c r="Q95" s="3" t="str">
        <f>INDEX(Detail!$F$1:$F$1001,MATCH(Main!B95,Detail!$G$1:$G$1001,0))</f>
        <v>Surabaya</v>
      </c>
      <c r="R95" s="7">
        <f>INDEX(Detail!$C$1:$C$1001,MATCH(B95,Detail!$G$1:$G$1001,0),1)</f>
        <v>152</v>
      </c>
      <c r="S95" s="7">
        <f>INDEX(Detail!$D$1:$D$1001,MATCH(B95,Detail!$G$1:$G$1001,0),1)</f>
        <v>89</v>
      </c>
      <c r="T95" s="7" t="str">
        <f>INDEX(Detail!$E$1:$E$1001,MATCH(Main!B95,Detail!$G$1:$G$1001,0))</f>
        <v>Jl. H.J Maemunah No. 28</v>
      </c>
      <c r="U95" s="7" t="str">
        <f>INDEX(Detail!$B$1:$B$1001,MATCH(B95,Detail!$G$1:$G$1001,0),1)</f>
        <v>O-</v>
      </c>
    </row>
    <row r="96" spans="1:21" ht="15.75" x14ac:dyDescent="0.25">
      <c r="A96">
        <v>678</v>
      </c>
      <c r="B96" s="3" t="str">
        <f>CONCATENATE("A",TEXT(Main!A96,"0000"))</f>
        <v>A0678</v>
      </c>
      <c r="C96" t="s">
        <v>1015</v>
      </c>
      <c r="D96" s="3" t="str">
        <f>VLOOKUP(B96,Detail!$G$1:$H$1001,2,FALSE)</f>
        <v>Darsirah Gunarto</v>
      </c>
      <c r="E96">
        <v>65</v>
      </c>
      <c r="F96">
        <v>64</v>
      </c>
      <c r="G96" s="35">
        <v>68</v>
      </c>
      <c r="H96">
        <v>64</v>
      </c>
      <c r="I96">
        <v>91</v>
      </c>
      <c r="J96">
        <v>58</v>
      </c>
      <c r="K96">
        <v>72</v>
      </c>
      <c r="L96" s="26" t="str">
        <f>IFERROR(VLOOKUP(B96,Absen!$A$1:$C$501,2,FALSE),"No")</f>
        <v>No</v>
      </c>
      <c r="M96" s="44">
        <f t="shared" si="2"/>
        <v>7.2</v>
      </c>
      <c r="N96" s="35">
        <f t="shared" si="3"/>
        <v>67.900000000000006</v>
      </c>
      <c r="O96" t="str">
        <f>VLOOKUP(N96,Helper!$B$30:$C$35,2,TRUE)</f>
        <v>C</v>
      </c>
      <c r="P96" s="26">
        <f>INDEX(Detail!$A$1:$A$1001,MATCH(B96,Detail!$G$1:$G$1001,0))</f>
        <v>38115</v>
      </c>
      <c r="Q96" s="3" t="str">
        <f>INDEX(Detail!$F$1:$F$1001,MATCH(Main!B96,Detail!$G$1:$G$1001,0))</f>
        <v>Ternate</v>
      </c>
      <c r="R96" s="7">
        <f>INDEX(Detail!$C$1:$C$1001,MATCH(B96,Detail!$G$1:$G$1001,0),1)</f>
        <v>161</v>
      </c>
      <c r="S96" s="7">
        <f>INDEX(Detail!$D$1:$D$1001,MATCH(B96,Detail!$G$1:$G$1001,0),1)</f>
        <v>78</v>
      </c>
      <c r="T96" s="7" t="str">
        <f>INDEX(Detail!$E$1:$E$1001,MATCH(Main!B96,Detail!$G$1:$G$1001,0))</f>
        <v xml:space="preserve">Gang Jamika No. 2
</v>
      </c>
      <c r="U96" s="7" t="str">
        <f>INDEX(Detail!$B$1:$B$1001,MATCH(B96,Detail!$G$1:$G$1001,0),1)</f>
        <v>B+</v>
      </c>
    </row>
    <row r="97" spans="1:21" ht="15.75" x14ac:dyDescent="0.25">
      <c r="A97">
        <v>680</v>
      </c>
      <c r="B97" s="3" t="str">
        <f>CONCATENATE("A",TEXT(Main!A97,"0000"))</f>
        <v>A0680</v>
      </c>
      <c r="C97" t="s">
        <v>1015</v>
      </c>
      <c r="D97" s="3" t="str">
        <f>VLOOKUP(B97,Detail!$G$1:$H$1001,2,FALSE)</f>
        <v>Gangsar Widiastuti</v>
      </c>
      <c r="E97">
        <v>65</v>
      </c>
      <c r="F97">
        <v>47</v>
      </c>
      <c r="G97" s="35">
        <v>61</v>
      </c>
      <c r="H97">
        <v>66</v>
      </c>
      <c r="I97">
        <v>65</v>
      </c>
      <c r="J97">
        <v>52</v>
      </c>
      <c r="K97">
        <v>65</v>
      </c>
      <c r="L97" s="26">
        <f>IFERROR(VLOOKUP(B97,Absen!$A$1:$C$501,2,FALSE),"No")</f>
        <v>44768</v>
      </c>
      <c r="M97" s="44">
        <f t="shared" si="2"/>
        <v>5.5</v>
      </c>
      <c r="N97" s="35">
        <f t="shared" si="3"/>
        <v>58.475000000000001</v>
      </c>
      <c r="O97" t="str">
        <f>VLOOKUP(N97,Helper!$B$30:$C$35,2,TRUE)</f>
        <v>D</v>
      </c>
      <c r="P97" s="26">
        <f>INDEX(Detail!$A$1:$A$1001,MATCH(B97,Detail!$G$1:$G$1001,0))</f>
        <v>37815</v>
      </c>
      <c r="Q97" s="3" t="str">
        <f>INDEX(Detail!$F$1:$F$1001,MATCH(Main!B97,Detail!$G$1:$G$1001,0))</f>
        <v>Banjarmasin</v>
      </c>
      <c r="R97" s="7">
        <f>INDEX(Detail!$C$1:$C$1001,MATCH(B97,Detail!$G$1:$G$1001,0),1)</f>
        <v>165</v>
      </c>
      <c r="S97" s="7">
        <f>INDEX(Detail!$D$1:$D$1001,MATCH(B97,Detail!$G$1:$G$1001,0),1)</f>
        <v>82</v>
      </c>
      <c r="T97" s="7" t="str">
        <f>INDEX(Detail!$E$1:$E$1001,MATCH(Main!B97,Detail!$G$1:$G$1001,0))</f>
        <v>Jl. Rajiman No. 51</v>
      </c>
      <c r="U97" s="7" t="str">
        <f>INDEX(Detail!$B$1:$B$1001,MATCH(B97,Detail!$G$1:$G$1001,0),1)</f>
        <v>AB-</v>
      </c>
    </row>
    <row r="98" spans="1:21" ht="15.75" x14ac:dyDescent="0.25">
      <c r="A98">
        <v>681</v>
      </c>
      <c r="B98" s="3" t="str">
        <f>CONCATENATE("A",TEXT(Main!A98,"0000"))</f>
        <v>A0681</v>
      </c>
      <c r="C98" t="s">
        <v>1015</v>
      </c>
      <c r="D98" s="3" t="str">
        <f>VLOOKUP(B98,Detail!$G$1:$H$1001,2,FALSE)</f>
        <v>Salsabila Utama</v>
      </c>
      <c r="E98">
        <v>53</v>
      </c>
      <c r="F98">
        <v>45</v>
      </c>
      <c r="G98" s="35">
        <v>71</v>
      </c>
      <c r="H98">
        <v>60</v>
      </c>
      <c r="I98">
        <v>58</v>
      </c>
      <c r="J98">
        <v>65</v>
      </c>
      <c r="K98">
        <v>91</v>
      </c>
      <c r="L98" s="26">
        <f>IFERROR(VLOOKUP(B98,Absen!$A$1:$C$501,2,FALSE),"No")</f>
        <v>44831</v>
      </c>
      <c r="M98" s="44">
        <f t="shared" si="2"/>
        <v>8.1</v>
      </c>
      <c r="N98" s="35">
        <f t="shared" si="3"/>
        <v>62.300000000000004</v>
      </c>
      <c r="O98" t="str">
        <f>VLOOKUP(N98,Helper!$B$30:$C$35,2,TRUE)</f>
        <v>C</v>
      </c>
      <c r="P98" s="26">
        <f>INDEX(Detail!$A$1:$A$1001,MATCH(B98,Detail!$G$1:$G$1001,0))</f>
        <v>38294</v>
      </c>
      <c r="Q98" s="3" t="str">
        <f>INDEX(Detail!$F$1:$F$1001,MATCH(Main!B98,Detail!$G$1:$G$1001,0))</f>
        <v>Kota Administrasi Jakarta Utara</v>
      </c>
      <c r="R98" s="7">
        <f>INDEX(Detail!$C$1:$C$1001,MATCH(B98,Detail!$G$1:$G$1001,0),1)</f>
        <v>174</v>
      </c>
      <c r="S98" s="7">
        <f>INDEX(Detail!$D$1:$D$1001,MATCH(B98,Detail!$G$1:$G$1001,0),1)</f>
        <v>94</v>
      </c>
      <c r="T98" s="7" t="str">
        <f>INDEX(Detail!$E$1:$E$1001,MATCH(Main!B98,Detail!$G$1:$G$1001,0))</f>
        <v xml:space="preserve">Gg. Pacuan Kuda No. 1
</v>
      </c>
      <c r="U98" s="7" t="str">
        <f>INDEX(Detail!$B$1:$B$1001,MATCH(B98,Detail!$G$1:$G$1001,0),1)</f>
        <v>AB+</v>
      </c>
    </row>
    <row r="99" spans="1:21" ht="15.75" x14ac:dyDescent="0.25">
      <c r="A99">
        <v>682</v>
      </c>
      <c r="B99" s="3" t="str">
        <f>CONCATENATE("A",TEXT(Main!A99,"0000"))</f>
        <v>A0682</v>
      </c>
      <c r="C99" t="s">
        <v>1015</v>
      </c>
      <c r="D99" s="3" t="str">
        <f>VLOOKUP(B99,Detail!$G$1:$H$1001,2,FALSE)</f>
        <v>Wira Novitasari</v>
      </c>
      <c r="E99">
        <v>75</v>
      </c>
      <c r="F99">
        <v>40</v>
      </c>
      <c r="G99" s="35">
        <v>57</v>
      </c>
      <c r="H99">
        <v>63</v>
      </c>
      <c r="I99">
        <v>63</v>
      </c>
      <c r="J99">
        <v>86</v>
      </c>
      <c r="K99">
        <v>87</v>
      </c>
      <c r="L99" s="26">
        <f>IFERROR(VLOOKUP(B99,Absen!$A$1:$C$501,2,FALSE),"No")</f>
        <v>44917</v>
      </c>
      <c r="M99" s="44">
        <f t="shared" si="2"/>
        <v>7.7</v>
      </c>
      <c r="N99" s="35">
        <f t="shared" si="3"/>
        <v>66.424999999999997</v>
      </c>
      <c r="O99" t="str">
        <f>VLOOKUP(N99,Helper!$B$30:$C$35,2,TRUE)</f>
        <v>C</v>
      </c>
      <c r="P99" s="26">
        <f>INDEX(Detail!$A$1:$A$1001,MATCH(B99,Detail!$G$1:$G$1001,0))</f>
        <v>37245</v>
      </c>
      <c r="Q99" s="3" t="str">
        <f>INDEX(Detail!$F$1:$F$1001,MATCH(Main!B99,Detail!$G$1:$G$1001,0))</f>
        <v>Surakarta</v>
      </c>
      <c r="R99" s="7">
        <f>INDEX(Detail!$C$1:$C$1001,MATCH(B99,Detail!$G$1:$G$1001,0),1)</f>
        <v>161</v>
      </c>
      <c r="S99" s="7">
        <f>INDEX(Detail!$D$1:$D$1001,MATCH(B99,Detail!$G$1:$G$1001,0),1)</f>
        <v>53</v>
      </c>
      <c r="T99" s="7" t="str">
        <f>INDEX(Detail!$E$1:$E$1001,MATCH(Main!B99,Detail!$G$1:$G$1001,0))</f>
        <v>Gg. Cikutra Barat No. 24</v>
      </c>
      <c r="U99" s="7" t="str">
        <f>INDEX(Detail!$B$1:$B$1001,MATCH(B99,Detail!$G$1:$G$1001,0),1)</f>
        <v>B+</v>
      </c>
    </row>
    <row r="100" spans="1:21" ht="15.75" x14ac:dyDescent="0.25">
      <c r="A100">
        <v>688</v>
      </c>
      <c r="B100" s="3" t="str">
        <f>CONCATENATE("A",TEXT(Main!A100,"0000"))</f>
        <v>A0688</v>
      </c>
      <c r="C100" t="s">
        <v>1015</v>
      </c>
      <c r="D100" s="3" t="str">
        <f>VLOOKUP(B100,Detail!$G$1:$H$1001,2,FALSE)</f>
        <v>Kenzie Wibowo</v>
      </c>
      <c r="E100">
        <v>88</v>
      </c>
      <c r="F100">
        <v>55</v>
      </c>
      <c r="G100" s="35">
        <v>76</v>
      </c>
      <c r="H100">
        <v>61</v>
      </c>
      <c r="I100">
        <v>55</v>
      </c>
      <c r="J100">
        <v>46</v>
      </c>
      <c r="K100">
        <v>92</v>
      </c>
      <c r="L100" s="26" t="str">
        <f>IFERROR(VLOOKUP(B100,Absen!$A$1:$C$501,2,FALSE),"No")</f>
        <v>No</v>
      </c>
      <c r="M100" s="44">
        <f t="shared" si="2"/>
        <v>9.2000000000000011</v>
      </c>
      <c r="N100" s="35">
        <f t="shared" si="3"/>
        <v>65.975000000000009</v>
      </c>
      <c r="O100" t="str">
        <f>VLOOKUP(N100,Helper!$B$30:$C$35,2,TRUE)</f>
        <v>C</v>
      </c>
      <c r="P100" s="26">
        <f>INDEX(Detail!$A$1:$A$1001,MATCH(B100,Detail!$G$1:$G$1001,0))</f>
        <v>37449</v>
      </c>
      <c r="Q100" s="3" t="str">
        <f>INDEX(Detail!$F$1:$F$1001,MATCH(Main!B100,Detail!$G$1:$G$1001,0))</f>
        <v>Solok</v>
      </c>
      <c r="R100" s="7">
        <f>INDEX(Detail!$C$1:$C$1001,MATCH(B100,Detail!$G$1:$G$1001,0),1)</f>
        <v>179</v>
      </c>
      <c r="S100" s="7">
        <f>INDEX(Detail!$D$1:$D$1001,MATCH(B100,Detail!$G$1:$G$1001,0),1)</f>
        <v>91</v>
      </c>
      <c r="T100" s="7" t="str">
        <f>INDEX(Detail!$E$1:$E$1001,MATCH(Main!B100,Detail!$G$1:$G$1001,0))</f>
        <v xml:space="preserve">Jalan Kiaracondong No. 9
</v>
      </c>
      <c r="U100" s="7" t="str">
        <f>INDEX(Detail!$B$1:$B$1001,MATCH(B100,Detail!$G$1:$G$1001,0),1)</f>
        <v>AB+</v>
      </c>
    </row>
    <row r="101" spans="1:21" ht="15.75" x14ac:dyDescent="0.25">
      <c r="A101">
        <v>691</v>
      </c>
      <c r="B101" s="3" t="str">
        <f>CONCATENATE("A",TEXT(Main!A101,"0000"))</f>
        <v>A0691</v>
      </c>
      <c r="C101" t="s">
        <v>1015</v>
      </c>
      <c r="D101" s="3" t="str">
        <f>VLOOKUP(B101,Detail!$G$1:$H$1001,2,FALSE)</f>
        <v>Zulaikha Permadi</v>
      </c>
      <c r="E101">
        <v>59</v>
      </c>
      <c r="F101">
        <v>70</v>
      </c>
      <c r="G101" s="35">
        <v>60</v>
      </c>
      <c r="H101">
        <v>55</v>
      </c>
      <c r="I101">
        <v>76</v>
      </c>
      <c r="J101">
        <v>95</v>
      </c>
      <c r="K101">
        <v>96</v>
      </c>
      <c r="L101" s="26" t="str">
        <f>IFERROR(VLOOKUP(B101,Absen!$A$1:$C$501,2,FALSE),"No")</f>
        <v>No</v>
      </c>
      <c r="M101" s="44">
        <f t="shared" si="2"/>
        <v>9.6000000000000014</v>
      </c>
      <c r="N101" s="35">
        <f t="shared" si="3"/>
        <v>73.099999999999994</v>
      </c>
      <c r="O101" t="str">
        <f>VLOOKUP(N101,Helper!$B$30:$C$35,2,TRUE)</f>
        <v>B</v>
      </c>
      <c r="P101" s="26">
        <f>INDEX(Detail!$A$1:$A$1001,MATCH(B101,Detail!$G$1:$G$1001,0))</f>
        <v>37254</v>
      </c>
      <c r="Q101" s="3" t="str">
        <f>INDEX(Detail!$F$1:$F$1001,MATCH(Main!B101,Detail!$G$1:$G$1001,0))</f>
        <v>Bekasi</v>
      </c>
      <c r="R101" s="7">
        <f>INDEX(Detail!$C$1:$C$1001,MATCH(B101,Detail!$G$1:$G$1001,0),1)</f>
        <v>166</v>
      </c>
      <c r="S101" s="7">
        <f>INDEX(Detail!$D$1:$D$1001,MATCH(B101,Detail!$G$1:$G$1001,0),1)</f>
        <v>82</v>
      </c>
      <c r="T101" s="7" t="str">
        <f>INDEX(Detail!$E$1:$E$1001,MATCH(Main!B101,Detail!$G$1:$G$1001,0))</f>
        <v xml:space="preserve">Gg. Cikutra Barat No. 1
</v>
      </c>
      <c r="U101" s="7" t="str">
        <f>INDEX(Detail!$B$1:$B$1001,MATCH(B101,Detail!$G$1:$G$1001,0),1)</f>
        <v>AB+</v>
      </c>
    </row>
    <row r="102" spans="1:21" ht="15.75" x14ac:dyDescent="0.25">
      <c r="A102">
        <v>692</v>
      </c>
      <c r="B102" s="3" t="str">
        <f>CONCATENATE("A",TEXT(Main!A102,"0000"))</f>
        <v>A0692</v>
      </c>
      <c r="C102" t="s">
        <v>1015</v>
      </c>
      <c r="D102" s="3" t="str">
        <f>VLOOKUP(B102,Detail!$G$1:$H$1001,2,FALSE)</f>
        <v>Taufik Oktaviani</v>
      </c>
      <c r="E102">
        <v>67</v>
      </c>
      <c r="F102">
        <v>51</v>
      </c>
      <c r="G102" s="35">
        <v>78</v>
      </c>
      <c r="H102">
        <v>70</v>
      </c>
      <c r="I102">
        <v>54</v>
      </c>
      <c r="J102">
        <v>72</v>
      </c>
      <c r="K102">
        <v>73</v>
      </c>
      <c r="L102" s="26" t="str">
        <f>IFERROR(VLOOKUP(B102,Absen!$A$1:$C$501,2,FALSE),"No")</f>
        <v>No</v>
      </c>
      <c r="M102" s="44">
        <f t="shared" si="2"/>
        <v>7.3000000000000007</v>
      </c>
      <c r="N102" s="35">
        <f t="shared" si="3"/>
        <v>67.55</v>
      </c>
      <c r="O102" t="str">
        <f>VLOOKUP(N102,Helper!$B$30:$C$35,2,TRUE)</f>
        <v>C</v>
      </c>
      <c r="P102" s="26">
        <f>INDEX(Detail!$A$1:$A$1001,MATCH(B102,Detail!$G$1:$G$1001,0))</f>
        <v>38234</v>
      </c>
      <c r="Q102" s="3" t="str">
        <f>INDEX(Detail!$F$1:$F$1001,MATCH(Main!B102,Detail!$G$1:$G$1001,0))</f>
        <v>Kota Administrasi Jakarta Timur</v>
      </c>
      <c r="R102" s="7">
        <f>INDEX(Detail!$C$1:$C$1001,MATCH(B102,Detail!$G$1:$G$1001,0),1)</f>
        <v>177</v>
      </c>
      <c r="S102" s="7">
        <f>INDEX(Detail!$D$1:$D$1001,MATCH(B102,Detail!$G$1:$G$1001,0),1)</f>
        <v>63</v>
      </c>
      <c r="T102" s="7" t="str">
        <f>INDEX(Detail!$E$1:$E$1001,MATCH(Main!B102,Detail!$G$1:$G$1001,0))</f>
        <v>Jalan Erlangga No. 87</v>
      </c>
      <c r="U102" s="7" t="str">
        <f>INDEX(Detail!$B$1:$B$1001,MATCH(B102,Detail!$G$1:$G$1001,0),1)</f>
        <v>A+</v>
      </c>
    </row>
    <row r="103" spans="1:21" ht="15.75" x14ac:dyDescent="0.25">
      <c r="A103">
        <v>693</v>
      </c>
      <c r="B103" s="3" t="str">
        <f>CONCATENATE("A",TEXT(Main!A103,"0000"))</f>
        <v>A0693</v>
      </c>
      <c r="C103" t="s">
        <v>1015</v>
      </c>
      <c r="D103" s="3" t="str">
        <f>VLOOKUP(B103,Detail!$G$1:$H$1001,2,FALSE)</f>
        <v>Jais Iswahyudi</v>
      </c>
      <c r="E103">
        <v>63</v>
      </c>
      <c r="F103">
        <v>46</v>
      </c>
      <c r="G103" s="35">
        <v>84</v>
      </c>
      <c r="H103">
        <v>75</v>
      </c>
      <c r="I103">
        <v>95</v>
      </c>
      <c r="J103">
        <v>51</v>
      </c>
      <c r="K103">
        <v>85</v>
      </c>
      <c r="L103" s="26">
        <f>IFERROR(VLOOKUP(B103,Absen!$A$1:$C$501,2,FALSE),"No")</f>
        <v>44789</v>
      </c>
      <c r="M103" s="44">
        <f t="shared" si="2"/>
        <v>7.5</v>
      </c>
      <c r="N103" s="35">
        <f t="shared" si="3"/>
        <v>69.375</v>
      </c>
      <c r="O103" t="str">
        <f>VLOOKUP(N103,Helper!$B$30:$C$35,2,TRUE)</f>
        <v>C</v>
      </c>
      <c r="P103" s="26">
        <f>INDEX(Detail!$A$1:$A$1001,MATCH(B103,Detail!$G$1:$G$1001,0))</f>
        <v>37316</v>
      </c>
      <c r="Q103" s="3" t="str">
        <f>INDEX(Detail!$F$1:$F$1001,MATCH(Main!B103,Detail!$G$1:$G$1001,0))</f>
        <v>Ambon</v>
      </c>
      <c r="R103" s="7">
        <f>INDEX(Detail!$C$1:$C$1001,MATCH(B103,Detail!$G$1:$G$1001,0),1)</f>
        <v>179</v>
      </c>
      <c r="S103" s="7">
        <f>INDEX(Detail!$D$1:$D$1001,MATCH(B103,Detail!$G$1:$G$1001,0),1)</f>
        <v>66</v>
      </c>
      <c r="T103" s="7" t="str">
        <f>INDEX(Detail!$E$1:$E$1001,MATCH(Main!B103,Detail!$G$1:$G$1001,0))</f>
        <v xml:space="preserve">Gg. Sukabumi No. 4
</v>
      </c>
      <c r="U103" s="7" t="str">
        <f>INDEX(Detail!$B$1:$B$1001,MATCH(B103,Detail!$G$1:$G$1001,0),1)</f>
        <v>B-</v>
      </c>
    </row>
    <row r="104" spans="1:21" ht="15.75" x14ac:dyDescent="0.25">
      <c r="A104">
        <v>694</v>
      </c>
      <c r="B104" s="3" t="str">
        <f>CONCATENATE("A",TEXT(Main!A104,"0000"))</f>
        <v>A0694</v>
      </c>
      <c r="C104" t="s">
        <v>1015</v>
      </c>
      <c r="D104" s="3" t="str">
        <f>VLOOKUP(B104,Detail!$G$1:$H$1001,2,FALSE)</f>
        <v>Kajen Narpati</v>
      </c>
      <c r="E104">
        <v>94</v>
      </c>
      <c r="F104">
        <v>69</v>
      </c>
      <c r="G104" s="35">
        <v>88</v>
      </c>
      <c r="H104">
        <v>73</v>
      </c>
      <c r="I104">
        <v>88</v>
      </c>
      <c r="J104">
        <v>93</v>
      </c>
      <c r="K104">
        <v>64</v>
      </c>
      <c r="L104" s="26" t="str">
        <f>IFERROR(VLOOKUP(B104,Absen!$A$1:$C$501,2,FALSE),"No")</f>
        <v>No</v>
      </c>
      <c r="M104" s="44">
        <f t="shared" si="2"/>
        <v>6.4</v>
      </c>
      <c r="N104" s="35">
        <f t="shared" si="3"/>
        <v>83.100000000000009</v>
      </c>
      <c r="O104" t="str">
        <f>VLOOKUP(N104,Helper!$B$30:$C$35,2,TRUE)</f>
        <v>A</v>
      </c>
      <c r="P104" s="26">
        <f>INDEX(Detail!$A$1:$A$1001,MATCH(B104,Detail!$G$1:$G$1001,0))</f>
        <v>38157</v>
      </c>
      <c r="Q104" s="3" t="str">
        <f>INDEX(Detail!$F$1:$F$1001,MATCH(Main!B104,Detail!$G$1:$G$1001,0))</f>
        <v>Lhokseumawe</v>
      </c>
      <c r="R104" s="7">
        <f>INDEX(Detail!$C$1:$C$1001,MATCH(B104,Detail!$G$1:$G$1001,0),1)</f>
        <v>173</v>
      </c>
      <c r="S104" s="7">
        <f>INDEX(Detail!$D$1:$D$1001,MATCH(B104,Detail!$G$1:$G$1001,0),1)</f>
        <v>63</v>
      </c>
      <c r="T104" s="7" t="str">
        <f>INDEX(Detail!$E$1:$E$1001,MATCH(Main!B104,Detail!$G$1:$G$1001,0))</f>
        <v xml:space="preserve">Gg. S. Parman No. 5
</v>
      </c>
      <c r="U104" s="7" t="str">
        <f>INDEX(Detail!$B$1:$B$1001,MATCH(B104,Detail!$G$1:$G$1001,0),1)</f>
        <v>O-</v>
      </c>
    </row>
    <row r="105" spans="1:21" ht="15.75" x14ac:dyDescent="0.25">
      <c r="A105">
        <v>695</v>
      </c>
      <c r="B105" s="3" t="str">
        <f>CONCATENATE("A",TEXT(Main!A105,"0000"))</f>
        <v>A0695</v>
      </c>
      <c r="C105" t="s">
        <v>1015</v>
      </c>
      <c r="D105" s="3" t="str">
        <f>VLOOKUP(B105,Detail!$G$1:$H$1001,2,FALSE)</f>
        <v>Jamalia Wastuti</v>
      </c>
      <c r="E105">
        <v>74</v>
      </c>
      <c r="F105">
        <v>72</v>
      </c>
      <c r="G105" s="35">
        <v>66</v>
      </c>
      <c r="H105">
        <v>52</v>
      </c>
      <c r="I105">
        <v>93</v>
      </c>
      <c r="J105">
        <v>91</v>
      </c>
      <c r="K105">
        <v>88</v>
      </c>
      <c r="L105" s="26" t="str">
        <f>IFERROR(VLOOKUP(B105,Absen!$A$1:$C$501,2,FALSE),"No")</f>
        <v>No</v>
      </c>
      <c r="M105" s="44">
        <f t="shared" si="2"/>
        <v>8.8000000000000007</v>
      </c>
      <c r="N105" s="35">
        <f t="shared" si="3"/>
        <v>76.575000000000003</v>
      </c>
      <c r="O105" t="str">
        <f>VLOOKUP(N105,Helper!$B$30:$C$35,2,TRUE)</f>
        <v>B</v>
      </c>
      <c r="P105" s="26">
        <f>INDEX(Detail!$A$1:$A$1001,MATCH(B105,Detail!$G$1:$G$1001,0))</f>
        <v>37254</v>
      </c>
      <c r="Q105" s="3" t="str">
        <f>INDEX(Detail!$F$1:$F$1001,MATCH(Main!B105,Detail!$G$1:$G$1001,0))</f>
        <v>Sibolga</v>
      </c>
      <c r="R105" s="7">
        <f>INDEX(Detail!$C$1:$C$1001,MATCH(B105,Detail!$G$1:$G$1001,0),1)</f>
        <v>180</v>
      </c>
      <c r="S105" s="7">
        <f>INDEX(Detail!$D$1:$D$1001,MATCH(B105,Detail!$G$1:$G$1001,0),1)</f>
        <v>76</v>
      </c>
      <c r="T105" s="7" t="str">
        <f>INDEX(Detail!$E$1:$E$1001,MATCH(Main!B105,Detail!$G$1:$G$1001,0))</f>
        <v>Jalan Dipenogoro No. 63</v>
      </c>
      <c r="U105" s="7" t="str">
        <f>INDEX(Detail!$B$1:$B$1001,MATCH(B105,Detail!$G$1:$G$1001,0),1)</f>
        <v>A+</v>
      </c>
    </row>
    <row r="106" spans="1:21" ht="15.75" x14ac:dyDescent="0.25">
      <c r="A106">
        <v>696</v>
      </c>
      <c r="B106" s="3" t="str">
        <f>CONCATENATE("A",TEXT(Main!A106,"0000"))</f>
        <v>A0696</v>
      </c>
      <c r="C106" t="s">
        <v>1015</v>
      </c>
      <c r="D106" s="3" t="str">
        <f>VLOOKUP(B106,Detail!$G$1:$H$1001,2,FALSE)</f>
        <v>Saadat Iswahyudi</v>
      </c>
      <c r="E106">
        <v>81</v>
      </c>
      <c r="F106">
        <v>63</v>
      </c>
      <c r="G106" s="35">
        <v>37</v>
      </c>
      <c r="H106">
        <v>60</v>
      </c>
      <c r="I106">
        <v>95</v>
      </c>
      <c r="J106">
        <v>93</v>
      </c>
      <c r="K106">
        <v>75</v>
      </c>
      <c r="L106" s="26" t="str">
        <f>IFERROR(VLOOKUP(B106,Absen!$A$1:$C$501,2,FALSE),"No")</f>
        <v>No</v>
      </c>
      <c r="M106" s="44">
        <f t="shared" si="2"/>
        <v>7.5</v>
      </c>
      <c r="N106" s="35">
        <f t="shared" si="3"/>
        <v>70.875</v>
      </c>
      <c r="O106" t="str">
        <f>VLOOKUP(N106,Helper!$B$30:$C$35,2,TRUE)</f>
        <v>B</v>
      </c>
      <c r="P106" s="26">
        <f>INDEX(Detail!$A$1:$A$1001,MATCH(B106,Detail!$G$1:$G$1001,0))</f>
        <v>37402</v>
      </c>
      <c r="Q106" s="3" t="str">
        <f>INDEX(Detail!$F$1:$F$1001,MATCH(Main!B106,Detail!$G$1:$G$1001,0))</f>
        <v>Padang</v>
      </c>
      <c r="R106" s="7">
        <f>INDEX(Detail!$C$1:$C$1001,MATCH(B106,Detail!$G$1:$G$1001,0),1)</f>
        <v>175</v>
      </c>
      <c r="S106" s="7">
        <f>INDEX(Detail!$D$1:$D$1001,MATCH(B106,Detail!$G$1:$G$1001,0),1)</f>
        <v>81</v>
      </c>
      <c r="T106" s="7" t="str">
        <f>INDEX(Detail!$E$1:$E$1001,MATCH(Main!B106,Detail!$G$1:$G$1001,0))</f>
        <v xml:space="preserve">Gg. BKR No. 3
</v>
      </c>
      <c r="U106" s="7" t="str">
        <f>INDEX(Detail!$B$1:$B$1001,MATCH(B106,Detail!$G$1:$G$1001,0),1)</f>
        <v>A-</v>
      </c>
    </row>
    <row r="107" spans="1:21" ht="15.75" x14ac:dyDescent="0.25">
      <c r="A107">
        <v>710</v>
      </c>
      <c r="B107" s="3" t="str">
        <f>CONCATENATE("A",TEXT(Main!A107,"0000"))</f>
        <v>A0710</v>
      </c>
      <c r="C107" t="s">
        <v>1015</v>
      </c>
      <c r="D107" s="3" t="str">
        <f>VLOOKUP(B107,Detail!$G$1:$H$1001,2,FALSE)</f>
        <v>Dalimin Pranowo</v>
      </c>
      <c r="E107">
        <v>65</v>
      </c>
      <c r="F107">
        <v>64</v>
      </c>
      <c r="G107" s="35">
        <v>91</v>
      </c>
      <c r="H107">
        <v>53</v>
      </c>
      <c r="I107">
        <v>65</v>
      </c>
      <c r="J107">
        <v>89</v>
      </c>
      <c r="K107">
        <v>65</v>
      </c>
      <c r="L107" s="26" t="str">
        <f>IFERROR(VLOOKUP(B107,Absen!$A$1:$C$501,2,FALSE),"No")</f>
        <v>No</v>
      </c>
      <c r="M107" s="44">
        <f t="shared" si="2"/>
        <v>6.5</v>
      </c>
      <c r="N107" s="35">
        <f t="shared" si="3"/>
        <v>73.375</v>
      </c>
      <c r="O107" t="str">
        <f>VLOOKUP(N107,Helper!$B$30:$C$35,2,TRUE)</f>
        <v>B</v>
      </c>
      <c r="P107" s="26">
        <f>INDEX(Detail!$A$1:$A$1001,MATCH(B107,Detail!$G$1:$G$1001,0))</f>
        <v>37203</v>
      </c>
      <c r="Q107" s="3" t="str">
        <f>INDEX(Detail!$F$1:$F$1001,MATCH(Main!B107,Detail!$G$1:$G$1001,0))</f>
        <v>Kota Administrasi Jakarta Timur</v>
      </c>
      <c r="R107" s="7">
        <f>INDEX(Detail!$C$1:$C$1001,MATCH(B107,Detail!$G$1:$G$1001,0),1)</f>
        <v>168</v>
      </c>
      <c r="S107" s="7">
        <f>INDEX(Detail!$D$1:$D$1001,MATCH(B107,Detail!$G$1:$G$1001,0),1)</f>
        <v>58</v>
      </c>
      <c r="T107" s="7" t="str">
        <f>INDEX(Detail!$E$1:$E$1001,MATCH(Main!B107,Detail!$G$1:$G$1001,0))</f>
        <v>Gg. Moch. Toha No. 99</v>
      </c>
      <c r="U107" s="7" t="str">
        <f>INDEX(Detail!$B$1:$B$1001,MATCH(B107,Detail!$G$1:$G$1001,0),1)</f>
        <v>AB+</v>
      </c>
    </row>
    <row r="108" spans="1:21" ht="15.75" x14ac:dyDescent="0.25">
      <c r="A108">
        <v>712</v>
      </c>
      <c r="B108" s="3" t="str">
        <f>CONCATENATE("A",TEXT(Main!A108,"0000"))</f>
        <v>A0712</v>
      </c>
      <c r="C108" t="s">
        <v>1015</v>
      </c>
      <c r="D108" s="3" t="str">
        <f>VLOOKUP(B108,Detail!$G$1:$H$1001,2,FALSE)</f>
        <v>Laksana Irawan</v>
      </c>
      <c r="E108">
        <v>77</v>
      </c>
      <c r="F108">
        <v>55</v>
      </c>
      <c r="G108" s="35">
        <v>46</v>
      </c>
      <c r="H108">
        <v>68</v>
      </c>
      <c r="I108">
        <v>85</v>
      </c>
      <c r="J108">
        <v>65</v>
      </c>
      <c r="K108">
        <v>75</v>
      </c>
      <c r="L108" s="26">
        <f>IFERROR(VLOOKUP(B108,Absen!$A$1:$C$501,2,FALSE),"No")</f>
        <v>44906</v>
      </c>
      <c r="M108" s="44">
        <f t="shared" si="2"/>
        <v>6.5</v>
      </c>
      <c r="N108" s="35">
        <f t="shared" si="3"/>
        <v>64.325000000000003</v>
      </c>
      <c r="O108" t="str">
        <f>VLOOKUP(N108,Helper!$B$30:$C$35,2,TRUE)</f>
        <v>C</v>
      </c>
      <c r="P108" s="26">
        <f>INDEX(Detail!$A$1:$A$1001,MATCH(B108,Detail!$G$1:$G$1001,0))</f>
        <v>38375</v>
      </c>
      <c r="Q108" s="3" t="str">
        <f>INDEX(Detail!$F$1:$F$1001,MATCH(Main!B108,Detail!$G$1:$G$1001,0))</f>
        <v>Palu</v>
      </c>
      <c r="R108" s="7">
        <f>INDEX(Detail!$C$1:$C$1001,MATCH(B108,Detail!$G$1:$G$1001,0),1)</f>
        <v>177</v>
      </c>
      <c r="S108" s="7">
        <f>INDEX(Detail!$D$1:$D$1001,MATCH(B108,Detail!$G$1:$G$1001,0),1)</f>
        <v>69</v>
      </c>
      <c r="T108" s="7" t="str">
        <f>INDEX(Detail!$E$1:$E$1001,MATCH(Main!B108,Detail!$G$1:$G$1001,0))</f>
        <v xml:space="preserve">Jl. Ahmad Dahlan No. 1
</v>
      </c>
      <c r="U108" s="7" t="str">
        <f>INDEX(Detail!$B$1:$B$1001,MATCH(B108,Detail!$G$1:$G$1001,0),1)</f>
        <v>AB-</v>
      </c>
    </row>
    <row r="109" spans="1:21" ht="15.75" x14ac:dyDescent="0.25">
      <c r="A109">
        <v>722</v>
      </c>
      <c r="B109" s="3" t="str">
        <f>CONCATENATE("A",TEXT(Main!A109,"0000"))</f>
        <v>A0722</v>
      </c>
      <c r="C109" t="s">
        <v>1015</v>
      </c>
      <c r="D109" s="3" t="str">
        <f>VLOOKUP(B109,Detail!$G$1:$H$1001,2,FALSE)</f>
        <v>Kanda Nugroho</v>
      </c>
      <c r="E109">
        <v>87</v>
      </c>
      <c r="F109">
        <v>57</v>
      </c>
      <c r="G109" s="35">
        <v>41</v>
      </c>
      <c r="H109">
        <v>67</v>
      </c>
      <c r="I109">
        <v>76</v>
      </c>
      <c r="J109">
        <v>58</v>
      </c>
      <c r="K109">
        <v>88</v>
      </c>
      <c r="L109" s="26" t="str">
        <f>IFERROR(VLOOKUP(B109,Absen!$A$1:$C$501,2,FALSE),"No")</f>
        <v>No</v>
      </c>
      <c r="M109" s="44">
        <f t="shared" si="2"/>
        <v>8.8000000000000007</v>
      </c>
      <c r="N109" s="35">
        <f t="shared" si="3"/>
        <v>64.475000000000009</v>
      </c>
      <c r="O109" t="str">
        <f>VLOOKUP(N109,Helper!$B$30:$C$35,2,TRUE)</f>
        <v>C</v>
      </c>
      <c r="P109" s="26">
        <f>INDEX(Detail!$A$1:$A$1001,MATCH(B109,Detail!$G$1:$G$1001,0))</f>
        <v>37415</v>
      </c>
      <c r="Q109" s="3" t="str">
        <f>INDEX(Detail!$F$1:$F$1001,MATCH(Main!B109,Detail!$G$1:$G$1001,0))</f>
        <v>Salatiga</v>
      </c>
      <c r="R109" s="7">
        <f>INDEX(Detail!$C$1:$C$1001,MATCH(B109,Detail!$G$1:$G$1001,0),1)</f>
        <v>156</v>
      </c>
      <c r="S109" s="7">
        <f>INDEX(Detail!$D$1:$D$1001,MATCH(B109,Detail!$G$1:$G$1001,0),1)</f>
        <v>68</v>
      </c>
      <c r="T109" s="7" t="str">
        <f>INDEX(Detail!$E$1:$E$1001,MATCH(Main!B109,Detail!$G$1:$G$1001,0))</f>
        <v>Jalan Ir. H. Djuanda No. 25</v>
      </c>
      <c r="U109" s="7" t="str">
        <f>INDEX(Detail!$B$1:$B$1001,MATCH(B109,Detail!$G$1:$G$1001,0),1)</f>
        <v>A-</v>
      </c>
    </row>
    <row r="110" spans="1:21" ht="15.75" x14ac:dyDescent="0.25">
      <c r="A110">
        <v>725</v>
      </c>
      <c r="B110" s="3" t="str">
        <f>CONCATENATE("A",TEXT(Main!A110,"0000"))</f>
        <v>A0725</v>
      </c>
      <c r="C110" t="s">
        <v>1015</v>
      </c>
      <c r="D110" s="3" t="str">
        <f>VLOOKUP(B110,Detail!$G$1:$H$1001,2,FALSE)</f>
        <v>Labuh Permadi</v>
      </c>
      <c r="E110">
        <v>87</v>
      </c>
      <c r="F110">
        <v>49</v>
      </c>
      <c r="G110" s="35">
        <v>82</v>
      </c>
      <c r="H110">
        <v>62</v>
      </c>
      <c r="I110">
        <v>93</v>
      </c>
      <c r="J110">
        <v>58</v>
      </c>
      <c r="K110">
        <v>71</v>
      </c>
      <c r="L110" s="26" t="str">
        <f>IFERROR(VLOOKUP(B110,Absen!$A$1:$C$501,2,FALSE),"No")</f>
        <v>No</v>
      </c>
      <c r="M110" s="44">
        <f t="shared" si="2"/>
        <v>7.1000000000000005</v>
      </c>
      <c r="N110" s="35">
        <f t="shared" si="3"/>
        <v>71.474999999999994</v>
      </c>
      <c r="O110" t="str">
        <f>VLOOKUP(N110,Helper!$B$30:$C$35,2,TRUE)</f>
        <v>B</v>
      </c>
      <c r="P110" s="26">
        <f>INDEX(Detail!$A$1:$A$1001,MATCH(B110,Detail!$G$1:$G$1001,0))</f>
        <v>38319</v>
      </c>
      <c r="Q110" s="3" t="str">
        <f>INDEX(Detail!$F$1:$F$1001,MATCH(Main!B110,Detail!$G$1:$G$1001,0))</f>
        <v>Pangkalpinang</v>
      </c>
      <c r="R110" s="7">
        <f>INDEX(Detail!$C$1:$C$1001,MATCH(B110,Detail!$G$1:$G$1001,0),1)</f>
        <v>150</v>
      </c>
      <c r="S110" s="7">
        <f>INDEX(Detail!$D$1:$D$1001,MATCH(B110,Detail!$G$1:$G$1001,0),1)</f>
        <v>85</v>
      </c>
      <c r="T110" s="7" t="str">
        <f>INDEX(Detail!$E$1:$E$1001,MATCH(Main!B110,Detail!$G$1:$G$1001,0))</f>
        <v xml:space="preserve">Jalan Jend. A. Yani No. 2
</v>
      </c>
      <c r="U110" s="7" t="str">
        <f>INDEX(Detail!$B$1:$B$1001,MATCH(B110,Detail!$G$1:$G$1001,0),1)</f>
        <v>B-</v>
      </c>
    </row>
    <row r="111" spans="1:21" ht="15.75" x14ac:dyDescent="0.25">
      <c r="A111">
        <v>728</v>
      </c>
      <c r="B111" s="3" t="str">
        <f>CONCATENATE("A",TEXT(Main!A111,"0000"))</f>
        <v>A0728</v>
      </c>
      <c r="C111" t="s">
        <v>1015</v>
      </c>
      <c r="D111" s="3" t="str">
        <f>VLOOKUP(B111,Detail!$G$1:$H$1001,2,FALSE)</f>
        <v>Kenzie Pratama</v>
      </c>
      <c r="E111">
        <v>67</v>
      </c>
      <c r="F111">
        <v>47</v>
      </c>
      <c r="G111" s="35">
        <v>36</v>
      </c>
      <c r="H111">
        <v>68</v>
      </c>
      <c r="I111">
        <v>80</v>
      </c>
      <c r="J111">
        <v>99</v>
      </c>
      <c r="K111">
        <v>60</v>
      </c>
      <c r="L111" s="26" t="str">
        <f>IFERROR(VLOOKUP(B111,Absen!$A$1:$C$501,2,FALSE),"No")</f>
        <v>No</v>
      </c>
      <c r="M111" s="44">
        <f t="shared" si="2"/>
        <v>6</v>
      </c>
      <c r="N111" s="35">
        <f t="shared" si="3"/>
        <v>65.75</v>
      </c>
      <c r="O111" t="str">
        <f>VLOOKUP(N111,Helper!$B$30:$C$35,2,TRUE)</f>
        <v>C</v>
      </c>
      <c r="P111" s="26">
        <f>INDEX(Detail!$A$1:$A$1001,MATCH(B111,Detail!$G$1:$G$1001,0))</f>
        <v>38260</v>
      </c>
      <c r="Q111" s="3" t="str">
        <f>INDEX(Detail!$F$1:$F$1001,MATCH(Main!B111,Detail!$G$1:$G$1001,0))</f>
        <v>Kupang</v>
      </c>
      <c r="R111" s="7">
        <f>INDEX(Detail!$C$1:$C$1001,MATCH(B111,Detail!$G$1:$G$1001,0),1)</f>
        <v>167</v>
      </c>
      <c r="S111" s="7">
        <f>INDEX(Detail!$D$1:$D$1001,MATCH(B111,Detail!$G$1:$G$1001,0),1)</f>
        <v>72</v>
      </c>
      <c r="T111" s="7" t="str">
        <f>INDEX(Detail!$E$1:$E$1001,MATCH(Main!B111,Detail!$G$1:$G$1001,0))</f>
        <v xml:space="preserve">Jl. Gegerkalong Hilir No. 8
</v>
      </c>
      <c r="U111" s="7" t="str">
        <f>INDEX(Detail!$B$1:$B$1001,MATCH(B111,Detail!$G$1:$G$1001,0),1)</f>
        <v>AB+</v>
      </c>
    </row>
    <row r="112" spans="1:21" ht="15.75" x14ac:dyDescent="0.25">
      <c r="A112">
        <v>737</v>
      </c>
      <c r="B112" s="3" t="str">
        <f>CONCATENATE("A",TEXT(Main!A112,"0000"))</f>
        <v>A0737</v>
      </c>
      <c r="C112" t="s">
        <v>1015</v>
      </c>
      <c r="D112" s="3" t="str">
        <f>VLOOKUP(B112,Detail!$G$1:$H$1001,2,FALSE)</f>
        <v>Himawan Ardianto</v>
      </c>
      <c r="E112">
        <v>80</v>
      </c>
      <c r="F112">
        <v>66</v>
      </c>
      <c r="G112" s="35">
        <v>89</v>
      </c>
      <c r="H112">
        <v>60</v>
      </c>
      <c r="I112">
        <v>86</v>
      </c>
      <c r="J112">
        <v>75</v>
      </c>
      <c r="K112">
        <v>89</v>
      </c>
      <c r="L112" s="26" t="str">
        <f>IFERROR(VLOOKUP(B112,Absen!$A$1:$C$501,2,FALSE),"No")</f>
        <v>No</v>
      </c>
      <c r="M112" s="44">
        <f t="shared" si="2"/>
        <v>8.9</v>
      </c>
      <c r="N112" s="35">
        <f t="shared" si="3"/>
        <v>78.2</v>
      </c>
      <c r="O112" t="str">
        <f>VLOOKUP(N112,Helper!$B$30:$C$35,2,TRUE)</f>
        <v>B</v>
      </c>
      <c r="P112" s="26">
        <f>INDEX(Detail!$A$1:$A$1001,MATCH(B112,Detail!$G$1:$G$1001,0))</f>
        <v>37134</v>
      </c>
      <c r="Q112" s="3" t="str">
        <f>INDEX(Detail!$F$1:$F$1001,MATCH(Main!B112,Detail!$G$1:$G$1001,0))</f>
        <v>Kota Administrasi Jakarta Pusat</v>
      </c>
      <c r="R112" s="7">
        <f>INDEX(Detail!$C$1:$C$1001,MATCH(B112,Detail!$G$1:$G$1001,0),1)</f>
        <v>154</v>
      </c>
      <c r="S112" s="7">
        <f>INDEX(Detail!$D$1:$D$1001,MATCH(B112,Detail!$G$1:$G$1001,0),1)</f>
        <v>52</v>
      </c>
      <c r="T112" s="7" t="str">
        <f>INDEX(Detail!$E$1:$E$1001,MATCH(Main!B112,Detail!$G$1:$G$1001,0))</f>
        <v xml:space="preserve">Gang Medokan Ayu No. 4
</v>
      </c>
      <c r="U112" s="7" t="str">
        <f>INDEX(Detail!$B$1:$B$1001,MATCH(B112,Detail!$G$1:$G$1001,0),1)</f>
        <v>AB-</v>
      </c>
    </row>
    <row r="113" spans="1:21" ht="15.75" x14ac:dyDescent="0.25">
      <c r="A113">
        <v>741</v>
      </c>
      <c r="B113" s="3" t="str">
        <f>CONCATENATE("A",TEXT(Main!A113,"0000"))</f>
        <v>A0741</v>
      </c>
      <c r="C113" t="s">
        <v>1015</v>
      </c>
      <c r="D113" s="3" t="str">
        <f>VLOOKUP(B113,Detail!$G$1:$H$1001,2,FALSE)</f>
        <v>Kawaya Firgantoro</v>
      </c>
      <c r="E113">
        <v>60</v>
      </c>
      <c r="F113">
        <v>44</v>
      </c>
      <c r="G113" s="35">
        <v>85</v>
      </c>
      <c r="H113">
        <v>56</v>
      </c>
      <c r="I113">
        <v>76</v>
      </c>
      <c r="J113">
        <v>92</v>
      </c>
      <c r="K113">
        <v>70</v>
      </c>
      <c r="L113" s="26" t="str">
        <f>IFERROR(VLOOKUP(B113,Absen!$A$1:$C$501,2,FALSE),"No")</f>
        <v>No</v>
      </c>
      <c r="M113" s="44">
        <f t="shared" si="2"/>
        <v>7</v>
      </c>
      <c r="N113" s="35">
        <f t="shared" si="3"/>
        <v>71.900000000000006</v>
      </c>
      <c r="O113" t="str">
        <f>VLOOKUP(N113,Helper!$B$30:$C$35,2,TRUE)</f>
        <v>B</v>
      </c>
      <c r="P113" s="26">
        <f>INDEX(Detail!$A$1:$A$1001,MATCH(B113,Detail!$G$1:$G$1001,0))</f>
        <v>38035</v>
      </c>
      <c r="Q113" s="3" t="str">
        <f>INDEX(Detail!$F$1:$F$1001,MATCH(Main!B113,Detail!$G$1:$G$1001,0))</f>
        <v>Palangkaraya</v>
      </c>
      <c r="R113" s="7">
        <f>INDEX(Detail!$C$1:$C$1001,MATCH(B113,Detail!$G$1:$G$1001,0),1)</f>
        <v>152</v>
      </c>
      <c r="S113" s="7">
        <f>INDEX(Detail!$D$1:$D$1001,MATCH(B113,Detail!$G$1:$G$1001,0),1)</f>
        <v>82</v>
      </c>
      <c r="T113" s="7" t="str">
        <f>INDEX(Detail!$E$1:$E$1001,MATCH(Main!B113,Detail!$G$1:$G$1001,0))</f>
        <v>Jl. Bangka Raya No. 76</v>
      </c>
      <c r="U113" s="7" t="str">
        <f>INDEX(Detail!$B$1:$B$1001,MATCH(B113,Detail!$G$1:$G$1001,0),1)</f>
        <v>AB-</v>
      </c>
    </row>
    <row r="114" spans="1:21" ht="15.75" x14ac:dyDescent="0.25">
      <c r="A114">
        <v>746</v>
      </c>
      <c r="B114" s="3" t="str">
        <f>CONCATENATE("A",TEXT(Main!A114,"0000"))</f>
        <v>A0746</v>
      </c>
      <c r="C114" t="s">
        <v>1015</v>
      </c>
      <c r="D114" s="3" t="str">
        <f>VLOOKUP(B114,Detail!$G$1:$H$1001,2,FALSE)</f>
        <v>Citra Sudiati</v>
      </c>
      <c r="E114">
        <v>94</v>
      </c>
      <c r="F114">
        <v>62</v>
      </c>
      <c r="G114" s="35">
        <v>55</v>
      </c>
      <c r="H114">
        <v>54</v>
      </c>
      <c r="I114">
        <v>66</v>
      </c>
      <c r="J114">
        <v>45</v>
      </c>
      <c r="K114">
        <v>86</v>
      </c>
      <c r="L114" s="26">
        <f>IFERROR(VLOOKUP(B114,Absen!$A$1:$C$501,2,FALSE),"No")</f>
        <v>44748</v>
      </c>
      <c r="M114" s="44">
        <f t="shared" si="2"/>
        <v>7.6000000000000005</v>
      </c>
      <c r="N114" s="35">
        <f t="shared" si="3"/>
        <v>62.1</v>
      </c>
      <c r="O114" t="str">
        <f>VLOOKUP(N114,Helper!$B$30:$C$35,2,TRUE)</f>
        <v>C</v>
      </c>
      <c r="P114" s="26">
        <f>INDEX(Detail!$A$1:$A$1001,MATCH(B114,Detail!$G$1:$G$1001,0))</f>
        <v>37101</v>
      </c>
      <c r="Q114" s="3" t="str">
        <f>INDEX(Detail!$F$1:$F$1001,MATCH(Main!B114,Detail!$G$1:$G$1001,0))</f>
        <v>Tomohon</v>
      </c>
      <c r="R114" s="7">
        <f>INDEX(Detail!$C$1:$C$1001,MATCH(B114,Detail!$G$1:$G$1001,0),1)</f>
        <v>150</v>
      </c>
      <c r="S114" s="7">
        <f>INDEX(Detail!$D$1:$D$1001,MATCH(B114,Detail!$G$1:$G$1001,0),1)</f>
        <v>84</v>
      </c>
      <c r="T114" s="7" t="str">
        <f>INDEX(Detail!$E$1:$E$1001,MATCH(Main!B114,Detail!$G$1:$G$1001,0))</f>
        <v>Jl. Soekarno Hatta No. 42</v>
      </c>
      <c r="U114" s="7" t="str">
        <f>INDEX(Detail!$B$1:$B$1001,MATCH(B114,Detail!$G$1:$G$1001,0),1)</f>
        <v>B-</v>
      </c>
    </row>
    <row r="115" spans="1:21" ht="15.75" x14ac:dyDescent="0.25">
      <c r="A115">
        <v>753</v>
      </c>
      <c r="B115" s="3" t="str">
        <f>CONCATENATE("A",TEXT(Main!A115,"0000"))</f>
        <v>A0753</v>
      </c>
      <c r="C115" t="s">
        <v>1015</v>
      </c>
      <c r="D115" s="3" t="str">
        <f>VLOOKUP(B115,Detail!$G$1:$H$1001,2,FALSE)</f>
        <v>Maras Salahudin</v>
      </c>
      <c r="E115">
        <v>92</v>
      </c>
      <c r="F115">
        <v>71</v>
      </c>
      <c r="G115" s="35">
        <v>67</v>
      </c>
      <c r="H115">
        <v>68</v>
      </c>
      <c r="I115">
        <v>58</v>
      </c>
      <c r="J115">
        <v>58</v>
      </c>
      <c r="K115">
        <v>74</v>
      </c>
      <c r="L115" s="26" t="str">
        <f>IFERROR(VLOOKUP(B115,Absen!$A$1:$C$501,2,FALSE),"No")</f>
        <v>No</v>
      </c>
      <c r="M115" s="44">
        <f t="shared" si="2"/>
        <v>7.4</v>
      </c>
      <c r="N115" s="35">
        <f t="shared" si="3"/>
        <v>68.525000000000006</v>
      </c>
      <c r="O115" t="str">
        <f>VLOOKUP(N115,Helper!$B$30:$C$35,2,TRUE)</f>
        <v>C</v>
      </c>
      <c r="P115" s="26">
        <f>INDEX(Detail!$A$1:$A$1001,MATCH(B115,Detail!$G$1:$G$1001,0))</f>
        <v>37409</v>
      </c>
      <c r="Q115" s="3" t="str">
        <f>INDEX(Detail!$F$1:$F$1001,MATCH(Main!B115,Detail!$G$1:$G$1001,0))</f>
        <v>Purwokerto</v>
      </c>
      <c r="R115" s="7">
        <f>INDEX(Detail!$C$1:$C$1001,MATCH(B115,Detail!$G$1:$G$1001,0),1)</f>
        <v>154</v>
      </c>
      <c r="S115" s="7">
        <f>INDEX(Detail!$D$1:$D$1001,MATCH(B115,Detail!$G$1:$G$1001,0),1)</f>
        <v>75</v>
      </c>
      <c r="T115" s="7" t="str">
        <f>INDEX(Detail!$E$1:$E$1001,MATCH(Main!B115,Detail!$G$1:$G$1001,0))</f>
        <v>Jl. Dr. Djunjunan No. 75</v>
      </c>
      <c r="U115" s="7" t="str">
        <f>INDEX(Detail!$B$1:$B$1001,MATCH(B115,Detail!$G$1:$G$1001,0),1)</f>
        <v>A+</v>
      </c>
    </row>
    <row r="116" spans="1:21" ht="15.75" x14ac:dyDescent="0.25">
      <c r="A116">
        <v>758</v>
      </c>
      <c r="B116" s="3" t="str">
        <f>CONCATENATE("A",TEXT(Main!A116,"0000"))</f>
        <v>A0758</v>
      </c>
      <c r="C116" t="s">
        <v>1015</v>
      </c>
      <c r="D116" s="3" t="str">
        <f>VLOOKUP(B116,Detail!$G$1:$H$1001,2,FALSE)</f>
        <v>Wani Kuswandari</v>
      </c>
      <c r="E116">
        <v>69</v>
      </c>
      <c r="F116">
        <v>67</v>
      </c>
      <c r="G116" s="35">
        <v>35</v>
      </c>
      <c r="H116">
        <v>66</v>
      </c>
      <c r="I116">
        <v>83</v>
      </c>
      <c r="J116">
        <v>64</v>
      </c>
      <c r="K116">
        <v>80</v>
      </c>
      <c r="L116" s="26">
        <f>IFERROR(VLOOKUP(B116,Absen!$A$1:$C$501,2,FALSE),"No")</f>
        <v>44800</v>
      </c>
      <c r="M116" s="44">
        <f t="shared" si="2"/>
        <v>7</v>
      </c>
      <c r="N116" s="35">
        <f t="shared" si="3"/>
        <v>62.424999999999997</v>
      </c>
      <c r="O116" t="str">
        <f>VLOOKUP(N116,Helper!$B$30:$C$35,2,TRUE)</f>
        <v>C</v>
      </c>
      <c r="P116" s="26">
        <f>INDEX(Detail!$A$1:$A$1001,MATCH(B116,Detail!$G$1:$G$1001,0))</f>
        <v>37085</v>
      </c>
      <c r="Q116" s="3" t="str">
        <f>INDEX(Detail!$F$1:$F$1001,MATCH(Main!B116,Detail!$G$1:$G$1001,0))</f>
        <v>Bontang</v>
      </c>
      <c r="R116" s="7">
        <f>INDEX(Detail!$C$1:$C$1001,MATCH(B116,Detail!$G$1:$G$1001,0),1)</f>
        <v>153</v>
      </c>
      <c r="S116" s="7">
        <f>INDEX(Detail!$D$1:$D$1001,MATCH(B116,Detail!$G$1:$G$1001,0),1)</f>
        <v>76</v>
      </c>
      <c r="T116" s="7" t="str">
        <f>INDEX(Detail!$E$1:$E$1001,MATCH(Main!B116,Detail!$G$1:$G$1001,0))</f>
        <v>Jl. Rungkut Industri No. 62</v>
      </c>
      <c r="U116" s="7" t="str">
        <f>INDEX(Detail!$B$1:$B$1001,MATCH(B116,Detail!$G$1:$G$1001,0),1)</f>
        <v>A+</v>
      </c>
    </row>
    <row r="117" spans="1:21" ht="15.75" x14ac:dyDescent="0.25">
      <c r="A117">
        <v>759</v>
      </c>
      <c r="B117" s="3" t="str">
        <f>CONCATENATE("A",TEXT(Main!A117,"0000"))</f>
        <v>A0759</v>
      </c>
      <c r="C117" t="s">
        <v>1015</v>
      </c>
      <c r="D117" s="3" t="str">
        <f>VLOOKUP(B117,Detail!$G$1:$H$1001,2,FALSE)</f>
        <v>Irfan Handayani</v>
      </c>
      <c r="E117">
        <v>67</v>
      </c>
      <c r="F117">
        <v>65</v>
      </c>
      <c r="G117" s="35">
        <v>75</v>
      </c>
      <c r="H117">
        <v>52</v>
      </c>
      <c r="I117">
        <v>83</v>
      </c>
      <c r="J117">
        <v>56</v>
      </c>
      <c r="K117">
        <v>82</v>
      </c>
      <c r="L117" s="26" t="str">
        <f>IFERROR(VLOOKUP(B117,Absen!$A$1:$C$501,2,FALSE),"No")</f>
        <v>No</v>
      </c>
      <c r="M117" s="44">
        <f t="shared" si="2"/>
        <v>8.2000000000000011</v>
      </c>
      <c r="N117" s="35">
        <f t="shared" si="3"/>
        <v>67.775000000000006</v>
      </c>
      <c r="O117" t="str">
        <f>VLOOKUP(N117,Helper!$B$30:$C$35,2,TRUE)</f>
        <v>C</v>
      </c>
      <c r="P117" s="26">
        <f>INDEX(Detail!$A$1:$A$1001,MATCH(B117,Detail!$G$1:$G$1001,0))</f>
        <v>37888</v>
      </c>
      <c r="Q117" s="3" t="str">
        <f>INDEX(Detail!$F$1:$F$1001,MATCH(Main!B117,Detail!$G$1:$G$1001,0))</f>
        <v>Prabumulih</v>
      </c>
      <c r="R117" s="7">
        <f>INDEX(Detail!$C$1:$C$1001,MATCH(B117,Detail!$G$1:$G$1001,0),1)</f>
        <v>150</v>
      </c>
      <c r="S117" s="7">
        <f>INDEX(Detail!$D$1:$D$1001,MATCH(B117,Detail!$G$1:$G$1001,0),1)</f>
        <v>79</v>
      </c>
      <c r="T117" s="7" t="str">
        <f>INDEX(Detail!$E$1:$E$1001,MATCH(Main!B117,Detail!$G$1:$G$1001,0))</f>
        <v>Gg. Surapati No. 68</v>
      </c>
      <c r="U117" s="7" t="str">
        <f>INDEX(Detail!$B$1:$B$1001,MATCH(B117,Detail!$G$1:$G$1001,0),1)</f>
        <v>AB+</v>
      </c>
    </row>
    <row r="118" spans="1:21" ht="15.75" x14ac:dyDescent="0.25">
      <c r="A118">
        <v>762</v>
      </c>
      <c r="B118" s="3" t="str">
        <f>CONCATENATE("A",TEXT(Main!A118,"0000"))</f>
        <v>A0762</v>
      </c>
      <c r="C118" t="s">
        <v>1015</v>
      </c>
      <c r="D118" s="3" t="str">
        <f>VLOOKUP(B118,Detail!$G$1:$H$1001,2,FALSE)</f>
        <v>Argono Padmasari</v>
      </c>
      <c r="E118">
        <v>78</v>
      </c>
      <c r="F118">
        <v>73</v>
      </c>
      <c r="G118" s="35">
        <v>93</v>
      </c>
      <c r="H118">
        <v>75</v>
      </c>
      <c r="I118">
        <v>54</v>
      </c>
      <c r="J118">
        <v>54</v>
      </c>
      <c r="K118">
        <v>82</v>
      </c>
      <c r="L118" s="26" t="str">
        <f>IFERROR(VLOOKUP(B118,Absen!$A$1:$C$501,2,FALSE),"No")</f>
        <v>No</v>
      </c>
      <c r="M118" s="44">
        <f t="shared" si="2"/>
        <v>8.2000000000000011</v>
      </c>
      <c r="N118" s="35">
        <f t="shared" si="3"/>
        <v>72.600000000000009</v>
      </c>
      <c r="O118" t="str">
        <f>VLOOKUP(N118,Helper!$B$30:$C$35,2,TRUE)</f>
        <v>B</v>
      </c>
      <c r="P118" s="26">
        <f>INDEX(Detail!$A$1:$A$1001,MATCH(B118,Detail!$G$1:$G$1001,0))</f>
        <v>37481</v>
      </c>
      <c r="Q118" s="3" t="str">
        <f>INDEX(Detail!$F$1:$F$1001,MATCH(Main!B118,Detail!$G$1:$G$1001,0))</f>
        <v>Padang</v>
      </c>
      <c r="R118" s="7">
        <f>INDEX(Detail!$C$1:$C$1001,MATCH(B118,Detail!$G$1:$G$1001,0),1)</f>
        <v>164</v>
      </c>
      <c r="S118" s="7">
        <f>INDEX(Detail!$D$1:$D$1001,MATCH(B118,Detail!$G$1:$G$1001,0),1)</f>
        <v>94</v>
      </c>
      <c r="T118" s="7" t="str">
        <f>INDEX(Detail!$E$1:$E$1001,MATCH(Main!B118,Detail!$G$1:$G$1001,0))</f>
        <v>Gg. Ahmad Yani No. 79</v>
      </c>
      <c r="U118" s="7" t="str">
        <f>INDEX(Detail!$B$1:$B$1001,MATCH(B118,Detail!$G$1:$G$1001,0),1)</f>
        <v>O-</v>
      </c>
    </row>
    <row r="119" spans="1:21" ht="15.75" x14ac:dyDescent="0.25">
      <c r="A119">
        <v>763</v>
      </c>
      <c r="B119" s="3" t="str">
        <f>CONCATENATE("A",TEXT(Main!A119,"0000"))</f>
        <v>A0763</v>
      </c>
      <c r="C119" t="s">
        <v>1015</v>
      </c>
      <c r="D119" s="3" t="str">
        <f>VLOOKUP(B119,Detail!$G$1:$H$1001,2,FALSE)</f>
        <v>Maryadi Hakim</v>
      </c>
      <c r="E119">
        <v>90</v>
      </c>
      <c r="F119">
        <v>48</v>
      </c>
      <c r="G119" s="35">
        <v>54</v>
      </c>
      <c r="H119">
        <v>53</v>
      </c>
      <c r="I119">
        <v>50</v>
      </c>
      <c r="J119">
        <v>57</v>
      </c>
      <c r="K119">
        <v>71</v>
      </c>
      <c r="L119" s="26">
        <f>IFERROR(VLOOKUP(B119,Absen!$A$1:$C$501,2,FALSE),"No")</f>
        <v>44819</v>
      </c>
      <c r="M119" s="44">
        <f t="shared" si="2"/>
        <v>6.1000000000000005</v>
      </c>
      <c r="N119" s="35">
        <f t="shared" si="3"/>
        <v>58.424999999999997</v>
      </c>
      <c r="O119" t="str">
        <f>VLOOKUP(N119,Helper!$B$30:$C$35,2,TRUE)</f>
        <v>D</v>
      </c>
      <c r="P119" s="26">
        <f>INDEX(Detail!$A$1:$A$1001,MATCH(B119,Detail!$G$1:$G$1001,0))</f>
        <v>37918</v>
      </c>
      <c r="Q119" s="3" t="str">
        <f>INDEX(Detail!$F$1:$F$1001,MATCH(Main!B119,Detail!$G$1:$G$1001,0))</f>
        <v>Bontang</v>
      </c>
      <c r="R119" s="7">
        <f>INDEX(Detail!$C$1:$C$1001,MATCH(B119,Detail!$G$1:$G$1001,0),1)</f>
        <v>155</v>
      </c>
      <c r="S119" s="7">
        <f>INDEX(Detail!$D$1:$D$1001,MATCH(B119,Detail!$G$1:$G$1001,0),1)</f>
        <v>48</v>
      </c>
      <c r="T119" s="7" t="str">
        <f>INDEX(Detail!$E$1:$E$1001,MATCH(Main!B119,Detail!$G$1:$G$1001,0))</f>
        <v>Gg. Pasir Koja No. 91</v>
      </c>
      <c r="U119" s="7" t="str">
        <f>INDEX(Detail!$B$1:$B$1001,MATCH(B119,Detail!$G$1:$G$1001,0),1)</f>
        <v>AB+</v>
      </c>
    </row>
    <row r="120" spans="1:21" ht="15.75" x14ac:dyDescent="0.25">
      <c r="A120">
        <v>766</v>
      </c>
      <c r="B120" s="3" t="str">
        <f>CONCATENATE("A",TEXT(Main!A120,"0000"))</f>
        <v>A0766</v>
      </c>
      <c r="C120" t="s">
        <v>1015</v>
      </c>
      <c r="D120" s="3" t="str">
        <f>VLOOKUP(B120,Detail!$G$1:$H$1001,2,FALSE)</f>
        <v>Dariati Wastuti</v>
      </c>
      <c r="E120">
        <v>81</v>
      </c>
      <c r="F120">
        <v>74</v>
      </c>
      <c r="G120" s="35">
        <v>94</v>
      </c>
      <c r="H120">
        <v>59</v>
      </c>
      <c r="I120">
        <v>66</v>
      </c>
      <c r="J120">
        <v>49</v>
      </c>
      <c r="K120">
        <v>88</v>
      </c>
      <c r="L120" s="26">
        <f>IFERROR(VLOOKUP(B120,Absen!$A$1:$C$501,2,FALSE),"No")</f>
        <v>44892</v>
      </c>
      <c r="M120" s="44">
        <f t="shared" si="2"/>
        <v>7.8000000000000007</v>
      </c>
      <c r="N120" s="35">
        <f t="shared" si="3"/>
        <v>71.399999999999991</v>
      </c>
      <c r="O120" t="str">
        <f>VLOOKUP(N120,Helper!$B$30:$C$35,2,TRUE)</f>
        <v>B</v>
      </c>
      <c r="P120" s="26">
        <f>INDEX(Detail!$A$1:$A$1001,MATCH(B120,Detail!$G$1:$G$1001,0))</f>
        <v>37405</v>
      </c>
      <c r="Q120" s="3" t="str">
        <f>INDEX(Detail!$F$1:$F$1001,MATCH(Main!B120,Detail!$G$1:$G$1001,0))</f>
        <v>Kota Administrasi Jakarta Utara</v>
      </c>
      <c r="R120" s="7">
        <f>INDEX(Detail!$C$1:$C$1001,MATCH(B120,Detail!$G$1:$G$1001,0),1)</f>
        <v>176</v>
      </c>
      <c r="S120" s="7">
        <f>INDEX(Detail!$D$1:$D$1001,MATCH(B120,Detail!$G$1:$G$1001,0),1)</f>
        <v>63</v>
      </c>
      <c r="T120" s="7" t="str">
        <f>INDEX(Detail!$E$1:$E$1001,MATCH(Main!B120,Detail!$G$1:$G$1001,0))</f>
        <v xml:space="preserve">Jalan Rawamangun No. 7
</v>
      </c>
      <c r="U120" s="7" t="str">
        <f>INDEX(Detail!$B$1:$B$1001,MATCH(B120,Detail!$G$1:$G$1001,0),1)</f>
        <v>B+</v>
      </c>
    </row>
    <row r="121" spans="1:21" ht="15.75" x14ac:dyDescent="0.25">
      <c r="A121">
        <v>774</v>
      </c>
      <c r="B121" s="3" t="str">
        <f>CONCATENATE("A",TEXT(Main!A121,"0000"))</f>
        <v>A0774</v>
      </c>
      <c r="C121" t="s">
        <v>1015</v>
      </c>
      <c r="D121" s="3" t="str">
        <f>VLOOKUP(B121,Detail!$G$1:$H$1001,2,FALSE)</f>
        <v>Dono Mansur</v>
      </c>
      <c r="E121">
        <v>54</v>
      </c>
      <c r="F121">
        <v>55</v>
      </c>
      <c r="G121" s="35">
        <v>36</v>
      </c>
      <c r="H121">
        <v>56</v>
      </c>
      <c r="I121">
        <v>65</v>
      </c>
      <c r="J121">
        <v>48</v>
      </c>
      <c r="K121">
        <v>76</v>
      </c>
      <c r="L121" s="26" t="str">
        <f>IFERROR(VLOOKUP(B121,Absen!$A$1:$C$501,2,FALSE),"No")</f>
        <v>No</v>
      </c>
      <c r="M121" s="44">
        <f t="shared" si="2"/>
        <v>7.6000000000000005</v>
      </c>
      <c r="N121" s="35">
        <f t="shared" si="3"/>
        <v>53.150000000000006</v>
      </c>
      <c r="O121" t="str">
        <f>VLOOKUP(N121,Helper!$B$30:$C$35,2,TRUE)</f>
        <v>D</v>
      </c>
      <c r="P121" s="26">
        <f>INDEX(Detail!$A$1:$A$1001,MATCH(B121,Detail!$G$1:$G$1001,0))</f>
        <v>37902</v>
      </c>
      <c r="Q121" s="3" t="str">
        <f>INDEX(Detail!$F$1:$F$1001,MATCH(Main!B121,Detail!$G$1:$G$1001,0))</f>
        <v>Bandar Lampung</v>
      </c>
      <c r="R121" s="7">
        <f>INDEX(Detail!$C$1:$C$1001,MATCH(B121,Detail!$G$1:$G$1001,0),1)</f>
        <v>157</v>
      </c>
      <c r="S121" s="7">
        <f>INDEX(Detail!$D$1:$D$1001,MATCH(B121,Detail!$G$1:$G$1001,0),1)</f>
        <v>79</v>
      </c>
      <c r="T121" s="7" t="str">
        <f>INDEX(Detail!$E$1:$E$1001,MATCH(Main!B121,Detail!$G$1:$G$1001,0))</f>
        <v xml:space="preserve">Gg. Pasirkoja No. 2
</v>
      </c>
      <c r="U121" s="7" t="str">
        <f>INDEX(Detail!$B$1:$B$1001,MATCH(B121,Detail!$G$1:$G$1001,0),1)</f>
        <v>O-</v>
      </c>
    </row>
    <row r="122" spans="1:21" ht="15.75" x14ac:dyDescent="0.25">
      <c r="A122">
        <v>775</v>
      </c>
      <c r="B122" s="3" t="str">
        <f>CONCATENATE("A",TEXT(Main!A122,"0000"))</f>
        <v>A0775</v>
      </c>
      <c r="C122" t="s">
        <v>1015</v>
      </c>
      <c r="D122" s="3" t="str">
        <f>VLOOKUP(B122,Detail!$G$1:$H$1001,2,FALSE)</f>
        <v>Baktiadi Purnawati</v>
      </c>
      <c r="E122">
        <v>84</v>
      </c>
      <c r="F122">
        <v>73</v>
      </c>
      <c r="G122" s="35">
        <v>38</v>
      </c>
      <c r="H122">
        <v>75</v>
      </c>
      <c r="I122">
        <v>70</v>
      </c>
      <c r="J122">
        <v>77</v>
      </c>
      <c r="K122">
        <v>69</v>
      </c>
      <c r="L122" s="26">
        <f>IFERROR(VLOOKUP(B122,Absen!$A$1:$C$501,2,FALSE),"No")</f>
        <v>44834</v>
      </c>
      <c r="M122" s="44">
        <f t="shared" si="2"/>
        <v>5.9</v>
      </c>
      <c r="N122" s="35">
        <f t="shared" si="3"/>
        <v>66.650000000000006</v>
      </c>
      <c r="O122" t="str">
        <f>VLOOKUP(N122,Helper!$B$30:$C$35,2,TRUE)</f>
        <v>C</v>
      </c>
      <c r="P122" s="26">
        <f>INDEX(Detail!$A$1:$A$1001,MATCH(B122,Detail!$G$1:$G$1001,0))</f>
        <v>37473</v>
      </c>
      <c r="Q122" s="3" t="str">
        <f>INDEX(Detail!$F$1:$F$1001,MATCH(Main!B122,Detail!$G$1:$G$1001,0))</f>
        <v>Cimahi</v>
      </c>
      <c r="R122" s="7">
        <f>INDEX(Detail!$C$1:$C$1001,MATCH(B122,Detail!$G$1:$G$1001,0),1)</f>
        <v>180</v>
      </c>
      <c r="S122" s="7">
        <f>INDEX(Detail!$D$1:$D$1001,MATCH(B122,Detail!$G$1:$G$1001,0),1)</f>
        <v>84</v>
      </c>
      <c r="T122" s="7" t="str">
        <f>INDEX(Detail!$E$1:$E$1001,MATCH(Main!B122,Detail!$G$1:$G$1001,0))</f>
        <v>Jalan Rawamangun No. 49</v>
      </c>
      <c r="U122" s="7" t="str">
        <f>INDEX(Detail!$B$1:$B$1001,MATCH(B122,Detail!$G$1:$G$1001,0),1)</f>
        <v>A+</v>
      </c>
    </row>
    <row r="123" spans="1:21" ht="15.75" x14ac:dyDescent="0.25">
      <c r="A123">
        <v>780</v>
      </c>
      <c r="B123" s="3" t="str">
        <f>CONCATENATE("A",TEXT(Main!A123,"0000"))</f>
        <v>A0780</v>
      </c>
      <c r="C123" t="s">
        <v>1015</v>
      </c>
      <c r="D123" s="3" t="str">
        <f>VLOOKUP(B123,Detail!$G$1:$H$1001,2,FALSE)</f>
        <v>Dwi Latupono</v>
      </c>
      <c r="E123">
        <v>65</v>
      </c>
      <c r="F123">
        <v>54</v>
      </c>
      <c r="G123" s="35">
        <v>79</v>
      </c>
      <c r="H123">
        <v>64</v>
      </c>
      <c r="I123">
        <v>58</v>
      </c>
      <c r="J123">
        <v>54</v>
      </c>
      <c r="K123">
        <v>69</v>
      </c>
      <c r="L123" s="26" t="str">
        <f>IFERROR(VLOOKUP(B123,Absen!$A$1:$C$501,2,FALSE),"No")</f>
        <v>No</v>
      </c>
      <c r="M123" s="44">
        <f t="shared" si="2"/>
        <v>6.9</v>
      </c>
      <c r="N123" s="35">
        <f t="shared" si="3"/>
        <v>63.624999999999993</v>
      </c>
      <c r="O123" t="str">
        <f>VLOOKUP(N123,Helper!$B$30:$C$35,2,TRUE)</f>
        <v>C</v>
      </c>
      <c r="P123" s="26">
        <f>INDEX(Detail!$A$1:$A$1001,MATCH(B123,Detail!$G$1:$G$1001,0))</f>
        <v>37453</v>
      </c>
      <c r="Q123" s="3" t="str">
        <f>INDEX(Detail!$F$1:$F$1001,MATCH(Main!B123,Detail!$G$1:$G$1001,0))</f>
        <v>Padang</v>
      </c>
      <c r="R123" s="7">
        <f>INDEX(Detail!$C$1:$C$1001,MATCH(B123,Detail!$G$1:$G$1001,0),1)</f>
        <v>165</v>
      </c>
      <c r="S123" s="7">
        <f>INDEX(Detail!$D$1:$D$1001,MATCH(B123,Detail!$G$1:$G$1001,0),1)</f>
        <v>64</v>
      </c>
      <c r="T123" s="7" t="str">
        <f>INDEX(Detail!$E$1:$E$1001,MATCH(Main!B123,Detail!$G$1:$G$1001,0))</f>
        <v xml:space="preserve">Jl. Jend. A. Yani No. 1
</v>
      </c>
      <c r="U123" s="7" t="str">
        <f>INDEX(Detail!$B$1:$B$1001,MATCH(B123,Detail!$G$1:$G$1001,0),1)</f>
        <v>A-</v>
      </c>
    </row>
    <row r="124" spans="1:21" ht="15.75" x14ac:dyDescent="0.25">
      <c r="A124">
        <v>789</v>
      </c>
      <c r="B124" s="3" t="str">
        <f>CONCATENATE("A",TEXT(Main!A124,"0000"))</f>
        <v>A0789</v>
      </c>
      <c r="C124" t="s">
        <v>1015</v>
      </c>
      <c r="D124" s="3" t="str">
        <f>VLOOKUP(B124,Detail!$G$1:$H$1001,2,FALSE)</f>
        <v>Bahuwirya Rajasa</v>
      </c>
      <c r="E124">
        <v>53</v>
      </c>
      <c r="F124">
        <v>50</v>
      </c>
      <c r="G124" s="35">
        <v>68</v>
      </c>
      <c r="H124">
        <v>51</v>
      </c>
      <c r="I124">
        <v>91</v>
      </c>
      <c r="J124">
        <v>69</v>
      </c>
      <c r="K124">
        <v>100</v>
      </c>
      <c r="L124" s="26">
        <f>IFERROR(VLOOKUP(B124,Absen!$A$1:$C$501,2,FALSE),"No")</f>
        <v>44778</v>
      </c>
      <c r="M124" s="44">
        <f t="shared" si="2"/>
        <v>9</v>
      </c>
      <c r="N124" s="35">
        <f t="shared" si="3"/>
        <v>67.025000000000006</v>
      </c>
      <c r="O124" t="str">
        <f>VLOOKUP(N124,Helper!$B$30:$C$35,2,TRUE)</f>
        <v>C</v>
      </c>
      <c r="P124" s="26">
        <f>INDEX(Detail!$A$1:$A$1001,MATCH(B124,Detail!$G$1:$G$1001,0))</f>
        <v>37554</v>
      </c>
      <c r="Q124" s="3" t="str">
        <f>INDEX(Detail!$F$1:$F$1001,MATCH(Main!B124,Detail!$G$1:$G$1001,0))</f>
        <v>Kota Administrasi Jakarta Utara</v>
      </c>
      <c r="R124" s="7">
        <f>INDEX(Detail!$C$1:$C$1001,MATCH(B124,Detail!$G$1:$G$1001,0),1)</f>
        <v>166</v>
      </c>
      <c r="S124" s="7">
        <f>INDEX(Detail!$D$1:$D$1001,MATCH(B124,Detail!$G$1:$G$1001,0),1)</f>
        <v>48</v>
      </c>
      <c r="T124" s="7" t="str">
        <f>INDEX(Detail!$E$1:$E$1001,MATCH(Main!B124,Detail!$G$1:$G$1001,0))</f>
        <v>Jalan Cihampelas No. 01</v>
      </c>
      <c r="U124" s="7" t="str">
        <f>INDEX(Detail!$B$1:$B$1001,MATCH(B124,Detail!$G$1:$G$1001,0),1)</f>
        <v>O-</v>
      </c>
    </row>
    <row r="125" spans="1:21" ht="15.75" x14ac:dyDescent="0.25">
      <c r="A125">
        <v>797</v>
      </c>
      <c r="B125" s="3" t="str">
        <f>CONCATENATE("A",TEXT(Main!A125,"0000"))</f>
        <v>A0797</v>
      </c>
      <c r="C125" t="s">
        <v>1015</v>
      </c>
      <c r="D125" s="3" t="str">
        <f>VLOOKUP(B125,Detail!$G$1:$H$1001,2,FALSE)</f>
        <v>Ghaliyati Rajasa</v>
      </c>
      <c r="E125">
        <v>89</v>
      </c>
      <c r="F125">
        <v>54</v>
      </c>
      <c r="G125" s="35">
        <v>91</v>
      </c>
      <c r="H125">
        <v>62</v>
      </c>
      <c r="I125">
        <v>80</v>
      </c>
      <c r="J125">
        <v>77</v>
      </c>
      <c r="K125">
        <v>90</v>
      </c>
      <c r="L125" s="26" t="str">
        <f>IFERROR(VLOOKUP(B125,Absen!$A$1:$C$501,2,FALSE),"No")</f>
        <v>No</v>
      </c>
      <c r="M125" s="44">
        <f t="shared" si="2"/>
        <v>9</v>
      </c>
      <c r="N125" s="35">
        <f t="shared" si="3"/>
        <v>78.225000000000009</v>
      </c>
      <c r="O125" t="str">
        <f>VLOOKUP(N125,Helper!$B$30:$C$35,2,TRUE)</f>
        <v>B</v>
      </c>
      <c r="P125" s="26">
        <f>INDEX(Detail!$A$1:$A$1001,MATCH(B125,Detail!$G$1:$G$1001,0))</f>
        <v>38359</v>
      </c>
      <c r="Q125" s="3" t="str">
        <f>INDEX(Detail!$F$1:$F$1001,MATCH(Main!B125,Detail!$G$1:$G$1001,0))</f>
        <v>Tangerang</v>
      </c>
      <c r="R125" s="7">
        <f>INDEX(Detail!$C$1:$C$1001,MATCH(B125,Detail!$G$1:$G$1001,0),1)</f>
        <v>161</v>
      </c>
      <c r="S125" s="7">
        <f>INDEX(Detail!$D$1:$D$1001,MATCH(B125,Detail!$G$1:$G$1001,0),1)</f>
        <v>64</v>
      </c>
      <c r="T125" s="7" t="str">
        <f>INDEX(Detail!$E$1:$E$1001,MATCH(Main!B125,Detail!$G$1:$G$1001,0))</f>
        <v>Jl. Joyoboyo No. 21</v>
      </c>
      <c r="U125" s="7" t="str">
        <f>INDEX(Detail!$B$1:$B$1001,MATCH(B125,Detail!$G$1:$G$1001,0),1)</f>
        <v>A+</v>
      </c>
    </row>
    <row r="126" spans="1:21" ht="15.75" x14ac:dyDescent="0.25">
      <c r="A126">
        <v>803</v>
      </c>
      <c r="B126" s="3" t="str">
        <f>CONCATENATE("A",TEXT(Main!A126,"0000"))</f>
        <v>A0803</v>
      </c>
      <c r="C126" t="s">
        <v>1015</v>
      </c>
      <c r="D126" s="3" t="str">
        <f>VLOOKUP(B126,Detail!$G$1:$H$1001,2,FALSE)</f>
        <v>Najam Prayoga</v>
      </c>
      <c r="E126">
        <v>74</v>
      </c>
      <c r="F126">
        <v>51</v>
      </c>
      <c r="G126" s="35">
        <v>92</v>
      </c>
      <c r="H126">
        <v>74</v>
      </c>
      <c r="I126">
        <v>77</v>
      </c>
      <c r="J126">
        <v>93</v>
      </c>
      <c r="K126">
        <v>62</v>
      </c>
      <c r="L126" s="26">
        <f>IFERROR(VLOOKUP(B126,Absen!$A$1:$C$501,2,FALSE),"No")</f>
        <v>44768</v>
      </c>
      <c r="M126" s="44">
        <f t="shared" si="2"/>
        <v>5.2</v>
      </c>
      <c r="N126" s="35">
        <f t="shared" si="3"/>
        <v>76.7</v>
      </c>
      <c r="O126" t="str">
        <f>VLOOKUP(N126,Helper!$B$30:$C$35,2,TRUE)</f>
        <v>B</v>
      </c>
      <c r="P126" s="26">
        <f>INDEX(Detail!$A$1:$A$1001,MATCH(B126,Detail!$G$1:$G$1001,0))</f>
        <v>38251</v>
      </c>
      <c r="Q126" s="3" t="str">
        <f>INDEX(Detail!$F$1:$F$1001,MATCH(Main!B126,Detail!$G$1:$G$1001,0))</f>
        <v>Bau-Bau</v>
      </c>
      <c r="R126" s="7">
        <f>INDEX(Detail!$C$1:$C$1001,MATCH(B126,Detail!$G$1:$G$1001,0),1)</f>
        <v>152</v>
      </c>
      <c r="S126" s="7">
        <f>INDEX(Detail!$D$1:$D$1001,MATCH(B126,Detail!$G$1:$G$1001,0),1)</f>
        <v>78</v>
      </c>
      <c r="T126" s="7" t="str">
        <f>INDEX(Detail!$E$1:$E$1001,MATCH(Main!B126,Detail!$G$1:$G$1001,0))</f>
        <v xml:space="preserve">Gang Gardujati No. 0
</v>
      </c>
      <c r="U126" s="7" t="str">
        <f>INDEX(Detail!$B$1:$B$1001,MATCH(B126,Detail!$G$1:$G$1001,0),1)</f>
        <v>B-</v>
      </c>
    </row>
    <row r="127" spans="1:21" ht="15.75" x14ac:dyDescent="0.25">
      <c r="A127">
        <v>805</v>
      </c>
      <c r="B127" s="3" t="str">
        <f>CONCATENATE("A",TEXT(Main!A127,"0000"))</f>
        <v>A0805</v>
      </c>
      <c r="C127" t="s">
        <v>1015</v>
      </c>
      <c r="D127" s="3" t="str">
        <f>VLOOKUP(B127,Detail!$G$1:$H$1001,2,FALSE)</f>
        <v>Tari Waskita</v>
      </c>
      <c r="E127">
        <v>67</v>
      </c>
      <c r="F127">
        <v>45</v>
      </c>
      <c r="G127" s="35">
        <v>69</v>
      </c>
      <c r="H127">
        <v>74</v>
      </c>
      <c r="I127">
        <v>50</v>
      </c>
      <c r="J127">
        <v>90</v>
      </c>
      <c r="K127">
        <v>96</v>
      </c>
      <c r="L127" s="26">
        <f>IFERROR(VLOOKUP(B127,Absen!$A$1:$C$501,2,FALSE),"No")</f>
        <v>44802</v>
      </c>
      <c r="M127" s="44">
        <f t="shared" si="2"/>
        <v>8.6</v>
      </c>
      <c r="N127" s="35">
        <f t="shared" si="3"/>
        <v>69.899999999999991</v>
      </c>
      <c r="O127" t="str">
        <f>VLOOKUP(N127,Helper!$B$30:$C$35,2,TRUE)</f>
        <v>C</v>
      </c>
      <c r="P127" s="26">
        <f>INDEX(Detail!$A$1:$A$1001,MATCH(B127,Detail!$G$1:$G$1001,0))</f>
        <v>37282</v>
      </c>
      <c r="Q127" s="3" t="str">
        <f>INDEX(Detail!$F$1:$F$1001,MATCH(Main!B127,Detail!$G$1:$G$1001,0))</f>
        <v>Tangerang Selatan</v>
      </c>
      <c r="R127" s="7">
        <f>INDEX(Detail!$C$1:$C$1001,MATCH(B127,Detail!$G$1:$G$1001,0),1)</f>
        <v>179</v>
      </c>
      <c r="S127" s="7">
        <f>INDEX(Detail!$D$1:$D$1001,MATCH(B127,Detail!$G$1:$G$1001,0),1)</f>
        <v>48</v>
      </c>
      <c r="T127" s="7" t="str">
        <f>INDEX(Detail!$E$1:$E$1001,MATCH(Main!B127,Detail!$G$1:$G$1001,0))</f>
        <v>Gang Rajawali Timur No. 93</v>
      </c>
      <c r="U127" s="7" t="str">
        <f>INDEX(Detail!$B$1:$B$1001,MATCH(B127,Detail!$G$1:$G$1001,0),1)</f>
        <v>O+</v>
      </c>
    </row>
    <row r="128" spans="1:21" ht="15.75" x14ac:dyDescent="0.25">
      <c r="A128">
        <v>812</v>
      </c>
      <c r="B128" s="3" t="str">
        <f>CONCATENATE("A",TEXT(Main!A128,"0000"))</f>
        <v>A0812</v>
      </c>
      <c r="C128" t="s">
        <v>1015</v>
      </c>
      <c r="D128" s="3" t="str">
        <f>VLOOKUP(B128,Detail!$G$1:$H$1001,2,FALSE)</f>
        <v>Jasmin Narpati</v>
      </c>
      <c r="E128">
        <v>93</v>
      </c>
      <c r="F128">
        <v>73</v>
      </c>
      <c r="G128" s="35">
        <v>57</v>
      </c>
      <c r="H128">
        <v>71</v>
      </c>
      <c r="I128">
        <v>86</v>
      </c>
      <c r="J128">
        <v>59</v>
      </c>
      <c r="K128">
        <v>60</v>
      </c>
      <c r="L128" s="26" t="str">
        <f>IFERROR(VLOOKUP(B128,Absen!$A$1:$C$501,2,FALSE),"No")</f>
        <v>No</v>
      </c>
      <c r="M128" s="44">
        <f t="shared" si="2"/>
        <v>6</v>
      </c>
      <c r="N128" s="35">
        <f t="shared" si="3"/>
        <v>69.575000000000003</v>
      </c>
      <c r="O128" t="str">
        <f>VLOOKUP(N128,Helper!$B$30:$C$35,2,TRUE)</f>
        <v>C</v>
      </c>
      <c r="P128" s="26">
        <f>INDEX(Detail!$A$1:$A$1001,MATCH(B128,Detail!$G$1:$G$1001,0))</f>
        <v>38113</v>
      </c>
      <c r="Q128" s="3" t="str">
        <f>INDEX(Detail!$F$1:$F$1001,MATCH(Main!B128,Detail!$G$1:$G$1001,0))</f>
        <v>Bima</v>
      </c>
      <c r="R128" s="7">
        <f>INDEX(Detail!$C$1:$C$1001,MATCH(B128,Detail!$G$1:$G$1001,0),1)</f>
        <v>162</v>
      </c>
      <c r="S128" s="7">
        <f>INDEX(Detail!$D$1:$D$1001,MATCH(B128,Detail!$G$1:$G$1001,0),1)</f>
        <v>65</v>
      </c>
      <c r="T128" s="7" t="str">
        <f>INDEX(Detail!$E$1:$E$1001,MATCH(Main!B128,Detail!$G$1:$G$1001,0))</f>
        <v xml:space="preserve">Gang Suryakencana No. 9
</v>
      </c>
      <c r="U128" s="7" t="str">
        <f>INDEX(Detail!$B$1:$B$1001,MATCH(B128,Detail!$G$1:$G$1001,0),1)</f>
        <v>A+</v>
      </c>
    </row>
    <row r="129" spans="1:21" ht="15.75" x14ac:dyDescent="0.25">
      <c r="A129">
        <v>813</v>
      </c>
      <c r="B129" s="3" t="str">
        <f>CONCATENATE("A",TEXT(Main!A129,"0000"))</f>
        <v>A0813</v>
      </c>
      <c r="C129" t="s">
        <v>1015</v>
      </c>
      <c r="D129" s="3" t="str">
        <f>VLOOKUP(B129,Detail!$G$1:$H$1001,2,FALSE)</f>
        <v>Jindra Wibowo</v>
      </c>
      <c r="E129">
        <v>58</v>
      </c>
      <c r="F129">
        <v>57</v>
      </c>
      <c r="G129" s="35">
        <v>34</v>
      </c>
      <c r="H129">
        <v>74</v>
      </c>
      <c r="I129">
        <v>62</v>
      </c>
      <c r="J129">
        <v>72</v>
      </c>
      <c r="K129">
        <v>66</v>
      </c>
      <c r="L129" s="26">
        <f>IFERROR(VLOOKUP(B129,Absen!$A$1:$C$501,2,FALSE),"No")</f>
        <v>44783</v>
      </c>
      <c r="M129" s="44">
        <f t="shared" si="2"/>
        <v>5.6000000000000005</v>
      </c>
      <c r="N129" s="35">
        <f t="shared" si="3"/>
        <v>58.174999999999997</v>
      </c>
      <c r="O129" t="str">
        <f>VLOOKUP(N129,Helper!$B$30:$C$35,2,TRUE)</f>
        <v>D</v>
      </c>
      <c r="P129" s="26">
        <f>INDEX(Detail!$A$1:$A$1001,MATCH(B129,Detail!$G$1:$G$1001,0))</f>
        <v>37629</v>
      </c>
      <c r="Q129" s="3" t="str">
        <f>INDEX(Detail!$F$1:$F$1001,MATCH(Main!B129,Detail!$G$1:$G$1001,0))</f>
        <v>Banjarmasin</v>
      </c>
      <c r="R129" s="7">
        <f>INDEX(Detail!$C$1:$C$1001,MATCH(B129,Detail!$G$1:$G$1001,0),1)</f>
        <v>180</v>
      </c>
      <c r="S129" s="7">
        <f>INDEX(Detail!$D$1:$D$1001,MATCH(B129,Detail!$G$1:$G$1001,0),1)</f>
        <v>53</v>
      </c>
      <c r="T129" s="7" t="str">
        <f>INDEX(Detail!$E$1:$E$1001,MATCH(Main!B129,Detail!$G$1:$G$1001,0))</f>
        <v>Gg. Tebet Barat Dalam No. 45</v>
      </c>
      <c r="U129" s="7" t="str">
        <f>INDEX(Detail!$B$1:$B$1001,MATCH(B129,Detail!$G$1:$G$1001,0),1)</f>
        <v>O-</v>
      </c>
    </row>
    <row r="130" spans="1:21" ht="15.75" x14ac:dyDescent="0.25">
      <c r="A130">
        <v>816</v>
      </c>
      <c r="B130" s="3" t="str">
        <f>CONCATENATE("A",TEXT(Main!A130,"0000"))</f>
        <v>A0816</v>
      </c>
      <c r="C130" t="s">
        <v>1015</v>
      </c>
      <c r="D130" s="3" t="str">
        <f>VLOOKUP(B130,Detail!$G$1:$H$1001,2,FALSE)</f>
        <v>Banara Suartini</v>
      </c>
      <c r="E130">
        <v>69</v>
      </c>
      <c r="F130">
        <v>74</v>
      </c>
      <c r="G130" s="35">
        <v>33</v>
      </c>
      <c r="H130">
        <v>73</v>
      </c>
      <c r="I130">
        <v>64</v>
      </c>
      <c r="J130">
        <v>91</v>
      </c>
      <c r="K130">
        <v>100</v>
      </c>
      <c r="L130" s="26" t="str">
        <f>IFERROR(VLOOKUP(B130,Absen!$A$1:$C$501,2,FALSE),"No")</f>
        <v>No</v>
      </c>
      <c r="M130" s="44">
        <f t="shared" ref="M130:M193" si="4">IF(L130="no",K130,K130-10)*10%</f>
        <v>10</v>
      </c>
      <c r="N130" s="35">
        <f t="shared" ref="N130:N193" si="5">SUM(E130*12.5%,F130*12.5%,H130*12.5%,I130*12.5%,G130*20%,J130*20%,M130)</f>
        <v>69.8</v>
      </c>
      <c r="O130" t="str">
        <f>VLOOKUP(N130,Helper!$B$30:$C$35,2,TRUE)</f>
        <v>C</v>
      </c>
      <c r="P130" s="26">
        <f>INDEX(Detail!$A$1:$A$1001,MATCH(B130,Detail!$G$1:$G$1001,0))</f>
        <v>37108</v>
      </c>
      <c r="Q130" s="3" t="str">
        <f>INDEX(Detail!$F$1:$F$1001,MATCH(Main!B130,Detail!$G$1:$G$1001,0))</f>
        <v>Bukittinggi</v>
      </c>
      <c r="R130" s="7">
        <f>INDEX(Detail!$C$1:$C$1001,MATCH(B130,Detail!$G$1:$G$1001,0),1)</f>
        <v>176</v>
      </c>
      <c r="S130" s="7">
        <f>INDEX(Detail!$D$1:$D$1001,MATCH(B130,Detail!$G$1:$G$1001,0),1)</f>
        <v>82</v>
      </c>
      <c r="T130" s="7" t="str">
        <f>INDEX(Detail!$E$1:$E$1001,MATCH(Main!B130,Detail!$G$1:$G$1001,0))</f>
        <v>Gg. Monginsidi No. 16</v>
      </c>
      <c r="U130" s="7" t="str">
        <f>INDEX(Detail!$B$1:$B$1001,MATCH(B130,Detail!$G$1:$G$1001,0),1)</f>
        <v>AB+</v>
      </c>
    </row>
    <row r="131" spans="1:21" ht="15.75" x14ac:dyDescent="0.25">
      <c r="A131">
        <v>819</v>
      </c>
      <c r="B131" s="3" t="str">
        <f>CONCATENATE("A",TEXT(Main!A131,"0000"))</f>
        <v>A0819</v>
      </c>
      <c r="C131" t="s">
        <v>1015</v>
      </c>
      <c r="D131" s="3" t="str">
        <f>VLOOKUP(B131,Detail!$G$1:$H$1001,2,FALSE)</f>
        <v>Budi Sihotang</v>
      </c>
      <c r="E131">
        <v>75</v>
      </c>
      <c r="F131">
        <v>68</v>
      </c>
      <c r="G131" s="35">
        <v>55</v>
      </c>
      <c r="H131">
        <v>61</v>
      </c>
      <c r="I131">
        <v>95</v>
      </c>
      <c r="J131">
        <v>87</v>
      </c>
      <c r="K131">
        <v>88</v>
      </c>
      <c r="L131" s="26">
        <f>IFERROR(VLOOKUP(B131,Absen!$A$1:$C$501,2,FALSE),"No")</f>
        <v>44856</v>
      </c>
      <c r="M131" s="44">
        <f t="shared" si="4"/>
        <v>7.8000000000000007</v>
      </c>
      <c r="N131" s="35">
        <f t="shared" si="5"/>
        <v>73.575000000000003</v>
      </c>
      <c r="O131" t="str">
        <f>VLOOKUP(N131,Helper!$B$30:$C$35,2,TRUE)</f>
        <v>B</v>
      </c>
      <c r="P131" s="26">
        <f>INDEX(Detail!$A$1:$A$1001,MATCH(B131,Detail!$G$1:$G$1001,0))</f>
        <v>37119</v>
      </c>
      <c r="Q131" s="3" t="str">
        <f>INDEX(Detail!$F$1:$F$1001,MATCH(Main!B131,Detail!$G$1:$G$1001,0))</f>
        <v>Blitar</v>
      </c>
      <c r="R131" s="7">
        <f>INDEX(Detail!$C$1:$C$1001,MATCH(B131,Detail!$G$1:$G$1001,0),1)</f>
        <v>174</v>
      </c>
      <c r="S131" s="7">
        <f>INDEX(Detail!$D$1:$D$1001,MATCH(B131,Detail!$G$1:$G$1001,0),1)</f>
        <v>93</v>
      </c>
      <c r="T131" s="7" t="str">
        <f>INDEX(Detail!$E$1:$E$1001,MATCH(Main!B131,Detail!$G$1:$G$1001,0))</f>
        <v xml:space="preserve">Jl. Cikutra Barat No. 9
</v>
      </c>
      <c r="U131" s="7" t="str">
        <f>INDEX(Detail!$B$1:$B$1001,MATCH(B131,Detail!$G$1:$G$1001,0),1)</f>
        <v>AB-</v>
      </c>
    </row>
    <row r="132" spans="1:21" ht="15.75" x14ac:dyDescent="0.25">
      <c r="A132">
        <v>820</v>
      </c>
      <c r="B132" s="3" t="str">
        <f>CONCATENATE("A",TEXT(Main!A132,"0000"))</f>
        <v>A0820</v>
      </c>
      <c r="C132" t="s">
        <v>1015</v>
      </c>
      <c r="D132" s="3" t="str">
        <f>VLOOKUP(B132,Detail!$G$1:$H$1001,2,FALSE)</f>
        <v>Carub Ramadan</v>
      </c>
      <c r="E132">
        <v>93</v>
      </c>
      <c r="F132">
        <v>61</v>
      </c>
      <c r="G132" s="35">
        <v>40</v>
      </c>
      <c r="H132">
        <v>71</v>
      </c>
      <c r="I132">
        <v>82</v>
      </c>
      <c r="J132">
        <v>52</v>
      </c>
      <c r="K132">
        <v>99</v>
      </c>
      <c r="L132" s="26">
        <f>IFERROR(VLOOKUP(B132,Absen!$A$1:$C$501,2,FALSE),"No")</f>
        <v>44788</v>
      </c>
      <c r="M132" s="44">
        <f t="shared" si="4"/>
        <v>8.9</v>
      </c>
      <c r="N132" s="35">
        <f t="shared" si="5"/>
        <v>65.674999999999997</v>
      </c>
      <c r="O132" t="str">
        <f>VLOOKUP(N132,Helper!$B$30:$C$35,2,TRUE)</f>
        <v>C</v>
      </c>
      <c r="P132" s="26">
        <f>INDEX(Detail!$A$1:$A$1001,MATCH(B132,Detail!$G$1:$G$1001,0))</f>
        <v>38274</v>
      </c>
      <c r="Q132" s="3" t="str">
        <f>INDEX(Detail!$F$1:$F$1001,MATCH(Main!B132,Detail!$G$1:$G$1001,0))</f>
        <v>Padang</v>
      </c>
      <c r="R132" s="7">
        <f>INDEX(Detail!$C$1:$C$1001,MATCH(B132,Detail!$G$1:$G$1001,0),1)</f>
        <v>153</v>
      </c>
      <c r="S132" s="7">
        <f>INDEX(Detail!$D$1:$D$1001,MATCH(B132,Detail!$G$1:$G$1001,0),1)</f>
        <v>66</v>
      </c>
      <c r="T132" s="7" t="str">
        <f>INDEX(Detail!$E$1:$E$1001,MATCH(Main!B132,Detail!$G$1:$G$1001,0))</f>
        <v>Jalan Moch. Ramdan No. 63</v>
      </c>
      <c r="U132" s="7" t="str">
        <f>INDEX(Detail!$B$1:$B$1001,MATCH(B132,Detail!$G$1:$G$1001,0),1)</f>
        <v>AB+</v>
      </c>
    </row>
    <row r="133" spans="1:21" ht="15.75" x14ac:dyDescent="0.25">
      <c r="A133">
        <v>821</v>
      </c>
      <c r="B133" s="3" t="str">
        <f>CONCATENATE("A",TEXT(Main!A133,"0000"))</f>
        <v>A0821</v>
      </c>
      <c r="C133" t="s">
        <v>1015</v>
      </c>
      <c r="D133" s="3" t="str">
        <f>VLOOKUP(B133,Detail!$G$1:$H$1001,2,FALSE)</f>
        <v>Maman Hutasoit</v>
      </c>
      <c r="E133">
        <v>95</v>
      </c>
      <c r="F133">
        <v>52</v>
      </c>
      <c r="G133" s="35">
        <v>92</v>
      </c>
      <c r="H133">
        <v>58</v>
      </c>
      <c r="I133">
        <v>62</v>
      </c>
      <c r="J133">
        <v>80</v>
      </c>
      <c r="K133">
        <v>79</v>
      </c>
      <c r="L133" s="26" t="str">
        <f>IFERROR(VLOOKUP(B133,Absen!$A$1:$C$501,2,FALSE),"No")</f>
        <v>No</v>
      </c>
      <c r="M133" s="44">
        <f t="shared" si="4"/>
        <v>7.9</v>
      </c>
      <c r="N133" s="35">
        <f t="shared" si="5"/>
        <v>75.675000000000011</v>
      </c>
      <c r="O133" t="str">
        <f>VLOOKUP(N133,Helper!$B$30:$C$35,2,TRUE)</f>
        <v>B</v>
      </c>
      <c r="P133" s="26">
        <f>INDEX(Detail!$A$1:$A$1001,MATCH(B133,Detail!$G$1:$G$1001,0))</f>
        <v>38406</v>
      </c>
      <c r="Q133" s="3" t="str">
        <f>INDEX(Detail!$F$1:$F$1001,MATCH(Main!B133,Detail!$G$1:$G$1001,0))</f>
        <v>Jambi</v>
      </c>
      <c r="R133" s="7">
        <f>INDEX(Detail!$C$1:$C$1001,MATCH(B133,Detail!$G$1:$G$1001,0),1)</f>
        <v>152</v>
      </c>
      <c r="S133" s="7">
        <f>INDEX(Detail!$D$1:$D$1001,MATCH(B133,Detail!$G$1:$G$1001,0),1)</f>
        <v>80</v>
      </c>
      <c r="T133" s="7" t="str">
        <f>INDEX(Detail!$E$1:$E$1001,MATCH(Main!B133,Detail!$G$1:$G$1001,0))</f>
        <v>Jalan Moch. Toha No. 29</v>
      </c>
      <c r="U133" s="7" t="str">
        <f>INDEX(Detail!$B$1:$B$1001,MATCH(B133,Detail!$G$1:$G$1001,0),1)</f>
        <v>B+</v>
      </c>
    </row>
    <row r="134" spans="1:21" ht="15.75" x14ac:dyDescent="0.25">
      <c r="A134">
        <v>834</v>
      </c>
      <c r="B134" s="3" t="str">
        <f>CONCATENATE("A",TEXT(Main!A134,"0000"))</f>
        <v>A0834</v>
      </c>
      <c r="C134" t="s">
        <v>1015</v>
      </c>
      <c r="D134" s="3" t="str">
        <f>VLOOKUP(B134,Detail!$G$1:$H$1001,2,FALSE)</f>
        <v>Kuncara Mulyani</v>
      </c>
      <c r="E134">
        <v>73</v>
      </c>
      <c r="F134">
        <v>59</v>
      </c>
      <c r="G134" s="35">
        <v>89</v>
      </c>
      <c r="H134">
        <v>63</v>
      </c>
      <c r="I134">
        <v>61</v>
      </c>
      <c r="J134">
        <v>67</v>
      </c>
      <c r="K134">
        <v>65</v>
      </c>
      <c r="L134" s="26" t="str">
        <f>IFERROR(VLOOKUP(B134,Absen!$A$1:$C$501,2,FALSE),"No")</f>
        <v>No</v>
      </c>
      <c r="M134" s="44">
        <f t="shared" si="4"/>
        <v>6.5</v>
      </c>
      <c r="N134" s="35">
        <f t="shared" si="5"/>
        <v>69.699999999999989</v>
      </c>
      <c r="O134" t="str">
        <f>VLOOKUP(N134,Helper!$B$30:$C$35,2,TRUE)</f>
        <v>C</v>
      </c>
      <c r="P134" s="26">
        <f>INDEX(Detail!$A$1:$A$1001,MATCH(B134,Detail!$G$1:$G$1001,0))</f>
        <v>37196</v>
      </c>
      <c r="Q134" s="3" t="str">
        <f>INDEX(Detail!$F$1:$F$1001,MATCH(Main!B134,Detail!$G$1:$G$1001,0))</f>
        <v>Prabumulih</v>
      </c>
      <c r="R134" s="7">
        <f>INDEX(Detail!$C$1:$C$1001,MATCH(B134,Detail!$G$1:$G$1001,0),1)</f>
        <v>174</v>
      </c>
      <c r="S134" s="7">
        <f>INDEX(Detail!$D$1:$D$1001,MATCH(B134,Detail!$G$1:$G$1001,0),1)</f>
        <v>45</v>
      </c>
      <c r="T134" s="7" t="str">
        <f>INDEX(Detail!$E$1:$E$1001,MATCH(Main!B134,Detail!$G$1:$G$1001,0))</f>
        <v>Jl. M.H Thamrin No. 58</v>
      </c>
      <c r="U134" s="7" t="str">
        <f>INDEX(Detail!$B$1:$B$1001,MATCH(B134,Detail!$G$1:$G$1001,0),1)</f>
        <v>O-</v>
      </c>
    </row>
    <row r="135" spans="1:21" ht="15.75" x14ac:dyDescent="0.25">
      <c r="A135">
        <v>843</v>
      </c>
      <c r="B135" s="3" t="str">
        <f>CONCATENATE("A",TEXT(Main!A135,"0000"))</f>
        <v>A0843</v>
      </c>
      <c r="C135" t="s">
        <v>1015</v>
      </c>
      <c r="D135" s="3" t="str">
        <f>VLOOKUP(B135,Detail!$G$1:$H$1001,2,FALSE)</f>
        <v>Devi Lailasari</v>
      </c>
      <c r="E135">
        <v>85</v>
      </c>
      <c r="F135">
        <v>45</v>
      </c>
      <c r="G135" s="35">
        <v>61</v>
      </c>
      <c r="H135">
        <v>52</v>
      </c>
      <c r="I135">
        <v>79</v>
      </c>
      <c r="J135">
        <v>79</v>
      </c>
      <c r="K135">
        <v>94</v>
      </c>
      <c r="L135" s="26">
        <f>IFERROR(VLOOKUP(B135,Absen!$A$1:$C$501,2,FALSE),"No")</f>
        <v>44763</v>
      </c>
      <c r="M135" s="44">
        <f t="shared" si="4"/>
        <v>8.4</v>
      </c>
      <c r="N135" s="35">
        <f t="shared" si="5"/>
        <v>69.025000000000006</v>
      </c>
      <c r="O135" t="str">
        <f>VLOOKUP(N135,Helper!$B$30:$C$35,2,TRUE)</f>
        <v>C</v>
      </c>
      <c r="P135" s="26">
        <f>INDEX(Detail!$A$1:$A$1001,MATCH(B135,Detail!$G$1:$G$1001,0))</f>
        <v>37488</v>
      </c>
      <c r="Q135" s="3" t="str">
        <f>INDEX(Detail!$F$1:$F$1001,MATCH(Main!B135,Detail!$G$1:$G$1001,0))</f>
        <v>Pekalongan</v>
      </c>
      <c r="R135" s="7">
        <f>INDEX(Detail!$C$1:$C$1001,MATCH(B135,Detail!$G$1:$G$1001,0),1)</f>
        <v>175</v>
      </c>
      <c r="S135" s="7">
        <f>INDEX(Detail!$D$1:$D$1001,MATCH(B135,Detail!$G$1:$G$1001,0),1)</f>
        <v>53</v>
      </c>
      <c r="T135" s="7" t="str">
        <f>INDEX(Detail!$E$1:$E$1001,MATCH(Main!B135,Detail!$G$1:$G$1001,0))</f>
        <v>Jl. Pasir Koja No. 36</v>
      </c>
      <c r="U135" s="7" t="str">
        <f>INDEX(Detail!$B$1:$B$1001,MATCH(B135,Detail!$G$1:$G$1001,0),1)</f>
        <v>AB-</v>
      </c>
    </row>
    <row r="136" spans="1:21" ht="15.75" x14ac:dyDescent="0.25">
      <c r="A136">
        <v>854</v>
      </c>
      <c r="B136" s="3" t="str">
        <f>CONCATENATE("A",TEXT(Main!A136,"0000"))</f>
        <v>A0854</v>
      </c>
      <c r="C136" t="s">
        <v>1015</v>
      </c>
      <c r="D136" s="3" t="str">
        <f>VLOOKUP(B136,Detail!$G$1:$H$1001,2,FALSE)</f>
        <v>Diah Saptono</v>
      </c>
      <c r="E136">
        <v>79</v>
      </c>
      <c r="F136">
        <v>56</v>
      </c>
      <c r="G136" s="35">
        <v>73</v>
      </c>
      <c r="H136">
        <v>72</v>
      </c>
      <c r="I136">
        <v>90</v>
      </c>
      <c r="J136">
        <v>46</v>
      </c>
      <c r="K136">
        <v>85</v>
      </c>
      <c r="L136" s="26">
        <f>IFERROR(VLOOKUP(B136,Absen!$A$1:$C$501,2,FALSE),"No")</f>
        <v>44880</v>
      </c>
      <c r="M136" s="44">
        <f t="shared" si="4"/>
        <v>7.5</v>
      </c>
      <c r="N136" s="35">
        <f t="shared" si="5"/>
        <v>68.425000000000011</v>
      </c>
      <c r="O136" t="str">
        <f>VLOOKUP(N136,Helper!$B$30:$C$35,2,TRUE)</f>
        <v>C</v>
      </c>
      <c r="P136" s="26">
        <f>INDEX(Detail!$A$1:$A$1001,MATCH(B136,Detail!$G$1:$G$1001,0))</f>
        <v>37469</v>
      </c>
      <c r="Q136" s="3" t="str">
        <f>INDEX(Detail!$F$1:$F$1001,MATCH(Main!B136,Detail!$G$1:$G$1001,0))</f>
        <v>Bandar Lampung</v>
      </c>
      <c r="R136" s="7">
        <f>INDEX(Detail!$C$1:$C$1001,MATCH(B136,Detail!$G$1:$G$1001,0),1)</f>
        <v>165</v>
      </c>
      <c r="S136" s="7">
        <f>INDEX(Detail!$D$1:$D$1001,MATCH(B136,Detail!$G$1:$G$1001,0),1)</f>
        <v>71</v>
      </c>
      <c r="T136" s="7" t="str">
        <f>INDEX(Detail!$E$1:$E$1001,MATCH(Main!B136,Detail!$G$1:$G$1001,0))</f>
        <v>Gg. Veteran No. 48</v>
      </c>
      <c r="U136" s="7" t="str">
        <f>INDEX(Detail!$B$1:$B$1001,MATCH(B136,Detail!$G$1:$G$1001,0),1)</f>
        <v>A-</v>
      </c>
    </row>
    <row r="137" spans="1:21" ht="15.75" x14ac:dyDescent="0.25">
      <c r="A137">
        <v>861</v>
      </c>
      <c r="B137" s="3" t="str">
        <f>CONCATENATE("A",TEXT(Main!A137,"0000"))</f>
        <v>A0861</v>
      </c>
      <c r="C137" t="s">
        <v>1015</v>
      </c>
      <c r="D137" s="3" t="str">
        <f>VLOOKUP(B137,Detail!$G$1:$H$1001,2,FALSE)</f>
        <v>Elvina Usamah</v>
      </c>
      <c r="E137">
        <v>91</v>
      </c>
      <c r="F137">
        <v>40</v>
      </c>
      <c r="G137" s="35">
        <v>37</v>
      </c>
      <c r="H137">
        <v>60</v>
      </c>
      <c r="I137">
        <v>60</v>
      </c>
      <c r="J137">
        <v>56</v>
      </c>
      <c r="K137">
        <v>63</v>
      </c>
      <c r="L137" s="26" t="str">
        <f>IFERROR(VLOOKUP(B137,Absen!$A$1:$C$501,2,FALSE),"No")</f>
        <v>No</v>
      </c>
      <c r="M137" s="44">
        <f t="shared" si="4"/>
        <v>6.3000000000000007</v>
      </c>
      <c r="N137" s="35">
        <f t="shared" si="5"/>
        <v>56.275000000000006</v>
      </c>
      <c r="O137" t="str">
        <f>VLOOKUP(N137,Helper!$B$30:$C$35,2,TRUE)</f>
        <v>D</v>
      </c>
      <c r="P137" s="26">
        <f>INDEX(Detail!$A$1:$A$1001,MATCH(B137,Detail!$G$1:$G$1001,0))</f>
        <v>37630</v>
      </c>
      <c r="Q137" s="3" t="str">
        <f>INDEX(Detail!$F$1:$F$1001,MATCH(Main!B137,Detail!$G$1:$G$1001,0))</f>
        <v>Binjai</v>
      </c>
      <c r="R137" s="7">
        <f>INDEX(Detail!$C$1:$C$1001,MATCH(B137,Detail!$G$1:$G$1001,0),1)</f>
        <v>152</v>
      </c>
      <c r="S137" s="7">
        <f>INDEX(Detail!$D$1:$D$1001,MATCH(B137,Detail!$G$1:$G$1001,0),1)</f>
        <v>63</v>
      </c>
      <c r="T137" s="7" t="str">
        <f>INDEX(Detail!$E$1:$E$1001,MATCH(Main!B137,Detail!$G$1:$G$1001,0))</f>
        <v>Gg. Rajawali Barat No. 45</v>
      </c>
      <c r="U137" s="7" t="str">
        <f>INDEX(Detail!$B$1:$B$1001,MATCH(B137,Detail!$G$1:$G$1001,0),1)</f>
        <v>AB-</v>
      </c>
    </row>
    <row r="138" spans="1:21" ht="15.75" x14ac:dyDescent="0.25">
      <c r="A138">
        <v>862</v>
      </c>
      <c r="B138" s="3" t="str">
        <f>CONCATENATE("A",TEXT(Main!A138,"0000"))</f>
        <v>A0862</v>
      </c>
      <c r="C138" t="s">
        <v>1015</v>
      </c>
      <c r="D138" s="3" t="str">
        <f>VLOOKUP(B138,Detail!$G$1:$H$1001,2,FALSE)</f>
        <v>Arta Ardianto</v>
      </c>
      <c r="E138">
        <v>87</v>
      </c>
      <c r="F138">
        <v>74</v>
      </c>
      <c r="G138" s="35">
        <v>72</v>
      </c>
      <c r="H138">
        <v>54</v>
      </c>
      <c r="I138">
        <v>82</v>
      </c>
      <c r="J138">
        <v>84</v>
      </c>
      <c r="K138">
        <v>85</v>
      </c>
      <c r="L138" s="26" t="str">
        <f>IFERROR(VLOOKUP(B138,Absen!$A$1:$C$501,2,FALSE),"No")</f>
        <v>No</v>
      </c>
      <c r="M138" s="44">
        <f t="shared" si="4"/>
        <v>8.5</v>
      </c>
      <c r="N138" s="35">
        <f t="shared" si="5"/>
        <v>76.825000000000003</v>
      </c>
      <c r="O138" t="str">
        <f>VLOOKUP(N138,Helper!$B$30:$C$35,2,TRUE)</f>
        <v>B</v>
      </c>
      <c r="P138" s="26">
        <f>INDEX(Detail!$A$1:$A$1001,MATCH(B138,Detail!$G$1:$G$1001,0))</f>
        <v>37896</v>
      </c>
      <c r="Q138" s="3" t="str">
        <f>INDEX(Detail!$F$1:$F$1001,MATCH(Main!B138,Detail!$G$1:$G$1001,0))</f>
        <v>Gorontalo</v>
      </c>
      <c r="R138" s="7">
        <f>INDEX(Detail!$C$1:$C$1001,MATCH(B138,Detail!$G$1:$G$1001,0),1)</f>
        <v>150</v>
      </c>
      <c r="S138" s="7">
        <f>INDEX(Detail!$D$1:$D$1001,MATCH(B138,Detail!$G$1:$G$1001,0),1)</f>
        <v>63</v>
      </c>
      <c r="T138" s="7" t="str">
        <f>INDEX(Detail!$E$1:$E$1001,MATCH(Main!B138,Detail!$G$1:$G$1001,0))</f>
        <v>Jalan Suniaraja No. 30</v>
      </c>
      <c r="U138" s="7" t="str">
        <f>INDEX(Detail!$B$1:$B$1001,MATCH(B138,Detail!$G$1:$G$1001,0),1)</f>
        <v>O-</v>
      </c>
    </row>
    <row r="139" spans="1:21" ht="15.75" x14ac:dyDescent="0.25">
      <c r="A139">
        <v>868</v>
      </c>
      <c r="B139" s="3" t="str">
        <f>CONCATENATE("A",TEXT(Main!A139,"0000"))</f>
        <v>A0868</v>
      </c>
      <c r="C139" t="s">
        <v>1015</v>
      </c>
      <c r="D139" s="3" t="str">
        <f>VLOOKUP(B139,Detail!$G$1:$H$1001,2,FALSE)</f>
        <v>Tantri Nasyiah</v>
      </c>
      <c r="E139">
        <v>69</v>
      </c>
      <c r="F139">
        <v>61</v>
      </c>
      <c r="G139" s="35">
        <v>60</v>
      </c>
      <c r="H139">
        <v>67</v>
      </c>
      <c r="I139">
        <v>65</v>
      </c>
      <c r="J139">
        <v>66</v>
      </c>
      <c r="K139">
        <v>98</v>
      </c>
      <c r="L139" s="26">
        <f>IFERROR(VLOOKUP(B139,Absen!$A$1:$C$501,2,FALSE),"No")</f>
        <v>44867</v>
      </c>
      <c r="M139" s="44">
        <f t="shared" si="4"/>
        <v>8.8000000000000007</v>
      </c>
      <c r="N139" s="35">
        <f t="shared" si="5"/>
        <v>66.75</v>
      </c>
      <c r="O139" t="str">
        <f>VLOOKUP(N139,Helper!$B$30:$C$35,2,TRUE)</f>
        <v>C</v>
      </c>
      <c r="P139" s="26">
        <f>INDEX(Detail!$A$1:$A$1001,MATCH(B139,Detail!$G$1:$G$1001,0))</f>
        <v>38462</v>
      </c>
      <c r="Q139" s="3" t="str">
        <f>INDEX(Detail!$F$1:$F$1001,MATCH(Main!B139,Detail!$G$1:$G$1001,0))</f>
        <v>Kupang</v>
      </c>
      <c r="R139" s="7">
        <f>INDEX(Detail!$C$1:$C$1001,MATCH(B139,Detail!$G$1:$G$1001,0),1)</f>
        <v>159</v>
      </c>
      <c r="S139" s="7">
        <f>INDEX(Detail!$D$1:$D$1001,MATCH(B139,Detail!$G$1:$G$1001,0),1)</f>
        <v>63</v>
      </c>
      <c r="T139" s="7" t="str">
        <f>INDEX(Detail!$E$1:$E$1001,MATCH(Main!B139,Detail!$G$1:$G$1001,0))</f>
        <v>Gang Jayawijaya No. 00</v>
      </c>
      <c r="U139" s="7" t="str">
        <f>INDEX(Detail!$B$1:$B$1001,MATCH(B139,Detail!$G$1:$G$1001,0),1)</f>
        <v>O-</v>
      </c>
    </row>
    <row r="140" spans="1:21" ht="15.75" x14ac:dyDescent="0.25">
      <c r="A140">
        <v>871</v>
      </c>
      <c r="B140" s="3" t="str">
        <f>CONCATENATE("A",TEXT(Main!A140,"0000"))</f>
        <v>A0871</v>
      </c>
      <c r="C140" t="s">
        <v>1015</v>
      </c>
      <c r="D140" s="3" t="str">
        <f>VLOOKUP(B140,Detail!$G$1:$H$1001,2,FALSE)</f>
        <v>Kuncara Kurniawan</v>
      </c>
      <c r="E140">
        <v>55</v>
      </c>
      <c r="F140">
        <v>59</v>
      </c>
      <c r="G140" s="35">
        <v>95</v>
      </c>
      <c r="H140">
        <v>64</v>
      </c>
      <c r="I140">
        <v>69</v>
      </c>
      <c r="J140">
        <v>98</v>
      </c>
      <c r="K140">
        <v>81</v>
      </c>
      <c r="L140" s="26">
        <f>IFERROR(VLOOKUP(B140,Absen!$A$1:$C$501,2,FALSE),"No")</f>
        <v>44834</v>
      </c>
      <c r="M140" s="44">
        <f t="shared" si="4"/>
        <v>7.1000000000000005</v>
      </c>
      <c r="N140" s="35">
        <f t="shared" si="5"/>
        <v>76.574999999999989</v>
      </c>
      <c r="O140" t="str">
        <f>VLOOKUP(N140,Helper!$B$30:$C$35,2,TRUE)</f>
        <v>B</v>
      </c>
      <c r="P140" s="26">
        <f>INDEX(Detail!$A$1:$A$1001,MATCH(B140,Detail!$G$1:$G$1001,0))</f>
        <v>37650</v>
      </c>
      <c r="Q140" s="3" t="str">
        <f>INDEX(Detail!$F$1:$F$1001,MATCH(Main!B140,Detail!$G$1:$G$1001,0))</f>
        <v>Ambon</v>
      </c>
      <c r="R140" s="7">
        <f>INDEX(Detail!$C$1:$C$1001,MATCH(B140,Detail!$G$1:$G$1001,0),1)</f>
        <v>170</v>
      </c>
      <c r="S140" s="7">
        <f>INDEX(Detail!$D$1:$D$1001,MATCH(B140,Detail!$G$1:$G$1001,0),1)</f>
        <v>73</v>
      </c>
      <c r="T140" s="7" t="str">
        <f>INDEX(Detail!$E$1:$E$1001,MATCH(Main!B140,Detail!$G$1:$G$1001,0))</f>
        <v>Jalan Sukajadi No. 65</v>
      </c>
      <c r="U140" s="7" t="str">
        <f>INDEX(Detail!$B$1:$B$1001,MATCH(B140,Detail!$G$1:$G$1001,0),1)</f>
        <v>AB-</v>
      </c>
    </row>
    <row r="141" spans="1:21" ht="15.75" x14ac:dyDescent="0.25">
      <c r="A141">
        <v>876</v>
      </c>
      <c r="B141" s="3" t="str">
        <f>CONCATENATE("A",TEXT(Main!A141,"0000"))</f>
        <v>A0876</v>
      </c>
      <c r="C141" t="s">
        <v>1015</v>
      </c>
      <c r="D141" s="3" t="str">
        <f>VLOOKUP(B141,Detail!$G$1:$H$1001,2,FALSE)</f>
        <v>Citra Sitorus</v>
      </c>
      <c r="E141">
        <v>51</v>
      </c>
      <c r="F141">
        <v>65</v>
      </c>
      <c r="G141" s="35">
        <v>42</v>
      </c>
      <c r="H141">
        <v>55</v>
      </c>
      <c r="I141">
        <v>66</v>
      </c>
      <c r="J141">
        <v>52</v>
      </c>
      <c r="K141">
        <v>75</v>
      </c>
      <c r="L141" s="26">
        <f>IFERROR(VLOOKUP(B141,Absen!$A$1:$C$501,2,FALSE),"No")</f>
        <v>44835</v>
      </c>
      <c r="M141" s="44">
        <f t="shared" si="4"/>
        <v>6.5</v>
      </c>
      <c r="N141" s="35">
        <f t="shared" si="5"/>
        <v>54.924999999999997</v>
      </c>
      <c r="O141" t="str">
        <f>VLOOKUP(N141,Helper!$B$30:$C$35,2,TRUE)</f>
        <v>D</v>
      </c>
      <c r="P141" s="26">
        <f>INDEX(Detail!$A$1:$A$1001,MATCH(B141,Detail!$G$1:$G$1001,0))</f>
        <v>38426</v>
      </c>
      <c r="Q141" s="3" t="str">
        <f>INDEX(Detail!$F$1:$F$1001,MATCH(Main!B141,Detail!$G$1:$G$1001,0))</f>
        <v>Pontianak</v>
      </c>
      <c r="R141" s="7">
        <f>INDEX(Detail!$C$1:$C$1001,MATCH(B141,Detail!$G$1:$G$1001,0),1)</f>
        <v>154</v>
      </c>
      <c r="S141" s="7">
        <f>INDEX(Detail!$D$1:$D$1001,MATCH(B141,Detail!$G$1:$G$1001,0),1)</f>
        <v>66</v>
      </c>
      <c r="T141" s="7" t="str">
        <f>INDEX(Detail!$E$1:$E$1001,MATCH(Main!B141,Detail!$G$1:$G$1001,0))</f>
        <v xml:space="preserve">Gang Rawamangun No. 3
</v>
      </c>
      <c r="U141" s="7" t="str">
        <f>INDEX(Detail!$B$1:$B$1001,MATCH(B141,Detail!$G$1:$G$1001,0),1)</f>
        <v>A-</v>
      </c>
    </row>
    <row r="142" spans="1:21" ht="15.75" x14ac:dyDescent="0.25">
      <c r="A142">
        <v>879</v>
      </c>
      <c r="B142" s="3" t="str">
        <f>CONCATENATE("A",TEXT(Main!A142,"0000"))</f>
        <v>A0879</v>
      </c>
      <c r="C142" t="s">
        <v>1015</v>
      </c>
      <c r="D142" s="3" t="str">
        <f>VLOOKUP(B142,Detail!$G$1:$H$1001,2,FALSE)</f>
        <v>Irsad Kusmawati</v>
      </c>
      <c r="E142">
        <v>70</v>
      </c>
      <c r="F142">
        <v>58</v>
      </c>
      <c r="G142" s="35">
        <v>84</v>
      </c>
      <c r="H142">
        <v>50</v>
      </c>
      <c r="I142">
        <v>87</v>
      </c>
      <c r="J142">
        <v>65</v>
      </c>
      <c r="K142">
        <v>74</v>
      </c>
      <c r="L142" s="26" t="str">
        <f>IFERROR(VLOOKUP(B142,Absen!$A$1:$C$501,2,FALSE),"No")</f>
        <v>No</v>
      </c>
      <c r="M142" s="44">
        <f t="shared" si="4"/>
        <v>7.4</v>
      </c>
      <c r="N142" s="35">
        <f t="shared" si="5"/>
        <v>70.325000000000003</v>
      </c>
      <c r="O142" t="str">
        <f>VLOOKUP(N142,Helper!$B$30:$C$35,2,TRUE)</f>
        <v>B</v>
      </c>
      <c r="P142" s="26">
        <f>INDEX(Detail!$A$1:$A$1001,MATCH(B142,Detail!$G$1:$G$1001,0))</f>
        <v>37995</v>
      </c>
      <c r="Q142" s="3" t="str">
        <f>INDEX(Detail!$F$1:$F$1001,MATCH(Main!B142,Detail!$G$1:$G$1001,0))</f>
        <v>Tegal</v>
      </c>
      <c r="R142" s="7">
        <f>INDEX(Detail!$C$1:$C$1001,MATCH(B142,Detail!$G$1:$G$1001,0),1)</f>
        <v>158</v>
      </c>
      <c r="S142" s="7">
        <f>INDEX(Detail!$D$1:$D$1001,MATCH(B142,Detail!$G$1:$G$1001,0),1)</f>
        <v>68</v>
      </c>
      <c r="T142" s="7" t="str">
        <f>INDEX(Detail!$E$1:$E$1001,MATCH(Main!B142,Detail!$G$1:$G$1001,0))</f>
        <v xml:space="preserve">Gang Jend. A. Yani No. 5
</v>
      </c>
      <c r="U142" s="7" t="str">
        <f>INDEX(Detail!$B$1:$B$1001,MATCH(B142,Detail!$G$1:$G$1001,0),1)</f>
        <v>AB-</v>
      </c>
    </row>
    <row r="143" spans="1:21" ht="15.75" x14ac:dyDescent="0.25">
      <c r="A143">
        <v>880</v>
      </c>
      <c r="B143" s="3" t="str">
        <f>CONCATENATE("A",TEXT(Main!A143,"0000"))</f>
        <v>A0880</v>
      </c>
      <c r="C143" t="s">
        <v>1015</v>
      </c>
      <c r="D143" s="3" t="str">
        <f>VLOOKUP(B143,Detail!$G$1:$H$1001,2,FALSE)</f>
        <v>Marsito Nasyiah</v>
      </c>
      <c r="E143">
        <v>73</v>
      </c>
      <c r="F143">
        <v>69</v>
      </c>
      <c r="G143" s="35">
        <v>58</v>
      </c>
      <c r="H143">
        <v>71</v>
      </c>
      <c r="I143">
        <v>85</v>
      </c>
      <c r="J143">
        <v>58</v>
      </c>
      <c r="K143">
        <v>86</v>
      </c>
      <c r="L143" s="26">
        <f>IFERROR(VLOOKUP(B143,Absen!$A$1:$C$501,2,FALSE),"No")</f>
        <v>44858</v>
      </c>
      <c r="M143" s="44">
        <f t="shared" si="4"/>
        <v>7.6000000000000005</v>
      </c>
      <c r="N143" s="35">
        <f t="shared" si="5"/>
        <v>68.05</v>
      </c>
      <c r="O143" t="str">
        <f>VLOOKUP(N143,Helper!$B$30:$C$35,2,TRUE)</f>
        <v>C</v>
      </c>
      <c r="P143" s="26">
        <f>INDEX(Detail!$A$1:$A$1001,MATCH(B143,Detail!$G$1:$G$1001,0))</f>
        <v>38105</v>
      </c>
      <c r="Q143" s="3" t="str">
        <f>INDEX(Detail!$F$1:$F$1001,MATCH(Main!B143,Detail!$G$1:$G$1001,0))</f>
        <v>Tidore Kepulauan</v>
      </c>
      <c r="R143" s="7">
        <f>INDEX(Detail!$C$1:$C$1001,MATCH(B143,Detail!$G$1:$G$1001,0),1)</f>
        <v>171</v>
      </c>
      <c r="S143" s="7">
        <f>INDEX(Detail!$D$1:$D$1001,MATCH(B143,Detail!$G$1:$G$1001,0),1)</f>
        <v>80</v>
      </c>
      <c r="T143" s="7" t="str">
        <f>INDEX(Detail!$E$1:$E$1001,MATCH(Main!B143,Detail!$G$1:$G$1001,0))</f>
        <v xml:space="preserve">Jl. Yos Sudarso No. 5
</v>
      </c>
      <c r="U143" s="7" t="str">
        <f>INDEX(Detail!$B$1:$B$1001,MATCH(B143,Detail!$G$1:$G$1001,0),1)</f>
        <v>AB+</v>
      </c>
    </row>
    <row r="144" spans="1:21" ht="15.75" x14ac:dyDescent="0.25">
      <c r="A144">
        <v>904</v>
      </c>
      <c r="B144" s="3" t="str">
        <f>CONCATENATE("A",TEXT(Main!A144,"0000"))</f>
        <v>A0904</v>
      </c>
      <c r="C144" t="s">
        <v>1015</v>
      </c>
      <c r="D144" s="3" t="str">
        <f>VLOOKUP(B144,Detail!$G$1:$H$1001,2,FALSE)</f>
        <v>Mujur Wibisono</v>
      </c>
      <c r="E144">
        <v>65</v>
      </c>
      <c r="F144">
        <v>51</v>
      </c>
      <c r="G144" s="35">
        <v>38</v>
      </c>
      <c r="H144">
        <v>72</v>
      </c>
      <c r="I144">
        <v>90</v>
      </c>
      <c r="J144">
        <v>91</v>
      </c>
      <c r="K144">
        <v>95</v>
      </c>
      <c r="L144" s="26" t="str">
        <f>IFERROR(VLOOKUP(B144,Absen!$A$1:$C$501,2,FALSE),"No")</f>
        <v>No</v>
      </c>
      <c r="M144" s="44">
        <f t="shared" si="4"/>
        <v>9.5</v>
      </c>
      <c r="N144" s="35">
        <f t="shared" si="5"/>
        <v>70.05</v>
      </c>
      <c r="O144" t="str">
        <f>VLOOKUP(N144,Helper!$B$30:$C$35,2,TRUE)</f>
        <v>B</v>
      </c>
      <c r="P144" s="26">
        <f>INDEX(Detail!$A$1:$A$1001,MATCH(B144,Detail!$G$1:$G$1001,0))</f>
        <v>37387</v>
      </c>
      <c r="Q144" s="3" t="str">
        <f>INDEX(Detail!$F$1:$F$1001,MATCH(Main!B144,Detail!$G$1:$G$1001,0))</f>
        <v>Bengkulu</v>
      </c>
      <c r="R144" s="7">
        <f>INDEX(Detail!$C$1:$C$1001,MATCH(B144,Detail!$G$1:$G$1001,0),1)</f>
        <v>166</v>
      </c>
      <c r="S144" s="7">
        <f>INDEX(Detail!$D$1:$D$1001,MATCH(B144,Detail!$G$1:$G$1001,0),1)</f>
        <v>74</v>
      </c>
      <c r="T144" s="7" t="str">
        <f>INDEX(Detail!$E$1:$E$1001,MATCH(Main!B144,Detail!$G$1:$G$1001,0))</f>
        <v xml:space="preserve">Jalan H.J Maemunah No. 0
</v>
      </c>
      <c r="U144" s="7" t="str">
        <f>INDEX(Detail!$B$1:$B$1001,MATCH(B144,Detail!$G$1:$G$1001,0),1)</f>
        <v>A-</v>
      </c>
    </row>
    <row r="145" spans="1:21" ht="15.75" x14ac:dyDescent="0.25">
      <c r="A145">
        <v>905</v>
      </c>
      <c r="B145" s="3" t="str">
        <f>CONCATENATE("A",TEXT(Main!A145,"0000"))</f>
        <v>A0905</v>
      </c>
      <c r="C145" t="s">
        <v>1015</v>
      </c>
      <c r="D145" s="3" t="str">
        <f>VLOOKUP(B145,Detail!$G$1:$H$1001,2,FALSE)</f>
        <v>Bambang Yuniar</v>
      </c>
      <c r="E145">
        <v>60</v>
      </c>
      <c r="F145">
        <v>41</v>
      </c>
      <c r="G145" s="35">
        <v>74</v>
      </c>
      <c r="H145">
        <v>68</v>
      </c>
      <c r="I145">
        <v>85</v>
      </c>
      <c r="J145">
        <v>88</v>
      </c>
      <c r="K145">
        <v>81</v>
      </c>
      <c r="L145" s="26" t="str">
        <f>IFERROR(VLOOKUP(B145,Absen!$A$1:$C$501,2,FALSE),"No")</f>
        <v>No</v>
      </c>
      <c r="M145" s="44">
        <f t="shared" si="4"/>
        <v>8.1</v>
      </c>
      <c r="N145" s="35">
        <f t="shared" si="5"/>
        <v>72.25</v>
      </c>
      <c r="O145" t="str">
        <f>VLOOKUP(N145,Helper!$B$30:$C$35,2,TRUE)</f>
        <v>B</v>
      </c>
      <c r="P145" s="26">
        <f>INDEX(Detail!$A$1:$A$1001,MATCH(B145,Detail!$G$1:$G$1001,0))</f>
        <v>37464</v>
      </c>
      <c r="Q145" s="3" t="str">
        <f>INDEX(Detail!$F$1:$F$1001,MATCH(Main!B145,Detail!$G$1:$G$1001,0))</f>
        <v>Banjar</v>
      </c>
      <c r="R145" s="7">
        <f>INDEX(Detail!$C$1:$C$1001,MATCH(B145,Detail!$G$1:$G$1001,0),1)</f>
        <v>173</v>
      </c>
      <c r="S145" s="7">
        <f>INDEX(Detail!$D$1:$D$1001,MATCH(B145,Detail!$G$1:$G$1001,0),1)</f>
        <v>77</v>
      </c>
      <c r="T145" s="7" t="str">
        <f>INDEX(Detail!$E$1:$E$1001,MATCH(Main!B145,Detail!$G$1:$G$1001,0))</f>
        <v>Gg. Tubagus Ismail No. 99</v>
      </c>
      <c r="U145" s="7" t="str">
        <f>INDEX(Detail!$B$1:$B$1001,MATCH(B145,Detail!$G$1:$G$1001,0),1)</f>
        <v>AB+</v>
      </c>
    </row>
    <row r="146" spans="1:21" ht="15.75" x14ac:dyDescent="0.25">
      <c r="A146">
        <v>915</v>
      </c>
      <c r="B146" s="3" t="str">
        <f>CONCATENATE("A",TEXT(Main!A146,"0000"))</f>
        <v>A0915</v>
      </c>
      <c r="C146" t="s">
        <v>1015</v>
      </c>
      <c r="D146" s="3" t="str">
        <f>VLOOKUP(B146,Detail!$G$1:$H$1001,2,FALSE)</f>
        <v>Limar Mangunsong</v>
      </c>
      <c r="E146">
        <v>92</v>
      </c>
      <c r="F146">
        <v>42</v>
      </c>
      <c r="G146" s="35">
        <v>63</v>
      </c>
      <c r="H146">
        <v>65</v>
      </c>
      <c r="I146">
        <v>81</v>
      </c>
      <c r="J146">
        <v>100</v>
      </c>
      <c r="K146">
        <v>80</v>
      </c>
      <c r="L146" s="26" t="str">
        <f>IFERROR(VLOOKUP(B146,Absen!$A$1:$C$501,2,FALSE),"No")</f>
        <v>No</v>
      </c>
      <c r="M146" s="44">
        <f t="shared" si="4"/>
        <v>8</v>
      </c>
      <c r="N146" s="35">
        <f t="shared" si="5"/>
        <v>75.599999999999994</v>
      </c>
      <c r="O146" t="str">
        <f>VLOOKUP(N146,Helper!$B$30:$C$35,2,TRUE)</f>
        <v>B</v>
      </c>
      <c r="P146" s="26">
        <f>INDEX(Detail!$A$1:$A$1001,MATCH(B146,Detail!$G$1:$G$1001,0))</f>
        <v>37120</v>
      </c>
      <c r="Q146" s="3" t="str">
        <f>INDEX(Detail!$F$1:$F$1001,MATCH(Main!B146,Detail!$G$1:$G$1001,0))</f>
        <v>Salatiga</v>
      </c>
      <c r="R146" s="7">
        <f>INDEX(Detail!$C$1:$C$1001,MATCH(B146,Detail!$G$1:$G$1001,0),1)</f>
        <v>153</v>
      </c>
      <c r="S146" s="7">
        <f>INDEX(Detail!$D$1:$D$1001,MATCH(B146,Detail!$G$1:$G$1001,0),1)</f>
        <v>61</v>
      </c>
      <c r="T146" s="7" t="str">
        <f>INDEX(Detail!$E$1:$E$1001,MATCH(Main!B146,Detail!$G$1:$G$1001,0))</f>
        <v>Gang PHH. Mustofa No. 71</v>
      </c>
      <c r="U146" s="7" t="str">
        <f>INDEX(Detail!$B$1:$B$1001,MATCH(B146,Detail!$G$1:$G$1001,0),1)</f>
        <v>AB-</v>
      </c>
    </row>
    <row r="147" spans="1:21" ht="15.75" x14ac:dyDescent="0.25">
      <c r="A147">
        <v>916</v>
      </c>
      <c r="B147" s="3" t="str">
        <f>CONCATENATE("A",TEXT(Main!A147,"0000"))</f>
        <v>A0916</v>
      </c>
      <c r="C147" t="s">
        <v>1015</v>
      </c>
      <c r="D147" s="3" t="str">
        <f>VLOOKUP(B147,Detail!$G$1:$H$1001,2,FALSE)</f>
        <v>Zulaikha Kusumo</v>
      </c>
      <c r="E147">
        <v>81</v>
      </c>
      <c r="F147">
        <v>55</v>
      </c>
      <c r="G147" s="35">
        <v>57</v>
      </c>
      <c r="H147">
        <v>63</v>
      </c>
      <c r="I147">
        <v>85</v>
      </c>
      <c r="J147">
        <v>55</v>
      </c>
      <c r="K147">
        <v>66</v>
      </c>
      <c r="L147" s="26">
        <f>IFERROR(VLOOKUP(B147,Absen!$A$1:$C$501,2,FALSE),"No")</f>
        <v>44905</v>
      </c>
      <c r="M147" s="44">
        <f t="shared" si="4"/>
        <v>5.6000000000000005</v>
      </c>
      <c r="N147" s="35">
        <f t="shared" si="5"/>
        <v>63.5</v>
      </c>
      <c r="O147" t="str">
        <f>VLOOKUP(N147,Helper!$B$30:$C$35,2,TRUE)</f>
        <v>C</v>
      </c>
      <c r="P147" s="26">
        <f>INDEX(Detail!$A$1:$A$1001,MATCH(B147,Detail!$G$1:$G$1001,0))</f>
        <v>38253</v>
      </c>
      <c r="Q147" s="3" t="str">
        <f>INDEX(Detail!$F$1:$F$1001,MATCH(Main!B147,Detail!$G$1:$G$1001,0))</f>
        <v>Pontianak</v>
      </c>
      <c r="R147" s="7">
        <f>INDEX(Detail!$C$1:$C$1001,MATCH(B147,Detail!$G$1:$G$1001,0),1)</f>
        <v>178</v>
      </c>
      <c r="S147" s="7">
        <f>INDEX(Detail!$D$1:$D$1001,MATCH(B147,Detail!$G$1:$G$1001,0),1)</f>
        <v>51</v>
      </c>
      <c r="T147" s="7" t="str">
        <f>INDEX(Detail!$E$1:$E$1001,MATCH(Main!B147,Detail!$G$1:$G$1001,0))</f>
        <v>Jl. Jakarta No. 26</v>
      </c>
      <c r="U147" s="7" t="str">
        <f>INDEX(Detail!$B$1:$B$1001,MATCH(B147,Detail!$G$1:$G$1001,0),1)</f>
        <v>A-</v>
      </c>
    </row>
    <row r="148" spans="1:21" ht="15.75" x14ac:dyDescent="0.25">
      <c r="A148">
        <v>922</v>
      </c>
      <c r="B148" s="3" t="str">
        <f>CONCATENATE("A",TEXT(Main!A148,"0000"))</f>
        <v>A0922</v>
      </c>
      <c r="C148" t="s">
        <v>1015</v>
      </c>
      <c r="D148" s="3" t="str">
        <f>VLOOKUP(B148,Detail!$G$1:$H$1001,2,FALSE)</f>
        <v>Karsana Wijaya</v>
      </c>
      <c r="E148">
        <v>66</v>
      </c>
      <c r="F148">
        <v>64</v>
      </c>
      <c r="G148" s="35">
        <v>72</v>
      </c>
      <c r="H148">
        <v>71</v>
      </c>
      <c r="I148">
        <v>73</v>
      </c>
      <c r="J148">
        <v>68</v>
      </c>
      <c r="K148">
        <v>66</v>
      </c>
      <c r="L148" s="26">
        <f>IFERROR(VLOOKUP(B148,Absen!$A$1:$C$501,2,FALSE),"No")</f>
        <v>44752</v>
      </c>
      <c r="M148" s="44">
        <f t="shared" si="4"/>
        <v>5.6000000000000005</v>
      </c>
      <c r="N148" s="35">
        <f t="shared" si="5"/>
        <v>67.849999999999994</v>
      </c>
      <c r="O148" t="str">
        <f>VLOOKUP(N148,Helper!$B$30:$C$35,2,TRUE)</f>
        <v>C</v>
      </c>
      <c r="P148" s="26">
        <f>INDEX(Detail!$A$1:$A$1001,MATCH(B148,Detail!$G$1:$G$1001,0))</f>
        <v>37497</v>
      </c>
      <c r="Q148" s="3" t="str">
        <f>INDEX(Detail!$F$1:$F$1001,MATCH(Main!B148,Detail!$G$1:$G$1001,0))</f>
        <v>Palembang</v>
      </c>
      <c r="R148" s="7">
        <f>INDEX(Detail!$C$1:$C$1001,MATCH(B148,Detail!$G$1:$G$1001,0),1)</f>
        <v>151</v>
      </c>
      <c r="S148" s="7">
        <f>INDEX(Detail!$D$1:$D$1001,MATCH(B148,Detail!$G$1:$G$1001,0),1)</f>
        <v>87</v>
      </c>
      <c r="T148" s="7" t="str">
        <f>INDEX(Detail!$E$1:$E$1001,MATCH(Main!B148,Detail!$G$1:$G$1001,0))</f>
        <v xml:space="preserve">Jl. Pasir Koja No. 2
</v>
      </c>
      <c r="U148" s="7" t="str">
        <f>INDEX(Detail!$B$1:$B$1001,MATCH(B148,Detail!$G$1:$G$1001,0),1)</f>
        <v>O+</v>
      </c>
    </row>
    <row r="149" spans="1:21" ht="15.75" x14ac:dyDescent="0.25">
      <c r="A149">
        <v>926</v>
      </c>
      <c r="B149" s="3" t="str">
        <f>CONCATENATE("A",TEXT(Main!A149,"0000"))</f>
        <v>A0926</v>
      </c>
      <c r="C149" t="s">
        <v>1015</v>
      </c>
      <c r="D149" s="3" t="str">
        <f>VLOOKUP(B149,Detail!$G$1:$H$1001,2,FALSE)</f>
        <v>Putri Thamrin</v>
      </c>
      <c r="E149">
        <v>83</v>
      </c>
      <c r="F149">
        <v>48</v>
      </c>
      <c r="G149" s="35">
        <v>43</v>
      </c>
      <c r="H149">
        <v>55</v>
      </c>
      <c r="I149">
        <v>63</v>
      </c>
      <c r="J149">
        <v>97</v>
      </c>
      <c r="K149">
        <v>87</v>
      </c>
      <c r="L149" s="26">
        <f>IFERROR(VLOOKUP(B149,Absen!$A$1:$C$501,2,FALSE),"No")</f>
        <v>44795</v>
      </c>
      <c r="M149" s="44">
        <f t="shared" si="4"/>
        <v>7.7</v>
      </c>
      <c r="N149" s="35">
        <f t="shared" si="5"/>
        <v>66.825000000000003</v>
      </c>
      <c r="O149" t="str">
        <f>VLOOKUP(N149,Helper!$B$30:$C$35,2,TRUE)</f>
        <v>C</v>
      </c>
      <c r="P149" s="26">
        <f>INDEX(Detail!$A$1:$A$1001,MATCH(B149,Detail!$G$1:$G$1001,0))</f>
        <v>37335</v>
      </c>
      <c r="Q149" s="3" t="str">
        <f>INDEX(Detail!$F$1:$F$1001,MATCH(Main!B149,Detail!$G$1:$G$1001,0))</f>
        <v>Surabaya</v>
      </c>
      <c r="R149" s="7">
        <f>INDEX(Detail!$C$1:$C$1001,MATCH(B149,Detail!$G$1:$G$1001,0),1)</f>
        <v>153</v>
      </c>
      <c r="S149" s="7">
        <f>INDEX(Detail!$D$1:$D$1001,MATCH(B149,Detail!$G$1:$G$1001,0),1)</f>
        <v>70</v>
      </c>
      <c r="T149" s="7" t="str">
        <f>INDEX(Detail!$E$1:$E$1001,MATCH(Main!B149,Detail!$G$1:$G$1001,0))</f>
        <v>Gg. Rawamangun No. 80</v>
      </c>
      <c r="U149" s="7" t="str">
        <f>INDEX(Detail!$B$1:$B$1001,MATCH(B149,Detail!$G$1:$G$1001,0),1)</f>
        <v>O+</v>
      </c>
    </row>
    <row r="150" spans="1:21" ht="15.75" x14ac:dyDescent="0.25">
      <c r="A150">
        <v>931</v>
      </c>
      <c r="B150" s="3" t="str">
        <f>CONCATENATE("A",TEXT(Main!A150,"0000"))</f>
        <v>A0931</v>
      </c>
      <c r="C150" t="s">
        <v>1015</v>
      </c>
      <c r="D150" s="3" t="str">
        <f>VLOOKUP(B150,Detail!$G$1:$H$1001,2,FALSE)</f>
        <v>Mustofa Narpati</v>
      </c>
      <c r="E150">
        <v>60</v>
      </c>
      <c r="F150">
        <v>41</v>
      </c>
      <c r="G150" s="35">
        <v>72</v>
      </c>
      <c r="H150">
        <v>58</v>
      </c>
      <c r="I150">
        <v>92</v>
      </c>
      <c r="J150">
        <v>58</v>
      </c>
      <c r="K150">
        <v>100</v>
      </c>
      <c r="L150" s="26">
        <f>IFERROR(VLOOKUP(B150,Absen!$A$1:$C$501,2,FALSE),"No")</f>
        <v>44752</v>
      </c>
      <c r="M150" s="44">
        <f t="shared" si="4"/>
        <v>9</v>
      </c>
      <c r="N150" s="35">
        <f t="shared" si="5"/>
        <v>66.375</v>
      </c>
      <c r="O150" t="str">
        <f>VLOOKUP(N150,Helper!$B$30:$C$35,2,TRUE)</f>
        <v>C</v>
      </c>
      <c r="P150" s="26">
        <f>INDEX(Detail!$A$1:$A$1001,MATCH(B150,Detail!$G$1:$G$1001,0))</f>
        <v>37900</v>
      </c>
      <c r="Q150" s="3" t="str">
        <f>INDEX(Detail!$F$1:$F$1001,MATCH(Main!B150,Detail!$G$1:$G$1001,0))</f>
        <v>Mojokerto</v>
      </c>
      <c r="R150" s="7">
        <f>INDEX(Detail!$C$1:$C$1001,MATCH(B150,Detail!$G$1:$G$1001,0),1)</f>
        <v>162</v>
      </c>
      <c r="S150" s="7">
        <f>INDEX(Detail!$D$1:$D$1001,MATCH(B150,Detail!$G$1:$G$1001,0),1)</f>
        <v>57</v>
      </c>
      <c r="T150" s="7" t="str">
        <f>INDEX(Detail!$E$1:$E$1001,MATCH(Main!B150,Detail!$G$1:$G$1001,0))</f>
        <v>Jl. Joyoboyo No. 20</v>
      </c>
      <c r="U150" s="7" t="str">
        <f>INDEX(Detail!$B$1:$B$1001,MATCH(B150,Detail!$G$1:$G$1001,0),1)</f>
        <v>O-</v>
      </c>
    </row>
    <row r="151" spans="1:21" ht="15.75" x14ac:dyDescent="0.25">
      <c r="A151">
        <v>938</v>
      </c>
      <c r="B151" s="3" t="str">
        <f>CONCATENATE("A",TEXT(Main!A151,"0000"))</f>
        <v>A0938</v>
      </c>
      <c r="C151" t="s">
        <v>1015</v>
      </c>
      <c r="D151" s="3" t="str">
        <f>VLOOKUP(B151,Detail!$G$1:$H$1001,2,FALSE)</f>
        <v>Melinda Megantara</v>
      </c>
      <c r="E151">
        <v>82</v>
      </c>
      <c r="F151">
        <v>52</v>
      </c>
      <c r="G151" s="35">
        <v>62</v>
      </c>
      <c r="H151">
        <v>59</v>
      </c>
      <c r="I151">
        <v>90</v>
      </c>
      <c r="J151">
        <v>97</v>
      </c>
      <c r="K151">
        <v>98</v>
      </c>
      <c r="L151" s="26" t="str">
        <f>IFERROR(VLOOKUP(B151,Absen!$A$1:$C$501,2,FALSE),"No")</f>
        <v>No</v>
      </c>
      <c r="M151" s="44">
        <f t="shared" si="4"/>
        <v>9.8000000000000007</v>
      </c>
      <c r="N151" s="35">
        <f t="shared" si="5"/>
        <v>76.974999999999994</v>
      </c>
      <c r="O151" t="str">
        <f>VLOOKUP(N151,Helper!$B$30:$C$35,2,TRUE)</f>
        <v>B</v>
      </c>
      <c r="P151" s="26">
        <f>INDEX(Detail!$A$1:$A$1001,MATCH(B151,Detail!$G$1:$G$1001,0))</f>
        <v>38262</v>
      </c>
      <c r="Q151" s="3" t="str">
        <f>INDEX(Detail!$F$1:$F$1001,MATCH(Main!B151,Detail!$G$1:$G$1001,0))</f>
        <v>Balikpapan</v>
      </c>
      <c r="R151" s="7">
        <f>INDEX(Detail!$C$1:$C$1001,MATCH(B151,Detail!$G$1:$G$1001,0),1)</f>
        <v>160</v>
      </c>
      <c r="S151" s="7">
        <f>INDEX(Detail!$D$1:$D$1001,MATCH(B151,Detail!$G$1:$G$1001,0),1)</f>
        <v>50</v>
      </c>
      <c r="T151" s="7" t="str">
        <f>INDEX(Detail!$E$1:$E$1001,MATCH(Main!B151,Detail!$G$1:$G$1001,0))</f>
        <v>Jalan Astana Anyar No. 45</v>
      </c>
      <c r="U151" s="7" t="str">
        <f>INDEX(Detail!$B$1:$B$1001,MATCH(B151,Detail!$G$1:$G$1001,0),1)</f>
        <v>AB-</v>
      </c>
    </row>
    <row r="152" spans="1:21" ht="15.75" x14ac:dyDescent="0.25">
      <c r="A152">
        <v>940</v>
      </c>
      <c r="B152" s="3" t="str">
        <f>CONCATENATE("A",TEXT(Main!A152,"0000"))</f>
        <v>A0940</v>
      </c>
      <c r="C152" t="s">
        <v>1015</v>
      </c>
      <c r="D152" s="3" t="str">
        <f>VLOOKUP(B152,Detail!$G$1:$H$1001,2,FALSE)</f>
        <v>Sarah Nuraini</v>
      </c>
      <c r="E152">
        <v>87</v>
      </c>
      <c r="F152">
        <v>46</v>
      </c>
      <c r="G152" s="35">
        <v>57</v>
      </c>
      <c r="H152">
        <v>73</v>
      </c>
      <c r="I152">
        <v>64</v>
      </c>
      <c r="J152">
        <v>90</v>
      </c>
      <c r="K152">
        <v>96</v>
      </c>
      <c r="L152" s="26" t="str">
        <f>IFERROR(VLOOKUP(B152,Absen!$A$1:$C$501,2,FALSE),"No")</f>
        <v>No</v>
      </c>
      <c r="M152" s="44">
        <f t="shared" si="4"/>
        <v>9.6000000000000014</v>
      </c>
      <c r="N152" s="35">
        <f t="shared" si="5"/>
        <v>72.75</v>
      </c>
      <c r="O152" t="str">
        <f>VLOOKUP(N152,Helper!$B$30:$C$35,2,TRUE)</f>
        <v>B</v>
      </c>
      <c r="P152" s="26">
        <f>INDEX(Detail!$A$1:$A$1001,MATCH(B152,Detail!$G$1:$G$1001,0))</f>
        <v>37073</v>
      </c>
      <c r="Q152" s="3" t="str">
        <f>INDEX(Detail!$F$1:$F$1001,MATCH(Main!B152,Detail!$G$1:$G$1001,0))</f>
        <v>Kupang</v>
      </c>
      <c r="R152" s="7">
        <f>INDEX(Detail!$C$1:$C$1001,MATCH(B152,Detail!$G$1:$G$1001,0),1)</f>
        <v>167</v>
      </c>
      <c r="S152" s="7">
        <f>INDEX(Detail!$D$1:$D$1001,MATCH(B152,Detail!$G$1:$G$1001,0),1)</f>
        <v>66</v>
      </c>
      <c r="T152" s="7" t="str">
        <f>INDEX(Detail!$E$1:$E$1001,MATCH(Main!B152,Detail!$G$1:$G$1001,0))</f>
        <v xml:space="preserve">Jalan Yos Sudarso No. 8
</v>
      </c>
      <c r="U152" s="7" t="str">
        <f>INDEX(Detail!$B$1:$B$1001,MATCH(B152,Detail!$G$1:$G$1001,0),1)</f>
        <v>AB-</v>
      </c>
    </row>
    <row r="153" spans="1:21" ht="15.75" x14ac:dyDescent="0.25">
      <c r="A153">
        <v>964</v>
      </c>
      <c r="B153" s="3" t="str">
        <f>CONCATENATE("A",TEXT(Main!A153,"0000"))</f>
        <v>A0964</v>
      </c>
      <c r="C153" t="s">
        <v>1015</v>
      </c>
      <c r="D153" s="3" t="str">
        <f>VLOOKUP(B153,Detail!$G$1:$H$1001,2,FALSE)</f>
        <v>Gaman Simbolon</v>
      </c>
      <c r="E153">
        <v>80</v>
      </c>
      <c r="F153">
        <v>65</v>
      </c>
      <c r="G153" s="35">
        <v>50</v>
      </c>
      <c r="H153">
        <v>63</v>
      </c>
      <c r="I153">
        <v>73</v>
      </c>
      <c r="J153">
        <v>45</v>
      </c>
      <c r="K153">
        <v>80</v>
      </c>
      <c r="L153" s="26" t="str">
        <f>IFERROR(VLOOKUP(B153,Absen!$A$1:$C$501,2,FALSE),"No")</f>
        <v>No</v>
      </c>
      <c r="M153" s="44">
        <f t="shared" si="4"/>
        <v>8</v>
      </c>
      <c r="N153" s="35">
        <f t="shared" si="5"/>
        <v>62.125</v>
      </c>
      <c r="O153" t="str">
        <f>VLOOKUP(N153,Helper!$B$30:$C$35,2,TRUE)</f>
        <v>C</v>
      </c>
      <c r="P153" s="26">
        <f>INDEX(Detail!$A$1:$A$1001,MATCH(B153,Detail!$G$1:$G$1001,0))</f>
        <v>37515</v>
      </c>
      <c r="Q153" s="3" t="str">
        <f>INDEX(Detail!$F$1:$F$1001,MATCH(Main!B153,Detail!$G$1:$G$1001,0))</f>
        <v>Kota Administrasi Jakarta Barat</v>
      </c>
      <c r="R153" s="7">
        <f>INDEX(Detail!$C$1:$C$1001,MATCH(B153,Detail!$G$1:$G$1001,0),1)</f>
        <v>161</v>
      </c>
      <c r="S153" s="7">
        <f>INDEX(Detail!$D$1:$D$1001,MATCH(B153,Detail!$G$1:$G$1001,0),1)</f>
        <v>54</v>
      </c>
      <c r="T153" s="7" t="str">
        <f>INDEX(Detail!$E$1:$E$1001,MATCH(Main!B153,Detail!$G$1:$G$1001,0))</f>
        <v xml:space="preserve">Gang Kutai No. 1
</v>
      </c>
      <c r="U153" s="7" t="str">
        <f>INDEX(Detail!$B$1:$B$1001,MATCH(B153,Detail!$G$1:$G$1001,0),1)</f>
        <v>B-</v>
      </c>
    </row>
    <row r="154" spans="1:21" ht="15.75" x14ac:dyDescent="0.25">
      <c r="A154">
        <v>966</v>
      </c>
      <c r="B154" s="3" t="str">
        <f>CONCATENATE("A",TEXT(Main!A154,"0000"))</f>
        <v>A0966</v>
      </c>
      <c r="C154" t="s">
        <v>1015</v>
      </c>
      <c r="D154" s="3" t="str">
        <f>VLOOKUP(B154,Detail!$G$1:$H$1001,2,FALSE)</f>
        <v>Bambang Gunarto</v>
      </c>
      <c r="E154">
        <v>64</v>
      </c>
      <c r="F154">
        <v>64</v>
      </c>
      <c r="G154" s="35">
        <v>72</v>
      </c>
      <c r="H154">
        <v>73</v>
      </c>
      <c r="I154">
        <v>89</v>
      </c>
      <c r="J154">
        <v>54</v>
      </c>
      <c r="K154">
        <v>68</v>
      </c>
      <c r="L154" s="26">
        <f>IFERROR(VLOOKUP(B154,Absen!$A$1:$C$501,2,FALSE),"No")</f>
        <v>44907</v>
      </c>
      <c r="M154" s="44">
        <f t="shared" si="4"/>
        <v>5.8000000000000007</v>
      </c>
      <c r="N154" s="35">
        <f t="shared" si="5"/>
        <v>67.25</v>
      </c>
      <c r="O154" t="str">
        <f>VLOOKUP(N154,Helper!$B$30:$C$35,2,TRUE)</f>
        <v>C</v>
      </c>
      <c r="P154" s="26">
        <f>INDEX(Detail!$A$1:$A$1001,MATCH(B154,Detail!$G$1:$G$1001,0))</f>
        <v>37343</v>
      </c>
      <c r="Q154" s="3" t="str">
        <f>INDEX(Detail!$F$1:$F$1001,MATCH(Main!B154,Detail!$G$1:$G$1001,0))</f>
        <v>Palembang</v>
      </c>
      <c r="R154" s="7">
        <f>INDEX(Detail!$C$1:$C$1001,MATCH(B154,Detail!$G$1:$G$1001,0),1)</f>
        <v>150</v>
      </c>
      <c r="S154" s="7">
        <f>INDEX(Detail!$D$1:$D$1001,MATCH(B154,Detail!$G$1:$G$1001,0),1)</f>
        <v>54</v>
      </c>
      <c r="T154" s="7" t="str">
        <f>INDEX(Detail!$E$1:$E$1001,MATCH(Main!B154,Detail!$G$1:$G$1001,0))</f>
        <v xml:space="preserve">Gang Kiaracondong No. 8
</v>
      </c>
      <c r="U154" s="7" t="str">
        <f>INDEX(Detail!$B$1:$B$1001,MATCH(B154,Detail!$G$1:$G$1001,0),1)</f>
        <v>A+</v>
      </c>
    </row>
    <row r="155" spans="1:21" ht="15.75" x14ac:dyDescent="0.25">
      <c r="A155">
        <v>969</v>
      </c>
      <c r="B155" s="3" t="str">
        <f>CONCATENATE("A",TEXT(Main!A155,"0000"))</f>
        <v>A0969</v>
      </c>
      <c r="C155" t="s">
        <v>1015</v>
      </c>
      <c r="D155" s="3" t="str">
        <f>VLOOKUP(B155,Detail!$G$1:$H$1001,2,FALSE)</f>
        <v>Fitriani Mulyani</v>
      </c>
      <c r="E155">
        <v>92</v>
      </c>
      <c r="F155">
        <v>57</v>
      </c>
      <c r="G155" s="35">
        <v>89</v>
      </c>
      <c r="H155">
        <v>73</v>
      </c>
      <c r="I155">
        <v>81</v>
      </c>
      <c r="J155">
        <v>74</v>
      </c>
      <c r="K155">
        <v>99</v>
      </c>
      <c r="L155" s="26" t="str">
        <f>IFERROR(VLOOKUP(B155,Absen!$A$1:$C$501,2,FALSE),"No")</f>
        <v>No</v>
      </c>
      <c r="M155" s="44">
        <f t="shared" si="4"/>
        <v>9.9</v>
      </c>
      <c r="N155" s="35">
        <f t="shared" si="5"/>
        <v>80.375</v>
      </c>
      <c r="O155" t="str">
        <f>VLOOKUP(N155,Helper!$B$30:$C$35,2,TRUE)</f>
        <v>A</v>
      </c>
      <c r="P155" s="26">
        <f>INDEX(Detail!$A$1:$A$1001,MATCH(B155,Detail!$G$1:$G$1001,0))</f>
        <v>37571</v>
      </c>
      <c r="Q155" s="3" t="str">
        <f>INDEX(Detail!$F$1:$F$1001,MATCH(Main!B155,Detail!$G$1:$G$1001,0))</f>
        <v>Bukittinggi</v>
      </c>
      <c r="R155" s="7">
        <f>INDEX(Detail!$C$1:$C$1001,MATCH(B155,Detail!$G$1:$G$1001,0),1)</f>
        <v>161</v>
      </c>
      <c r="S155" s="7">
        <f>INDEX(Detail!$D$1:$D$1001,MATCH(B155,Detail!$G$1:$G$1001,0),1)</f>
        <v>81</v>
      </c>
      <c r="T155" s="7" t="str">
        <f>INDEX(Detail!$E$1:$E$1001,MATCH(Main!B155,Detail!$G$1:$G$1001,0))</f>
        <v>Jl. Laswi No. 87</v>
      </c>
      <c r="U155" s="7" t="str">
        <f>INDEX(Detail!$B$1:$B$1001,MATCH(B155,Detail!$G$1:$G$1001,0),1)</f>
        <v>AB+</v>
      </c>
    </row>
    <row r="156" spans="1:21" ht="15.75" x14ac:dyDescent="0.25">
      <c r="A156">
        <v>970</v>
      </c>
      <c r="B156" s="3" t="str">
        <f>CONCATENATE("A",TEXT(Main!A156,"0000"))</f>
        <v>A0970</v>
      </c>
      <c r="C156" t="s">
        <v>1015</v>
      </c>
      <c r="D156" s="3" t="str">
        <f>VLOOKUP(B156,Detail!$G$1:$H$1001,2,FALSE)</f>
        <v>Gangsa Iswahyudi</v>
      </c>
      <c r="E156">
        <v>69</v>
      </c>
      <c r="F156">
        <v>59</v>
      </c>
      <c r="G156" s="35">
        <v>61</v>
      </c>
      <c r="H156">
        <v>72</v>
      </c>
      <c r="I156">
        <v>73</v>
      </c>
      <c r="J156">
        <v>70</v>
      </c>
      <c r="K156">
        <v>80</v>
      </c>
      <c r="L156" s="26" t="str">
        <f>IFERROR(VLOOKUP(B156,Absen!$A$1:$C$501,2,FALSE),"No")</f>
        <v>No</v>
      </c>
      <c r="M156" s="44">
        <f t="shared" si="4"/>
        <v>8</v>
      </c>
      <c r="N156" s="35">
        <f t="shared" si="5"/>
        <v>68.325000000000003</v>
      </c>
      <c r="O156" t="str">
        <f>VLOOKUP(N156,Helper!$B$30:$C$35,2,TRUE)</f>
        <v>C</v>
      </c>
      <c r="P156" s="26">
        <f>INDEX(Detail!$A$1:$A$1001,MATCH(B156,Detail!$G$1:$G$1001,0))</f>
        <v>37596</v>
      </c>
      <c r="Q156" s="3" t="str">
        <f>INDEX(Detail!$F$1:$F$1001,MATCH(Main!B156,Detail!$G$1:$G$1001,0))</f>
        <v>Sorong</v>
      </c>
      <c r="R156" s="7">
        <f>INDEX(Detail!$C$1:$C$1001,MATCH(B156,Detail!$G$1:$G$1001,0),1)</f>
        <v>156</v>
      </c>
      <c r="S156" s="7">
        <f>INDEX(Detail!$D$1:$D$1001,MATCH(B156,Detail!$G$1:$G$1001,0),1)</f>
        <v>70</v>
      </c>
      <c r="T156" s="7" t="str">
        <f>INDEX(Detail!$E$1:$E$1001,MATCH(Main!B156,Detail!$G$1:$G$1001,0))</f>
        <v>Gang M.T Haryono No. 25</v>
      </c>
      <c r="U156" s="7" t="str">
        <f>INDEX(Detail!$B$1:$B$1001,MATCH(B156,Detail!$G$1:$G$1001,0),1)</f>
        <v>B+</v>
      </c>
    </row>
    <row r="157" spans="1:21" ht="15.75" x14ac:dyDescent="0.25">
      <c r="A157">
        <v>977</v>
      </c>
      <c r="B157" s="3" t="str">
        <f>CONCATENATE("A",TEXT(Main!A157,"0000"))</f>
        <v>A0977</v>
      </c>
      <c r="C157" t="s">
        <v>1015</v>
      </c>
      <c r="D157" s="3" t="str">
        <f>VLOOKUP(B157,Detail!$G$1:$H$1001,2,FALSE)</f>
        <v>Okta Sitorus</v>
      </c>
      <c r="E157">
        <v>80</v>
      </c>
      <c r="F157">
        <v>65</v>
      </c>
      <c r="G157" s="35">
        <v>69</v>
      </c>
      <c r="H157">
        <v>58</v>
      </c>
      <c r="I157">
        <v>63</v>
      </c>
      <c r="J157">
        <v>66</v>
      </c>
      <c r="K157">
        <v>66</v>
      </c>
      <c r="L157" s="26">
        <f>IFERROR(VLOOKUP(B157,Absen!$A$1:$C$501,2,FALSE),"No")</f>
        <v>44879</v>
      </c>
      <c r="M157" s="44">
        <f t="shared" si="4"/>
        <v>5.6000000000000005</v>
      </c>
      <c r="N157" s="35">
        <f t="shared" si="5"/>
        <v>65.849999999999994</v>
      </c>
      <c r="O157" t="str">
        <f>VLOOKUP(N157,Helper!$B$30:$C$35,2,TRUE)</f>
        <v>C</v>
      </c>
      <c r="P157" s="26">
        <f>INDEX(Detail!$A$1:$A$1001,MATCH(B157,Detail!$G$1:$G$1001,0))</f>
        <v>37834</v>
      </c>
      <c r="Q157" s="3" t="str">
        <f>INDEX(Detail!$F$1:$F$1001,MATCH(Main!B157,Detail!$G$1:$G$1001,0))</f>
        <v>Sibolga</v>
      </c>
      <c r="R157" s="7">
        <f>INDEX(Detail!$C$1:$C$1001,MATCH(B157,Detail!$G$1:$G$1001,0),1)</f>
        <v>164</v>
      </c>
      <c r="S157" s="7">
        <f>INDEX(Detail!$D$1:$D$1001,MATCH(B157,Detail!$G$1:$G$1001,0),1)</f>
        <v>72</v>
      </c>
      <c r="T157" s="7" t="str">
        <f>INDEX(Detail!$E$1:$E$1001,MATCH(Main!B157,Detail!$G$1:$G$1001,0))</f>
        <v xml:space="preserve">Jl. Antapani Lama No. 3
</v>
      </c>
      <c r="U157" s="7" t="str">
        <f>INDEX(Detail!$B$1:$B$1001,MATCH(B157,Detail!$G$1:$G$1001,0),1)</f>
        <v>A+</v>
      </c>
    </row>
    <row r="158" spans="1:21" ht="15.75" x14ac:dyDescent="0.25">
      <c r="A158">
        <v>978</v>
      </c>
      <c r="B158" s="3" t="str">
        <f>CONCATENATE("A",TEXT(Main!A158,"0000"))</f>
        <v>A0978</v>
      </c>
      <c r="C158" t="s">
        <v>1015</v>
      </c>
      <c r="D158" s="3" t="str">
        <f>VLOOKUP(B158,Detail!$G$1:$H$1001,2,FALSE)</f>
        <v>Emong Siregar</v>
      </c>
      <c r="E158">
        <v>83</v>
      </c>
      <c r="F158">
        <v>67</v>
      </c>
      <c r="G158" s="35">
        <v>93</v>
      </c>
      <c r="H158">
        <v>68</v>
      </c>
      <c r="I158">
        <v>61</v>
      </c>
      <c r="J158">
        <v>84</v>
      </c>
      <c r="K158">
        <v>91</v>
      </c>
      <c r="L158" s="26">
        <f>IFERROR(VLOOKUP(B158,Absen!$A$1:$C$501,2,FALSE),"No")</f>
        <v>44761</v>
      </c>
      <c r="M158" s="44">
        <f t="shared" si="4"/>
        <v>8.1</v>
      </c>
      <c r="N158" s="35">
        <f t="shared" si="5"/>
        <v>78.375</v>
      </c>
      <c r="O158" t="str">
        <f>VLOOKUP(N158,Helper!$B$30:$C$35,2,TRUE)</f>
        <v>B</v>
      </c>
      <c r="P158" s="26">
        <f>INDEX(Detail!$A$1:$A$1001,MATCH(B158,Detail!$G$1:$G$1001,0))</f>
        <v>37438</v>
      </c>
      <c r="Q158" s="3" t="str">
        <f>INDEX(Detail!$F$1:$F$1001,MATCH(Main!B158,Detail!$G$1:$G$1001,0))</f>
        <v>Padangpanjang</v>
      </c>
      <c r="R158" s="7">
        <f>INDEX(Detail!$C$1:$C$1001,MATCH(B158,Detail!$G$1:$G$1001,0),1)</f>
        <v>158</v>
      </c>
      <c r="S158" s="7">
        <f>INDEX(Detail!$D$1:$D$1001,MATCH(B158,Detail!$G$1:$G$1001,0),1)</f>
        <v>89</v>
      </c>
      <c r="T158" s="7" t="str">
        <f>INDEX(Detail!$E$1:$E$1001,MATCH(Main!B158,Detail!$G$1:$G$1001,0))</f>
        <v>Gg. Otto Iskandardinata No. 43</v>
      </c>
      <c r="U158" s="7" t="str">
        <f>INDEX(Detail!$B$1:$B$1001,MATCH(B158,Detail!$G$1:$G$1001,0),1)</f>
        <v>O-</v>
      </c>
    </row>
    <row r="159" spans="1:21" ht="15.75" x14ac:dyDescent="0.25">
      <c r="A159">
        <v>980</v>
      </c>
      <c r="B159" s="3" t="str">
        <f>CONCATENATE("A",TEXT(Main!A159,"0000"))</f>
        <v>A0980</v>
      </c>
      <c r="C159" t="s">
        <v>1015</v>
      </c>
      <c r="D159" s="3" t="str">
        <f>VLOOKUP(B159,Detail!$G$1:$H$1001,2,FALSE)</f>
        <v>Ismail Nugroho</v>
      </c>
      <c r="E159">
        <v>65</v>
      </c>
      <c r="F159">
        <v>62</v>
      </c>
      <c r="G159" s="35">
        <v>86</v>
      </c>
      <c r="H159">
        <v>57</v>
      </c>
      <c r="I159">
        <v>69</v>
      </c>
      <c r="J159">
        <v>42</v>
      </c>
      <c r="K159">
        <v>95</v>
      </c>
      <c r="L159" s="26">
        <f>IFERROR(VLOOKUP(B159,Absen!$A$1:$C$501,2,FALSE),"No")</f>
        <v>44822</v>
      </c>
      <c r="M159" s="44">
        <f t="shared" si="4"/>
        <v>8.5</v>
      </c>
      <c r="N159" s="35">
        <f t="shared" si="5"/>
        <v>65.724999999999994</v>
      </c>
      <c r="O159" t="str">
        <f>VLOOKUP(N159,Helper!$B$30:$C$35,2,TRUE)</f>
        <v>C</v>
      </c>
      <c r="P159" s="26">
        <f>INDEX(Detail!$A$1:$A$1001,MATCH(B159,Detail!$G$1:$G$1001,0))</f>
        <v>37519</v>
      </c>
      <c r="Q159" s="3" t="str">
        <f>INDEX(Detail!$F$1:$F$1001,MATCH(Main!B159,Detail!$G$1:$G$1001,0))</f>
        <v>Prabumulih</v>
      </c>
      <c r="R159" s="7">
        <f>INDEX(Detail!$C$1:$C$1001,MATCH(B159,Detail!$G$1:$G$1001,0),1)</f>
        <v>159</v>
      </c>
      <c r="S159" s="7">
        <f>INDEX(Detail!$D$1:$D$1001,MATCH(B159,Detail!$G$1:$G$1001,0),1)</f>
        <v>69</v>
      </c>
      <c r="T159" s="7" t="str">
        <f>INDEX(Detail!$E$1:$E$1001,MATCH(Main!B159,Detail!$G$1:$G$1001,0))</f>
        <v xml:space="preserve">Gang Moch. Toha No. 6
</v>
      </c>
      <c r="U159" s="7" t="str">
        <f>INDEX(Detail!$B$1:$B$1001,MATCH(B159,Detail!$G$1:$G$1001,0),1)</f>
        <v>A-</v>
      </c>
    </row>
    <row r="160" spans="1:21" ht="15.75" x14ac:dyDescent="0.25">
      <c r="A160">
        <v>992</v>
      </c>
      <c r="B160" s="3" t="str">
        <f>CONCATENATE("A",TEXT(Main!A160,"0000"))</f>
        <v>A0992</v>
      </c>
      <c r="C160" t="s">
        <v>1015</v>
      </c>
      <c r="D160" s="3" t="str">
        <f>VLOOKUP(B160,Detail!$G$1:$H$1001,2,FALSE)</f>
        <v>Irfan Nababan</v>
      </c>
      <c r="E160">
        <v>75</v>
      </c>
      <c r="F160">
        <v>56</v>
      </c>
      <c r="G160" s="35">
        <v>77</v>
      </c>
      <c r="H160">
        <v>53</v>
      </c>
      <c r="I160">
        <v>80</v>
      </c>
      <c r="J160">
        <v>47</v>
      </c>
      <c r="K160">
        <v>83</v>
      </c>
      <c r="L160" s="26">
        <f>IFERROR(VLOOKUP(B160,Absen!$A$1:$C$501,2,FALSE),"No")</f>
        <v>44862</v>
      </c>
      <c r="M160" s="44">
        <f t="shared" si="4"/>
        <v>7.3000000000000007</v>
      </c>
      <c r="N160" s="35">
        <f t="shared" si="5"/>
        <v>65.099999999999994</v>
      </c>
      <c r="O160" t="str">
        <f>VLOOKUP(N160,Helper!$B$30:$C$35,2,TRUE)</f>
        <v>C</v>
      </c>
      <c r="P160" s="26">
        <f>INDEX(Detail!$A$1:$A$1001,MATCH(B160,Detail!$G$1:$G$1001,0))</f>
        <v>37631</v>
      </c>
      <c r="Q160" s="3" t="str">
        <f>INDEX(Detail!$F$1:$F$1001,MATCH(Main!B160,Detail!$G$1:$G$1001,0))</f>
        <v>Denpasar</v>
      </c>
      <c r="R160" s="7">
        <f>INDEX(Detail!$C$1:$C$1001,MATCH(B160,Detail!$G$1:$G$1001,0),1)</f>
        <v>166</v>
      </c>
      <c r="S160" s="7">
        <f>INDEX(Detail!$D$1:$D$1001,MATCH(B160,Detail!$G$1:$G$1001,0),1)</f>
        <v>78</v>
      </c>
      <c r="T160" s="7" t="str">
        <f>INDEX(Detail!$E$1:$E$1001,MATCH(Main!B160,Detail!$G$1:$G$1001,0))</f>
        <v>Gang S. Parman No. 64</v>
      </c>
      <c r="U160" s="7" t="str">
        <f>INDEX(Detail!$B$1:$B$1001,MATCH(B160,Detail!$G$1:$G$1001,0),1)</f>
        <v>B+</v>
      </c>
    </row>
    <row r="161" spans="1:21" ht="15.75" x14ac:dyDescent="0.25">
      <c r="A161">
        <v>9</v>
      </c>
      <c r="B161" s="3" t="str">
        <f t="shared" ref="B161:B224" si="6">CONCATENATE("B",TEXT(A161,"0000"))</f>
        <v>B0009</v>
      </c>
      <c r="C161" t="s">
        <v>1014</v>
      </c>
      <c r="D161" s="3" t="str">
        <f>VLOOKUP(B161,Detail!$G$1:$H$1001,2,FALSE)</f>
        <v>Dina Wahyudin</v>
      </c>
      <c r="E161">
        <v>77</v>
      </c>
      <c r="F161">
        <v>40</v>
      </c>
      <c r="G161" s="35">
        <v>95</v>
      </c>
      <c r="H161">
        <v>75</v>
      </c>
      <c r="I161">
        <v>60</v>
      </c>
      <c r="J161">
        <v>81</v>
      </c>
      <c r="K161">
        <v>73</v>
      </c>
      <c r="L161" s="26">
        <f>IFERROR(VLOOKUP(B161,Absen!$A$1:$C$501,2,FALSE),"No")</f>
        <v>44807</v>
      </c>
      <c r="M161" s="44">
        <f t="shared" si="4"/>
        <v>6.3000000000000007</v>
      </c>
      <c r="N161" s="35">
        <f t="shared" si="5"/>
        <v>73</v>
      </c>
      <c r="O161" t="str">
        <f>VLOOKUP(N161,Helper!$B$30:$C$35,2,TRUE)</f>
        <v>B</v>
      </c>
      <c r="P161" s="26">
        <f>INDEX(Detail!$A$1:$A$1001,MATCH(B161,Detail!$G$1:$G$1001,0))</f>
        <v>37544</v>
      </c>
      <c r="Q161" s="3" t="str">
        <f>INDEX(Detail!$F$1:$F$1001,MATCH(Main!B161,Detail!$G$1:$G$1001,0))</f>
        <v>Gorontalo</v>
      </c>
      <c r="R161" s="7">
        <f>INDEX(Detail!$C$1:$C$1001,MATCH(B161,Detail!$G$1:$G$1001,0),1)</f>
        <v>158</v>
      </c>
      <c r="S161" s="7">
        <f>INDEX(Detail!$D$1:$D$1001,MATCH(B161,Detail!$G$1:$G$1001,0),1)</f>
        <v>76</v>
      </c>
      <c r="T161" s="7" t="str">
        <f>INDEX(Detail!$E$1:$E$1001,MATCH(Main!B161,Detail!$G$1:$G$1001,0))</f>
        <v>Gg. Cempaka No. 58</v>
      </c>
      <c r="U161" s="7" t="str">
        <f>INDEX(Detail!$B$1:$B$1001,MATCH(B161,Detail!$G$1:$G$1001,0),1)</f>
        <v>AB+</v>
      </c>
    </row>
    <row r="162" spans="1:21" ht="15.75" x14ac:dyDescent="0.25">
      <c r="A162">
        <v>11</v>
      </c>
      <c r="B162" s="3" t="str">
        <f t="shared" si="6"/>
        <v>B0011</v>
      </c>
      <c r="C162" t="s">
        <v>1014</v>
      </c>
      <c r="D162" s="3" t="str">
        <f>VLOOKUP(B162,Detail!$G$1:$H$1001,2,FALSE)</f>
        <v>Lukita Anggriawan</v>
      </c>
      <c r="E162">
        <v>80</v>
      </c>
      <c r="F162">
        <v>75</v>
      </c>
      <c r="G162" s="35">
        <v>51</v>
      </c>
      <c r="H162">
        <v>52</v>
      </c>
      <c r="I162">
        <v>54</v>
      </c>
      <c r="J162">
        <v>51</v>
      </c>
      <c r="K162">
        <v>79</v>
      </c>
      <c r="L162" s="26" t="str">
        <f>IFERROR(VLOOKUP(B162,Absen!$A$1:$C$501,2,FALSE),"No")</f>
        <v>No</v>
      </c>
      <c r="M162" s="44">
        <f t="shared" si="4"/>
        <v>7.9</v>
      </c>
      <c r="N162" s="35">
        <f t="shared" si="5"/>
        <v>60.925000000000004</v>
      </c>
      <c r="O162" t="str">
        <f>VLOOKUP(N162,Helper!$B$30:$C$35,2,TRUE)</f>
        <v>C</v>
      </c>
      <c r="P162" s="26">
        <f>INDEX(Detail!$A$1:$A$1001,MATCH(B162,Detail!$G$1:$G$1001,0))</f>
        <v>37860</v>
      </c>
      <c r="Q162" s="3" t="str">
        <f>INDEX(Detail!$F$1:$F$1001,MATCH(Main!B162,Detail!$G$1:$G$1001,0))</f>
        <v>Binjai</v>
      </c>
      <c r="R162" s="7">
        <f>INDEX(Detail!$C$1:$C$1001,MATCH(B162,Detail!$G$1:$G$1001,0),1)</f>
        <v>158</v>
      </c>
      <c r="S162" s="7">
        <f>INDEX(Detail!$D$1:$D$1001,MATCH(B162,Detail!$G$1:$G$1001,0),1)</f>
        <v>70</v>
      </c>
      <c r="T162" s="7" t="str">
        <f>INDEX(Detail!$E$1:$E$1001,MATCH(Main!B162,Detail!$G$1:$G$1001,0))</f>
        <v xml:space="preserve">Jalan Waringin No. 1
</v>
      </c>
      <c r="U162" s="7" t="str">
        <f>INDEX(Detail!$B$1:$B$1001,MATCH(B162,Detail!$G$1:$G$1001,0),1)</f>
        <v>A+</v>
      </c>
    </row>
    <row r="163" spans="1:21" ht="15.75" x14ac:dyDescent="0.25">
      <c r="A163">
        <v>12</v>
      </c>
      <c r="B163" s="3" t="str">
        <f t="shared" si="6"/>
        <v>B0012</v>
      </c>
      <c r="C163" t="s">
        <v>1014</v>
      </c>
      <c r="D163" s="3" t="str">
        <f>VLOOKUP(B163,Detail!$G$1:$H$1001,2,FALSE)</f>
        <v>Jatmiko Halimah</v>
      </c>
      <c r="E163">
        <v>89</v>
      </c>
      <c r="F163">
        <v>66</v>
      </c>
      <c r="G163" s="35">
        <v>58</v>
      </c>
      <c r="H163">
        <v>56</v>
      </c>
      <c r="I163">
        <v>72</v>
      </c>
      <c r="J163">
        <v>40</v>
      </c>
      <c r="K163">
        <v>66</v>
      </c>
      <c r="L163" s="26">
        <f>IFERROR(VLOOKUP(B163,Absen!$A$1:$C$501,2,FALSE),"No")</f>
        <v>44826</v>
      </c>
      <c r="M163" s="44">
        <f t="shared" si="4"/>
        <v>5.6000000000000005</v>
      </c>
      <c r="N163" s="35">
        <f t="shared" si="5"/>
        <v>60.575000000000003</v>
      </c>
      <c r="O163" t="str">
        <f>VLOOKUP(N163,Helper!$B$30:$C$35,2,TRUE)</f>
        <v>C</v>
      </c>
      <c r="P163" s="26">
        <f>INDEX(Detail!$A$1:$A$1001,MATCH(B163,Detail!$G$1:$G$1001,0))</f>
        <v>37738</v>
      </c>
      <c r="Q163" s="3" t="str">
        <f>INDEX(Detail!$F$1:$F$1001,MATCH(Main!B163,Detail!$G$1:$G$1001,0))</f>
        <v>Pekalongan</v>
      </c>
      <c r="R163" s="7">
        <f>INDEX(Detail!$C$1:$C$1001,MATCH(B163,Detail!$G$1:$G$1001,0),1)</f>
        <v>167</v>
      </c>
      <c r="S163" s="7">
        <f>INDEX(Detail!$D$1:$D$1001,MATCH(B163,Detail!$G$1:$G$1001,0),1)</f>
        <v>78</v>
      </c>
      <c r="T163" s="7" t="str">
        <f>INDEX(Detail!$E$1:$E$1001,MATCH(Main!B163,Detail!$G$1:$G$1001,0))</f>
        <v>Jl. Kutai No. 34</v>
      </c>
      <c r="U163" s="7" t="str">
        <f>INDEX(Detail!$B$1:$B$1001,MATCH(B163,Detail!$G$1:$G$1001,0),1)</f>
        <v>AB-</v>
      </c>
    </row>
    <row r="164" spans="1:21" ht="15.75" x14ac:dyDescent="0.25">
      <c r="A164">
        <v>23</v>
      </c>
      <c r="B164" s="3" t="str">
        <f t="shared" si="6"/>
        <v>B0023</v>
      </c>
      <c r="C164" t="s">
        <v>1014</v>
      </c>
      <c r="D164" s="3" t="str">
        <f>VLOOKUP(B164,Detail!$G$1:$H$1001,2,FALSE)</f>
        <v>Wakiman Prastuti</v>
      </c>
      <c r="E164">
        <v>84</v>
      </c>
      <c r="F164">
        <v>49</v>
      </c>
      <c r="G164" s="35">
        <v>87</v>
      </c>
      <c r="H164">
        <v>56</v>
      </c>
      <c r="I164">
        <v>64</v>
      </c>
      <c r="J164">
        <v>60</v>
      </c>
      <c r="K164">
        <v>73</v>
      </c>
      <c r="L164" s="26" t="str">
        <f>IFERROR(VLOOKUP(B164,Absen!$A$1:$C$501,2,FALSE),"No")</f>
        <v>No</v>
      </c>
      <c r="M164" s="44">
        <f t="shared" si="4"/>
        <v>7.3000000000000007</v>
      </c>
      <c r="N164" s="35">
        <f t="shared" si="5"/>
        <v>68.325000000000003</v>
      </c>
      <c r="O164" t="str">
        <f>VLOOKUP(N164,Helper!$B$30:$C$35,2,TRUE)</f>
        <v>C</v>
      </c>
      <c r="P164" s="26">
        <f>INDEX(Detail!$A$1:$A$1001,MATCH(B164,Detail!$G$1:$G$1001,0))</f>
        <v>38066</v>
      </c>
      <c r="Q164" s="3" t="str">
        <f>INDEX(Detail!$F$1:$F$1001,MATCH(Main!B164,Detail!$G$1:$G$1001,0))</f>
        <v>Batu</v>
      </c>
      <c r="R164" s="7">
        <f>INDEX(Detail!$C$1:$C$1001,MATCH(B164,Detail!$G$1:$G$1001,0),1)</f>
        <v>166</v>
      </c>
      <c r="S164" s="7">
        <f>INDEX(Detail!$D$1:$D$1001,MATCH(B164,Detail!$G$1:$G$1001,0),1)</f>
        <v>50</v>
      </c>
      <c r="T164" s="7" t="str">
        <f>INDEX(Detail!$E$1:$E$1001,MATCH(Main!B164,Detail!$G$1:$G$1001,0))</f>
        <v xml:space="preserve">Jl. PHH. Mustofa No. 9
</v>
      </c>
      <c r="U164" s="7" t="str">
        <f>INDEX(Detail!$B$1:$B$1001,MATCH(B164,Detail!$G$1:$G$1001,0),1)</f>
        <v>O-</v>
      </c>
    </row>
    <row r="165" spans="1:21" ht="15.75" x14ac:dyDescent="0.25">
      <c r="A165">
        <v>35</v>
      </c>
      <c r="B165" s="3" t="str">
        <f t="shared" si="6"/>
        <v>B0035</v>
      </c>
      <c r="C165" t="s">
        <v>1014</v>
      </c>
      <c r="D165" s="3" t="str">
        <f>VLOOKUP(B165,Detail!$G$1:$H$1001,2,FALSE)</f>
        <v>Embuh Adriansyah</v>
      </c>
      <c r="E165">
        <v>70</v>
      </c>
      <c r="F165">
        <v>53</v>
      </c>
      <c r="G165" s="35">
        <v>88</v>
      </c>
      <c r="H165">
        <v>67</v>
      </c>
      <c r="I165">
        <v>75</v>
      </c>
      <c r="J165">
        <v>60</v>
      </c>
      <c r="K165">
        <v>63</v>
      </c>
      <c r="L165" s="26">
        <f>IFERROR(VLOOKUP(B165,Absen!$A$1:$C$501,2,FALSE),"No")</f>
        <v>44789</v>
      </c>
      <c r="M165" s="44">
        <f t="shared" si="4"/>
        <v>5.3000000000000007</v>
      </c>
      <c r="N165" s="35">
        <f t="shared" si="5"/>
        <v>68.025000000000006</v>
      </c>
      <c r="O165" t="str">
        <f>VLOOKUP(N165,Helper!$B$30:$C$35,2,TRUE)</f>
        <v>C</v>
      </c>
      <c r="P165" s="26">
        <f>INDEX(Detail!$A$1:$A$1001,MATCH(B165,Detail!$G$1:$G$1001,0))</f>
        <v>37906</v>
      </c>
      <c r="Q165" s="3" t="str">
        <f>INDEX(Detail!$F$1:$F$1001,MATCH(Main!B165,Detail!$G$1:$G$1001,0))</f>
        <v>Bitung</v>
      </c>
      <c r="R165" s="7">
        <f>INDEX(Detail!$C$1:$C$1001,MATCH(B165,Detail!$G$1:$G$1001,0),1)</f>
        <v>171</v>
      </c>
      <c r="S165" s="7">
        <f>INDEX(Detail!$D$1:$D$1001,MATCH(B165,Detail!$G$1:$G$1001,0),1)</f>
        <v>67</v>
      </c>
      <c r="T165" s="7" t="str">
        <f>INDEX(Detail!$E$1:$E$1001,MATCH(Main!B165,Detail!$G$1:$G$1001,0))</f>
        <v>Gang Otto Iskandardinata No. 06</v>
      </c>
      <c r="U165" s="7" t="str">
        <f>INDEX(Detail!$B$1:$B$1001,MATCH(B165,Detail!$G$1:$G$1001,0),1)</f>
        <v>O+</v>
      </c>
    </row>
    <row r="166" spans="1:21" ht="15.75" x14ac:dyDescent="0.25">
      <c r="A166">
        <v>37</v>
      </c>
      <c r="B166" s="3" t="str">
        <f t="shared" si="6"/>
        <v>B0037</v>
      </c>
      <c r="C166" t="s">
        <v>1014</v>
      </c>
      <c r="D166" s="3" t="str">
        <f>VLOOKUP(B166,Detail!$G$1:$H$1001,2,FALSE)</f>
        <v>Hendra Pratama</v>
      </c>
      <c r="E166">
        <v>72</v>
      </c>
      <c r="F166">
        <v>54</v>
      </c>
      <c r="G166" s="35">
        <v>55</v>
      </c>
      <c r="H166">
        <v>58</v>
      </c>
      <c r="I166">
        <v>72</v>
      </c>
      <c r="J166">
        <v>73</v>
      </c>
      <c r="K166">
        <v>82</v>
      </c>
      <c r="L166" s="26" t="str">
        <f>IFERROR(VLOOKUP(B166,Absen!$A$1:$C$501,2,FALSE),"No")</f>
        <v>No</v>
      </c>
      <c r="M166" s="44">
        <f t="shared" si="4"/>
        <v>8.2000000000000011</v>
      </c>
      <c r="N166" s="35">
        <f t="shared" si="5"/>
        <v>65.8</v>
      </c>
      <c r="O166" t="str">
        <f>VLOOKUP(N166,Helper!$B$30:$C$35,2,TRUE)</f>
        <v>C</v>
      </c>
      <c r="P166" s="26">
        <f>INDEX(Detail!$A$1:$A$1001,MATCH(B166,Detail!$G$1:$G$1001,0))</f>
        <v>37192</v>
      </c>
      <c r="Q166" s="3" t="str">
        <f>INDEX(Detail!$F$1:$F$1001,MATCH(Main!B166,Detail!$G$1:$G$1001,0))</f>
        <v>Tual</v>
      </c>
      <c r="R166" s="7">
        <f>INDEX(Detail!$C$1:$C$1001,MATCH(B166,Detail!$G$1:$G$1001,0),1)</f>
        <v>174</v>
      </c>
      <c r="S166" s="7">
        <f>INDEX(Detail!$D$1:$D$1001,MATCH(B166,Detail!$G$1:$G$1001,0),1)</f>
        <v>57</v>
      </c>
      <c r="T166" s="7" t="str">
        <f>INDEX(Detail!$E$1:$E$1001,MATCH(Main!B166,Detail!$G$1:$G$1001,0))</f>
        <v>Gg. Ahmad Dahlan No. 15</v>
      </c>
      <c r="U166" s="7" t="str">
        <f>INDEX(Detail!$B$1:$B$1001,MATCH(B166,Detail!$G$1:$G$1001,0),1)</f>
        <v>A+</v>
      </c>
    </row>
    <row r="167" spans="1:21" ht="15.75" x14ac:dyDescent="0.25">
      <c r="A167">
        <v>42</v>
      </c>
      <c r="B167" s="3" t="str">
        <f t="shared" si="6"/>
        <v>B0042</v>
      </c>
      <c r="C167" t="s">
        <v>1014</v>
      </c>
      <c r="D167" s="3" t="str">
        <f>VLOOKUP(B167,Detail!$G$1:$H$1001,2,FALSE)</f>
        <v>Darijan Zulkarnain</v>
      </c>
      <c r="E167">
        <v>78</v>
      </c>
      <c r="F167">
        <v>52</v>
      </c>
      <c r="G167" s="35">
        <v>94</v>
      </c>
      <c r="H167">
        <v>69</v>
      </c>
      <c r="I167">
        <v>86</v>
      </c>
      <c r="J167">
        <v>68</v>
      </c>
      <c r="K167">
        <v>89</v>
      </c>
      <c r="L167" s="26" t="str">
        <f>IFERROR(VLOOKUP(B167,Absen!$A$1:$C$501,2,FALSE),"No")</f>
        <v>No</v>
      </c>
      <c r="M167" s="44">
        <f t="shared" si="4"/>
        <v>8.9</v>
      </c>
      <c r="N167" s="35">
        <f t="shared" si="5"/>
        <v>76.925000000000011</v>
      </c>
      <c r="O167" t="str">
        <f>VLOOKUP(N167,Helper!$B$30:$C$35,2,TRUE)</f>
        <v>B</v>
      </c>
      <c r="P167" s="26">
        <f>INDEX(Detail!$A$1:$A$1001,MATCH(B167,Detail!$G$1:$G$1001,0))</f>
        <v>38412</v>
      </c>
      <c r="Q167" s="3" t="str">
        <f>INDEX(Detail!$F$1:$F$1001,MATCH(Main!B167,Detail!$G$1:$G$1001,0))</f>
        <v>Balikpapan</v>
      </c>
      <c r="R167" s="7">
        <f>INDEX(Detail!$C$1:$C$1001,MATCH(B167,Detail!$G$1:$G$1001,0),1)</f>
        <v>150</v>
      </c>
      <c r="S167" s="7">
        <f>INDEX(Detail!$D$1:$D$1001,MATCH(B167,Detail!$G$1:$G$1001,0),1)</f>
        <v>85</v>
      </c>
      <c r="T167" s="7" t="str">
        <f>INDEX(Detail!$E$1:$E$1001,MATCH(Main!B167,Detail!$G$1:$G$1001,0))</f>
        <v>Gang Surapati No. 95</v>
      </c>
      <c r="U167" s="7" t="str">
        <f>INDEX(Detail!$B$1:$B$1001,MATCH(B167,Detail!$G$1:$G$1001,0),1)</f>
        <v>A+</v>
      </c>
    </row>
    <row r="168" spans="1:21" ht="15.75" x14ac:dyDescent="0.25">
      <c r="A168">
        <v>48</v>
      </c>
      <c r="B168" s="3" t="str">
        <f t="shared" si="6"/>
        <v>B0048</v>
      </c>
      <c r="C168" t="s">
        <v>1014</v>
      </c>
      <c r="D168" s="3" t="str">
        <f>VLOOKUP(B168,Detail!$G$1:$H$1001,2,FALSE)</f>
        <v>Pandu Laksmiwati</v>
      </c>
      <c r="E168">
        <v>77</v>
      </c>
      <c r="F168">
        <v>49</v>
      </c>
      <c r="G168" s="35">
        <v>40</v>
      </c>
      <c r="H168">
        <v>67</v>
      </c>
      <c r="I168">
        <v>77</v>
      </c>
      <c r="J168">
        <v>62</v>
      </c>
      <c r="K168">
        <v>89</v>
      </c>
      <c r="L168" s="26" t="str">
        <f>IFERROR(VLOOKUP(B168,Absen!$A$1:$C$501,2,FALSE),"No")</f>
        <v>No</v>
      </c>
      <c r="M168" s="44">
        <f t="shared" si="4"/>
        <v>8.9</v>
      </c>
      <c r="N168" s="35">
        <f t="shared" si="5"/>
        <v>63.05</v>
      </c>
      <c r="O168" t="str">
        <f>VLOOKUP(N168,Helper!$B$30:$C$35,2,TRUE)</f>
        <v>C</v>
      </c>
      <c r="P168" s="26">
        <f>INDEX(Detail!$A$1:$A$1001,MATCH(B168,Detail!$G$1:$G$1001,0))</f>
        <v>37255</v>
      </c>
      <c r="Q168" s="3" t="str">
        <f>INDEX(Detail!$F$1:$F$1001,MATCH(Main!B168,Detail!$G$1:$G$1001,0))</f>
        <v>Bau-Bau</v>
      </c>
      <c r="R168" s="7">
        <f>INDEX(Detail!$C$1:$C$1001,MATCH(B168,Detail!$G$1:$G$1001,0),1)</f>
        <v>159</v>
      </c>
      <c r="S168" s="7">
        <f>INDEX(Detail!$D$1:$D$1001,MATCH(B168,Detail!$G$1:$G$1001,0),1)</f>
        <v>56</v>
      </c>
      <c r="T168" s="7" t="str">
        <f>INDEX(Detail!$E$1:$E$1001,MATCH(Main!B168,Detail!$G$1:$G$1001,0))</f>
        <v xml:space="preserve">Gg. Abdul Muis No. 9
</v>
      </c>
      <c r="U168" s="7" t="str">
        <f>INDEX(Detail!$B$1:$B$1001,MATCH(B168,Detail!$G$1:$G$1001,0),1)</f>
        <v>O+</v>
      </c>
    </row>
    <row r="169" spans="1:21" ht="15.75" x14ac:dyDescent="0.25">
      <c r="A169">
        <v>56</v>
      </c>
      <c r="B169" s="3" t="str">
        <f t="shared" si="6"/>
        <v>B0056</v>
      </c>
      <c r="C169" t="s">
        <v>1014</v>
      </c>
      <c r="D169" s="3" t="str">
        <f>VLOOKUP(B169,Detail!$G$1:$H$1001,2,FALSE)</f>
        <v>Hartana Astuti</v>
      </c>
      <c r="E169">
        <v>59</v>
      </c>
      <c r="F169">
        <v>44</v>
      </c>
      <c r="G169" s="35">
        <v>81</v>
      </c>
      <c r="H169">
        <v>69</v>
      </c>
      <c r="I169">
        <v>57</v>
      </c>
      <c r="J169">
        <v>44</v>
      </c>
      <c r="K169">
        <v>91</v>
      </c>
      <c r="L169" s="26">
        <f>IFERROR(VLOOKUP(B169,Absen!$A$1:$C$501,2,FALSE),"No")</f>
        <v>44767</v>
      </c>
      <c r="M169" s="44">
        <f t="shared" si="4"/>
        <v>8.1</v>
      </c>
      <c r="N169" s="35">
        <f t="shared" si="5"/>
        <v>61.725000000000001</v>
      </c>
      <c r="O169" t="str">
        <f>VLOOKUP(N169,Helper!$B$30:$C$35,2,TRUE)</f>
        <v>C</v>
      </c>
      <c r="P169" s="26">
        <f>INDEX(Detail!$A$1:$A$1001,MATCH(B169,Detail!$G$1:$G$1001,0))</f>
        <v>37336</v>
      </c>
      <c r="Q169" s="3" t="str">
        <f>INDEX(Detail!$F$1:$F$1001,MATCH(Main!B169,Detail!$G$1:$G$1001,0))</f>
        <v>Tarakan</v>
      </c>
      <c r="R169" s="7">
        <f>INDEX(Detail!$C$1:$C$1001,MATCH(B169,Detail!$G$1:$G$1001,0),1)</f>
        <v>168</v>
      </c>
      <c r="S169" s="7">
        <f>INDEX(Detail!$D$1:$D$1001,MATCH(B169,Detail!$G$1:$G$1001,0),1)</f>
        <v>51</v>
      </c>
      <c r="T169" s="7" t="str">
        <f>INDEX(Detail!$E$1:$E$1001,MATCH(Main!B169,Detail!$G$1:$G$1001,0))</f>
        <v>Gang Ronggowarsito No. 37</v>
      </c>
      <c r="U169" s="7" t="str">
        <f>INDEX(Detail!$B$1:$B$1001,MATCH(B169,Detail!$G$1:$G$1001,0),1)</f>
        <v>A-</v>
      </c>
    </row>
    <row r="170" spans="1:21" ht="15.75" x14ac:dyDescent="0.25">
      <c r="A170">
        <v>66</v>
      </c>
      <c r="B170" s="3" t="str">
        <f t="shared" si="6"/>
        <v>B0066</v>
      </c>
      <c r="C170" t="s">
        <v>1014</v>
      </c>
      <c r="D170" s="3" t="str">
        <f>VLOOKUP(B170,Detail!$G$1:$H$1001,2,FALSE)</f>
        <v>Arsipatra Lailasari</v>
      </c>
      <c r="E170">
        <v>57</v>
      </c>
      <c r="F170">
        <v>46</v>
      </c>
      <c r="G170" s="35">
        <v>44</v>
      </c>
      <c r="H170">
        <v>70</v>
      </c>
      <c r="I170">
        <v>57</v>
      </c>
      <c r="J170">
        <v>88</v>
      </c>
      <c r="K170">
        <v>88</v>
      </c>
      <c r="L170" s="26">
        <f>IFERROR(VLOOKUP(B170,Absen!$A$1:$C$501,2,FALSE),"No")</f>
        <v>44835</v>
      </c>
      <c r="M170" s="44">
        <f t="shared" si="4"/>
        <v>7.8000000000000007</v>
      </c>
      <c r="N170" s="35">
        <f t="shared" si="5"/>
        <v>62.95</v>
      </c>
      <c r="O170" t="str">
        <f>VLOOKUP(N170,Helper!$B$30:$C$35,2,TRUE)</f>
        <v>C</v>
      </c>
      <c r="P170" s="26">
        <f>INDEX(Detail!$A$1:$A$1001,MATCH(B170,Detail!$G$1:$G$1001,0))</f>
        <v>38283</v>
      </c>
      <c r="Q170" s="3" t="str">
        <f>INDEX(Detail!$F$1:$F$1001,MATCH(Main!B170,Detail!$G$1:$G$1001,0))</f>
        <v>Batam</v>
      </c>
      <c r="R170" s="7">
        <f>INDEX(Detail!$C$1:$C$1001,MATCH(B170,Detail!$G$1:$G$1001,0),1)</f>
        <v>180</v>
      </c>
      <c r="S170" s="7">
        <f>INDEX(Detail!$D$1:$D$1001,MATCH(B170,Detail!$G$1:$G$1001,0),1)</f>
        <v>76</v>
      </c>
      <c r="T170" s="7" t="str">
        <f>INDEX(Detail!$E$1:$E$1001,MATCH(Main!B170,Detail!$G$1:$G$1001,0))</f>
        <v>Jl. Kutisari Selatan No. 43</v>
      </c>
      <c r="U170" s="7" t="str">
        <f>INDEX(Detail!$B$1:$B$1001,MATCH(B170,Detail!$G$1:$G$1001,0),1)</f>
        <v>A-</v>
      </c>
    </row>
    <row r="171" spans="1:21" ht="15.75" x14ac:dyDescent="0.25">
      <c r="A171">
        <v>76</v>
      </c>
      <c r="B171" s="3" t="str">
        <f t="shared" si="6"/>
        <v>B0076</v>
      </c>
      <c r="C171" t="s">
        <v>1014</v>
      </c>
      <c r="D171" s="3" t="str">
        <f>VLOOKUP(B171,Detail!$G$1:$H$1001,2,FALSE)</f>
        <v>Paulin Hariyah</v>
      </c>
      <c r="E171">
        <v>54</v>
      </c>
      <c r="F171">
        <v>74</v>
      </c>
      <c r="G171" s="35">
        <v>52</v>
      </c>
      <c r="H171">
        <v>60</v>
      </c>
      <c r="I171">
        <v>89</v>
      </c>
      <c r="J171">
        <v>93</v>
      </c>
      <c r="K171">
        <v>69</v>
      </c>
      <c r="L171" s="26" t="str">
        <f>IFERROR(VLOOKUP(B171,Absen!$A$1:$C$501,2,FALSE),"No")</f>
        <v>No</v>
      </c>
      <c r="M171" s="44">
        <f t="shared" si="4"/>
        <v>6.9</v>
      </c>
      <c r="N171" s="35">
        <f t="shared" si="5"/>
        <v>70.525000000000006</v>
      </c>
      <c r="O171" t="str">
        <f>VLOOKUP(N171,Helper!$B$30:$C$35,2,TRUE)</f>
        <v>B</v>
      </c>
      <c r="P171" s="26">
        <f>INDEX(Detail!$A$1:$A$1001,MATCH(B171,Detail!$G$1:$G$1001,0))</f>
        <v>38067</v>
      </c>
      <c r="Q171" s="3" t="str">
        <f>INDEX(Detail!$F$1:$F$1001,MATCH(Main!B171,Detail!$G$1:$G$1001,0))</f>
        <v>Tidore Kepulauan</v>
      </c>
      <c r="R171" s="7">
        <f>INDEX(Detail!$C$1:$C$1001,MATCH(B171,Detail!$G$1:$G$1001,0),1)</f>
        <v>151</v>
      </c>
      <c r="S171" s="7">
        <f>INDEX(Detail!$D$1:$D$1001,MATCH(B171,Detail!$G$1:$G$1001,0),1)</f>
        <v>93</v>
      </c>
      <c r="T171" s="7" t="str">
        <f>INDEX(Detail!$E$1:$E$1001,MATCH(Main!B171,Detail!$G$1:$G$1001,0))</f>
        <v>Gg. Peta No. 50</v>
      </c>
      <c r="U171" s="7" t="str">
        <f>INDEX(Detail!$B$1:$B$1001,MATCH(B171,Detail!$G$1:$G$1001,0),1)</f>
        <v>AB+</v>
      </c>
    </row>
    <row r="172" spans="1:21" ht="15.75" x14ac:dyDescent="0.25">
      <c r="A172">
        <v>79</v>
      </c>
      <c r="B172" s="3" t="str">
        <f t="shared" si="6"/>
        <v>B0079</v>
      </c>
      <c r="C172" t="s">
        <v>1014</v>
      </c>
      <c r="D172" s="3" t="str">
        <f>VLOOKUP(B172,Detail!$G$1:$H$1001,2,FALSE)</f>
        <v>Edi Nashiruddin</v>
      </c>
      <c r="E172">
        <v>63</v>
      </c>
      <c r="F172">
        <v>49</v>
      </c>
      <c r="G172" s="35">
        <v>55</v>
      </c>
      <c r="H172">
        <v>65</v>
      </c>
      <c r="I172">
        <v>67</v>
      </c>
      <c r="J172">
        <v>44</v>
      </c>
      <c r="K172">
        <v>66</v>
      </c>
      <c r="L172" s="26" t="str">
        <f>IFERROR(VLOOKUP(B172,Absen!$A$1:$C$501,2,FALSE),"No")</f>
        <v>No</v>
      </c>
      <c r="M172" s="44">
        <f t="shared" si="4"/>
        <v>6.6000000000000005</v>
      </c>
      <c r="N172" s="35">
        <f t="shared" si="5"/>
        <v>56.9</v>
      </c>
      <c r="O172" t="str">
        <f>VLOOKUP(N172,Helper!$B$30:$C$35,2,TRUE)</f>
        <v>D</v>
      </c>
      <c r="P172" s="26">
        <f>INDEX(Detail!$A$1:$A$1001,MATCH(B172,Detail!$G$1:$G$1001,0))</f>
        <v>37433</v>
      </c>
      <c r="Q172" s="3" t="str">
        <f>INDEX(Detail!$F$1:$F$1001,MATCH(Main!B172,Detail!$G$1:$G$1001,0))</f>
        <v>Denpasar</v>
      </c>
      <c r="R172" s="7">
        <f>INDEX(Detail!$C$1:$C$1001,MATCH(B172,Detail!$G$1:$G$1001,0),1)</f>
        <v>166</v>
      </c>
      <c r="S172" s="7">
        <f>INDEX(Detail!$D$1:$D$1001,MATCH(B172,Detail!$G$1:$G$1001,0),1)</f>
        <v>67</v>
      </c>
      <c r="T172" s="7" t="str">
        <f>INDEX(Detail!$E$1:$E$1001,MATCH(Main!B172,Detail!$G$1:$G$1001,0))</f>
        <v xml:space="preserve">Jalan Dr. Djunjunan No. 3
</v>
      </c>
      <c r="U172" s="7" t="str">
        <f>INDEX(Detail!$B$1:$B$1001,MATCH(B172,Detail!$G$1:$G$1001,0),1)</f>
        <v>O+</v>
      </c>
    </row>
    <row r="173" spans="1:21" ht="15.75" x14ac:dyDescent="0.25">
      <c r="A173">
        <v>82</v>
      </c>
      <c r="B173" s="3" t="str">
        <f t="shared" si="6"/>
        <v>B0082</v>
      </c>
      <c r="C173" t="s">
        <v>1014</v>
      </c>
      <c r="D173" s="3" t="str">
        <f>VLOOKUP(B173,Detail!$G$1:$H$1001,2,FALSE)</f>
        <v>Cengkal Rahayu</v>
      </c>
      <c r="E173">
        <v>65</v>
      </c>
      <c r="F173">
        <v>71</v>
      </c>
      <c r="G173" s="35">
        <v>82</v>
      </c>
      <c r="H173">
        <v>72</v>
      </c>
      <c r="I173">
        <v>75</v>
      </c>
      <c r="J173">
        <v>84</v>
      </c>
      <c r="K173">
        <v>73</v>
      </c>
      <c r="L173" s="26">
        <f>IFERROR(VLOOKUP(B173,Absen!$A$1:$C$501,2,FALSE),"No")</f>
        <v>44867</v>
      </c>
      <c r="M173" s="44">
        <f t="shared" si="4"/>
        <v>6.3000000000000007</v>
      </c>
      <c r="N173" s="35">
        <f t="shared" si="5"/>
        <v>74.875</v>
      </c>
      <c r="O173" t="str">
        <f>VLOOKUP(N173,Helper!$B$30:$C$35,2,TRUE)</f>
        <v>B</v>
      </c>
      <c r="P173" s="26">
        <f>INDEX(Detail!$A$1:$A$1001,MATCH(B173,Detail!$G$1:$G$1001,0))</f>
        <v>37300</v>
      </c>
      <c r="Q173" s="3" t="str">
        <f>INDEX(Detail!$F$1:$F$1001,MATCH(Main!B173,Detail!$G$1:$G$1001,0))</f>
        <v>Sorong</v>
      </c>
      <c r="R173" s="7">
        <f>INDEX(Detail!$C$1:$C$1001,MATCH(B173,Detail!$G$1:$G$1001,0),1)</f>
        <v>176</v>
      </c>
      <c r="S173" s="7">
        <f>INDEX(Detail!$D$1:$D$1001,MATCH(B173,Detail!$G$1:$G$1001,0),1)</f>
        <v>91</v>
      </c>
      <c r="T173" s="7" t="str">
        <f>INDEX(Detail!$E$1:$E$1001,MATCH(Main!B173,Detail!$G$1:$G$1001,0))</f>
        <v>Jl. Rumah Sakit No. 08</v>
      </c>
      <c r="U173" s="7" t="str">
        <f>INDEX(Detail!$B$1:$B$1001,MATCH(B173,Detail!$G$1:$G$1001,0),1)</f>
        <v>A+</v>
      </c>
    </row>
    <row r="174" spans="1:21" ht="15.75" x14ac:dyDescent="0.25">
      <c r="A174">
        <v>87</v>
      </c>
      <c r="B174" s="3" t="str">
        <f t="shared" si="6"/>
        <v>B0087</v>
      </c>
      <c r="C174" t="s">
        <v>1014</v>
      </c>
      <c r="D174" s="3" t="str">
        <f>VLOOKUP(B174,Detail!$G$1:$H$1001,2,FALSE)</f>
        <v>Martana Dongoran</v>
      </c>
      <c r="E174">
        <v>60</v>
      </c>
      <c r="F174">
        <v>47</v>
      </c>
      <c r="G174" s="35">
        <v>58</v>
      </c>
      <c r="H174">
        <v>61</v>
      </c>
      <c r="I174">
        <v>85</v>
      </c>
      <c r="J174">
        <v>54</v>
      </c>
      <c r="K174">
        <v>66</v>
      </c>
      <c r="L174" s="26" t="str">
        <f>IFERROR(VLOOKUP(B174,Absen!$A$1:$C$501,2,FALSE),"No")</f>
        <v>No</v>
      </c>
      <c r="M174" s="44">
        <f t="shared" si="4"/>
        <v>6.6000000000000005</v>
      </c>
      <c r="N174" s="35">
        <f t="shared" si="5"/>
        <v>60.625000000000007</v>
      </c>
      <c r="O174" t="str">
        <f>VLOOKUP(N174,Helper!$B$30:$C$35,2,TRUE)</f>
        <v>C</v>
      </c>
      <c r="P174" s="26">
        <f>INDEX(Detail!$A$1:$A$1001,MATCH(B174,Detail!$G$1:$G$1001,0))</f>
        <v>37166</v>
      </c>
      <c r="Q174" s="3" t="str">
        <f>INDEX(Detail!$F$1:$F$1001,MATCH(Main!B174,Detail!$G$1:$G$1001,0))</f>
        <v>Surabaya</v>
      </c>
      <c r="R174" s="7">
        <f>INDEX(Detail!$C$1:$C$1001,MATCH(B174,Detail!$G$1:$G$1001,0),1)</f>
        <v>170</v>
      </c>
      <c r="S174" s="7">
        <f>INDEX(Detail!$D$1:$D$1001,MATCH(B174,Detail!$G$1:$G$1001,0),1)</f>
        <v>56</v>
      </c>
      <c r="T174" s="7" t="str">
        <f>INDEX(Detail!$E$1:$E$1001,MATCH(Main!B174,Detail!$G$1:$G$1001,0))</f>
        <v>Jl. M.H Thamrin No. 55</v>
      </c>
      <c r="U174" s="7" t="str">
        <f>INDEX(Detail!$B$1:$B$1001,MATCH(B174,Detail!$G$1:$G$1001,0),1)</f>
        <v>B-</v>
      </c>
    </row>
    <row r="175" spans="1:21" ht="15.75" x14ac:dyDescent="0.25">
      <c r="A175">
        <v>92</v>
      </c>
      <c r="B175" s="3" t="str">
        <f t="shared" si="6"/>
        <v>B0092</v>
      </c>
      <c r="C175" t="s">
        <v>1014</v>
      </c>
      <c r="D175" s="3" t="str">
        <f>VLOOKUP(B175,Detail!$G$1:$H$1001,2,FALSE)</f>
        <v>Warji Yuniar</v>
      </c>
      <c r="E175">
        <v>95</v>
      </c>
      <c r="F175">
        <v>64</v>
      </c>
      <c r="G175" s="35">
        <v>33</v>
      </c>
      <c r="H175">
        <v>60</v>
      </c>
      <c r="I175">
        <v>61</v>
      </c>
      <c r="J175">
        <v>63</v>
      </c>
      <c r="K175">
        <v>60</v>
      </c>
      <c r="L175" s="26" t="str">
        <f>IFERROR(VLOOKUP(B175,Absen!$A$1:$C$501,2,FALSE),"No")</f>
        <v>No</v>
      </c>
      <c r="M175" s="44">
        <f t="shared" si="4"/>
        <v>6</v>
      </c>
      <c r="N175" s="35">
        <f t="shared" si="5"/>
        <v>60.2</v>
      </c>
      <c r="O175" t="str">
        <f>VLOOKUP(N175,Helper!$B$30:$C$35,2,TRUE)</f>
        <v>C</v>
      </c>
      <c r="P175" s="26">
        <f>INDEX(Detail!$A$1:$A$1001,MATCH(B175,Detail!$G$1:$G$1001,0))</f>
        <v>38019</v>
      </c>
      <c r="Q175" s="3" t="str">
        <f>INDEX(Detail!$F$1:$F$1001,MATCH(Main!B175,Detail!$G$1:$G$1001,0))</f>
        <v>Dumai</v>
      </c>
      <c r="R175" s="7">
        <f>INDEX(Detail!$C$1:$C$1001,MATCH(B175,Detail!$G$1:$G$1001,0),1)</f>
        <v>180</v>
      </c>
      <c r="S175" s="7">
        <f>INDEX(Detail!$D$1:$D$1001,MATCH(B175,Detail!$G$1:$G$1001,0),1)</f>
        <v>78</v>
      </c>
      <c r="T175" s="7" t="str">
        <f>INDEX(Detail!$E$1:$E$1001,MATCH(Main!B175,Detail!$G$1:$G$1001,0))</f>
        <v>Gg. Cihampelas No. 45</v>
      </c>
      <c r="U175" s="7" t="str">
        <f>INDEX(Detail!$B$1:$B$1001,MATCH(B175,Detail!$G$1:$G$1001,0),1)</f>
        <v>AB-</v>
      </c>
    </row>
    <row r="176" spans="1:21" ht="15.75" x14ac:dyDescent="0.25">
      <c r="A176">
        <v>98</v>
      </c>
      <c r="B176" s="3" t="str">
        <f t="shared" si="6"/>
        <v>B0098</v>
      </c>
      <c r="C176" t="s">
        <v>1014</v>
      </c>
      <c r="D176" s="3" t="str">
        <f>VLOOKUP(B176,Detail!$G$1:$H$1001,2,FALSE)</f>
        <v>Kasusra Riyanti</v>
      </c>
      <c r="E176">
        <v>61</v>
      </c>
      <c r="F176">
        <v>40</v>
      </c>
      <c r="G176" s="35">
        <v>75</v>
      </c>
      <c r="H176">
        <v>68</v>
      </c>
      <c r="I176">
        <v>53</v>
      </c>
      <c r="J176">
        <v>65</v>
      </c>
      <c r="K176">
        <v>97</v>
      </c>
      <c r="L176" s="26">
        <f>IFERROR(VLOOKUP(B176,Absen!$A$1:$C$501,2,FALSE),"No")</f>
        <v>44913</v>
      </c>
      <c r="M176" s="44">
        <f t="shared" si="4"/>
        <v>8.7000000000000011</v>
      </c>
      <c r="N176" s="35">
        <f t="shared" si="5"/>
        <v>64.45</v>
      </c>
      <c r="O176" t="str">
        <f>VLOOKUP(N176,Helper!$B$30:$C$35,2,TRUE)</f>
        <v>C</v>
      </c>
      <c r="P176" s="26">
        <f>INDEX(Detail!$A$1:$A$1001,MATCH(B176,Detail!$G$1:$G$1001,0))</f>
        <v>38394</v>
      </c>
      <c r="Q176" s="3" t="str">
        <f>INDEX(Detail!$F$1:$F$1001,MATCH(Main!B176,Detail!$G$1:$G$1001,0))</f>
        <v>Binjai</v>
      </c>
      <c r="R176" s="7">
        <f>INDEX(Detail!$C$1:$C$1001,MATCH(B176,Detail!$G$1:$G$1001,0),1)</f>
        <v>162</v>
      </c>
      <c r="S176" s="7">
        <f>INDEX(Detail!$D$1:$D$1001,MATCH(B176,Detail!$G$1:$G$1001,0),1)</f>
        <v>48</v>
      </c>
      <c r="T176" s="7" t="str">
        <f>INDEX(Detail!$E$1:$E$1001,MATCH(Main!B176,Detail!$G$1:$G$1001,0))</f>
        <v xml:space="preserve">Jalan Ciwastra No. 0
</v>
      </c>
      <c r="U176" s="7" t="str">
        <f>INDEX(Detail!$B$1:$B$1001,MATCH(B176,Detail!$G$1:$G$1001,0),1)</f>
        <v>AB-</v>
      </c>
    </row>
    <row r="177" spans="1:21" ht="15.75" x14ac:dyDescent="0.25">
      <c r="A177">
        <v>120</v>
      </c>
      <c r="B177" s="3" t="str">
        <f t="shared" si="6"/>
        <v>B0120</v>
      </c>
      <c r="C177" t="s">
        <v>1014</v>
      </c>
      <c r="D177" s="3" t="str">
        <f>VLOOKUP(B177,Detail!$G$1:$H$1001,2,FALSE)</f>
        <v>Padmi Anggraini</v>
      </c>
      <c r="E177">
        <v>59</v>
      </c>
      <c r="F177">
        <v>65</v>
      </c>
      <c r="G177" s="35">
        <v>70</v>
      </c>
      <c r="H177">
        <v>64</v>
      </c>
      <c r="I177">
        <v>59</v>
      </c>
      <c r="J177">
        <v>62</v>
      </c>
      <c r="K177">
        <v>98</v>
      </c>
      <c r="L177" s="26" t="str">
        <f>IFERROR(VLOOKUP(B177,Absen!$A$1:$C$501,2,FALSE),"No")</f>
        <v>No</v>
      </c>
      <c r="M177" s="44">
        <f t="shared" si="4"/>
        <v>9.8000000000000007</v>
      </c>
      <c r="N177" s="35">
        <f t="shared" si="5"/>
        <v>67.075000000000003</v>
      </c>
      <c r="O177" t="str">
        <f>VLOOKUP(N177,Helper!$B$30:$C$35,2,TRUE)</f>
        <v>C</v>
      </c>
      <c r="P177" s="26">
        <f>INDEX(Detail!$A$1:$A$1001,MATCH(B177,Detail!$G$1:$G$1001,0))</f>
        <v>37379</v>
      </c>
      <c r="Q177" s="3" t="str">
        <f>INDEX(Detail!$F$1:$F$1001,MATCH(Main!B177,Detail!$G$1:$G$1001,0))</f>
        <v>Tangerang</v>
      </c>
      <c r="R177" s="7">
        <f>INDEX(Detail!$C$1:$C$1001,MATCH(B177,Detail!$G$1:$G$1001,0),1)</f>
        <v>170</v>
      </c>
      <c r="S177" s="7">
        <f>INDEX(Detail!$D$1:$D$1001,MATCH(B177,Detail!$G$1:$G$1001,0),1)</f>
        <v>56</v>
      </c>
      <c r="T177" s="7" t="str">
        <f>INDEX(Detail!$E$1:$E$1001,MATCH(Main!B177,Detail!$G$1:$G$1001,0))</f>
        <v>Gang Raya Setiabudhi No. 61</v>
      </c>
      <c r="U177" s="7" t="str">
        <f>INDEX(Detail!$B$1:$B$1001,MATCH(B177,Detail!$G$1:$G$1001,0),1)</f>
        <v>A+</v>
      </c>
    </row>
    <row r="178" spans="1:21" ht="15.75" x14ac:dyDescent="0.25">
      <c r="A178">
        <v>124</v>
      </c>
      <c r="B178" s="3" t="str">
        <f t="shared" si="6"/>
        <v>B0124</v>
      </c>
      <c r="C178" t="s">
        <v>1014</v>
      </c>
      <c r="D178" s="3" t="str">
        <f>VLOOKUP(B178,Detail!$G$1:$H$1001,2,FALSE)</f>
        <v>Cindy Simanjuntak</v>
      </c>
      <c r="E178">
        <v>68</v>
      </c>
      <c r="F178">
        <v>54</v>
      </c>
      <c r="G178" s="35">
        <v>76</v>
      </c>
      <c r="H178">
        <v>62</v>
      </c>
      <c r="I178">
        <v>73</v>
      </c>
      <c r="J178">
        <v>92</v>
      </c>
      <c r="K178">
        <v>61</v>
      </c>
      <c r="L178" s="26" t="str">
        <f>IFERROR(VLOOKUP(B178,Absen!$A$1:$C$501,2,FALSE),"No")</f>
        <v>No</v>
      </c>
      <c r="M178" s="44">
        <f t="shared" si="4"/>
        <v>6.1000000000000005</v>
      </c>
      <c r="N178" s="35">
        <f t="shared" si="5"/>
        <v>71.825000000000003</v>
      </c>
      <c r="O178" t="str">
        <f>VLOOKUP(N178,Helper!$B$30:$C$35,2,TRUE)</f>
        <v>B</v>
      </c>
      <c r="P178" s="26">
        <f>INDEX(Detail!$A$1:$A$1001,MATCH(B178,Detail!$G$1:$G$1001,0))</f>
        <v>37300</v>
      </c>
      <c r="Q178" s="3" t="str">
        <f>INDEX(Detail!$F$1:$F$1001,MATCH(Main!B178,Detail!$G$1:$G$1001,0))</f>
        <v>Bekasi</v>
      </c>
      <c r="R178" s="7">
        <f>INDEX(Detail!$C$1:$C$1001,MATCH(B178,Detail!$G$1:$G$1001,0),1)</f>
        <v>155</v>
      </c>
      <c r="S178" s="7">
        <f>INDEX(Detail!$D$1:$D$1001,MATCH(B178,Detail!$G$1:$G$1001,0),1)</f>
        <v>82</v>
      </c>
      <c r="T178" s="7" t="str">
        <f>INDEX(Detail!$E$1:$E$1001,MATCH(Main!B178,Detail!$G$1:$G$1001,0))</f>
        <v>Gg. Veteran No. 86</v>
      </c>
      <c r="U178" s="7" t="str">
        <f>INDEX(Detail!$B$1:$B$1001,MATCH(B178,Detail!$G$1:$G$1001,0),1)</f>
        <v>A+</v>
      </c>
    </row>
    <row r="179" spans="1:21" ht="15.75" x14ac:dyDescent="0.25">
      <c r="A179">
        <v>125</v>
      </c>
      <c r="B179" s="3" t="str">
        <f t="shared" si="6"/>
        <v>B0125</v>
      </c>
      <c r="C179" t="s">
        <v>1014</v>
      </c>
      <c r="D179" s="3" t="str">
        <f>VLOOKUP(B179,Detail!$G$1:$H$1001,2,FALSE)</f>
        <v>Harjaya Firmansyah</v>
      </c>
      <c r="E179">
        <v>73</v>
      </c>
      <c r="F179">
        <v>56</v>
      </c>
      <c r="G179" s="35">
        <v>61</v>
      </c>
      <c r="H179">
        <v>73</v>
      </c>
      <c r="I179">
        <v>85</v>
      </c>
      <c r="J179">
        <v>97</v>
      </c>
      <c r="K179">
        <v>73</v>
      </c>
      <c r="L179" s="26" t="str">
        <f>IFERROR(VLOOKUP(B179,Absen!$A$1:$C$501,2,FALSE),"No")</f>
        <v>No</v>
      </c>
      <c r="M179" s="44">
        <f t="shared" si="4"/>
        <v>7.3000000000000007</v>
      </c>
      <c r="N179" s="35">
        <f t="shared" si="5"/>
        <v>74.775000000000006</v>
      </c>
      <c r="O179" t="str">
        <f>VLOOKUP(N179,Helper!$B$30:$C$35,2,TRUE)</f>
        <v>B</v>
      </c>
      <c r="P179" s="26">
        <f>INDEX(Detail!$A$1:$A$1001,MATCH(B179,Detail!$G$1:$G$1001,0))</f>
        <v>37738</v>
      </c>
      <c r="Q179" s="3" t="str">
        <f>INDEX(Detail!$F$1:$F$1001,MATCH(Main!B179,Detail!$G$1:$G$1001,0))</f>
        <v>Jayapura</v>
      </c>
      <c r="R179" s="7">
        <f>INDEX(Detail!$C$1:$C$1001,MATCH(B179,Detail!$G$1:$G$1001,0),1)</f>
        <v>177</v>
      </c>
      <c r="S179" s="7">
        <f>INDEX(Detail!$D$1:$D$1001,MATCH(B179,Detail!$G$1:$G$1001,0),1)</f>
        <v>91</v>
      </c>
      <c r="T179" s="7" t="str">
        <f>INDEX(Detail!$E$1:$E$1001,MATCH(Main!B179,Detail!$G$1:$G$1001,0))</f>
        <v>Gang KH Amin Jasuta No. 44</v>
      </c>
      <c r="U179" s="7" t="str">
        <f>INDEX(Detail!$B$1:$B$1001,MATCH(B179,Detail!$G$1:$G$1001,0),1)</f>
        <v>AB+</v>
      </c>
    </row>
    <row r="180" spans="1:21" ht="15.75" x14ac:dyDescent="0.25">
      <c r="A180">
        <v>129</v>
      </c>
      <c r="B180" s="3" t="str">
        <f t="shared" si="6"/>
        <v>B0129</v>
      </c>
      <c r="C180" t="s">
        <v>1014</v>
      </c>
      <c r="D180" s="3" t="str">
        <f>VLOOKUP(B180,Detail!$G$1:$H$1001,2,FALSE)</f>
        <v>Ajimat Dabukke</v>
      </c>
      <c r="E180">
        <v>80</v>
      </c>
      <c r="F180">
        <v>73</v>
      </c>
      <c r="G180" s="35">
        <v>51</v>
      </c>
      <c r="H180">
        <v>50</v>
      </c>
      <c r="I180">
        <v>82</v>
      </c>
      <c r="J180">
        <v>88</v>
      </c>
      <c r="K180">
        <v>86</v>
      </c>
      <c r="L180" s="26" t="str">
        <f>IFERROR(VLOOKUP(B180,Absen!$A$1:$C$501,2,FALSE),"No")</f>
        <v>No</v>
      </c>
      <c r="M180" s="44">
        <f t="shared" si="4"/>
        <v>8.6</v>
      </c>
      <c r="N180" s="35">
        <f t="shared" si="5"/>
        <v>72.025000000000006</v>
      </c>
      <c r="O180" t="str">
        <f>VLOOKUP(N180,Helper!$B$30:$C$35,2,TRUE)</f>
        <v>B</v>
      </c>
      <c r="P180" s="26">
        <f>INDEX(Detail!$A$1:$A$1001,MATCH(B180,Detail!$G$1:$G$1001,0))</f>
        <v>37612</v>
      </c>
      <c r="Q180" s="3" t="str">
        <f>INDEX(Detail!$F$1:$F$1001,MATCH(Main!B180,Detail!$G$1:$G$1001,0))</f>
        <v>Sibolga</v>
      </c>
      <c r="R180" s="7">
        <f>INDEX(Detail!$C$1:$C$1001,MATCH(B180,Detail!$G$1:$G$1001,0),1)</f>
        <v>155</v>
      </c>
      <c r="S180" s="7">
        <f>INDEX(Detail!$D$1:$D$1001,MATCH(B180,Detail!$G$1:$G$1001,0),1)</f>
        <v>84</v>
      </c>
      <c r="T180" s="7" t="str">
        <f>INDEX(Detail!$E$1:$E$1001,MATCH(Main!B180,Detail!$G$1:$G$1001,0))</f>
        <v xml:space="preserve">Gang Cikutra Timur No. 8
</v>
      </c>
      <c r="U180" s="7" t="str">
        <f>INDEX(Detail!$B$1:$B$1001,MATCH(B180,Detail!$G$1:$G$1001,0),1)</f>
        <v>B-</v>
      </c>
    </row>
    <row r="181" spans="1:21" ht="15.75" x14ac:dyDescent="0.25">
      <c r="A181">
        <v>132</v>
      </c>
      <c r="B181" s="3" t="str">
        <f t="shared" si="6"/>
        <v>B0132</v>
      </c>
      <c r="C181" t="s">
        <v>1014</v>
      </c>
      <c r="D181" s="3" t="str">
        <f>VLOOKUP(B181,Detail!$G$1:$H$1001,2,FALSE)</f>
        <v>Jagaraga Aryani</v>
      </c>
      <c r="E181">
        <v>63</v>
      </c>
      <c r="F181">
        <v>71</v>
      </c>
      <c r="G181" s="35">
        <v>31</v>
      </c>
      <c r="H181">
        <v>53</v>
      </c>
      <c r="I181">
        <v>95</v>
      </c>
      <c r="J181">
        <v>74</v>
      </c>
      <c r="K181">
        <v>73</v>
      </c>
      <c r="L181" s="26">
        <f>IFERROR(VLOOKUP(B181,Absen!$A$1:$C$501,2,FALSE),"No")</f>
        <v>44755</v>
      </c>
      <c r="M181" s="44">
        <f t="shared" si="4"/>
        <v>6.3000000000000007</v>
      </c>
      <c r="N181" s="35">
        <f t="shared" si="5"/>
        <v>62.55</v>
      </c>
      <c r="O181" t="str">
        <f>VLOOKUP(N181,Helper!$B$30:$C$35,2,TRUE)</f>
        <v>C</v>
      </c>
      <c r="P181" s="26">
        <f>INDEX(Detail!$A$1:$A$1001,MATCH(B181,Detail!$G$1:$G$1001,0))</f>
        <v>37053</v>
      </c>
      <c r="Q181" s="3" t="str">
        <f>INDEX(Detail!$F$1:$F$1001,MATCH(Main!B181,Detail!$G$1:$G$1001,0))</f>
        <v>Metro</v>
      </c>
      <c r="R181" s="7">
        <f>INDEX(Detail!$C$1:$C$1001,MATCH(B181,Detail!$G$1:$G$1001,0),1)</f>
        <v>168</v>
      </c>
      <c r="S181" s="7">
        <f>INDEX(Detail!$D$1:$D$1001,MATCH(B181,Detail!$G$1:$G$1001,0),1)</f>
        <v>81</v>
      </c>
      <c r="T181" s="7" t="str">
        <f>INDEX(Detail!$E$1:$E$1001,MATCH(Main!B181,Detail!$G$1:$G$1001,0))</f>
        <v xml:space="preserve">Jalan Pacuan Kuda No. 0
</v>
      </c>
      <c r="U181" s="7" t="str">
        <f>INDEX(Detail!$B$1:$B$1001,MATCH(B181,Detail!$G$1:$G$1001,0),1)</f>
        <v>AB-</v>
      </c>
    </row>
    <row r="182" spans="1:21" ht="15.75" x14ac:dyDescent="0.25">
      <c r="A182">
        <v>133</v>
      </c>
      <c r="B182" s="3" t="str">
        <f t="shared" si="6"/>
        <v>B0133</v>
      </c>
      <c r="C182" t="s">
        <v>1014</v>
      </c>
      <c r="D182" s="3" t="str">
        <f>VLOOKUP(B182,Detail!$G$1:$H$1001,2,FALSE)</f>
        <v>Rendy Utama</v>
      </c>
      <c r="E182">
        <v>79</v>
      </c>
      <c r="F182">
        <v>41</v>
      </c>
      <c r="G182" s="35">
        <v>89</v>
      </c>
      <c r="H182">
        <v>75</v>
      </c>
      <c r="I182">
        <v>52</v>
      </c>
      <c r="J182">
        <v>71</v>
      </c>
      <c r="K182">
        <v>92</v>
      </c>
      <c r="L182" s="26" t="str">
        <f>IFERROR(VLOOKUP(B182,Absen!$A$1:$C$501,2,FALSE),"No")</f>
        <v>No</v>
      </c>
      <c r="M182" s="44">
        <f t="shared" si="4"/>
        <v>9.2000000000000011</v>
      </c>
      <c r="N182" s="35">
        <f t="shared" si="5"/>
        <v>72.075000000000003</v>
      </c>
      <c r="O182" t="str">
        <f>VLOOKUP(N182,Helper!$B$30:$C$35,2,TRUE)</f>
        <v>B</v>
      </c>
      <c r="P182" s="26">
        <f>INDEX(Detail!$A$1:$A$1001,MATCH(B182,Detail!$G$1:$G$1001,0))</f>
        <v>38053</v>
      </c>
      <c r="Q182" s="3" t="str">
        <f>INDEX(Detail!$F$1:$F$1001,MATCH(Main!B182,Detail!$G$1:$G$1001,0))</f>
        <v>Bekasi</v>
      </c>
      <c r="R182" s="7">
        <f>INDEX(Detail!$C$1:$C$1001,MATCH(B182,Detail!$G$1:$G$1001,0),1)</f>
        <v>173</v>
      </c>
      <c r="S182" s="7">
        <f>INDEX(Detail!$D$1:$D$1001,MATCH(B182,Detail!$G$1:$G$1001,0),1)</f>
        <v>65</v>
      </c>
      <c r="T182" s="7" t="str">
        <f>INDEX(Detail!$E$1:$E$1001,MATCH(Main!B182,Detail!$G$1:$G$1001,0))</f>
        <v xml:space="preserve">Jl. Rajawali Timur No. 1
</v>
      </c>
      <c r="U182" s="7" t="str">
        <f>INDEX(Detail!$B$1:$B$1001,MATCH(B182,Detail!$G$1:$G$1001,0),1)</f>
        <v>O+</v>
      </c>
    </row>
    <row r="183" spans="1:21" ht="15.75" x14ac:dyDescent="0.25">
      <c r="A183">
        <v>140</v>
      </c>
      <c r="B183" s="3" t="str">
        <f t="shared" si="6"/>
        <v>B0140</v>
      </c>
      <c r="C183" t="s">
        <v>1014</v>
      </c>
      <c r="D183" s="3" t="str">
        <f>VLOOKUP(B183,Detail!$G$1:$H$1001,2,FALSE)</f>
        <v>Reksa Prastuti</v>
      </c>
      <c r="E183">
        <v>80</v>
      </c>
      <c r="F183">
        <v>74</v>
      </c>
      <c r="G183" s="35">
        <v>36</v>
      </c>
      <c r="H183">
        <v>52</v>
      </c>
      <c r="I183">
        <v>72</v>
      </c>
      <c r="J183">
        <v>45</v>
      </c>
      <c r="K183">
        <v>78</v>
      </c>
      <c r="L183" s="26">
        <f>IFERROR(VLOOKUP(B183,Absen!$A$1:$C$501,2,FALSE),"No")</f>
        <v>44800</v>
      </c>
      <c r="M183" s="44">
        <f t="shared" si="4"/>
        <v>6.8000000000000007</v>
      </c>
      <c r="N183" s="35">
        <f t="shared" si="5"/>
        <v>57.75</v>
      </c>
      <c r="O183" t="str">
        <f>VLOOKUP(N183,Helper!$B$30:$C$35,2,TRUE)</f>
        <v>D</v>
      </c>
      <c r="P183" s="26">
        <f>INDEX(Detail!$A$1:$A$1001,MATCH(B183,Detail!$G$1:$G$1001,0))</f>
        <v>37764</v>
      </c>
      <c r="Q183" s="3" t="str">
        <f>INDEX(Detail!$F$1:$F$1001,MATCH(Main!B183,Detail!$G$1:$G$1001,0))</f>
        <v>Makassar</v>
      </c>
      <c r="R183" s="7">
        <f>INDEX(Detail!$C$1:$C$1001,MATCH(B183,Detail!$G$1:$G$1001,0),1)</f>
        <v>164</v>
      </c>
      <c r="S183" s="7">
        <f>INDEX(Detail!$D$1:$D$1001,MATCH(B183,Detail!$G$1:$G$1001,0),1)</f>
        <v>79</v>
      </c>
      <c r="T183" s="7" t="str">
        <f>INDEX(Detail!$E$1:$E$1001,MATCH(Main!B183,Detail!$G$1:$G$1001,0))</f>
        <v>Gang Kiaracondong No. 44</v>
      </c>
      <c r="U183" s="7" t="str">
        <f>INDEX(Detail!$B$1:$B$1001,MATCH(B183,Detail!$G$1:$G$1001,0),1)</f>
        <v>A+</v>
      </c>
    </row>
    <row r="184" spans="1:21" ht="15.75" x14ac:dyDescent="0.25">
      <c r="A184">
        <v>142</v>
      </c>
      <c r="B184" s="3" t="str">
        <f t="shared" si="6"/>
        <v>B0142</v>
      </c>
      <c r="C184" t="s">
        <v>1014</v>
      </c>
      <c r="D184" s="3" t="str">
        <f>VLOOKUP(B184,Detail!$G$1:$H$1001,2,FALSE)</f>
        <v>Zamira Hutapea</v>
      </c>
      <c r="E184">
        <v>56</v>
      </c>
      <c r="F184">
        <v>41</v>
      </c>
      <c r="G184" s="35">
        <v>70</v>
      </c>
      <c r="H184">
        <v>75</v>
      </c>
      <c r="I184">
        <v>63</v>
      </c>
      <c r="J184">
        <v>58</v>
      </c>
      <c r="K184">
        <v>93</v>
      </c>
      <c r="L184" s="26" t="str">
        <f>IFERROR(VLOOKUP(B184,Absen!$A$1:$C$501,2,FALSE),"No")</f>
        <v>No</v>
      </c>
      <c r="M184" s="44">
        <f t="shared" si="4"/>
        <v>9.3000000000000007</v>
      </c>
      <c r="N184" s="35">
        <f t="shared" si="5"/>
        <v>64.275000000000006</v>
      </c>
      <c r="O184" t="str">
        <f>VLOOKUP(N184,Helper!$B$30:$C$35,2,TRUE)</f>
        <v>C</v>
      </c>
      <c r="P184" s="26">
        <f>INDEX(Detail!$A$1:$A$1001,MATCH(B184,Detail!$G$1:$G$1001,0))</f>
        <v>38306</v>
      </c>
      <c r="Q184" s="3" t="str">
        <f>INDEX(Detail!$F$1:$F$1001,MATCH(Main!B184,Detail!$G$1:$G$1001,0))</f>
        <v>Sungai Penuh</v>
      </c>
      <c r="R184" s="7">
        <f>INDEX(Detail!$C$1:$C$1001,MATCH(B184,Detail!$G$1:$G$1001,0),1)</f>
        <v>176</v>
      </c>
      <c r="S184" s="7">
        <f>INDEX(Detail!$D$1:$D$1001,MATCH(B184,Detail!$G$1:$G$1001,0),1)</f>
        <v>75</v>
      </c>
      <c r="T184" s="7" t="str">
        <f>INDEX(Detail!$E$1:$E$1001,MATCH(Main!B184,Detail!$G$1:$G$1001,0))</f>
        <v>Jl. Laswi No. 15</v>
      </c>
      <c r="U184" s="7" t="str">
        <f>INDEX(Detail!$B$1:$B$1001,MATCH(B184,Detail!$G$1:$G$1001,0),1)</f>
        <v>B+</v>
      </c>
    </row>
    <row r="185" spans="1:21" ht="15.75" x14ac:dyDescent="0.25">
      <c r="A185">
        <v>155</v>
      </c>
      <c r="B185" s="3" t="str">
        <f t="shared" si="6"/>
        <v>B0155</v>
      </c>
      <c r="C185" t="s">
        <v>1014</v>
      </c>
      <c r="D185" s="3" t="str">
        <f>VLOOKUP(B185,Detail!$G$1:$H$1001,2,FALSE)</f>
        <v>Mutia Hidayat</v>
      </c>
      <c r="E185">
        <v>91</v>
      </c>
      <c r="F185">
        <v>50</v>
      </c>
      <c r="G185" s="35">
        <v>60</v>
      </c>
      <c r="H185">
        <v>54</v>
      </c>
      <c r="I185">
        <v>71</v>
      </c>
      <c r="J185">
        <v>49</v>
      </c>
      <c r="K185">
        <v>96</v>
      </c>
      <c r="L185" s="26">
        <f>IFERROR(VLOOKUP(B185,Absen!$A$1:$C$501,2,FALSE),"No")</f>
        <v>44865</v>
      </c>
      <c r="M185" s="44">
        <f t="shared" si="4"/>
        <v>8.6</v>
      </c>
      <c r="N185" s="35">
        <f t="shared" si="5"/>
        <v>63.65</v>
      </c>
      <c r="O185" t="str">
        <f>VLOOKUP(N185,Helper!$B$30:$C$35,2,TRUE)</f>
        <v>C</v>
      </c>
      <c r="P185" s="26">
        <f>INDEX(Detail!$A$1:$A$1001,MATCH(B185,Detail!$G$1:$G$1001,0))</f>
        <v>37749</v>
      </c>
      <c r="Q185" s="3" t="str">
        <f>INDEX(Detail!$F$1:$F$1001,MATCH(Main!B185,Detail!$G$1:$G$1001,0))</f>
        <v>Metro</v>
      </c>
      <c r="R185" s="7">
        <f>INDEX(Detail!$C$1:$C$1001,MATCH(B185,Detail!$G$1:$G$1001,0),1)</f>
        <v>162</v>
      </c>
      <c r="S185" s="7">
        <f>INDEX(Detail!$D$1:$D$1001,MATCH(B185,Detail!$G$1:$G$1001,0),1)</f>
        <v>65</v>
      </c>
      <c r="T185" s="7" t="str">
        <f>INDEX(Detail!$E$1:$E$1001,MATCH(Main!B185,Detail!$G$1:$G$1001,0))</f>
        <v xml:space="preserve">Jalan Monginsidi No. 6
</v>
      </c>
      <c r="U185" s="7" t="str">
        <f>INDEX(Detail!$B$1:$B$1001,MATCH(B185,Detail!$G$1:$G$1001,0),1)</f>
        <v>B-</v>
      </c>
    </row>
    <row r="186" spans="1:21" ht="15.75" x14ac:dyDescent="0.25">
      <c r="A186">
        <v>166</v>
      </c>
      <c r="B186" s="3" t="str">
        <f t="shared" si="6"/>
        <v>B0166</v>
      </c>
      <c r="C186" t="s">
        <v>1014</v>
      </c>
      <c r="D186" s="3" t="str">
        <f>VLOOKUP(B186,Detail!$G$1:$H$1001,2,FALSE)</f>
        <v>Darman Anggriawan</v>
      </c>
      <c r="E186">
        <v>70</v>
      </c>
      <c r="F186">
        <v>56</v>
      </c>
      <c r="G186" s="35">
        <v>78</v>
      </c>
      <c r="H186">
        <v>64</v>
      </c>
      <c r="I186">
        <v>57</v>
      </c>
      <c r="J186">
        <v>45</v>
      </c>
      <c r="K186">
        <v>77</v>
      </c>
      <c r="L186" s="26" t="str">
        <f>IFERROR(VLOOKUP(B186,Absen!$A$1:$C$501,2,FALSE),"No")</f>
        <v>No</v>
      </c>
      <c r="M186" s="44">
        <f t="shared" si="4"/>
        <v>7.7</v>
      </c>
      <c r="N186" s="35">
        <f t="shared" si="5"/>
        <v>63.175000000000004</v>
      </c>
      <c r="O186" t="str">
        <f>VLOOKUP(N186,Helper!$B$30:$C$35,2,TRUE)</f>
        <v>C</v>
      </c>
      <c r="P186" s="26">
        <f>INDEX(Detail!$A$1:$A$1001,MATCH(B186,Detail!$G$1:$G$1001,0))</f>
        <v>37883</v>
      </c>
      <c r="Q186" s="3" t="str">
        <f>INDEX(Detail!$F$1:$F$1001,MATCH(Main!B186,Detail!$G$1:$G$1001,0))</f>
        <v>Denpasar</v>
      </c>
      <c r="R186" s="7">
        <f>INDEX(Detail!$C$1:$C$1001,MATCH(B186,Detail!$G$1:$G$1001,0),1)</f>
        <v>169</v>
      </c>
      <c r="S186" s="7">
        <f>INDEX(Detail!$D$1:$D$1001,MATCH(B186,Detail!$G$1:$G$1001,0),1)</f>
        <v>83</v>
      </c>
      <c r="T186" s="7" t="str">
        <f>INDEX(Detail!$E$1:$E$1001,MATCH(Main!B186,Detail!$G$1:$G$1001,0))</f>
        <v>Jl. Monginsidi No. 60</v>
      </c>
      <c r="U186" s="7" t="str">
        <f>INDEX(Detail!$B$1:$B$1001,MATCH(B186,Detail!$G$1:$G$1001,0),1)</f>
        <v>AB+</v>
      </c>
    </row>
    <row r="187" spans="1:21" ht="15.75" x14ac:dyDescent="0.25">
      <c r="A187">
        <v>193</v>
      </c>
      <c r="B187" s="3" t="str">
        <f t="shared" si="6"/>
        <v>B0193</v>
      </c>
      <c r="C187" t="s">
        <v>1014</v>
      </c>
      <c r="D187" s="3" t="str">
        <f>VLOOKUP(B187,Detail!$G$1:$H$1001,2,FALSE)</f>
        <v>Carub Mansur</v>
      </c>
      <c r="E187">
        <v>55</v>
      </c>
      <c r="F187">
        <v>52</v>
      </c>
      <c r="G187" s="35">
        <v>55</v>
      </c>
      <c r="H187">
        <v>56</v>
      </c>
      <c r="I187">
        <v>59</v>
      </c>
      <c r="J187">
        <v>82</v>
      </c>
      <c r="K187">
        <v>78</v>
      </c>
      <c r="L187" s="26" t="str">
        <f>IFERROR(VLOOKUP(B187,Absen!$A$1:$C$501,2,FALSE),"No")</f>
        <v>No</v>
      </c>
      <c r="M187" s="44">
        <f t="shared" si="4"/>
        <v>7.8000000000000007</v>
      </c>
      <c r="N187" s="35">
        <f t="shared" si="5"/>
        <v>62.95</v>
      </c>
      <c r="O187" t="str">
        <f>VLOOKUP(N187,Helper!$B$30:$C$35,2,TRUE)</f>
        <v>C</v>
      </c>
      <c r="P187" s="26">
        <f>INDEX(Detail!$A$1:$A$1001,MATCH(B187,Detail!$G$1:$G$1001,0))</f>
        <v>38077</v>
      </c>
      <c r="Q187" s="3" t="str">
        <f>INDEX(Detail!$F$1:$F$1001,MATCH(Main!B187,Detail!$G$1:$G$1001,0))</f>
        <v>Langsa</v>
      </c>
      <c r="R187" s="7">
        <f>INDEX(Detail!$C$1:$C$1001,MATCH(B187,Detail!$G$1:$G$1001,0),1)</f>
        <v>154</v>
      </c>
      <c r="S187" s="7">
        <f>INDEX(Detail!$D$1:$D$1001,MATCH(B187,Detail!$G$1:$G$1001,0),1)</f>
        <v>61</v>
      </c>
      <c r="T187" s="7" t="str">
        <f>INDEX(Detail!$E$1:$E$1001,MATCH(Main!B187,Detail!$G$1:$G$1001,0))</f>
        <v>Jl. BKR No. 67</v>
      </c>
      <c r="U187" s="7" t="str">
        <f>INDEX(Detail!$B$1:$B$1001,MATCH(B187,Detail!$G$1:$G$1001,0),1)</f>
        <v>A-</v>
      </c>
    </row>
    <row r="188" spans="1:21" ht="15.75" x14ac:dyDescent="0.25">
      <c r="A188">
        <v>206</v>
      </c>
      <c r="B188" s="3" t="str">
        <f t="shared" si="6"/>
        <v>B0206</v>
      </c>
      <c r="C188" t="s">
        <v>1014</v>
      </c>
      <c r="D188" s="3" t="str">
        <f>VLOOKUP(B188,Detail!$G$1:$H$1001,2,FALSE)</f>
        <v>Paiman Hasanah</v>
      </c>
      <c r="E188">
        <v>84</v>
      </c>
      <c r="F188">
        <v>66</v>
      </c>
      <c r="G188" s="35">
        <v>37</v>
      </c>
      <c r="H188">
        <v>68</v>
      </c>
      <c r="I188">
        <v>95</v>
      </c>
      <c r="J188">
        <v>100</v>
      </c>
      <c r="K188">
        <v>99</v>
      </c>
      <c r="L188" s="26">
        <f>IFERROR(VLOOKUP(B188,Absen!$A$1:$C$501,2,FALSE),"No")</f>
        <v>44846</v>
      </c>
      <c r="M188" s="44">
        <f t="shared" si="4"/>
        <v>8.9</v>
      </c>
      <c r="N188" s="35">
        <f t="shared" si="5"/>
        <v>75.425000000000011</v>
      </c>
      <c r="O188" t="str">
        <f>VLOOKUP(N188,Helper!$B$30:$C$35,2,TRUE)</f>
        <v>B</v>
      </c>
      <c r="P188" s="26">
        <f>INDEX(Detail!$A$1:$A$1001,MATCH(B188,Detail!$G$1:$G$1001,0))</f>
        <v>38255</v>
      </c>
      <c r="Q188" s="3" t="str">
        <f>INDEX(Detail!$F$1:$F$1001,MATCH(Main!B188,Detail!$G$1:$G$1001,0))</f>
        <v>Balikpapan</v>
      </c>
      <c r="R188" s="7">
        <f>INDEX(Detail!$C$1:$C$1001,MATCH(B188,Detail!$G$1:$G$1001,0),1)</f>
        <v>151</v>
      </c>
      <c r="S188" s="7">
        <f>INDEX(Detail!$D$1:$D$1001,MATCH(B188,Detail!$G$1:$G$1001,0),1)</f>
        <v>90</v>
      </c>
      <c r="T188" s="7" t="str">
        <f>INDEX(Detail!$E$1:$E$1001,MATCH(Main!B188,Detail!$G$1:$G$1001,0))</f>
        <v xml:space="preserve">Gang Peta No. 0
</v>
      </c>
      <c r="U188" s="7" t="str">
        <f>INDEX(Detail!$B$1:$B$1001,MATCH(B188,Detail!$G$1:$G$1001,0),1)</f>
        <v>A-</v>
      </c>
    </row>
    <row r="189" spans="1:21" ht="15.75" x14ac:dyDescent="0.25">
      <c r="A189">
        <v>208</v>
      </c>
      <c r="B189" s="3" t="str">
        <f t="shared" si="6"/>
        <v>B0208</v>
      </c>
      <c r="C189" t="s">
        <v>1014</v>
      </c>
      <c r="D189" s="3" t="str">
        <f>VLOOKUP(B189,Detail!$G$1:$H$1001,2,FALSE)</f>
        <v>Yuni Marpaung</v>
      </c>
      <c r="E189">
        <v>90</v>
      </c>
      <c r="F189">
        <v>41</v>
      </c>
      <c r="G189" s="35">
        <v>49</v>
      </c>
      <c r="H189">
        <v>60</v>
      </c>
      <c r="I189">
        <v>65</v>
      </c>
      <c r="J189">
        <v>86</v>
      </c>
      <c r="K189">
        <v>89</v>
      </c>
      <c r="L189" s="26" t="str">
        <f>IFERROR(VLOOKUP(B189,Absen!$A$1:$C$501,2,FALSE),"No")</f>
        <v>No</v>
      </c>
      <c r="M189" s="44">
        <f t="shared" si="4"/>
        <v>8.9</v>
      </c>
      <c r="N189" s="35">
        <f t="shared" si="5"/>
        <v>67.900000000000006</v>
      </c>
      <c r="O189" t="str">
        <f>VLOOKUP(N189,Helper!$B$30:$C$35,2,TRUE)</f>
        <v>C</v>
      </c>
      <c r="P189" s="26">
        <f>INDEX(Detail!$A$1:$A$1001,MATCH(B189,Detail!$G$1:$G$1001,0))</f>
        <v>38423</v>
      </c>
      <c r="Q189" s="3" t="str">
        <f>INDEX(Detail!$F$1:$F$1001,MATCH(Main!B189,Detail!$G$1:$G$1001,0))</f>
        <v>Tomohon</v>
      </c>
      <c r="R189" s="7">
        <f>INDEX(Detail!$C$1:$C$1001,MATCH(B189,Detail!$G$1:$G$1001,0),1)</f>
        <v>159</v>
      </c>
      <c r="S189" s="7">
        <f>INDEX(Detail!$D$1:$D$1001,MATCH(B189,Detail!$G$1:$G$1001,0),1)</f>
        <v>75</v>
      </c>
      <c r="T189" s="7" t="str">
        <f>INDEX(Detail!$E$1:$E$1001,MATCH(Main!B189,Detail!$G$1:$G$1001,0))</f>
        <v>Gg. Moch. Toha No. 61</v>
      </c>
      <c r="U189" s="7" t="str">
        <f>INDEX(Detail!$B$1:$B$1001,MATCH(B189,Detail!$G$1:$G$1001,0),1)</f>
        <v>A+</v>
      </c>
    </row>
    <row r="190" spans="1:21" ht="15.75" x14ac:dyDescent="0.25">
      <c r="A190">
        <v>226</v>
      </c>
      <c r="B190" s="3" t="str">
        <f t="shared" si="6"/>
        <v>B0226</v>
      </c>
      <c r="C190" t="s">
        <v>1014</v>
      </c>
      <c r="D190" s="3" t="str">
        <f>VLOOKUP(B190,Detail!$G$1:$H$1001,2,FALSE)</f>
        <v>Victoria Mustofa</v>
      </c>
      <c r="E190">
        <v>65</v>
      </c>
      <c r="F190">
        <v>65</v>
      </c>
      <c r="G190" s="35">
        <v>50</v>
      </c>
      <c r="H190">
        <v>71</v>
      </c>
      <c r="I190">
        <v>70</v>
      </c>
      <c r="J190">
        <v>62</v>
      </c>
      <c r="K190">
        <v>63</v>
      </c>
      <c r="L190" s="26">
        <f>IFERROR(VLOOKUP(B190,Absen!$A$1:$C$501,2,FALSE),"No")</f>
        <v>44753</v>
      </c>
      <c r="M190" s="44">
        <f t="shared" si="4"/>
        <v>5.3000000000000007</v>
      </c>
      <c r="N190" s="35">
        <f t="shared" si="5"/>
        <v>61.575000000000003</v>
      </c>
      <c r="O190" t="str">
        <f>VLOOKUP(N190,Helper!$B$30:$C$35,2,TRUE)</f>
        <v>C</v>
      </c>
      <c r="P190" s="26">
        <f>INDEX(Detail!$A$1:$A$1001,MATCH(B190,Detail!$G$1:$G$1001,0))</f>
        <v>37533</v>
      </c>
      <c r="Q190" s="3" t="str">
        <f>INDEX(Detail!$F$1:$F$1001,MATCH(Main!B190,Detail!$G$1:$G$1001,0))</f>
        <v>Manado</v>
      </c>
      <c r="R190" s="7">
        <f>INDEX(Detail!$C$1:$C$1001,MATCH(B190,Detail!$G$1:$G$1001,0),1)</f>
        <v>170</v>
      </c>
      <c r="S190" s="7">
        <f>INDEX(Detail!$D$1:$D$1001,MATCH(B190,Detail!$G$1:$G$1001,0),1)</f>
        <v>58</v>
      </c>
      <c r="T190" s="7" t="str">
        <f>INDEX(Detail!$E$1:$E$1001,MATCH(Main!B190,Detail!$G$1:$G$1001,0))</f>
        <v>Jalan Indragiri No. 33</v>
      </c>
      <c r="U190" s="7" t="str">
        <f>INDEX(Detail!$B$1:$B$1001,MATCH(B190,Detail!$G$1:$G$1001,0),1)</f>
        <v>A-</v>
      </c>
    </row>
    <row r="191" spans="1:21" ht="15.75" x14ac:dyDescent="0.25">
      <c r="A191">
        <v>229</v>
      </c>
      <c r="B191" s="3" t="str">
        <f t="shared" si="6"/>
        <v>B0229</v>
      </c>
      <c r="C191" t="s">
        <v>1014</v>
      </c>
      <c r="D191" s="3" t="str">
        <f>VLOOKUP(B191,Detail!$G$1:$H$1001,2,FALSE)</f>
        <v>Putri Simanjuntak</v>
      </c>
      <c r="E191">
        <v>54</v>
      </c>
      <c r="F191">
        <v>46</v>
      </c>
      <c r="G191" s="35">
        <v>50</v>
      </c>
      <c r="H191">
        <v>70</v>
      </c>
      <c r="I191">
        <v>51</v>
      </c>
      <c r="J191">
        <v>96</v>
      </c>
      <c r="K191">
        <v>88</v>
      </c>
      <c r="L191" s="26">
        <f>IFERROR(VLOOKUP(B191,Absen!$A$1:$C$501,2,FALSE),"No")</f>
        <v>44911</v>
      </c>
      <c r="M191" s="44">
        <f t="shared" si="4"/>
        <v>7.8000000000000007</v>
      </c>
      <c r="N191" s="35">
        <f t="shared" si="5"/>
        <v>64.625</v>
      </c>
      <c r="O191" t="str">
        <f>VLOOKUP(N191,Helper!$B$30:$C$35,2,TRUE)</f>
        <v>C</v>
      </c>
      <c r="P191" s="26">
        <f>INDEX(Detail!$A$1:$A$1001,MATCH(B191,Detail!$G$1:$G$1001,0))</f>
        <v>37248</v>
      </c>
      <c r="Q191" s="3" t="str">
        <f>INDEX(Detail!$F$1:$F$1001,MATCH(Main!B191,Detail!$G$1:$G$1001,0))</f>
        <v>Banjar</v>
      </c>
      <c r="R191" s="7">
        <f>INDEX(Detail!$C$1:$C$1001,MATCH(B191,Detail!$G$1:$G$1001,0),1)</f>
        <v>179</v>
      </c>
      <c r="S191" s="7">
        <f>INDEX(Detail!$D$1:$D$1001,MATCH(B191,Detail!$G$1:$G$1001,0),1)</f>
        <v>78</v>
      </c>
      <c r="T191" s="7" t="str">
        <f>INDEX(Detail!$E$1:$E$1001,MATCH(Main!B191,Detail!$G$1:$G$1001,0))</f>
        <v>Gang Rajawali Timur No. 81</v>
      </c>
      <c r="U191" s="7" t="str">
        <f>INDEX(Detail!$B$1:$B$1001,MATCH(B191,Detail!$G$1:$G$1001,0),1)</f>
        <v>AB+</v>
      </c>
    </row>
    <row r="192" spans="1:21" ht="15.75" x14ac:dyDescent="0.25">
      <c r="A192">
        <v>231</v>
      </c>
      <c r="B192" s="3" t="str">
        <f t="shared" si="6"/>
        <v>B0231</v>
      </c>
      <c r="C192" t="s">
        <v>1014</v>
      </c>
      <c r="D192" s="3" t="str">
        <f>VLOOKUP(B192,Detail!$G$1:$H$1001,2,FALSE)</f>
        <v>Ibrani Purnawati</v>
      </c>
      <c r="E192">
        <v>51</v>
      </c>
      <c r="F192">
        <v>68</v>
      </c>
      <c r="G192" s="35">
        <v>95</v>
      </c>
      <c r="H192">
        <v>74</v>
      </c>
      <c r="I192">
        <v>91</v>
      </c>
      <c r="J192">
        <v>55</v>
      </c>
      <c r="K192">
        <v>61</v>
      </c>
      <c r="L192" s="26">
        <f>IFERROR(VLOOKUP(B192,Absen!$A$1:$C$501,2,FALSE),"No")</f>
        <v>44792</v>
      </c>
      <c r="M192" s="44">
        <f t="shared" si="4"/>
        <v>5.1000000000000005</v>
      </c>
      <c r="N192" s="35">
        <f t="shared" si="5"/>
        <v>70.599999999999994</v>
      </c>
      <c r="O192" t="str">
        <f>VLOOKUP(N192,Helper!$B$30:$C$35,2,TRUE)</f>
        <v>B</v>
      </c>
      <c r="P192" s="26">
        <f>INDEX(Detail!$A$1:$A$1001,MATCH(B192,Detail!$G$1:$G$1001,0))</f>
        <v>37858</v>
      </c>
      <c r="Q192" s="3" t="str">
        <f>INDEX(Detail!$F$1:$F$1001,MATCH(Main!B192,Detail!$G$1:$G$1001,0))</f>
        <v>Tomohon</v>
      </c>
      <c r="R192" s="7">
        <f>INDEX(Detail!$C$1:$C$1001,MATCH(B192,Detail!$G$1:$G$1001,0),1)</f>
        <v>180</v>
      </c>
      <c r="S192" s="7">
        <f>INDEX(Detail!$D$1:$D$1001,MATCH(B192,Detail!$G$1:$G$1001,0),1)</f>
        <v>84</v>
      </c>
      <c r="T192" s="7" t="str">
        <f>INDEX(Detail!$E$1:$E$1001,MATCH(Main!B192,Detail!$G$1:$G$1001,0))</f>
        <v xml:space="preserve">Jalan Surapati No. 2
</v>
      </c>
      <c r="U192" s="7" t="str">
        <f>INDEX(Detail!$B$1:$B$1001,MATCH(B192,Detail!$G$1:$G$1001,0),1)</f>
        <v>A+</v>
      </c>
    </row>
    <row r="193" spans="1:21" ht="15.75" x14ac:dyDescent="0.25">
      <c r="A193">
        <v>233</v>
      </c>
      <c r="B193" s="3" t="str">
        <f t="shared" si="6"/>
        <v>B0233</v>
      </c>
      <c r="C193" t="s">
        <v>1014</v>
      </c>
      <c r="D193" s="3" t="str">
        <f>VLOOKUP(B193,Detail!$G$1:$H$1001,2,FALSE)</f>
        <v>Bakda Kusmawati</v>
      </c>
      <c r="E193">
        <v>83</v>
      </c>
      <c r="F193">
        <v>61</v>
      </c>
      <c r="G193" s="35">
        <v>33</v>
      </c>
      <c r="H193">
        <v>51</v>
      </c>
      <c r="I193">
        <v>83</v>
      </c>
      <c r="J193">
        <v>58</v>
      </c>
      <c r="K193">
        <v>60</v>
      </c>
      <c r="L193" s="26">
        <f>IFERROR(VLOOKUP(B193,Absen!$A$1:$C$501,2,FALSE),"No")</f>
        <v>44849</v>
      </c>
      <c r="M193" s="44">
        <f t="shared" si="4"/>
        <v>5</v>
      </c>
      <c r="N193" s="35">
        <f t="shared" si="5"/>
        <v>57.95</v>
      </c>
      <c r="O193" t="str">
        <f>VLOOKUP(N193,Helper!$B$30:$C$35,2,TRUE)</f>
        <v>D</v>
      </c>
      <c r="P193" s="26">
        <f>INDEX(Detail!$A$1:$A$1001,MATCH(B193,Detail!$G$1:$G$1001,0))</f>
        <v>38441</v>
      </c>
      <c r="Q193" s="3" t="str">
        <f>INDEX(Detail!$F$1:$F$1001,MATCH(Main!B193,Detail!$G$1:$G$1001,0))</f>
        <v>Tual</v>
      </c>
      <c r="R193" s="7">
        <f>INDEX(Detail!$C$1:$C$1001,MATCH(B193,Detail!$G$1:$G$1001,0),1)</f>
        <v>169</v>
      </c>
      <c r="S193" s="7">
        <f>INDEX(Detail!$D$1:$D$1001,MATCH(B193,Detail!$G$1:$G$1001,0),1)</f>
        <v>71</v>
      </c>
      <c r="T193" s="7" t="str">
        <f>INDEX(Detail!$E$1:$E$1001,MATCH(Main!B193,Detail!$G$1:$G$1001,0))</f>
        <v xml:space="preserve">Gang Pacuan Kuda No. 7
</v>
      </c>
      <c r="U193" s="7" t="str">
        <f>INDEX(Detail!$B$1:$B$1001,MATCH(B193,Detail!$G$1:$G$1001,0),1)</f>
        <v>O+</v>
      </c>
    </row>
    <row r="194" spans="1:21" ht="15.75" x14ac:dyDescent="0.25">
      <c r="A194">
        <v>245</v>
      </c>
      <c r="B194" s="3" t="str">
        <f t="shared" si="6"/>
        <v>B0245</v>
      </c>
      <c r="C194" t="s">
        <v>1014</v>
      </c>
      <c r="D194" s="3" t="str">
        <f>VLOOKUP(B194,Detail!$G$1:$H$1001,2,FALSE)</f>
        <v>Bajragin Halimah</v>
      </c>
      <c r="E194">
        <v>69</v>
      </c>
      <c r="F194">
        <v>46</v>
      </c>
      <c r="G194" s="35">
        <v>70</v>
      </c>
      <c r="H194">
        <v>70</v>
      </c>
      <c r="I194">
        <v>63</v>
      </c>
      <c r="J194">
        <v>85</v>
      </c>
      <c r="K194">
        <v>92</v>
      </c>
      <c r="L194" s="26" t="str">
        <f>IFERROR(VLOOKUP(B194,Absen!$A$1:$C$501,2,FALSE),"No")</f>
        <v>No</v>
      </c>
      <c r="M194" s="44">
        <f t="shared" ref="M194:M257" si="7">IF(L194="no",K194,K194-10)*10%</f>
        <v>9.2000000000000011</v>
      </c>
      <c r="N194" s="35">
        <f t="shared" ref="N194:N257" si="8">SUM(E194*12.5%,F194*12.5%,H194*12.5%,I194*12.5%,G194*20%,J194*20%,M194)</f>
        <v>71.2</v>
      </c>
      <c r="O194" t="str">
        <f>VLOOKUP(N194,Helper!$B$30:$C$35,2,TRUE)</f>
        <v>B</v>
      </c>
      <c r="P194" s="26">
        <f>INDEX(Detail!$A$1:$A$1001,MATCH(B194,Detail!$G$1:$G$1001,0))</f>
        <v>37738</v>
      </c>
      <c r="Q194" s="3" t="str">
        <f>INDEX(Detail!$F$1:$F$1001,MATCH(Main!B194,Detail!$G$1:$G$1001,0))</f>
        <v>Jayapura</v>
      </c>
      <c r="R194" s="7">
        <f>INDEX(Detail!$C$1:$C$1001,MATCH(B194,Detail!$G$1:$G$1001,0),1)</f>
        <v>155</v>
      </c>
      <c r="S194" s="7">
        <f>INDEX(Detail!$D$1:$D$1001,MATCH(B194,Detail!$G$1:$G$1001,0),1)</f>
        <v>45</v>
      </c>
      <c r="T194" s="7" t="str">
        <f>INDEX(Detail!$E$1:$E$1001,MATCH(Main!B194,Detail!$G$1:$G$1001,0))</f>
        <v>Gg. Jend. A. Yani No. 47</v>
      </c>
      <c r="U194" s="7" t="str">
        <f>INDEX(Detail!$B$1:$B$1001,MATCH(B194,Detail!$G$1:$G$1001,0),1)</f>
        <v>O+</v>
      </c>
    </row>
    <row r="195" spans="1:21" ht="15.75" x14ac:dyDescent="0.25">
      <c r="A195">
        <v>252</v>
      </c>
      <c r="B195" s="3" t="str">
        <f t="shared" si="6"/>
        <v>B0252</v>
      </c>
      <c r="C195" t="s">
        <v>1014</v>
      </c>
      <c r="D195" s="3" t="str">
        <f>VLOOKUP(B195,Detail!$G$1:$H$1001,2,FALSE)</f>
        <v>Martaka Pudjiastuti</v>
      </c>
      <c r="E195">
        <v>63</v>
      </c>
      <c r="F195">
        <v>73</v>
      </c>
      <c r="G195" s="35">
        <v>79</v>
      </c>
      <c r="H195">
        <v>56</v>
      </c>
      <c r="I195">
        <v>78</v>
      </c>
      <c r="J195">
        <v>95</v>
      </c>
      <c r="K195">
        <v>76</v>
      </c>
      <c r="L195" s="26" t="str">
        <f>IFERROR(VLOOKUP(B195,Absen!$A$1:$C$501,2,FALSE),"No")</f>
        <v>No</v>
      </c>
      <c r="M195" s="44">
        <f t="shared" si="7"/>
        <v>7.6000000000000005</v>
      </c>
      <c r="N195" s="35">
        <f t="shared" si="8"/>
        <v>76.149999999999991</v>
      </c>
      <c r="O195" t="str">
        <f>VLOOKUP(N195,Helper!$B$30:$C$35,2,TRUE)</f>
        <v>B</v>
      </c>
      <c r="P195" s="26">
        <f>INDEX(Detail!$A$1:$A$1001,MATCH(B195,Detail!$G$1:$G$1001,0))</f>
        <v>37751</v>
      </c>
      <c r="Q195" s="3" t="str">
        <f>INDEX(Detail!$F$1:$F$1001,MATCH(Main!B195,Detail!$G$1:$G$1001,0))</f>
        <v>Gorontalo</v>
      </c>
      <c r="R195" s="7">
        <f>INDEX(Detail!$C$1:$C$1001,MATCH(B195,Detail!$G$1:$G$1001,0),1)</f>
        <v>178</v>
      </c>
      <c r="S195" s="7">
        <f>INDEX(Detail!$D$1:$D$1001,MATCH(B195,Detail!$G$1:$G$1001,0),1)</f>
        <v>86</v>
      </c>
      <c r="T195" s="7" t="str">
        <f>INDEX(Detail!$E$1:$E$1001,MATCH(Main!B195,Detail!$G$1:$G$1001,0))</f>
        <v>Gang Ahmad Yani No. 42</v>
      </c>
      <c r="U195" s="7" t="str">
        <f>INDEX(Detail!$B$1:$B$1001,MATCH(B195,Detail!$G$1:$G$1001,0),1)</f>
        <v>B-</v>
      </c>
    </row>
    <row r="196" spans="1:21" ht="15.75" x14ac:dyDescent="0.25">
      <c r="A196">
        <v>268</v>
      </c>
      <c r="B196" s="3" t="str">
        <f t="shared" si="6"/>
        <v>B0268</v>
      </c>
      <c r="C196" t="s">
        <v>1014</v>
      </c>
      <c r="D196" s="3" t="str">
        <f>VLOOKUP(B196,Detail!$G$1:$H$1001,2,FALSE)</f>
        <v>Mursita Puspasari</v>
      </c>
      <c r="E196">
        <v>70</v>
      </c>
      <c r="F196">
        <v>47</v>
      </c>
      <c r="G196" s="35">
        <v>51</v>
      </c>
      <c r="H196">
        <v>50</v>
      </c>
      <c r="I196">
        <v>79</v>
      </c>
      <c r="J196">
        <v>99</v>
      </c>
      <c r="K196">
        <v>94</v>
      </c>
      <c r="L196" s="26">
        <f>IFERROR(VLOOKUP(B196,Absen!$A$1:$C$501,2,FALSE),"No")</f>
        <v>44909</v>
      </c>
      <c r="M196" s="44">
        <f t="shared" si="7"/>
        <v>8.4</v>
      </c>
      <c r="N196" s="35">
        <f t="shared" si="8"/>
        <v>69.150000000000006</v>
      </c>
      <c r="O196" t="str">
        <f>VLOOKUP(N196,Helper!$B$30:$C$35,2,TRUE)</f>
        <v>C</v>
      </c>
      <c r="P196" s="26">
        <f>INDEX(Detail!$A$1:$A$1001,MATCH(B196,Detail!$G$1:$G$1001,0))</f>
        <v>38273</v>
      </c>
      <c r="Q196" s="3" t="str">
        <f>INDEX(Detail!$F$1:$F$1001,MATCH(Main!B196,Detail!$G$1:$G$1001,0))</f>
        <v>Palu</v>
      </c>
      <c r="R196" s="7">
        <f>INDEX(Detail!$C$1:$C$1001,MATCH(B196,Detail!$G$1:$G$1001,0),1)</f>
        <v>180</v>
      </c>
      <c r="S196" s="7">
        <f>INDEX(Detail!$D$1:$D$1001,MATCH(B196,Detail!$G$1:$G$1001,0),1)</f>
        <v>84</v>
      </c>
      <c r="T196" s="7" t="str">
        <f>INDEX(Detail!$E$1:$E$1001,MATCH(Main!B196,Detail!$G$1:$G$1001,0))</f>
        <v>Jalan Wonoayu No. 77</v>
      </c>
      <c r="U196" s="7" t="str">
        <f>INDEX(Detail!$B$1:$B$1001,MATCH(B196,Detail!$G$1:$G$1001,0),1)</f>
        <v>B+</v>
      </c>
    </row>
    <row r="197" spans="1:21" ht="15.75" x14ac:dyDescent="0.25">
      <c r="A197">
        <v>269</v>
      </c>
      <c r="B197" s="3" t="str">
        <f t="shared" si="6"/>
        <v>B0269</v>
      </c>
      <c r="C197" t="s">
        <v>1014</v>
      </c>
      <c r="D197" s="3" t="str">
        <f>VLOOKUP(B197,Detail!$G$1:$H$1001,2,FALSE)</f>
        <v>Cindy Anggriawan</v>
      </c>
      <c r="E197">
        <v>59</v>
      </c>
      <c r="F197">
        <v>71</v>
      </c>
      <c r="G197" s="35">
        <v>87</v>
      </c>
      <c r="H197">
        <v>60</v>
      </c>
      <c r="I197">
        <v>68</v>
      </c>
      <c r="J197">
        <v>45</v>
      </c>
      <c r="K197">
        <v>69</v>
      </c>
      <c r="L197" s="26" t="str">
        <f>IFERROR(VLOOKUP(B197,Absen!$A$1:$C$501,2,FALSE),"No")</f>
        <v>No</v>
      </c>
      <c r="M197" s="44">
        <f t="shared" si="7"/>
        <v>6.9</v>
      </c>
      <c r="N197" s="35">
        <f t="shared" si="8"/>
        <v>65.550000000000011</v>
      </c>
      <c r="O197" t="str">
        <f>VLOOKUP(N197,Helper!$B$30:$C$35,2,TRUE)</f>
        <v>C</v>
      </c>
      <c r="P197" s="26">
        <f>INDEX(Detail!$A$1:$A$1001,MATCH(B197,Detail!$G$1:$G$1001,0))</f>
        <v>37012</v>
      </c>
      <c r="Q197" s="3" t="str">
        <f>INDEX(Detail!$F$1:$F$1001,MATCH(Main!B197,Detail!$G$1:$G$1001,0))</f>
        <v>Medan</v>
      </c>
      <c r="R197" s="7">
        <f>INDEX(Detail!$C$1:$C$1001,MATCH(B197,Detail!$G$1:$G$1001,0),1)</f>
        <v>177</v>
      </c>
      <c r="S197" s="7">
        <f>INDEX(Detail!$D$1:$D$1001,MATCH(B197,Detail!$G$1:$G$1001,0),1)</f>
        <v>87</v>
      </c>
      <c r="T197" s="7" t="str">
        <f>INDEX(Detail!$E$1:$E$1001,MATCH(Main!B197,Detail!$G$1:$G$1001,0))</f>
        <v xml:space="preserve">Jl. Jakarta No. 3
</v>
      </c>
      <c r="U197" s="7" t="str">
        <f>INDEX(Detail!$B$1:$B$1001,MATCH(B197,Detail!$G$1:$G$1001,0),1)</f>
        <v>O+</v>
      </c>
    </row>
    <row r="198" spans="1:21" ht="15.75" x14ac:dyDescent="0.25">
      <c r="A198">
        <v>280</v>
      </c>
      <c r="B198" s="3" t="str">
        <f t="shared" si="6"/>
        <v>B0280</v>
      </c>
      <c r="C198" t="s">
        <v>1014</v>
      </c>
      <c r="D198" s="3" t="str">
        <f>VLOOKUP(B198,Detail!$G$1:$H$1001,2,FALSE)</f>
        <v>Jayadi Tampubolon</v>
      </c>
      <c r="E198">
        <v>62</v>
      </c>
      <c r="F198">
        <v>46</v>
      </c>
      <c r="G198" s="35">
        <v>73</v>
      </c>
      <c r="H198">
        <v>67</v>
      </c>
      <c r="I198">
        <v>94</v>
      </c>
      <c r="J198">
        <v>75</v>
      </c>
      <c r="K198">
        <v>91</v>
      </c>
      <c r="L198" s="26" t="str">
        <f>IFERROR(VLOOKUP(B198,Absen!$A$1:$C$501,2,FALSE),"No")</f>
        <v>No</v>
      </c>
      <c r="M198" s="44">
        <f t="shared" si="7"/>
        <v>9.1</v>
      </c>
      <c r="N198" s="35">
        <f t="shared" si="8"/>
        <v>72.325000000000003</v>
      </c>
      <c r="O198" t="str">
        <f>VLOOKUP(N198,Helper!$B$30:$C$35,2,TRUE)</f>
        <v>B</v>
      </c>
      <c r="P198" s="26">
        <f>INDEX(Detail!$A$1:$A$1001,MATCH(B198,Detail!$G$1:$G$1001,0))</f>
        <v>37243</v>
      </c>
      <c r="Q198" s="3" t="str">
        <f>INDEX(Detail!$F$1:$F$1001,MATCH(Main!B198,Detail!$G$1:$G$1001,0))</f>
        <v>Singkawang</v>
      </c>
      <c r="R198" s="7">
        <f>INDEX(Detail!$C$1:$C$1001,MATCH(B198,Detail!$G$1:$G$1001,0),1)</f>
        <v>180</v>
      </c>
      <c r="S198" s="7">
        <f>INDEX(Detail!$D$1:$D$1001,MATCH(B198,Detail!$G$1:$G$1001,0),1)</f>
        <v>67</v>
      </c>
      <c r="T198" s="7" t="str">
        <f>INDEX(Detail!$E$1:$E$1001,MATCH(Main!B198,Detail!$G$1:$G$1001,0))</f>
        <v>Jl. Ronggowarsito No. 02</v>
      </c>
      <c r="U198" s="7" t="str">
        <f>INDEX(Detail!$B$1:$B$1001,MATCH(B198,Detail!$G$1:$G$1001,0),1)</f>
        <v>AB+</v>
      </c>
    </row>
    <row r="199" spans="1:21" ht="15.75" x14ac:dyDescent="0.25">
      <c r="A199">
        <v>295</v>
      </c>
      <c r="B199" s="3" t="str">
        <f t="shared" si="6"/>
        <v>B0295</v>
      </c>
      <c r="C199" t="s">
        <v>1014</v>
      </c>
      <c r="D199" s="3" t="str">
        <f>VLOOKUP(B199,Detail!$G$1:$H$1001,2,FALSE)</f>
        <v>Mariadi Wulandari</v>
      </c>
      <c r="E199">
        <v>50</v>
      </c>
      <c r="F199">
        <v>59</v>
      </c>
      <c r="G199" s="35">
        <v>35</v>
      </c>
      <c r="H199">
        <v>59</v>
      </c>
      <c r="I199">
        <v>56</v>
      </c>
      <c r="J199">
        <v>66</v>
      </c>
      <c r="K199">
        <v>100</v>
      </c>
      <c r="L199" s="26" t="str">
        <f>IFERROR(VLOOKUP(B199,Absen!$A$1:$C$501,2,FALSE),"No")</f>
        <v>No</v>
      </c>
      <c r="M199" s="44">
        <f t="shared" si="7"/>
        <v>10</v>
      </c>
      <c r="N199" s="35">
        <f t="shared" si="8"/>
        <v>58.2</v>
      </c>
      <c r="O199" t="str">
        <f>VLOOKUP(N199,Helper!$B$30:$C$35,2,TRUE)</f>
        <v>D</v>
      </c>
      <c r="P199" s="26">
        <f>INDEX(Detail!$A$1:$A$1001,MATCH(B199,Detail!$G$1:$G$1001,0))</f>
        <v>37779</v>
      </c>
      <c r="Q199" s="3" t="str">
        <f>INDEX(Detail!$F$1:$F$1001,MATCH(Main!B199,Detail!$G$1:$G$1001,0))</f>
        <v>Tangerang</v>
      </c>
      <c r="R199" s="7">
        <f>INDEX(Detail!$C$1:$C$1001,MATCH(B199,Detail!$G$1:$G$1001,0),1)</f>
        <v>151</v>
      </c>
      <c r="S199" s="7">
        <f>INDEX(Detail!$D$1:$D$1001,MATCH(B199,Detail!$G$1:$G$1001,0),1)</f>
        <v>88</v>
      </c>
      <c r="T199" s="7" t="str">
        <f>INDEX(Detail!$E$1:$E$1001,MATCH(Main!B199,Detail!$G$1:$G$1001,0))</f>
        <v>Jalan Bangka Raya No. 33</v>
      </c>
      <c r="U199" s="7" t="str">
        <f>INDEX(Detail!$B$1:$B$1001,MATCH(B199,Detail!$G$1:$G$1001,0),1)</f>
        <v>B-</v>
      </c>
    </row>
    <row r="200" spans="1:21" ht="15.75" x14ac:dyDescent="0.25">
      <c r="A200">
        <v>311</v>
      </c>
      <c r="B200" s="3" t="str">
        <f t="shared" si="6"/>
        <v>B0311</v>
      </c>
      <c r="C200" t="s">
        <v>1014</v>
      </c>
      <c r="D200" s="3" t="str">
        <f>VLOOKUP(B200,Detail!$G$1:$H$1001,2,FALSE)</f>
        <v>Irnanto Fujiati</v>
      </c>
      <c r="E200">
        <v>52</v>
      </c>
      <c r="F200">
        <v>74</v>
      </c>
      <c r="G200" s="35">
        <v>72</v>
      </c>
      <c r="H200">
        <v>61</v>
      </c>
      <c r="I200">
        <v>50</v>
      </c>
      <c r="J200">
        <v>89</v>
      </c>
      <c r="K200">
        <v>85</v>
      </c>
      <c r="L200" s="26" t="str">
        <f>IFERROR(VLOOKUP(B200,Absen!$A$1:$C$501,2,FALSE),"No")</f>
        <v>No</v>
      </c>
      <c r="M200" s="44">
        <f t="shared" si="7"/>
        <v>8.5</v>
      </c>
      <c r="N200" s="35">
        <f t="shared" si="8"/>
        <v>70.325000000000003</v>
      </c>
      <c r="O200" t="str">
        <f>VLOOKUP(N200,Helper!$B$30:$C$35,2,TRUE)</f>
        <v>B</v>
      </c>
      <c r="P200" s="26">
        <f>INDEX(Detail!$A$1:$A$1001,MATCH(B200,Detail!$G$1:$G$1001,0))</f>
        <v>37845</v>
      </c>
      <c r="Q200" s="3" t="str">
        <f>INDEX(Detail!$F$1:$F$1001,MATCH(Main!B200,Detail!$G$1:$G$1001,0))</f>
        <v>Pariaman</v>
      </c>
      <c r="R200" s="7">
        <f>INDEX(Detail!$C$1:$C$1001,MATCH(B200,Detail!$G$1:$G$1001,0),1)</f>
        <v>180</v>
      </c>
      <c r="S200" s="7">
        <f>INDEX(Detail!$D$1:$D$1001,MATCH(B200,Detail!$G$1:$G$1001,0),1)</f>
        <v>47</v>
      </c>
      <c r="T200" s="7" t="str">
        <f>INDEX(Detail!$E$1:$E$1001,MATCH(Main!B200,Detail!$G$1:$G$1001,0))</f>
        <v>Jalan Ciwastra No. 53</v>
      </c>
      <c r="U200" s="7" t="str">
        <f>INDEX(Detail!$B$1:$B$1001,MATCH(B200,Detail!$G$1:$G$1001,0),1)</f>
        <v>B-</v>
      </c>
    </row>
    <row r="201" spans="1:21" ht="15.75" x14ac:dyDescent="0.25">
      <c r="A201">
        <v>331</v>
      </c>
      <c r="B201" s="3" t="str">
        <f t="shared" si="6"/>
        <v>B0331</v>
      </c>
      <c r="C201" t="s">
        <v>1014</v>
      </c>
      <c r="D201" s="3" t="str">
        <f>VLOOKUP(B201,Detail!$G$1:$H$1001,2,FALSE)</f>
        <v>Yoga Hakim</v>
      </c>
      <c r="E201">
        <v>89</v>
      </c>
      <c r="F201">
        <v>73</v>
      </c>
      <c r="G201" s="35">
        <v>32</v>
      </c>
      <c r="H201">
        <v>75</v>
      </c>
      <c r="I201">
        <v>89</v>
      </c>
      <c r="J201">
        <v>100</v>
      </c>
      <c r="K201">
        <v>93</v>
      </c>
      <c r="L201" s="26" t="str">
        <f>IFERROR(VLOOKUP(B201,Absen!$A$1:$C$501,2,FALSE),"No")</f>
        <v>No</v>
      </c>
      <c r="M201" s="44">
        <f t="shared" si="7"/>
        <v>9.3000000000000007</v>
      </c>
      <c r="N201" s="35">
        <f t="shared" si="8"/>
        <v>76.45</v>
      </c>
      <c r="O201" t="str">
        <f>VLOOKUP(N201,Helper!$B$30:$C$35,2,TRUE)</f>
        <v>B</v>
      </c>
      <c r="P201" s="26">
        <f>INDEX(Detail!$A$1:$A$1001,MATCH(B201,Detail!$G$1:$G$1001,0))</f>
        <v>37777</v>
      </c>
      <c r="Q201" s="3" t="str">
        <f>INDEX(Detail!$F$1:$F$1001,MATCH(Main!B201,Detail!$G$1:$G$1001,0))</f>
        <v>Bima</v>
      </c>
      <c r="R201" s="7">
        <f>INDEX(Detail!$C$1:$C$1001,MATCH(B201,Detail!$G$1:$G$1001,0),1)</f>
        <v>157</v>
      </c>
      <c r="S201" s="7">
        <f>INDEX(Detail!$D$1:$D$1001,MATCH(B201,Detail!$G$1:$G$1001,0),1)</f>
        <v>68</v>
      </c>
      <c r="T201" s="7" t="str">
        <f>INDEX(Detail!$E$1:$E$1001,MATCH(Main!B201,Detail!$G$1:$G$1001,0))</f>
        <v>Gang Tubagus Ismail No. 63</v>
      </c>
      <c r="U201" s="7" t="str">
        <f>INDEX(Detail!$B$1:$B$1001,MATCH(B201,Detail!$G$1:$G$1001,0),1)</f>
        <v>O+</v>
      </c>
    </row>
    <row r="202" spans="1:21" ht="15.75" x14ac:dyDescent="0.25">
      <c r="A202">
        <v>336</v>
      </c>
      <c r="B202" s="3" t="str">
        <f t="shared" si="6"/>
        <v>B0336</v>
      </c>
      <c r="C202" t="s">
        <v>1014</v>
      </c>
      <c r="D202" s="3" t="str">
        <f>VLOOKUP(B202,Detail!$G$1:$H$1001,2,FALSE)</f>
        <v>Kardi Mardhiyah</v>
      </c>
      <c r="E202">
        <v>77</v>
      </c>
      <c r="F202">
        <v>50</v>
      </c>
      <c r="G202" s="35">
        <v>59</v>
      </c>
      <c r="H202">
        <v>73</v>
      </c>
      <c r="I202">
        <v>59</v>
      </c>
      <c r="J202">
        <v>48</v>
      </c>
      <c r="K202">
        <v>85</v>
      </c>
      <c r="L202" s="26">
        <f>IFERROR(VLOOKUP(B202,Absen!$A$1:$C$501,2,FALSE),"No")</f>
        <v>44801</v>
      </c>
      <c r="M202" s="44">
        <f t="shared" si="7"/>
        <v>7.5</v>
      </c>
      <c r="N202" s="35">
        <f t="shared" si="8"/>
        <v>61.274999999999999</v>
      </c>
      <c r="O202" t="str">
        <f>VLOOKUP(N202,Helper!$B$30:$C$35,2,TRUE)</f>
        <v>C</v>
      </c>
      <c r="P202" s="26">
        <f>INDEX(Detail!$A$1:$A$1001,MATCH(B202,Detail!$G$1:$G$1001,0))</f>
        <v>37454</v>
      </c>
      <c r="Q202" s="3" t="str">
        <f>INDEX(Detail!$F$1:$F$1001,MATCH(Main!B202,Detail!$G$1:$G$1001,0))</f>
        <v>Bengkulu</v>
      </c>
      <c r="R202" s="7">
        <f>INDEX(Detail!$C$1:$C$1001,MATCH(B202,Detail!$G$1:$G$1001,0),1)</f>
        <v>167</v>
      </c>
      <c r="S202" s="7">
        <f>INDEX(Detail!$D$1:$D$1001,MATCH(B202,Detail!$G$1:$G$1001,0),1)</f>
        <v>52</v>
      </c>
      <c r="T202" s="7" t="str">
        <f>INDEX(Detail!$E$1:$E$1001,MATCH(Main!B202,Detail!$G$1:$G$1001,0))</f>
        <v>Jalan Cihampelas No. 17</v>
      </c>
      <c r="U202" s="7" t="str">
        <f>INDEX(Detail!$B$1:$B$1001,MATCH(B202,Detail!$G$1:$G$1001,0),1)</f>
        <v>O+</v>
      </c>
    </row>
    <row r="203" spans="1:21" ht="15.75" x14ac:dyDescent="0.25">
      <c r="A203">
        <v>343</v>
      </c>
      <c r="B203" s="3" t="str">
        <f t="shared" si="6"/>
        <v>B0343</v>
      </c>
      <c r="C203" t="s">
        <v>1014</v>
      </c>
      <c r="D203" s="3" t="str">
        <f>VLOOKUP(B203,Detail!$G$1:$H$1001,2,FALSE)</f>
        <v>Yulia Puspita</v>
      </c>
      <c r="E203">
        <v>64</v>
      </c>
      <c r="F203">
        <v>72</v>
      </c>
      <c r="G203" s="35">
        <v>85</v>
      </c>
      <c r="H203">
        <v>71</v>
      </c>
      <c r="I203">
        <v>81</v>
      </c>
      <c r="J203">
        <v>97</v>
      </c>
      <c r="K203">
        <v>99</v>
      </c>
      <c r="L203" s="26">
        <f>IFERROR(VLOOKUP(B203,Absen!$A$1:$C$501,2,FALSE),"No")</f>
        <v>44786</v>
      </c>
      <c r="M203" s="44">
        <f t="shared" si="7"/>
        <v>8.9</v>
      </c>
      <c r="N203" s="35">
        <f t="shared" si="8"/>
        <v>81.300000000000011</v>
      </c>
      <c r="O203" t="str">
        <f>VLOOKUP(N203,Helper!$B$30:$C$35,2,TRUE)</f>
        <v>A</v>
      </c>
      <c r="P203" s="26">
        <f>INDEX(Detail!$A$1:$A$1001,MATCH(B203,Detail!$G$1:$G$1001,0))</f>
        <v>37609</v>
      </c>
      <c r="Q203" s="3" t="str">
        <f>INDEX(Detail!$F$1:$F$1001,MATCH(Main!B203,Detail!$G$1:$G$1001,0))</f>
        <v>Kendari</v>
      </c>
      <c r="R203" s="7">
        <f>INDEX(Detail!$C$1:$C$1001,MATCH(B203,Detail!$G$1:$G$1001,0),1)</f>
        <v>160</v>
      </c>
      <c r="S203" s="7">
        <f>INDEX(Detail!$D$1:$D$1001,MATCH(B203,Detail!$G$1:$G$1001,0),1)</f>
        <v>94</v>
      </c>
      <c r="T203" s="7" t="str">
        <f>INDEX(Detail!$E$1:$E$1001,MATCH(Main!B203,Detail!$G$1:$G$1001,0))</f>
        <v xml:space="preserve">Jalan Ciwastra No. 4
</v>
      </c>
      <c r="U203" s="7" t="str">
        <f>INDEX(Detail!$B$1:$B$1001,MATCH(B203,Detail!$G$1:$G$1001,0),1)</f>
        <v>AB+</v>
      </c>
    </row>
    <row r="204" spans="1:21" ht="15.75" x14ac:dyDescent="0.25">
      <c r="A204">
        <v>351</v>
      </c>
      <c r="B204" s="3" t="str">
        <f t="shared" si="6"/>
        <v>B0351</v>
      </c>
      <c r="C204" t="s">
        <v>1014</v>
      </c>
      <c r="D204" s="3" t="str">
        <f>VLOOKUP(B204,Detail!$G$1:$H$1001,2,FALSE)</f>
        <v>Bagus Namaga</v>
      </c>
      <c r="E204">
        <v>90</v>
      </c>
      <c r="F204">
        <v>40</v>
      </c>
      <c r="G204" s="35">
        <v>92</v>
      </c>
      <c r="H204">
        <v>60</v>
      </c>
      <c r="I204">
        <v>68</v>
      </c>
      <c r="J204">
        <v>74</v>
      </c>
      <c r="K204">
        <v>67</v>
      </c>
      <c r="L204" s="26" t="str">
        <f>IFERROR(VLOOKUP(B204,Absen!$A$1:$C$501,2,FALSE),"No")</f>
        <v>No</v>
      </c>
      <c r="M204" s="44">
        <f t="shared" si="7"/>
        <v>6.7</v>
      </c>
      <c r="N204" s="35">
        <f t="shared" si="8"/>
        <v>72.150000000000006</v>
      </c>
      <c r="O204" t="str">
        <f>VLOOKUP(N204,Helper!$B$30:$C$35,2,TRUE)</f>
        <v>B</v>
      </c>
      <c r="P204" s="26">
        <f>INDEX(Detail!$A$1:$A$1001,MATCH(B204,Detail!$G$1:$G$1001,0))</f>
        <v>37771</v>
      </c>
      <c r="Q204" s="3" t="str">
        <f>INDEX(Detail!$F$1:$F$1001,MATCH(Main!B204,Detail!$G$1:$G$1001,0))</f>
        <v>Lhokseumawe</v>
      </c>
      <c r="R204" s="7">
        <f>INDEX(Detail!$C$1:$C$1001,MATCH(B204,Detail!$G$1:$G$1001,0),1)</f>
        <v>168</v>
      </c>
      <c r="S204" s="7">
        <f>INDEX(Detail!$D$1:$D$1001,MATCH(B204,Detail!$G$1:$G$1001,0),1)</f>
        <v>51</v>
      </c>
      <c r="T204" s="7" t="str">
        <f>INDEX(Detail!$E$1:$E$1001,MATCH(Main!B204,Detail!$G$1:$G$1001,0))</f>
        <v xml:space="preserve">Jl. Kutai No. 6
</v>
      </c>
      <c r="U204" s="7" t="str">
        <f>INDEX(Detail!$B$1:$B$1001,MATCH(B204,Detail!$G$1:$G$1001,0),1)</f>
        <v>A-</v>
      </c>
    </row>
    <row r="205" spans="1:21" ht="15.75" x14ac:dyDescent="0.25">
      <c r="A205">
        <v>352</v>
      </c>
      <c r="B205" s="3" t="str">
        <f t="shared" si="6"/>
        <v>B0352</v>
      </c>
      <c r="C205" t="s">
        <v>1014</v>
      </c>
      <c r="D205" s="3" t="str">
        <f>VLOOKUP(B205,Detail!$G$1:$H$1001,2,FALSE)</f>
        <v>Reksa Januar</v>
      </c>
      <c r="E205">
        <v>60</v>
      </c>
      <c r="F205">
        <v>66</v>
      </c>
      <c r="G205" s="35">
        <v>84</v>
      </c>
      <c r="H205">
        <v>60</v>
      </c>
      <c r="I205">
        <v>52</v>
      </c>
      <c r="J205">
        <v>63</v>
      </c>
      <c r="K205">
        <v>93</v>
      </c>
      <c r="L205" s="26" t="str">
        <f>IFERROR(VLOOKUP(B205,Absen!$A$1:$C$501,2,FALSE),"No")</f>
        <v>No</v>
      </c>
      <c r="M205" s="44">
        <f t="shared" si="7"/>
        <v>9.3000000000000007</v>
      </c>
      <c r="N205" s="35">
        <f t="shared" si="8"/>
        <v>68.45</v>
      </c>
      <c r="O205" t="str">
        <f>VLOOKUP(N205,Helper!$B$30:$C$35,2,TRUE)</f>
        <v>C</v>
      </c>
      <c r="P205" s="26">
        <f>INDEX(Detail!$A$1:$A$1001,MATCH(B205,Detail!$G$1:$G$1001,0))</f>
        <v>37690</v>
      </c>
      <c r="Q205" s="3" t="str">
        <f>INDEX(Detail!$F$1:$F$1001,MATCH(Main!B205,Detail!$G$1:$G$1001,0))</f>
        <v>Tanjungpinang</v>
      </c>
      <c r="R205" s="7">
        <f>INDEX(Detail!$C$1:$C$1001,MATCH(B205,Detail!$G$1:$G$1001,0),1)</f>
        <v>170</v>
      </c>
      <c r="S205" s="7">
        <f>INDEX(Detail!$D$1:$D$1001,MATCH(B205,Detail!$G$1:$G$1001,0),1)</f>
        <v>63</v>
      </c>
      <c r="T205" s="7" t="str">
        <f>INDEX(Detail!$E$1:$E$1001,MATCH(Main!B205,Detail!$G$1:$G$1001,0))</f>
        <v>Jalan Merdeka No. 87</v>
      </c>
      <c r="U205" s="7" t="str">
        <f>INDEX(Detail!$B$1:$B$1001,MATCH(B205,Detail!$G$1:$G$1001,0),1)</f>
        <v>A+</v>
      </c>
    </row>
    <row r="206" spans="1:21" ht="15.75" x14ac:dyDescent="0.25">
      <c r="A206">
        <v>371</v>
      </c>
      <c r="B206" s="3" t="str">
        <f t="shared" si="6"/>
        <v>B0371</v>
      </c>
      <c r="C206" t="s">
        <v>1014</v>
      </c>
      <c r="D206" s="3" t="str">
        <f>VLOOKUP(B206,Detail!$G$1:$H$1001,2,FALSE)</f>
        <v>Slamet Marpaung</v>
      </c>
      <c r="E206">
        <v>68</v>
      </c>
      <c r="F206">
        <v>51</v>
      </c>
      <c r="G206" s="35">
        <v>79</v>
      </c>
      <c r="H206">
        <v>73</v>
      </c>
      <c r="I206">
        <v>55</v>
      </c>
      <c r="J206">
        <v>53</v>
      </c>
      <c r="K206">
        <v>82</v>
      </c>
      <c r="L206" s="26" t="str">
        <f>IFERROR(VLOOKUP(B206,Absen!$A$1:$C$501,2,FALSE),"No")</f>
        <v>No</v>
      </c>
      <c r="M206" s="44">
        <f t="shared" si="7"/>
        <v>8.2000000000000011</v>
      </c>
      <c r="N206" s="35">
        <f t="shared" si="8"/>
        <v>65.474999999999994</v>
      </c>
      <c r="O206" t="str">
        <f>VLOOKUP(N206,Helper!$B$30:$C$35,2,TRUE)</f>
        <v>C</v>
      </c>
      <c r="P206" s="26">
        <f>INDEX(Detail!$A$1:$A$1001,MATCH(B206,Detail!$G$1:$G$1001,0))</f>
        <v>37921</v>
      </c>
      <c r="Q206" s="3" t="str">
        <f>INDEX(Detail!$F$1:$F$1001,MATCH(Main!B206,Detail!$G$1:$G$1001,0))</f>
        <v>Tasikmalaya</v>
      </c>
      <c r="R206" s="7">
        <f>INDEX(Detail!$C$1:$C$1001,MATCH(B206,Detail!$G$1:$G$1001,0),1)</f>
        <v>168</v>
      </c>
      <c r="S206" s="7">
        <f>INDEX(Detail!$D$1:$D$1001,MATCH(B206,Detail!$G$1:$G$1001,0),1)</f>
        <v>67</v>
      </c>
      <c r="T206" s="7" t="str">
        <f>INDEX(Detail!$E$1:$E$1001,MATCH(Main!B206,Detail!$G$1:$G$1001,0))</f>
        <v>Jl. Jend. A. Yani No. 60</v>
      </c>
      <c r="U206" s="7" t="str">
        <f>INDEX(Detail!$B$1:$B$1001,MATCH(B206,Detail!$G$1:$G$1001,0),1)</f>
        <v>B-</v>
      </c>
    </row>
    <row r="207" spans="1:21" ht="15.75" x14ac:dyDescent="0.25">
      <c r="A207">
        <v>377</v>
      </c>
      <c r="B207" s="3" t="str">
        <f t="shared" si="6"/>
        <v>B0377</v>
      </c>
      <c r="C207" t="s">
        <v>1014</v>
      </c>
      <c r="D207" s="3" t="str">
        <f>VLOOKUP(B207,Detail!$G$1:$H$1001,2,FALSE)</f>
        <v>Martani Puspita</v>
      </c>
      <c r="E207">
        <v>76</v>
      </c>
      <c r="F207">
        <v>52</v>
      </c>
      <c r="G207" s="35">
        <v>88</v>
      </c>
      <c r="H207">
        <v>66</v>
      </c>
      <c r="I207">
        <v>92</v>
      </c>
      <c r="J207">
        <v>74</v>
      </c>
      <c r="K207">
        <v>74</v>
      </c>
      <c r="L207" s="26">
        <f>IFERROR(VLOOKUP(B207,Absen!$A$1:$C$501,2,FALSE),"No")</f>
        <v>44840</v>
      </c>
      <c r="M207" s="44">
        <f t="shared" si="7"/>
        <v>6.4</v>
      </c>
      <c r="N207" s="35">
        <f t="shared" si="8"/>
        <v>74.550000000000011</v>
      </c>
      <c r="O207" t="str">
        <f>VLOOKUP(N207,Helper!$B$30:$C$35,2,TRUE)</f>
        <v>B</v>
      </c>
      <c r="P207" s="26">
        <f>INDEX(Detail!$A$1:$A$1001,MATCH(B207,Detail!$G$1:$G$1001,0))</f>
        <v>37041</v>
      </c>
      <c r="Q207" s="3" t="str">
        <f>INDEX(Detail!$F$1:$F$1001,MATCH(Main!B207,Detail!$G$1:$G$1001,0))</f>
        <v>Pematangsiantar</v>
      </c>
      <c r="R207" s="7">
        <f>INDEX(Detail!$C$1:$C$1001,MATCH(B207,Detail!$G$1:$G$1001,0),1)</f>
        <v>153</v>
      </c>
      <c r="S207" s="7">
        <f>INDEX(Detail!$D$1:$D$1001,MATCH(B207,Detail!$G$1:$G$1001,0),1)</f>
        <v>52</v>
      </c>
      <c r="T207" s="7" t="str">
        <f>INDEX(Detail!$E$1:$E$1001,MATCH(Main!B207,Detail!$G$1:$G$1001,0))</f>
        <v xml:space="preserve">Jl. Jend. Sudirman No. 5
</v>
      </c>
      <c r="U207" s="7" t="str">
        <f>INDEX(Detail!$B$1:$B$1001,MATCH(B207,Detail!$G$1:$G$1001,0),1)</f>
        <v>O-</v>
      </c>
    </row>
    <row r="208" spans="1:21" ht="15.75" x14ac:dyDescent="0.25">
      <c r="A208">
        <v>389</v>
      </c>
      <c r="B208" s="3" t="str">
        <f t="shared" si="6"/>
        <v>B0389</v>
      </c>
      <c r="C208" t="s">
        <v>1014</v>
      </c>
      <c r="D208" s="3" t="str">
        <f>VLOOKUP(B208,Detail!$G$1:$H$1001,2,FALSE)</f>
        <v>Oman Mardhiyah</v>
      </c>
      <c r="E208">
        <v>62</v>
      </c>
      <c r="F208">
        <v>65</v>
      </c>
      <c r="G208" s="35">
        <v>55</v>
      </c>
      <c r="H208">
        <v>68</v>
      </c>
      <c r="I208">
        <v>82</v>
      </c>
      <c r="J208">
        <v>100</v>
      </c>
      <c r="K208">
        <v>61</v>
      </c>
      <c r="L208" s="26" t="str">
        <f>IFERROR(VLOOKUP(B208,Absen!$A$1:$C$501,2,FALSE),"No")</f>
        <v>No</v>
      </c>
      <c r="M208" s="44">
        <f t="shared" si="7"/>
        <v>6.1000000000000005</v>
      </c>
      <c r="N208" s="35">
        <f t="shared" si="8"/>
        <v>71.724999999999994</v>
      </c>
      <c r="O208" t="str">
        <f>VLOOKUP(N208,Helper!$B$30:$C$35,2,TRUE)</f>
        <v>B</v>
      </c>
      <c r="P208" s="26">
        <f>INDEX(Detail!$A$1:$A$1001,MATCH(B208,Detail!$G$1:$G$1001,0))</f>
        <v>38048</v>
      </c>
      <c r="Q208" s="3" t="str">
        <f>INDEX(Detail!$F$1:$F$1001,MATCH(Main!B208,Detail!$G$1:$G$1001,0))</f>
        <v>Tual</v>
      </c>
      <c r="R208" s="7">
        <f>INDEX(Detail!$C$1:$C$1001,MATCH(B208,Detail!$G$1:$G$1001,0),1)</f>
        <v>165</v>
      </c>
      <c r="S208" s="7">
        <f>INDEX(Detail!$D$1:$D$1001,MATCH(B208,Detail!$G$1:$G$1001,0),1)</f>
        <v>75</v>
      </c>
      <c r="T208" s="7" t="str">
        <f>INDEX(Detail!$E$1:$E$1001,MATCH(Main!B208,Detail!$G$1:$G$1001,0))</f>
        <v>Gg. W.R. Supratman No. 94</v>
      </c>
      <c r="U208" s="7" t="str">
        <f>INDEX(Detail!$B$1:$B$1001,MATCH(B208,Detail!$G$1:$G$1001,0),1)</f>
        <v>O-</v>
      </c>
    </row>
    <row r="209" spans="1:21" ht="15.75" x14ac:dyDescent="0.25">
      <c r="A209">
        <v>411</v>
      </c>
      <c r="B209" s="3" t="str">
        <f t="shared" si="6"/>
        <v>B0411</v>
      </c>
      <c r="C209" t="s">
        <v>1014</v>
      </c>
      <c r="D209" s="3" t="str">
        <f>VLOOKUP(B209,Detail!$G$1:$H$1001,2,FALSE)</f>
        <v>Kayla Hartati</v>
      </c>
      <c r="E209">
        <v>65</v>
      </c>
      <c r="F209">
        <v>72</v>
      </c>
      <c r="G209" s="35">
        <v>31</v>
      </c>
      <c r="H209">
        <v>53</v>
      </c>
      <c r="I209">
        <v>81</v>
      </c>
      <c r="J209">
        <v>71</v>
      </c>
      <c r="K209">
        <v>91</v>
      </c>
      <c r="L209" s="26">
        <f>IFERROR(VLOOKUP(B209,Absen!$A$1:$C$501,2,FALSE),"No")</f>
        <v>44884</v>
      </c>
      <c r="M209" s="44">
        <f t="shared" si="7"/>
        <v>8.1</v>
      </c>
      <c r="N209" s="35">
        <f t="shared" si="8"/>
        <v>62.375000000000007</v>
      </c>
      <c r="O209" t="str">
        <f>VLOOKUP(N209,Helper!$B$30:$C$35,2,TRUE)</f>
        <v>C</v>
      </c>
      <c r="P209" s="26">
        <f>INDEX(Detail!$A$1:$A$1001,MATCH(B209,Detail!$G$1:$G$1001,0))</f>
        <v>37469</v>
      </c>
      <c r="Q209" s="3" t="str">
        <f>INDEX(Detail!$F$1:$F$1001,MATCH(Main!B209,Detail!$G$1:$G$1001,0))</f>
        <v>Solok</v>
      </c>
      <c r="R209" s="7">
        <f>INDEX(Detail!$C$1:$C$1001,MATCH(B209,Detail!$G$1:$G$1001,0),1)</f>
        <v>173</v>
      </c>
      <c r="S209" s="7">
        <f>INDEX(Detail!$D$1:$D$1001,MATCH(B209,Detail!$G$1:$G$1001,0),1)</f>
        <v>60</v>
      </c>
      <c r="T209" s="7" t="str">
        <f>INDEX(Detail!$E$1:$E$1001,MATCH(Main!B209,Detail!$G$1:$G$1001,0))</f>
        <v>Jl. Kiaracondong No. 07</v>
      </c>
      <c r="U209" s="7" t="str">
        <f>INDEX(Detail!$B$1:$B$1001,MATCH(B209,Detail!$G$1:$G$1001,0),1)</f>
        <v>B+</v>
      </c>
    </row>
    <row r="210" spans="1:21" ht="15.75" x14ac:dyDescent="0.25">
      <c r="A210">
        <v>416</v>
      </c>
      <c r="B210" s="3" t="str">
        <f t="shared" si="6"/>
        <v>B0416</v>
      </c>
      <c r="C210" t="s">
        <v>1014</v>
      </c>
      <c r="D210" s="3" t="str">
        <f>VLOOKUP(B210,Detail!$G$1:$H$1001,2,FALSE)</f>
        <v>Rizki Puspita</v>
      </c>
      <c r="E210">
        <v>55</v>
      </c>
      <c r="F210">
        <v>62</v>
      </c>
      <c r="G210" s="35">
        <v>88</v>
      </c>
      <c r="H210">
        <v>64</v>
      </c>
      <c r="I210">
        <v>59</v>
      </c>
      <c r="J210">
        <v>41</v>
      </c>
      <c r="K210">
        <v>77</v>
      </c>
      <c r="L210" s="26" t="str">
        <f>IFERROR(VLOOKUP(B210,Absen!$A$1:$C$501,2,FALSE),"No")</f>
        <v>No</v>
      </c>
      <c r="M210" s="44">
        <f t="shared" si="7"/>
        <v>7.7</v>
      </c>
      <c r="N210" s="35">
        <f t="shared" si="8"/>
        <v>63.500000000000007</v>
      </c>
      <c r="O210" t="str">
        <f>VLOOKUP(N210,Helper!$B$30:$C$35,2,TRUE)</f>
        <v>C</v>
      </c>
      <c r="P210" s="26">
        <f>INDEX(Detail!$A$1:$A$1001,MATCH(B210,Detail!$G$1:$G$1001,0))</f>
        <v>37267</v>
      </c>
      <c r="Q210" s="3" t="str">
        <f>INDEX(Detail!$F$1:$F$1001,MATCH(Main!B210,Detail!$G$1:$G$1001,0))</f>
        <v>Salatiga</v>
      </c>
      <c r="R210" s="7">
        <f>INDEX(Detail!$C$1:$C$1001,MATCH(B210,Detail!$G$1:$G$1001,0),1)</f>
        <v>151</v>
      </c>
      <c r="S210" s="7">
        <f>INDEX(Detail!$D$1:$D$1001,MATCH(B210,Detail!$G$1:$G$1001,0),1)</f>
        <v>84</v>
      </c>
      <c r="T210" s="7" t="str">
        <f>INDEX(Detail!$E$1:$E$1001,MATCH(Main!B210,Detail!$G$1:$G$1001,0))</f>
        <v>Gang Moch. Ramdan No. 47</v>
      </c>
      <c r="U210" s="7" t="str">
        <f>INDEX(Detail!$B$1:$B$1001,MATCH(B210,Detail!$G$1:$G$1001,0),1)</f>
        <v>A-</v>
      </c>
    </row>
    <row r="211" spans="1:21" ht="15.75" x14ac:dyDescent="0.25">
      <c r="A211">
        <v>418</v>
      </c>
      <c r="B211" s="3" t="str">
        <f t="shared" si="6"/>
        <v>B0418</v>
      </c>
      <c r="C211" t="s">
        <v>1014</v>
      </c>
      <c r="D211" s="3" t="str">
        <f>VLOOKUP(B211,Detail!$G$1:$H$1001,2,FALSE)</f>
        <v>Pranata Hastuti</v>
      </c>
      <c r="E211">
        <v>87</v>
      </c>
      <c r="F211">
        <v>68</v>
      </c>
      <c r="G211" s="35">
        <v>34</v>
      </c>
      <c r="H211">
        <v>59</v>
      </c>
      <c r="I211">
        <v>88</v>
      </c>
      <c r="J211">
        <v>81</v>
      </c>
      <c r="K211">
        <v>76</v>
      </c>
      <c r="L211" s="26" t="str">
        <f>IFERROR(VLOOKUP(B211,Absen!$A$1:$C$501,2,FALSE),"No")</f>
        <v>No</v>
      </c>
      <c r="M211" s="44">
        <f t="shared" si="7"/>
        <v>7.6000000000000005</v>
      </c>
      <c r="N211" s="35">
        <f t="shared" si="8"/>
        <v>68.349999999999994</v>
      </c>
      <c r="O211" t="str">
        <f>VLOOKUP(N211,Helper!$B$30:$C$35,2,TRUE)</f>
        <v>C</v>
      </c>
      <c r="P211" s="26">
        <f>INDEX(Detail!$A$1:$A$1001,MATCH(B211,Detail!$G$1:$G$1001,0))</f>
        <v>37060</v>
      </c>
      <c r="Q211" s="3" t="str">
        <f>INDEX(Detail!$F$1:$F$1001,MATCH(Main!B211,Detail!$G$1:$G$1001,0))</f>
        <v>Prabumulih</v>
      </c>
      <c r="R211" s="7">
        <f>INDEX(Detail!$C$1:$C$1001,MATCH(B211,Detail!$G$1:$G$1001,0),1)</f>
        <v>150</v>
      </c>
      <c r="S211" s="7">
        <f>INDEX(Detail!$D$1:$D$1001,MATCH(B211,Detail!$G$1:$G$1001,0),1)</f>
        <v>92</v>
      </c>
      <c r="T211" s="7" t="str">
        <f>INDEX(Detail!$E$1:$E$1001,MATCH(Main!B211,Detail!$G$1:$G$1001,0))</f>
        <v xml:space="preserve">Gang Dipenogoro No. 5
</v>
      </c>
      <c r="U211" s="7" t="str">
        <f>INDEX(Detail!$B$1:$B$1001,MATCH(B211,Detail!$G$1:$G$1001,0),1)</f>
        <v>B-</v>
      </c>
    </row>
    <row r="212" spans="1:21" ht="15.75" x14ac:dyDescent="0.25">
      <c r="A212">
        <v>431</v>
      </c>
      <c r="B212" s="3" t="str">
        <f t="shared" si="6"/>
        <v>B0431</v>
      </c>
      <c r="C212" t="s">
        <v>1014</v>
      </c>
      <c r="D212" s="3" t="str">
        <f>VLOOKUP(B212,Detail!$G$1:$H$1001,2,FALSE)</f>
        <v>Bakti Winarno</v>
      </c>
      <c r="E212">
        <v>55</v>
      </c>
      <c r="F212">
        <v>43</v>
      </c>
      <c r="G212" s="35">
        <v>55</v>
      </c>
      <c r="H212">
        <v>66</v>
      </c>
      <c r="I212">
        <v>83</v>
      </c>
      <c r="J212">
        <v>68</v>
      </c>
      <c r="K212">
        <v>99</v>
      </c>
      <c r="L212" s="26">
        <f>IFERROR(VLOOKUP(B212,Absen!$A$1:$C$501,2,FALSE),"No")</f>
        <v>44878</v>
      </c>
      <c r="M212" s="44">
        <f t="shared" si="7"/>
        <v>8.9</v>
      </c>
      <c r="N212" s="35">
        <f t="shared" si="8"/>
        <v>64.375</v>
      </c>
      <c r="O212" t="str">
        <f>VLOOKUP(N212,Helper!$B$30:$C$35,2,TRUE)</f>
        <v>C</v>
      </c>
      <c r="P212" s="26">
        <f>INDEX(Detail!$A$1:$A$1001,MATCH(B212,Detail!$G$1:$G$1001,0))</f>
        <v>37515</v>
      </c>
      <c r="Q212" s="3" t="str">
        <f>INDEX(Detail!$F$1:$F$1001,MATCH(Main!B212,Detail!$G$1:$G$1001,0))</f>
        <v>Palopo</v>
      </c>
      <c r="R212" s="7">
        <f>INDEX(Detail!$C$1:$C$1001,MATCH(B212,Detail!$G$1:$G$1001,0),1)</f>
        <v>174</v>
      </c>
      <c r="S212" s="7">
        <f>INDEX(Detail!$D$1:$D$1001,MATCH(B212,Detail!$G$1:$G$1001,0),1)</f>
        <v>91</v>
      </c>
      <c r="T212" s="7" t="str">
        <f>INDEX(Detail!$E$1:$E$1001,MATCH(Main!B212,Detail!$G$1:$G$1001,0))</f>
        <v>Jalan Ciwastra No. 63</v>
      </c>
      <c r="U212" s="7" t="str">
        <f>INDEX(Detail!$B$1:$B$1001,MATCH(B212,Detail!$G$1:$G$1001,0),1)</f>
        <v>B-</v>
      </c>
    </row>
    <row r="213" spans="1:21" ht="15.75" x14ac:dyDescent="0.25">
      <c r="A213">
        <v>439</v>
      </c>
      <c r="B213" s="3" t="str">
        <f t="shared" si="6"/>
        <v>B0439</v>
      </c>
      <c r="C213" t="s">
        <v>1014</v>
      </c>
      <c r="D213" s="3" t="str">
        <f>VLOOKUP(B213,Detail!$G$1:$H$1001,2,FALSE)</f>
        <v>Farhunnisa Wahyuni</v>
      </c>
      <c r="E213">
        <v>54</v>
      </c>
      <c r="F213">
        <v>51</v>
      </c>
      <c r="G213" s="35">
        <v>91</v>
      </c>
      <c r="H213">
        <v>52</v>
      </c>
      <c r="I213">
        <v>63</v>
      </c>
      <c r="J213">
        <v>92</v>
      </c>
      <c r="K213">
        <v>78</v>
      </c>
      <c r="L213" s="26">
        <f>IFERROR(VLOOKUP(B213,Absen!$A$1:$C$501,2,FALSE),"No")</f>
        <v>44817</v>
      </c>
      <c r="M213" s="44">
        <f t="shared" si="7"/>
        <v>6.8000000000000007</v>
      </c>
      <c r="N213" s="35">
        <f t="shared" si="8"/>
        <v>70.900000000000006</v>
      </c>
      <c r="O213" t="str">
        <f>VLOOKUP(N213,Helper!$B$30:$C$35,2,TRUE)</f>
        <v>B</v>
      </c>
      <c r="P213" s="26">
        <f>INDEX(Detail!$A$1:$A$1001,MATCH(B213,Detail!$G$1:$G$1001,0))</f>
        <v>37915</v>
      </c>
      <c r="Q213" s="3" t="str">
        <f>INDEX(Detail!$F$1:$F$1001,MATCH(Main!B213,Detail!$G$1:$G$1001,0))</f>
        <v>Bogor</v>
      </c>
      <c r="R213" s="7">
        <f>INDEX(Detail!$C$1:$C$1001,MATCH(B213,Detail!$G$1:$G$1001,0),1)</f>
        <v>152</v>
      </c>
      <c r="S213" s="7">
        <f>INDEX(Detail!$D$1:$D$1001,MATCH(B213,Detail!$G$1:$G$1001,0),1)</f>
        <v>92</v>
      </c>
      <c r="T213" s="7" t="str">
        <f>INDEX(Detail!$E$1:$E$1001,MATCH(Main!B213,Detail!$G$1:$G$1001,0))</f>
        <v xml:space="preserve">Jl. Moch. Ramdan No. 5
</v>
      </c>
      <c r="U213" s="7" t="str">
        <f>INDEX(Detail!$B$1:$B$1001,MATCH(B213,Detail!$G$1:$G$1001,0),1)</f>
        <v>AB+</v>
      </c>
    </row>
    <row r="214" spans="1:21" ht="15.75" x14ac:dyDescent="0.25">
      <c r="A214">
        <v>456</v>
      </c>
      <c r="B214" s="3" t="str">
        <f t="shared" si="6"/>
        <v>B0456</v>
      </c>
      <c r="C214" t="s">
        <v>1014</v>
      </c>
      <c r="D214" s="3" t="str">
        <f>VLOOKUP(B214,Detail!$G$1:$H$1001,2,FALSE)</f>
        <v>Farah Rahmawati</v>
      </c>
      <c r="E214">
        <v>88</v>
      </c>
      <c r="F214">
        <v>43</v>
      </c>
      <c r="G214" s="35">
        <v>79</v>
      </c>
      <c r="H214">
        <v>62</v>
      </c>
      <c r="I214">
        <v>54</v>
      </c>
      <c r="J214">
        <v>97</v>
      </c>
      <c r="K214">
        <v>81</v>
      </c>
      <c r="L214" s="26">
        <f>IFERROR(VLOOKUP(B214,Absen!$A$1:$C$501,2,FALSE),"No")</f>
        <v>44761</v>
      </c>
      <c r="M214" s="44">
        <f t="shared" si="7"/>
        <v>7.1000000000000005</v>
      </c>
      <c r="N214" s="35">
        <f t="shared" si="8"/>
        <v>73.174999999999997</v>
      </c>
      <c r="O214" t="str">
        <f>VLOOKUP(N214,Helper!$B$30:$C$35,2,TRUE)</f>
        <v>B</v>
      </c>
      <c r="P214" s="26">
        <f>INDEX(Detail!$A$1:$A$1001,MATCH(B214,Detail!$G$1:$G$1001,0))</f>
        <v>37951</v>
      </c>
      <c r="Q214" s="3" t="str">
        <f>INDEX(Detail!$F$1:$F$1001,MATCH(Main!B214,Detail!$G$1:$G$1001,0))</f>
        <v>Kota Administrasi Jakarta Pusat</v>
      </c>
      <c r="R214" s="7">
        <f>INDEX(Detail!$C$1:$C$1001,MATCH(B214,Detail!$G$1:$G$1001,0),1)</f>
        <v>172</v>
      </c>
      <c r="S214" s="7">
        <f>INDEX(Detail!$D$1:$D$1001,MATCH(B214,Detail!$G$1:$G$1001,0),1)</f>
        <v>70</v>
      </c>
      <c r="T214" s="7" t="str">
        <f>INDEX(Detail!$E$1:$E$1001,MATCH(Main!B214,Detail!$G$1:$G$1001,0))</f>
        <v xml:space="preserve">Jalan Jakarta No. 9
</v>
      </c>
      <c r="U214" s="7" t="str">
        <f>INDEX(Detail!$B$1:$B$1001,MATCH(B214,Detail!$G$1:$G$1001,0),1)</f>
        <v>B-</v>
      </c>
    </row>
    <row r="215" spans="1:21" ht="15.75" x14ac:dyDescent="0.25">
      <c r="A215">
        <v>458</v>
      </c>
      <c r="B215" s="3" t="str">
        <f t="shared" si="6"/>
        <v>B0458</v>
      </c>
      <c r="C215" t="s">
        <v>1014</v>
      </c>
      <c r="D215" s="3" t="str">
        <f>VLOOKUP(B215,Detail!$G$1:$H$1001,2,FALSE)</f>
        <v>Tina Puspasari</v>
      </c>
      <c r="E215">
        <v>72</v>
      </c>
      <c r="F215">
        <v>55</v>
      </c>
      <c r="G215" s="35">
        <v>61</v>
      </c>
      <c r="H215">
        <v>52</v>
      </c>
      <c r="I215">
        <v>73</v>
      </c>
      <c r="J215">
        <v>71</v>
      </c>
      <c r="K215">
        <v>62</v>
      </c>
      <c r="L215" s="26" t="str">
        <f>IFERROR(VLOOKUP(B215,Absen!$A$1:$C$501,2,FALSE),"No")</f>
        <v>No</v>
      </c>
      <c r="M215" s="44">
        <f t="shared" si="7"/>
        <v>6.2</v>
      </c>
      <c r="N215" s="35">
        <f t="shared" si="8"/>
        <v>64.100000000000009</v>
      </c>
      <c r="O215" t="str">
        <f>VLOOKUP(N215,Helper!$B$30:$C$35,2,TRUE)</f>
        <v>C</v>
      </c>
      <c r="P215" s="26">
        <f>INDEX(Detail!$A$1:$A$1001,MATCH(B215,Detail!$G$1:$G$1001,0))</f>
        <v>37464</v>
      </c>
      <c r="Q215" s="3" t="str">
        <f>INDEX(Detail!$F$1:$F$1001,MATCH(Main!B215,Detail!$G$1:$G$1001,0))</f>
        <v>Jayapura</v>
      </c>
      <c r="R215" s="7">
        <f>INDEX(Detail!$C$1:$C$1001,MATCH(B215,Detail!$G$1:$G$1001,0),1)</f>
        <v>156</v>
      </c>
      <c r="S215" s="7">
        <f>INDEX(Detail!$D$1:$D$1001,MATCH(B215,Detail!$G$1:$G$1001,0),1)</f>
        <v>87</v>
      </c>
      <c r="T215" s="7" t="str">
        <f>INDEX(Detail!$E$1:$E$1001,MATCH(Main!B215,Detail!$G$1:$G$1001,0))</f>
        <v>Jalan W.R. Supratman No. 90</v>
      </c>
      <c r="U215" s="7" t="str">
        <f>INDEX(Detail!$B$1:$B$1001,MATCH(B215,Detail!$G$1:$G$1001,0),1)</f>
        <v>A+</v>
      </c>
    </row>
    <row r="216" spans="1:21" ht="15.75" x14ac:dyDescent="0.25">
      <c r="A216">
        <v>466</v>
      </c>
      <c r="B216" s="3" t="str">
        <f t="shared" si="6"/>
        <v>B0466</v>
      </c>
      <c r="C216" t="s">
        <v>1014</v>
      </c>
      <c r="D216" s="3" t="str">
        <f>VLOOKUP(B216,Detail!$G$1:$H$1001,2,FALSE)</f>
        <v>Purwa Uyainah</v>
      </c>
      <c r="E216">
        <v>66</v>
      </c>
      <c r="F216">
        <v>45</v>
      </c>
      <c r="G216" s="35">
        <v>49</v>
      </c>
      <c r="H216">
        <v>74</v>
      </c>
      <c r="I216">
        <v>67</v>
      </c>
      <c r="J216">
        <v>55</v>
      </c>
      <c r="K216">
        <v>72</v>
      </c>
      <c r="L216" s="26" t="str">
        <f>IFERROR(VLOOKUP(B216,Absen!$A$1:$C$501,2,FALSE),"No")</f>
        <v>No</v>
      </c>
      <c r="M216" s="44">
        <f t="shared" si="7"/>
        <v>7.2</v>
      </c>
      <c r="N216" s="35">
        <f t="shared" si="8"/>
        <v>59.5</v>
      </c>
      <c r="O216" t="str">
        <f>VLOOKUP(N216,Helper!$B$30:$C$35,2,TRUE)</f>
        <v>D</v>
      </c>
      <c r="P216" s="26">
        <f>INDEX(Detail!$A$1:$A$1001,MATCH(B216,Detail!$G$1:$G$1001,0))</f>
        <v>37761</v>
      </c>
      <c r="Q216" s="3" t="str">
        <f>INDEX(Detail!$F$1:$F$1001,MATCH(Main!B216,Detail!$G$1:$G$1001,0))</f>
        <v>Batu</v>
      </c>
      <c r="R216" s="7">
        <f>INDEX(Detail!$C$1:$C$1001,MATCH(B216,Detail!$G$1:$G$1001,0),1)</f>
        <v>169</v>
      </c>
      <c r="S216" s="7">
        <f>INDEX(Detail!$D$1:$D$1001,MATCH(B216,Detail!$G$1:$G$1001,0),1)</f>
        <v>66</v>
      </c>
      <c r="T216" s="7" t="str">
        <f>INDEX(Detail!$E$1:$E$1001,MATCH(Main!B216,Detail!$G$1:$G$1001,0))</f>
        <v xml:space="preserve">Gang Rawamangun No. 3
</v>
      </c>
      <c r="U216" s="7" t="str">
        <f>INDEX(Detail!$B$1:$B$1001,MATCH(B216,Detail!$G$1:$G$1001,0),1)</f>
        <v>A+</v>
      </c>
    </row>
    <row r="217" spans="1:21" ht="15.75" x14ac:dyDescent="0.25">
      <c r="A217">
        <v>467</v>
      </c>
      <c r="B217" s="3" t="str">
        <f t="shared" si="6"/>
        <v>B0467</v>
      </c>
      <c r="C217" t="s">
        <v>1014</v>
      </c>
      <c r="D217" s="3" t="str">
        <f>VLOOKUP(B217,Detail!$G$1:$H$1001,2,FALSE)</f>
        <v>Anita Suryatmi</v>
      </c>
      <c r="E217">
        <v>59</v>
      </c>
      <c r="F217">
        <v>66</v>
      </c>
      <c r="G217" s="35">
        <v>35</v>
      </c>
      <c r="H217">
        <v>51</v>
      </c>
      <c r="I217">
        <v>52</v>
      </c>
      <c r="J217">
        <v>60</v>
      </c>
      <c r="K217">
        <v>82</v>
      </c>
      <c r="L217" s="26" t="str">
        <f>IFERROR(VLOOKUP(B217,Absen!$A$1:$C$501,2,FALSE),"No")</f>
        <v>No</v>
      </c>
      <c r="M217" s="44">
        <f t="shared" si="7"/>
        <v>8.2000000000000011</v>
      </c>
      <c r="N217" s="35">
        <f t="shared" si="8"/>
        <v>55.7</v>
      </c>
      <c r="O217" t="str">
        <f>VLOOKUP(N217,Helper!$B$30:$C$35,2,TRUE)</f>
        <v>D</v>
      </c>
      <c r="P217" s="26">
        <f>INDEX(Detail!$A$1:$A$1001,MATCH(B217,Detail!$G$1:$G$1001,0))</f>
        <v>37557</v>
      </c>
      <c r="Q217" s="3" t="str">
        <f>INDEX(Detail!$F$1:$F$1001,MATCH(Main!B217,Detail!$G$1:$G$1001,0))</f>
        <v>Cilegon</v>
      </c>
      <c r="R217" s="7">
        <f>INDEX(Detail!$C$1:$C$1001,MATCH(B217,Detail!$G$1:$G$1001,0),1)</f>
        <v>152</v>
      </c>
      <c r="S217" s="7">
        <f>INDEX(Detail!$D$1:$D$1001,MATCH(B217,Detail!$G$1:$G$1001,0),1)</f>
        <v>93</v>
      </c>
      <c r="T217" s="7" t="str">
        <f>INDEX(Detail!$E$1:$E$1001,MATCH(Main!B217,Detail!$G$1:$G$1001,0))</f>
        <v>Jalan Sentot Alibasa No. 39</v>
      </c>
      <c r="U217" s="7" t="str">
        <f>INDEX(Detail!$B$1:$B$1001,MATCH(B217,Detail!$G$1:$G$1001,0),1)</f>
        <v>A-</v>
      </c>
    </row>
    <row r="218" spans="1:21" ht="15.75" x14ac:dyDescent="0.25">
      <c r="A218">
        <v>472</v>
      </c>
      <c r="B218" s="3" t="str">
        <f t="shared" si="6"/>
        <v>B0472</v>
      </c>
      <c r="C218" t="s">
        <v>1014</v>
      </c>
      <c r="D218" s="3" t="str">
        <f>VLOOKUP(B218,Detail!$G$1:$H$1001,2,FALSE)</f>
        <v>Harjasa Wibowo</v>
      </c>
      <c r="E218">
        <v>51</v>
      </c>
      <c r="F218">
        <v>51</v>
      </c>
      <c r="G218" s="35">
        <v>39</v>
      </c>
      <c r="H218">
        <v>58</v>
      </c>
      <c r="I218">
        <v>59</v>
      </c>
      <c r="J218">
        <v>77</v>
      </c>
      <c r="K218">
        <v>60</v>
      </c>
      <c r="L218" s="26">
        <f>IFERROR(VLOOKUP(B218,Absen!$A$1:$C$501,2,FALSE),"No")</f>
        <v>44835</v>
      </c>
      <c r="M218" s="44">
        <f t="shared" si="7"/>
        <v>5</v>
      </c>
      <c r="N218" s="35">
        <f t="shared" si="8"/>
        <v>55.574999999999996</v>
      </c>
      <c r="O218" t="str">
        <f>VLOOKUP(N218,Helper!$B$30:$C$35,2,TRUE)</f>
        <v>D</v>
      </c>
      <c r="P218" s="26">
        <f>INDEX(Detail!$A$1:$A$1001,MATCH(B218,Detail!$G$1:$G$1001,0))</f>
        <v>37349</v>
      </c>
      <c r="Q218" s="3" t="str">
        <f>INDEX(Detail!$F$1:$F$1001,MATCH(Main!B218,Detail!$G$1:$G$1001,0))</f>
        <v>Pagaralam</v>
      </c>
      <c r="R218" s="7">
        <f>INDEX(Detail!$C$1:$C$1001,MATCH(B218,Detail!$G$1:$G$1001,0),1)</f>
        <v>171</v>
      </c>
      <c r="S218" s="7">
        <f>INDEX(Detail!$D$1:$D$1001,MATCH(B218,Detail!$G$1:$G$1001,0),1)</f>
        <v>90</v>
      </c>
      <c r="T218" s="7" t="str">
        <f>INDEX(Detail!$E$1:$E$1001,MATCH(Main!B218,Detail!$G$1:$G$1001,0))</f>
        <v>Jl. Kiaracondong No. 99</v>
      </c>
      <c r="U218" s="7" t="str">
        <f>INDEX(Detail!$B$1:$B$1001,MATCH(B218,Detail!$G$1:$G$1001,0),1)</f>
        <v>A+</v>
      </c>
    </row>
    <row r="219" spans="1:21" ht="15.75" x14ac:dyDescent="0.25">
      <c r="A219">
        <v>476</v>
      </c>
      <c r="B219" s="3" t="str">
        <f t="shared" si="6"/>
        <v>B0476</v>
      </c>
      <c r="C219" t="s">
        <v>1014</v>
      </c>
      <c r="D219" s="3" t="str">
        <f>VLOOKUP(B219,Detail!$G$1:$H$1001,2,FALSE)</f>
        <v>Jabal Manullang</v>
      </c>
      <c r="E219">
        <v>94</v>
      </c>
      <c r="F219">
        <v>52</v>
      </c>
      <c r="G219" s="35">
        <v>52</v>
      </c>
      <c r="H219">
        <v>60</v>
      </c>
      <c r="I219">
        <v>52</v>
      </c>
      <c r="J219">
        <v>91</v>
      </c>
      <c r="K219">
        <v>92</v>
      </c>
      <c r="L219" s="26">
        <f>IFERROR(VLOOKUP(B219,Absen!$A$1:$C$501,2,FALSE),"No")</f>
        <v>44882</v>
      </c>
      <c r="M219" s="44">
        <f t="shared" si="7"/>
        <v>8.2000000000000011</v>
      </c>
      <c r="N219" s="35">
        <f t="shared" si="8"/>
        <v>69.05</v>
      </c>
      <c r="O219" t="str">
        <f>VLOOKUP(N219,Helper!$B$30:$C$35,2,TRUE)</f>
        <v>C</v>
      </c>
      <c r="P219" s="26">
        <f>INDEX(Detail!$A$1:$A$1001,MATCH(B219,Detail!$G$1:$G$1001,0))</f>
        <v>37227</v>
      </c>
      <c r="Q219" s="3" t="str">
        <f>INDEX(Detail!$F$1:$F$1001,MATCH(Main!B219,Detail!$G$1:$G$1001,0))</f>
        <v>Padang</v>
      </c>
      <c r="R219" s="7">
        <f>INDEX(Detail!$C$1:$C$1001,MATCH(B219,Detail!$G$1:$G$1001,0),1)</f>
        <v>177</v>
      </c>
      <c r="S219" s="7">
        <f>INDEX(Detail!$D$1:$D$1001,MATCH(B219,Detail!$G$1:$G$1001,0),1)</f>
        <v>76</v>
      </c>
      <c r="T219" s="7" t="str">
        <f>INDEX(Detail!$E$1:$E$1001,MATCH(Main!B219,Detail!$G$1:$G$1001,0))</f>
        <v xml:space="preserve">Gang Pacuan Kuda No. 9
</v>
      </c>
      <c r="U219" s="7" t="str">
        <f>INDEX(Detail!$B$1:$B$1001,MATCH(B219,Detail!$G$1:$G$1001,0),1)</f>
        <v>A-</v>
      </c>
    </row>
    <row r="220" spans="1:21" ht="15.75" x14ac:dyDescent="0.25">
      <c r="A220">
        <v>480</v>
      </c>
      <c r="B220" s="3" t="str">
        <f t="shared" si="6"/>
        <v>B0480</v>
      </c>
      <c r="C220" t="s">
        <v>1014</v>
      </c>
      <c r="D220" s="3" t="str">
        <f>VLOOKUP(B220,Detail!$G$1:$H$1001,2,FALSE)</f>
        <v>Fitriani Nuraini</v>
      </c>
      <c r="E220">
        <v>72</v>
      </c>
      <c r="F220">
        <v>51</v>
      </c>
      <c r="G220" s="35">
        <v>42</v>
      </c>
      <c r="H220">
        <v>55</v>
      </c>
      <c r="I220">
        <v>86</v>
      </c>
      <c r="J220">
        <v>74</v>
      </c>
      <c r="K220">
        <v>85</v>
      </c>
      <c r="L220" s="26" t="str">
        <f>IFERROR(VLOOKUP(B220,Absen!$A$1:$C$501,2,FALSE),"No")</f>
        <v>No</v>
      </c>
      <c r="M220" s="44">
        <f t="shared" si="7"/>
        <v>8.5</v>
      </c>
      <c r="N220" s="35">
        <f t="shared" si="8"/>
        <v>64.7</v>
      </c>
      <c r="O220" t="str">
        <f>VLOOKUP(N220,Helper!$B$30:$C$35,2,TRUE)</f>
        <v>C</v>
      </c>
      <c r="P220" s="26">
        <f>INDEX(Detail!$A$1:$A$1001,MATCH(B220,Detail!$G$1:$G$1001,0))</f>
        <v>37390</v>
      </c>
      <c r="Q220" s="3" t="str">
        <f>INDEX(Detail!$F$1:$F$1001,MATCH(Main!B220,Detail!$G$1:$G$1001,0))</f>
        <v>Manado</v>
      </c>
      <c r="R220" s="7">
        <f>INDEX(Detail!$C$1:$C$1001,MATCH(B220,Detail!$G$1:$G$1001,0),1)</f>
        <v>153</v>
      </c>
      <c r="S220" s="7">
        <f>INDEX(Detail!$D$1:$D$1001,MATCH(B220,Detail!$G$1:$G$1001,0),1)</f>
        <v>49</v>
      </c>
      <c r="T220" s="7" t="str">
        <f>INDEX(Detail!$E$1:$E$1001,MATCH(Main!B220,Detail!$G$1:$G$1001,0))</f>
        <v xml:space="preserve">Gg. Tebet Barat Dalam No. 6
</v>
      </c>
      <c r="U220" s="7" t="str">
        <f>INDEX(Detail!$B$1:$B$1001,MATCH(B220,Detail!$G$1:$G$1001,0),1)</f>
        <v>O-</v>
      </c>
    </row>
    <row r="221" spans="1:21" ht="15.75" x14ac:dyDescent="0.25">
      <c r="A221">
        <v>483</v>
      </c>
      <c r="B221" s="3" t="str">
        <f t="shared" si="6"/>
        <v>B0483</v>
      </c>
      <c r="C221" t="s">
        <v>1014</v>
      </c>
      <c r="D221" s="3" t="str">
        <f>VLOOKUP(B221,Detail!$G$1:$H$1001,2,FALSE)</f>
        <v>Wani Wahyudin</v>
      </c>
      <c r="E221">
        <v>53</v>
      </c>
      <c r="F221">
        <v>41</v>
      </c>
      <c r="G221" s="35">
        <v>77</v>
      </c>
      <c r="H221">
        <v>67</v>
      </c>
      <c r="I221">
        <v>69</v>
      </c>
      <c r="J221">
        <v>46</v>
      </c>
      <c r="K221">
        <v>69</v>
      </c>
      <c r="L221" s="26">
        <f>IFERROR(VLOOKUP(B221,Absen!$A$1:$C$501,2,FALSE),"No")</f>
        <v>44850</v>
      </c>
      <c r="M221" s="44">
        <f t="shared" si="7"/>
        <v>5.9</v>
      </c>
      <c r="N221" s="35">
        <f t="shared" si="8"/>
        <v>59.25</v>
      </c>
      <c r="O221" t="str">
        <f>VLOOKUP(N221,Helper!$B$30:$C$35,2,TRUE)</f>
        <v>D</v>
      </c>
      <c r="P221" s="26">
        <f>INDEX(Detail!$A$1:$A$1001,MATCH(B221,Detail!$G$1:$G$1001,0))</f>
        <v>37184</v>
      </c>
      <c r="Q221" s="3" t="str">
        <f>INDEX(Detail!$F$1:$F$1001,MATCH(Main!B221,Detail!$G$1:$G$1001,0))</f>
        <v>Bitung</v>
      </c>
      <c r="R221" s="7">
        <f>INDEX(Detail!$C$1:$C$1001,MATCH(B221,Detail!$G$1:$G$1001,0),1)</f>
        <v>156</v>
      </c>
      <c r="S221" s="7">
        <f>INDEX(Detail!$D$1:$D$1001,MATCH(B221,Detail!$G$1:$G$1001,0),1)</f>
        <v>54</v>
      </c>
      <c r="T221" s="7" t="str">
        <f>INDEX(Detail!$E$1:$E$1001,MATCH(Main!B221,Detail!$G$1:$G$1001,0))</f>
        <v>Jl. Kutisari Selatan No. 35</v>
      </c>
      <c r="U221" s="7" t="str">
        <f>INDEX(Detail!$B$1:$B$1001,MATCH(B221,Detail!$G$1:$G$1001,0),1)</f>
        <v>O-</v>
      </c>
    </row>
    <row r="222" spans="1:21" ht="15.75" x14ac:dyDescent="0.25">
      <c r="A222">
        <v>495</v>
      </c>
      <c r="B222" s="3" t="str">
        <f t="shared" si="6"/>
        <v>B0495</v>
      </c>
      <c r="C222" t="s">
        <v>1014</v>
      </c>
      <c r="D222" s="3" t="str">
        <f>VLOOKUP(B222,Detail!$G$1:$H$1001,2,FALSE)</f>
        <v>Gamanto Suryatmi</v>
      </c>
      <c r="E222">
        <v>76</v>
      </c>
      <c r="F222">
        <v>67</v>
      </c>
      <c r="G222" s="35">
        <v>94</v>
      </c>
      <c r="H222">
        <v>50</v>
      </c>
      <c r="I222">
        <v>88</v>
      </c>
      <c r="J222">
        <v>96</v>
      </c>
      <c r="K222">
        <v>69</v>
      </c>
      <c r="L222" s="26">
        <f>IFERROR(VLOOKUP(B222,Absen!$A$1:$C$501,2,FALSE),"No")</f>
        <v>44822</v>
      </c>
      <c r="M222" s="44">
        <f t="shared" si="7"/>
        <v>5.9</v>
      </c>
      <c r="N222" s="35">
        <f t="shared" si="8"/>
        <v>79.025000000000006</v>
      </c>
      <c r="O222" t="str">
        <f>VLOOKUP(N222,Helper!$B$30:$C$35,2,TRUE)</f>
        <v>B</v>
      </c>
      <c r="P222" s="26">
        <f>INDEX(Detail!$A$1:$A$1001,MATCH(B222,Detail!$G$1:$G$1001,0))</f>
        <v>37032</v>
      </c>
      <c r="Q222" s="3" t="str">
        <f>INDEX(Detail!$F$1:$F$1001,MATCH(Main!B222,Detail!$G$1:$G$1001,0))</f>
        <v>Palangkaraya</v>
      </c>
      <c r="R222" s="7">
        <f>INDEX(Detail!$C$1:$C$1001,MATCH(B222,Detail!$G$1:$G$1001,0),1)</f>
        <v>166</v>
      </c>
      <c r="S222" s="7">
        <f>INDEX(Detail!$D$1:$D$1001,MATCH(B222,Detail!$G$1:$G$1001,0),1)</f>
        <v>61</v>
      </c>
      <c r="T222" s="7" t="str">
        <f>INDEX(Detail!$E$1:$E$1001,MATCH(Main!B222,Detail!$G$1:$G$1001,0))</f>
        <v>Gang Jamika No. 82</v>
      </c>
      <c r="U222" s="7" t="str">
        <f>INDEX(Detail!$B$1:$B$1001,MATCH(B222,Detail!$G$1:$G$1001,0),1)</f>
        <v>B-</v>
      </c>
    </row>
    <row r="223" spans="1:21" ht="15.75" x14ac:dyDescent="0.25">
      <c r="A223">
        <v>502</v>
      </c>
      <c r="B223" s="3" t="str">
        <f t="shared" si="6"/>
        <v>B0502</v>
      </c>
      <c r="C223" t="s">
        <v>1014</v>
      </c>
      <c r="D223" s="3" t="str">
        <f>VLOOKUP(B223,Detail!$G$1:$H$1001,2,FALSE)</f>
        <v>Septi Prasetya</v>
      </c>
      <c r="E223">
        <v>54</v>
      </c>
      <c r="F223">
        <v>61</v>
      </c>
      <c r="G223" s="35">
        <v>39</v>
      </c>
      <c r="H223">
        <v>56</v>
      </c>
      <c r="I223">
        <v>85</v>
      </c>
      <c r="J223">
        <v>77</v>
      </c>
      <c r="K223">
        <v>71</v>
      </c>
      <c r="L223" s="26">
        <f>IFERROR(VLOOKUP(B223,Absen!$A$1:$C$501,2,FALSE),"No")</f>
        <v>44873</v>
      </c>
      <c r="M223" s="44">
        <f t="shared" si="7"/>
        <v>6.1000000000000005</v>
      </c>
      <c r="N223" s="35">
        <f t="shared" si="8"/>
        <v>61.3</v>
      </c>
      <c r="O223" t="str">
        <f>VLOOKUP(N223,Helper!$B$30:$C$35,2,TRUE)</f>
        <v>C</v>
      </c>
      <c r="P223" s="26">
        <f>INDEX(Detail!$A$1:$A$1001,MATCH(B223,Detail!$G$1:$G$1001,0))</f>
        <v>38255</v>
      </c>
      <c r="Q223" s="3" t="str">
        <f>INDEX(Detail!$F$1:$F$1001,MATCH(Main!B223,Detail!$G$1:$G$1001,0))</f>
        <v>Samarinda</v>
      </c>
      <c r="R223" s="7">
        <f>INDEX(Detail!$C$1:$C$1001,MATCH(B223,Detail!$G$1:$G$1001,0),1)</f>
        <v>179</v>
      </c>
      <c r="S223" s="7">
        <f>INDEX(Detail!$D$1:$D$1001,MATCH(B223,Detail!$G$1:$G$1001,0),1)</f>
        <v>79</v>
      </c>
      <c r="T223" s="7" t="str">
        <f>INDEX(Detail!$E$1:$E$1001,MATCH(Main!B223,Detail!$G$1:$G$1001,0))</f>
        <v>Jalan Ahmad Dahlan No. 36</v>
      </c>
      <c r="U223" s="7" t="str">
        <f>INDEX(Detail!$B$1:$B$1001,MATCH(B223,Detail!$G$1:$G$1001,0),1)</f>
        <v>A-</v>
      </c>
    </row>
    <row r="224" spans="1:21" ht="15.75" x14ac:dyDescent="0.25">
      <c r="A224">
        <v>507</v>
      </c>
      <c r="B224" s="3" t="str">
        <f t="shared" si="6"/>
        <v>B0507</v>
      </c>
      <c r="C224" t="s">
        <v>1014</v>
      </c>
      <c r="D224" s="3" t="str">
        <f>VLOOKUP(B224,Detail!$G$1:$H$1001,2,FALSE)</f>
        <v>Jefri Hutapea</v>
      </c>
      <c r="E224">
        <v>50</v>
      </c>
      <c r="F224">
        <v>45</v>
      </c>
      <c r="G224" s="35">
        <v>48</v>
      </c>
      <c r="H224">
        <v>71</v>
      </c>
      <c r="I224">
        <v>55</v>
      </c>
      <c r="J224">
        <v>83</v>
      </c>
      <c r="K224">
        <v>95</v>
      </c>
      <c r="L224" s="26">
        <f>IFERROR(VLOOKUP(B224,Absen!$A$1:$C$501,2,FALSE),"No")</f>
        <v>44841</v>
      </c>
      <c r="M224" s="44">
        <f t="shared" si="7"/>
        <v>8.5</v>
      </c>
      <c r="N224" s="35">
        <f t="shared" si="8"/>
        <v>62.325000000000003</v>
      </c>
      <c r="O224" t="str">
        <f>VLOOKUP(N224,Helper!$B$30:$C$35,2,TRUE)</f>
        <v>C</v>
      </c>
      <c r="P224" s="26">
        <f>INDEX(Detail!$A$1:$A$1001,MATCH(B224,Detail!$G$1:$G$1001,0))</f>
        <v>37021</v>
      </c>
      <c r="Q224" s="3" t="str">
        <f>INDEX(Detail!$F$1:$F$1001,MATCH(Main!B224,Detail!$G$1:$G$1001,0))</f>
        <v>Pariaman</v>
      </c>
      <c r="R224" s="7">
        <f>INDEX(Detail!$C$1:$C$1001,MATCH(B224,Detail!$G$1:$G$1001,0),1)</f>
        <v>173</v>
      </c>
      <c r="S224" s="7">
        <f>INDEX(Detail!$D$1:$D$1001,MATCH(B224,Detail!$G$1:$G$1001,0),1)</f>
        <v>46</v>
      </c>
      <c r="T224" s="7" t="str">
        <f>INDEX(Detail!$E$1:$E$1001,MATCH(Main!B224,Detail!$G$1:$G$1001,0))</f>
        <v>Gang Pelajar Pejuang No. 27</v>
      </c>
      <c r="U224" s="7" t="str">
        <f>INDEX(Detail!$B$1:$B$1001,MATCH(B224,Detail!$G$1:$G$1001,0),1)</f>
        <v>AB+</v>
      </c>
    </row>
    <row r="225" spans="1:21" ht="15.75" x14ac:dyDescent="0.25">
      <c r="A225">
        <v>512</v>
      </c>
      <c r="B225" s="3" t="str">
        <f t="shared" ref="B225:B288" si="9">CONCATENATE("B",TEXT(A225,"0000"))</f>
        <v>B0512</v>
      </c>
      <c r="C225" t="s">
        <v>1014</v>
      </c>
      <c r="D225" s="3" t="str">
        <f>VLOOKUP(B225,Detail!$G$1:$H$1001,2,FALSE)</f>
        <v>Tomi Riyanti</v>
      </c>
      <c r="E225">
        <v>76</v>
      </c>
      <c r="F225">
        <v>44</v>
      </c>
      <c r="G225" s="35">
        <v>91</v>
      </c>
      <c r="H225">
        <v>72</v>
      </c>
      <c r="I225">
        <v>52</v>
      </c>
      <c r="J225">
        <v>81</v>
      </c>
      <c r="K225">
        <v>95</v>
      </c>
      <c r="L225" s="26">
        <f>IFERROR(VLOOKUP(B225,Absen!$A$1:$C$501,2,FALSE),"No")</f>
        <v>44915</v>
      </c>
      <c r="M225" s="44">
        <f t="shared" si="7"/>
        <v>8.5</v>
      </c>
      <c r="N225" s="35">
        <f t="shared" si="8"/>
        <v>73.400000000000006</v>
      </c>
      <c r="O225" t="str">
        <f>VLOOKUP(N225,Helper!$B$30:$C$35,2,TRUE)</f>
        <v>B</v>
      </c>
      <c r="P225" s="26">
        <f>INDEX(Detail!$A$1:$A$1001,MATCH(B225,Detail!$G$1:$G$1001,0))</f>
        <v>37121</v>
      </c>
      <c r="Q225" s="3" t="str">
        <f>INDEX(Detail!$F$1:$F$1001,MATCH(Main!B225,Detail!$G$1:$G$1001,0))</f>
        <v>Cimahi</v>
      </c>
      <c r="R225" s="7">
        <f>INDEX(Detail!$C$1:$C$1001,MATCH(B225,Detail!$G$1:$G$1001,0),1)</f>
        <v>176</v>
      </c>
      <c r="S225" s="7">
        <f>INDEX(Detail!$D$1:$D$1001,MATCH(B225,Detail!$G$1:$G$1001,0),1)</f>
        <v>48</v>
      </c>
      <c r="T225" s="7" t="str">
        <f>INDEX(Detail!$E$1:$E$1001,MATCH(Main!B225,Detail!$G$1:$G$1001,0))</f>
        <v xml:space="preserve">Jl. Kiaracondong No. 2
</v>
      </c>
      <c r="U225" s="7" t="str">
        <f>INDEX(Detail!$B$1:$B$1001,MATCH(B225,Detail!$G$1:$G$1001,0),1)</f>
        <v>A-</v>
      </c>
    </row>
    <row r="226" spans="1:21" ht="15.75" x14ac:dyDescent="0.25">
      <c r="A226">
        <v>515</v>
      </c>
      <c r="B226" s="3" t="str">
        <f t="shared" si="9"/>
        <v>B0515</v>
      </c>
      <c r="C226" t="s">
        <v>1014</v>
      </c>
      <c r="D226" s="3" t="str">
        <f>VLOOKUP(B226,Detail!$G$1:$H$1001,2,FALSE)</f>
        <v>Betania Fujiati</v>
      </c>
      <c r="E226">
        <v>90</v>
      </c>
      <c r="F226">
        <v>55</v>
      </c>
      <c r="G226" s="35">
        <v>42</v>
      </c>
      <c r="H226">
        <v>65</v>
      </c>
      <c r="I226">
        <v>80</v>
      </c>
      <c r="J226">
        <v>86</v>
      </c>
      <c r="K226">
        <v>64</v>
      </c>
      <c r="L226" s="26">
        <f>IFERROR(VLOOKUP(B226,Absen!$A$1:$C$501,2,FALSE),"No")</f>
        <v>44904</v>
      </c>
      <c r="M226" s="44">
        <f t="shared" si="7"/>
        <v>5.4</v>
      </c>
      <c r="N226" s="35">
        <f t="shared" si="8"/>
        <v>67.25</v>
      </c>
      <c r="O226" t="str">
        <f>VLOOKUP(N226,Helper!$B$30:$C$35,2,TRUE)</f>
        <v>C</v>
      </c>
      <c r="P226" s="26">
        <f>INDEX(Detail!$A$1:$A$1001,MATCH(B226,Detail!$G$1:$G$1001,0))</f>
        <v>37064</v>
      </c>
      <c r="Q226" s="3" t="str">
        <f>INDEX(Detail!$F$1:$F$1001,MATCH(Main!B226,Detail!$G$1:$G$1001,0))</f>
        <v>Padang Sidempuan</v>
      </c>
      <c r="R226" s="7">
        <f>INDEX(Detail!$C$1:$C$1001,MATCH(B226,Detail!$G$1:$G$1001,0),1)</f>
        <v>153</v>
      </c>
      <c r="S226" s="7">
        <f>INDEX(Detail!$D$1:$D$1001,MATCH(B226,Detail!$G$1:$G$1001,0),1)</f>
        <v>53</v>
      </c>
      <c r="T226" s="7" t="str">
        <f>INDEX(Detail!$E$1:$E$1001,MATCH(Main!B226,Detail!$G$1:$G$1001,0))</f>
        <v xml:space="preserve">Jalan Waringin No. 6
</v>
      </c>
      <c r="U226" s="7" t="str">
        <f>INDEX(Detail!$B$1:$B$1001,MATCH(B226,Detail!$G$1:$G$1001,0),1)</f>
        <v>A-</v>
      </c>
    </row>
    <row r="227" spans="1:21" ht="15.75" x14ac:dyDescent="0.25">
      <c r="A227">
        <v>518</v>
      </c>
      <c r="B227" s="3" t="str">
        <f t="shared" si="9"/>
        <v>B0518</v>
      </c>
      <c r="C227" t="s">
        <v>1014</v>
      </c>
      <c r="D227" s="3" t="str">
        <f>VLOOKUP(B227,Detail!$G$1:$H$1001,2,FALSE)</f>
        <v>Farhunnisa Wijaya</v>
      </c>
      <c r="E227">
        <v>80</v>
      </c>
      <c r="F227">
        <v>73</v>
      </c>
      <c r="G227" s="35">
        <v>73</v>
      </c>
      <c r="H227">
        <v>56</v>
      </c>
      <c r="I227">
        <v>72</v>
      </c>
      <c r="J227">
        <v>54</v>
      </c>
      <c r="K227">
        <v>87</v>
      </c>
      <c r="L227" s="26">
        <f>IFERROR(VLOOKUP(B227,Absen!$A$1:$C$501,2,FALSE),"No")</f>
        <v>44787</v>
      </c>
      <c r="M227" s="44">
        <f t="shared" si="7"/>
        <v>7.7</v>
      </c>
      <c r="N227" s="35">
        <f t="shared" si="8"/>
        <v>68.225000000000009</v>
      </c>
      <c r="O227" t="str">
        <f>VLOOKUP(N227,Helper!$B$30:$C$35,2,TRUE)</f>
        <v>C</v>
      </c>
      <c r="P227" s="26">
        <f>INDEX(Detail!$A$1:$A$1001,MATCH(B227,Detail!$G$1:$G$1001,0))</f>
        <v>38125</v>
      </c>
      <c r="Q227" s="3" t="str">
        <f>INDEX(Detail!$F$1:$F$1001,MATCH(Main!B227,Detail!$G$1:$G$1001,0))</f>
        <v>Bandung</v>
      </c>
      <c r="R227" s="7">
        <f>INDEX(Detail!$C$1:$C$1001,MATCH(B227,Detail!$G$1:$G$1001,0),1)</f>
        <v>168</v>
      </c>
      <c r="S227" s="7">
        <f>INDEX(Detail!$D$1:$D$1001,MATCH(B227,Detail!$G$1:$G$1001,0),1)</f>
        <v>88</v>
      </c>
      <c r="T227" s="7" t="str">
        <f>INDEX(Detail!$E$1:$E$1001,MATCH(Main!B227,Detail!$G$1:$G$1001,0))</f>
        <v>Gang Jend. Sudirman No. 63</v>
      </c>
      <c r="U227" s="7" t="str">
        <f>INDEX(Detail!$B$1:$B$1001,MATCH(B227,Detail!$G$1:$G$1001,0),1)</f>
        <v>O-</v>
      </c>
    </row>
    <row r="228" spans="1:21" ht="15.75" x14ac:dyDescent="0.25">
      <c r="A228">
        <v>521</v>
      </c>
      <c r="B228" s="3" t="str">
        <f t="shared" si="9"/>
        <v>B0521</v>
      </c>
      <c r="C228" t="s">
        <v>1014</v>
      </c>
      <c r="D228" s="3" t="str">
        <f>VLOOKUP(B228,Detail!$G$1:$H$1001,2,FALSE)</f>
        <v>Harsaya Tamba</v>
      </c>
      <c r="E228">
        <v>62</v>
      </c>
      <c r="F228">
        <v>54</v>
      </c>
      <c r="G228" s="35">
        <v>46</v>
      </c>
      <c r="H228">
        <v>73</v>
      </c>
      <c r="I228">
        <v>50</v>
      </c>
      <c r="J228">
        <v>92</v>
      </c>
      <c r="K228">
        <v>97</v>
      </c>
      <c r="L228" s="26">
        <f>IFERROR(VLOOKUP(B228,Absen!$A$1:$C$501,2,FALSE),"No")</f>
        <v>44893</v>
      </c>
      <c r="M228" s="44">
        <f t="shared" si="7"/>
        <v>8.7000000000000011</v>
      </c>
      <c r="N228" s="35">
        <f t="shared" si="8"/>
        <v>66.175000000000011</v>
      </c>
      <c r="O228" t="str">
        <f>VLOOKUP(N228,Helper!$B$30:$C$35,2,TRUE)</f>
        <v>C</v>
      </c>
      <c r="P228" s="26">
        <f>INDEX(Detail!$A$1:$A$1001,MATCH(B228,Detail!$G$1:$G$1001,0))</f>
        <v>38017</v>
      </c>
      <c r="Q228" s="3" t="str">
        <f>INDEX(Detail!$F$1:$F$1001,MATCH(Main!B228,Detail!$G$1:$G$1001,0))</f>
        <v>Depok</v>
      </c>
      <c r="R228" s="7">
        <f>INDEX(Detail!$C$1:$C$1001,MATCH(B228,Detail!$G$1:$G$1001,0),1)</f>
        <v>160</v>
      </c>
      <c r="S228" s="7">
        <f>INDEX(Detail!$D$1:$D$1001,MATCH(B228,Detail!$G$1:$G$1001,0),1)</f>
        <v>60</v>
      </c>
      <c r="T228" s="7" t="str">
        <f>INDEX(Detail!$E$1:$E$1001,MATCH(Main!B228,Detail!$G$1:$G$1001,0))</f>
        <v>Gg. Moch. Ramdan No. 55</v>
      </c>
      <c r="U228" s="7" t="str">
        <f>INDEX(Detail!$B$1:$B$1001,MATCH(B228,Detail!$G$1:$G$1001,0),1)</f>
        <v>AB-</v>
      </c>
    </row>
    <row r="229" spans="1:21" ht="15.75" x14ac:dyDescent="0.25">
      <c r="A229">
        <v>523</v>
      </c>
      <c r="B229" s="3" t="str">
        <f t="shared" si="9"/>
        <v>B0523</v>
      </c>
      <c r="C229" t="s">
        <v>1014</v>
      </c>
      <c r="D229" s="3" t="str">
        <f>VLOOKUP(B229,Detail!$G$1:$H$1001,2,FALSE)</f>
        <v>Emas Purwanti</v>
      </c>
      <c r="E229">
        <v>95</v>
      </c>
      <c r="F229">
        <v>60</v>
      </c>
      <c r="G229" s="35">
        <v>42</v>
      </c>
      <c r="H229">
        <v>61</v>
      </c>
      <c r="I229">
        <v>63</v>
      </c>
      <c r="J229">
        <v>100</v>
      </c>
      <c r="K229">
        <v>62</v>
      </c>
      <c r="L229" s="26">
        <f>IFERROR(VLOOKUP(B229,Absen!$A$1:$C$501,2,FALSE),"No")</f>
        <v>44810</v>
      </c>
      <c r="M229" s="44">
        <f t="shared" si="7"/>
        <v>5.2</v>
      </c>
      <c r="N229" s="35">
        <f t="shared" si="8"/>
        <v>68.474999999999994</v>
      </c>
      <c r="O229" t="str">
        <f>VLOOKUP(N229,Helper!$B$30:$C$35,2,TRUE)</f>
        <v>C</v>
      </c>
      <c r="P229" s="26">
        <f>INDEX(Detail!$A$1:$A$1001,MATCH(B229,Detail!$G$1:$G$1001,0))</f>
        <v>38246</v>
      </c>
      <c r="Q229" s="3" t="str">
        <f>INDEX(Detail!$F$1:$F$1001,MATCH(Main!B229,Detail!$G$1:$G$1001,0))</f>
        <v>Kediri</v>
      </c>
      <c r="R229" s="7">
        <f>INDEX(Detail!$C$1:$C$1001,MATCH(B229,Detail!$G$1:$G$1001,0),1)</f>
        <v>179</v>
      </c>
      <c r="S229" s="7">
        <f>INDEX(Detail!$D$1:$D$1001,MATCH(B229,Detail!$G$1:$G$1001,0),1)</f>
        <v>81</v>
      </c>
      <c r="T229" s="7" t="str">
        <f>INDEX(Detail!$E$1:$E$1001,MATCH(Main!B229,Detail!$G$1:$G$1001,0))</f>
        <v xml:space="preserve">Jalan Cikutra Barat No. 0
</v>
      </c>
      <c r="U229" s="7" t="str">
        <f>INDEX(Detail!$B$1:$B$1001,MATCH(B229,Detail!$G$1:$G$1001,0),1)</f>
        <v>A-</v>
      </c>
    </row>
    <row r="230" spans="1:21" ht="15.75" x14ac:dyDescent="0.25">
      <c r="A230">
        <v>527</v>
      </c>
      <c r="B230" s="3" t="str">
        <f t="shared" si="9"/>
        <v>B0527</v>
      </c>
      <c r="C230" t="s">
        <v>1014</v>
      </c>
      <c r="D230" s="3" t="str">
        <f>VLOOKUP(B230,Detail!$G$1:$H$1001,2,FALSE)</f>
        <v>Ratih Setiawan</v>
      </c>
      <c r="E230">
        <v>61</v>
      </c>
      <c r="F230">
        <v>63</v>
      </c>
      <c r="G230" s="35">
        <v>79</v>
      </c>
      <c r="H230">
        <v>60</v>
      </c>
      <c r="I230">
        <v>95</v>
      </c>
      <c r="J230">
        <v>54</v>
      </c>
      <c r="K230">
        <v>72</v>
      </c>
      <c r="L230" s="26">
        <f>IFERROR(VLOOKUP(B230,Absen!$A$1:$C$501,2,FALSE),"No")</f>
        <v>44889</v>
      </c>
      <c r="M230" s="44">
        <f t="shared" si="7"/>
        <v>6.2</v>
      </c>
      <c r="N230" s="35">
        <f t="shared" si="8"/>
        <v>67.674999999999997</v>
      </c>
      <c r="O230" t="str">
        <f>VLOOKUP(N230,Helper!$B$30:$C$35,2,TRUE)</f>
        <v>C</v>
      </c>
      <c r="P230" s="26">
        <f>INDEX(Detail!$A$1:$A$1001,MATCH(B230,Detail!$G$1:$G$1001,0))</f>
        <v>38238</v>
      </c>
      <c r="Q230" s="3" t="str">
        <f>INDEX(Detail!$F$1:$F$1001,MATCH(Main!B230,Detail!$G$1:$G$1001,0))</f>
        <v>Sawahlunto</v>
      </c>
      <c r="R230" s="7">
        <f>INDEX(Detail!$C$1:$C$1001,MATCH(B230,Detail!$G$1:$G$1001,0),1)</f>
        <v>162</v>
      </c>
      <c r="S230" s="7">
        <f>INDEX(Detail!$D$1:$D$1001,MATCH(B230,Detail!$G$1:$G$1001,0),1)</f>
        <v>83</v>
      </c>
      <c r="T230" s="7" t="str">
        <f>INDEX(Detail!$E$1:$E$1001,MATCH(Main!B230,Detail!$G$1:$G$1001,0))</f>
        <v xml:space="preserve">Gang Surapati No. 7
</v>
      </c>
      <c r="U230" s="7" t="str">
        <f>INDEX(Detail!$B$1:$B$1001,MATCH(B230,Detail!$G$1:$G$1001,0),1)</f>
        <v>AB-</v>
      </c>
    </row>
    <row r="231" spans="1:21" ht="15.75" x14ac:dyDescent="0.25">
      <c r="A231">
        <v>530</v>
      </c>
      <c r="B231" s="3" t="str">
        <f t="shared" si="9"/>
        <v>B0530</v>
      </c>
      <c r="C231" t="s">
        <v>1014</v>
      </c>
      <c r="D231" s="3" t="str">
        <f>VLOOKUP(B231,Detail!$G$1:$H$1001,2,FALSE)</f>
        <v>Endah Simbolon</v>
      </c>
      <c r="E231">
        <v>58</v>
      </c>
      <c r="F231">
        <v>55</v>
      </c>
      <c r="G231" s="35">
        <v>45</v>
      </c>
      <c r="H231">
        <v>58</v>
      </c>
      <c r="I231">
        <v>56</v>
      </c>
      <c r="J231">
        <v>45</v>
      </c>
      <c r="K231">
        <v>66</v>
      </c>
      <c r="L231" s="26" t="str">
        <f>IFERROR(VLOOKUP(B231,Absen!$A$1:$C$501,2,FALSE),"No")</f>
        <v>No</v>
      </c>
      <c r="M231" s="44">
        <f t="shared" si="7"/>
        <v>6.6000000000000005</v>
      </c>
      <c r="N231" s="35">
        <f t="shared" si="8"/>
        <v>52.975000000000001</v>
      </c>
      <c r="O231" t="str">
        <f>VLOOKUP(N231,Helper!$B$30:$C$35,2,TRUE)</f>
        <v>D</v>
      </c>
      <c r="P231" s="26">
        <f>INDEX(Detail!$A$1:$A$1001,MATCH(B231,Detail!$G$1:$G$1001,0))</f>
        <v>38238</v>
      </c>
      <c r="Q231" s="3" t="str">
        <f>INDEX(Detail!$F$1:$F$1001,MATCH(Main!B231,Detail!$G$1:$G$1001,0))</f>
        <v>Tual</v>
      </c>
      <c r="R231" s="7">
        <f>INDEX(Detail!$C$1:$C$1001,MATCH(B231,Detail!$G$1:$G$1001,0),1)</f>
        <v>179</v>
      </c>
      <c r="S231" s="7">
        <f>INDEX(Detail!$D$1:$D$1001,MATCH(B231,Detail!$G$1:$G$1001,0),1)</f>
        <v>67</v>
      </c>
      <c r="T231" s="7" t="str">
        <f>INDEX(Detail!$E$1:$E$1001,MATCH(Main!B231,Detail!$G$1:$G$1001,0))</f>
        <v>Jl. Pasir Koja No. 51</v>
      </c>
      <c r="U231" s="7" t="str">
        <f>INDEX(Detail!$B$1:$B$1001,MATCH(B231,Detail!$G$1:$G$1001,0),1)</f>
        <v>AB-</v>
      </c>
    </row>
    <row r="232" spans="1:21" ht="15.75" x14ac:dyDescent="0.25">
      <c r="A232">
        <v>532</v>
      </c>
      <c r="B232" s="3" t="str">
        <f t="shared" si="9"/>
        <v>B0532</v>
      </c>
      <c r="C232" t="s">
        <v>1014</v>
      </c>
      <c r="D232" s="3" t="str">
        <f>VLOOKUP(B232,Detail!$G$1:$H$1001,2,FALSE)</f>
        <v>Kasiyah Mangunsong</v>
      </c>
      <c r="E232">
        <v>91</v>
      </c>
      <c r="F232">
        <v>48</v>
      </c>
      <c r="G232" s="35">
        <v>76</v>
      </c>
      <c r="H232">
        <v>72</v>
      </c>
      <c r="I232">
        <v>72</v>
      </c>
      <c r="J232">
        <v>62</v>
      </c>
      <c r="K232">
        <v>60</v>
      </c>
      <c r="L232" s="26">
        <f>IFERROR(VLOOKUP(B232,Absen!$A$1:$C$501,2,FALSE),"No")</f>
        <v>44806</v>
      </c>
      <c r="M232" s="44">
        <f t="shared" si="7"/>
        <v>5</v>
      </c>
      <c r="N232" s="35">
        <f t="shared" si="8"/>
        <v>67.974999999999994</v>
      </c>
      <c r="O232" t="str">
        <f>VLOOKUP(N232,Helper!$B$30:$C$35,2,TRUE)</f>
        <v>C</v>
      </c>
      <c r="P232" s="26">
        <f>INDEX(Detail!$A$1:$A$1001,MATCH(B232,Detail!$G$1:$G$1001,0))</f>
        <v>38153</v>
      </c>
      <c r="Q232" s="3" t="str">
        <f>INDEX(Detail!$F$1:$F$1001,MATCH(Main!B232,Detail!$G$1:$G$1001,0))</f>
        <v>Kendari</v>
      </c>
      <c r="R232" s="7">
        <f>INDEX(Detail!$C$1:$C$1001,MATCH(B232,Detail!$G$1:$G$1001,0),1)</f>
        <v>180</v>
      </c>
      <c r="S232" s="7">
        <f>INDEX(Detail!$D$1:$D$1001,MATCH(B232,Detail!$G$1:$G$1001,0),1)</f>
        <v>74</v>
      </c>
      <c r="T232" s="7" t="str">
        <f>INDEX(Detail!$E$1:$E$1001,MATCH(Main!B232,Detail!$G$1:$G$1001,0))</f>
        <v>Gang Asia Afrika No. 94</v>
      </c>
      <c r="U232" s="7" t="str">
        <f>INDEX(Detail!$B$1:$B$1001,MATCH(B232,Detail!$G$1:$G$1001,0),1)</f>
        <v>AB+</v>
      </c>
    </row>
    <row r="233" spans="1:21" ht="15.75" x14ac:dyDescent="0.25">
      <c r="A233">
        <v>542</v>
      </c>
      <c r="B233" s="3" t="str">
        <f t="shared" si="9"/>
        <v>B0542</v>
      </c>
      <c r="C233" t="s">
        <v>1014</v>
      </c>
      <c r="D233" s="3" t="str">
        <f>VLOOKUP(B233,Detail!$G$1:$H$1001,2,FALSE)</f>
        <v>Elvin Wijayanti</v>
      </c>
      <c r="E233">
        <v>71</v>
      </c>
      <c r="F233">
        <v>60</v>
      </c>
      <c r="G233" s="35">
        <v>42</v>
      </c>
      <c r="H233">
        <v>57</v>
      </c>
      <c r="I233">
        <v>54</v>
      </c>
      <c r="J233">
        <v>71</v>
      </c>
      <c r="K233">
        <v>63</v>
      </c>
      <c r="L233" s="26" t="str">
        <f>IFERROR(VLOOKUP(B233,Absen!$A$1:$C$501,2,FALSE),"No")</f>
        <v>No</v>
      </c>
      <c r="M233" s="44">
        <f t="shared" si="7"/>
        <v>6.3000000000000007</v>
      </c>
      <c r="N233" s="35">
        <f t="shared" si="8"/>
        <v>59.150000000000006</v>
      </c>
      <c r="O233" t="str">
        <f>VLOOKUP(N233,Helper!$B$30:$C$35,2,TRUE)</f>
        <v>D</v>
      </c>
      <c r="P233" s="26">
        <f>INDEX(Detail!$A$1:$A$1001,MATCH(B233,Detail!$G$1:$G$1001,0))</f>
        <v>37553</v>
      </c>
      <c r="Q233" s="3" t="str">
        <f>INDEX(Detail!$F$1:$F$1001,MATCH(Main!B233,Detail!$G$1:$G$1001,0))</f>
        <v>Solok</v>
      </c>
      <c r="R233" s="7">
        <f>INDEX(Detail!$C$1:$C$1001,MATCH(B233,Detail!$G$1:$G$1001,0),1)</f>
        <v>150</v>
      </c>
      <c r="S233" s="7">
        <f>INDEX(Detail!$D$1:$D$1001,MATCH(B233,Detail!$G$1:$G$1001,0),1)</f>
        <v>53</v>
      </c>
      <c r="T233" s="7" t="str">
        <f>INDEX(Detail!$E$1:$E$1001,MATCH(Main!B233,Detail!$G$1:$G$1001,0))</f>
        <v xml:space="preserve">Gang Peta No. 5
</v>
      </c>
      <c r="U233" s="7" t="str">
        <f>INDEX(Detail!$B$1:$B$1001,MATCH(B233,Detail!$G$1:$G$1001,0),1)</f>
        <v>AB-</v>
      </c>
    </row>
    <row r="234" spans="1:21" ht="15.75" x14ac:dyDescent="0.25">
      <c r="A234">
        <v>553</v>
      </c>
      <c r="B234" s="3" t="str">
        <f t="shared" si="9"/>
        <v>B0553</v>
      </c>
      <c r="C234" t="s">
        <v>1014</v>
      </c>
      <c r="D234" s="3" t="str">
        <f>VLOOKUP(B234,Detail!$G$1:$H$1001,2,FALSE)</f>
        <v>Diana Handayani</v>
      </c>
      <c r="E234">
        <v>52</v>
      </c>
      <c r="F234">
        <v>72</v>
      </c>
      <c r="G234" s="35">
        <v>30</v>
      </c>
      <c r="H234">
        <v>62</v>
      </c>
      <c r="I234">
        <v>59</v>
      </c>
      <c r="J234">
        <v>82</v>
      </c>
      <c r="K234">
        <v>71</v>
      </c>
      <c r="L234" s="26" t="str">
        <f>IFERROR(VLOOKUP(B234,Absen!$A$1:$C$501,2,FALSE),"No")</f>
        <v>No</v>
      </c>
      <c r="M234" s="44">
        <f t="shared" si="7"/>
        <v>7.1000000000000005</v>
      </c>
      <c r="N234" s="35">
        <f t="shared" si="8"/>
        <v>60.125000000000007</v>
      </c>
      <c r="O234" t="str">
        <f>VLOOKUP(N234,Helper!$B$30:$C$35,2,TRUE)</f>
        <v>C</v>
      </c>
      <c r="P234" s="26">
        <f>INDEX(Detail!$A$1:$A$1001,MATCH(B234,Detail!$G$1:$G$1001,0))</f>
        <v>37537</v>
      </c>
      <c r="Q234" s="3" t="str">
        <f>INDEX(Detail!$F$1:$F$1001,MATCH(Main!B234,Detail!$G$1:$G$1001,0))</f>
        <v>Ternate</v>
      </c>
      <c r="R234" s="7">
        <f>INDEX(Detail!$C$1:$C$1001,MATCH(B234,Detail!$G$1:$G$1001,0),1)</f>
        <v>152</v>
      </c>
      <c r="S234" s="7">
        <f>INDEX(Detail!$D$1:$D$1001,MATCH(B234,Detail!$G$1:$G$1001,0),1)</f>
        <v>79</v>
      </c>
      <c r="T234" s="7" t="str">
        <f>INDEX(Detail!$E$1:$E$1001,MATCH(Main!B234,Detail!$G$1:$G$1001,0))</f>
        <v>Jalan S. Parman No. 45</v>
      </c>
      <c r="U234" s="7" t="str">
        <f>INDEX(Detail!$B$1:$B$1001,MATCH(B234,Detail!$G$1:$G$1001,0),1)</f>
        <v>B+</v>
      </c>
    </row>
    <row r="235" spans="1:21" ht="15.75" x14ac:dyDescent="0.25">
      <c r="A235">
        <v>554</v>
      </c>
      <c r="B235" s="3" t="str">
        <f t="shared" si="9"/>
        <v>B0554</v>
      </c>
      <c r="C235" t="s">
        <v>1014</v>
      </c>
      <c r="D235" s="3" t="str">
        <f>VLOOKUP(B235,Detail!$G$1:$H$1001,2,FALSE)</f>
        <v>Kania Tarihoran</v>
      </c>
      <c r="E235">
        <v>62</v>
      </c>
      <c r="F235">
        <v>58</v>
      </c>
      <c r="G235" s="35">
        <v>56</v>
      </c>
      <c r="H235">
        <v>70</v>
      </c>
      <c r="I235">
        <v>89</v>
      </c>
      <c r="J235">
        <v>63</v>
      </c>
      <c r="K235">
        <v>67</v>
      </c>
      <c r="L235" s="26" t="str">
        <f>IFERROR(VLOOKUP(B235,Absen!$A$1:$C$501,2,FALSE),"No")</f>
        <v>No</v>
      </c>
      <c r="M235" s="44">
        <f t="shared" si="7"/>
        <v>6.7</v>
      </c>
      <c r="N235" s="35">
        <f t="shared" si="8"/>
        <v>65.375</v>
      </c>
      <c r="O235" t="str">
        <f>VLOOKUP(N235,Helper!$B$30:$C$35,2,TRUE)</f>
        <v>C</v>
      </c>
      <c r="P235" s="26">
        <f>INDEX(Detail!$A$1:$A$1001,MATCH(B235,Detail!$G$1:$G$1001,0))</f>
        <v>38187</v>
      </c>
      <c r="Q235" s="3" t="str">
        <f>INDEX(Detail!$F$1:$F$1001,MATCH(Main!B235,Detail!$G$1:$G$1001,0))</f>
        <v>Pekalongan</v>
      </c>
      <c r="R235" s="7">
        <f>INDEX(Detail!$C$1:$C$1001,MATCH(B235,Detail!$G$1:$G$1001,0),1)</f>
        <v>177</v>
      </c>
      <c r="S235" s="7">
        <f>INDEX(Detail!$D$1:$D$1001,MATCH(B235,Detail!$G$1:$G$1001,0),1)</f>
        <v>48</v>
      </c>
      <c r="T235" s="7" t="str">
        <f>INDEX(Detail!$E$1:$E$1001,MATCH(Main!B235,Detail!$G$1:$G$1001,0))</f>
        <v>Jl. Gardujati No. 16</v>
      </c>
      <c r="U235" s="7" t="str">
        <f>INDEX(Detail!$B$1:$B$1001,MATCH(B235,Detail!$G$1:$G$1001,0),1)</f>
        <v>A-</v>
      </c>
    </row>
    <row r="236" spans="1:21" ht="15.75" x14ac:dyDescent="0.25">
      <c r="A236">
        <v>568</v>
      </c>
      <c r="B236" s="3" t="str">
        <f t="shared" si="9"/>
        <v>B0568</v>
      </c>
      <c r="C236" t="s">
        <v>1014</v>
      </c>
      <c r="D236" s="3" t="str">
        <f>VLOOKUP(B236,Detail!$G$1:$H$1001,2,FALSE)</f>
        <v>Gabriella Damanik</v>
      </c>
      <c r="E236">
        <v>67</v>
      </c>
      <c r="F236">
        <v>50</v>
      </c>
      <c r="G236" s="35">
        <v>72</v>
      </c>
      <c r="H236">
        <v>61</v>
      </c>
      <c r="I236">
        <v>59</v>
      </c>
      <c r="J236">
        <v>78</v>
      </c>
      <c r="K236">
        <v>95</v>
      </c>
      <c r="L236" s="26" t="str">
        <f>IFERROR(VLOOKUP(B236,Absen!$A$1:$C$501,2,FALSE),"No")</f>
        <v>No</v>
      </c>
      <c r="M236" s="44">
        <f t="shared" si="7"/>
        <v>9.5</v>
      </c>
      <c r="N236" s="35">
        <f t="shared" si="8"/>
        <v>69.125</v>
      </c>
      <c r="O236" t="str">
        <f>VLOOKUP(N236,Helper!$B$30:$C$35,2,TRUE)</f>
        <v>C</v>
      </c>
      <c r="P236" s="26">
        <f>INDEX(Detail!$A$1:$A$1001,MATCH(B236,Detail!$G$1:$G$1001,0))</f>
        <v>38176</v>
      </c>
      <c r="Q236" s="3" t="str">
        <f>INDEX(Detail!$F$1:$F$1001,MATCH(Main!B236,Detail!$G$1:$G$1001,0))</f>
        <v>Manado</v>
      </c>
      <c r="R236" s="7">
        <f>INDEX(Detail!$C$1:$C$1001,MATCH(B236,Detail!$G$1:$G$1001,0),1)</f>
        <v>154</v>
      </c>
      <c r="S236" s="7">
        <f>INDEX(Detail!$D$1:$D$1001,MATCH(B236,Detail!$G$1:$G$1001,0),1)</f>
        <v>68</v>
      </c>
      <c r="T236" s="7" t="str">
        <f>INDEX(Detail!$E$1:$E$1001,MATCH(Main!B236,Detail!$G$1:$G$1001,0))</f>
        <v>Jl. Otto Iskandardinata No. 70</v>
      </c>
      <c r="U236" s="7" t="str">
        <f>INDEX(Detail!$B$1:$B$1001,MATCH(B236,Detail!$G$1:$G$1001,0),1)</f>
        <v>B+</v>
      </c>
    </row>
    <row r="237" spans="1:21" ht="15.75" x14ac:dyDescent="0.25">
      <c r="A237">
        <v>589</v>
      </c>
      <c r="B237" s="3" t="str">
        <f t="shared" si="9"/>
        <v>B0589</v>
      </c>
      <c r="C237" t="s">
        <v>1014</v>
      </c>
      <c r="D237" s="3" t="str">
        <f>VLOOKUP(B237,Detail!$G$1:$H$1001,2,FALSE)</f>
        <v>Azalea Mardhiyah</v>
      </c>
      <c r="E237">
        <v>63</v>
      </c>
      <c r="F237">
        <v>66</v>
      </c>
      <c r="G237" s="35">
        <v>33</v>
      </c>
      <c r="H237">
        <v>65</v>
      </c>
      <c r="I237">
        <v>73</v>
      </c>
      <c r="J237">
        <v>90</v>
      </c>
      <c r="K237">
        <v>92</v>
      </c>
      <c r="L237" s="26">
        <f>IFERROR(VLOOKUP(B237,Absen!$A$1:$C$501,2,FALSE),"No")</f>
        <v>44886</v>
      </c>
      <c r="M237" s="44">
        <f t="shared" si="7"/>
        <v>8.2000000000000011</v>
      </c>
      <c r="N237" s="35">
        <f t="shared" si="8"/>
        <v>66.174999999999997</v>
      </c>
      <c r="O237" t="str">
        <f>VLOOKUP(N237,Helper!$B$30:$C$35,2,TRUE)</f>
        <v>C</v>
      </c>
      <c r="P237" s="26">
        <f>INDEX(Detail!$A$1:$A$1001,MATCH(B237,Detail!$G$1:$G$1001,0))</f>
        <v>37502</v>
      </c>
      <c r="Q237" s="3" t="str">
        <f>INDEX(Detail!$F$1:$F$1001,MATCH(Main!B237,Detail!$G$1:$G$1001,0))</f>
        <v>Singkawang</v>
      </c>
      <c r="R237" s="7">
        <f>INDEX(Detail!$C$1:$C$1001,MATCH(B237,Detail!$G$1:$G$1001,0),1)</f>
        <v>172</v>
      </c>
      <c r="S237" s="7">
        <f>INDEX(Detail!$D$1:$D$1001,MATCH(B237,Detail!$G$1:$G$1001,0),1)</f>
        <v>81</v>
      </c>
      <c r="T237" s="7" t="str">
        <f>INDEX(Detail!$E$1:$E$1001,MATCH(Main!B237,Detail!$G$1:$G$1001,0))</f>
        <v>Gg. Sukajadi No. 86</v>
      </c>
      <c r="U237" s="7" t="str">
        <f>INDEX(Detail!$B$1:$B$1001,MATCH(B237,Detail!$G$1:$G$1001,0),1)</f>
        <v>AB-</v>
      </c>
    </row>
    <row r="238" spans="1:21" ht="15.75" x14ac:dyDescent="0.25">
      <c r="A238">
        <v>594</v>
      </c>
      <c r="B238" s="3" t="str">
        <f t="shared" si="9"/>
        <v>B0594</v>
      </c>
      <c r="C238" t="s">
        <v>1014</v>
      </c>
      <c r="D238" s="3" t="str">
        <f>VLOOKUP(B238,Detail!$G$1:$H$1001,2,FALSE)</f>
        <v>Joko Prayoga</v>
      </c>
      <c r="E238">
        <v>89</v>
      </c>
      <c r="F238">
        <v>47</v>
      </c>
      <c r="G238" s="35">
        <v>47</v>
      </c>
      <c r="H238">
        <v>62</v>
      </c>
      <c r="I238">
        <v>79</v>
      </c>
      <c r="J238">
        <v>84</v>
      </c>
      <c r="K238">
        <v>97</v>
      </c>
      <c r="L238" s="26" t="str">
        <f>IFERROR(VLOOKUP(B238,Absen!$A$1:$C$501,2,FALSE),"No")</f>
        <v>No</v>
      </c>
      <c r="M238" s="44">
        <f t="shared" si="7"/>
        <v>9.7000000000000011</v>
      </c>
      <c r="N238" s="35">
        <f t="shared" si="8"/>
        <v>70.525000000000006</v>
      </c>
      <c r="O238" t="str">
        <f>VLOOKUP(N238,Helper!$B$30:$C$35,2,TRUE)</f>
        <v>B</v>
      </c>
      <c r="P238" s="26">
        <f>INDEX(Detail!$A$1:$A$1001,MATCH(B238,Detail!$G$1:$G$1001,0))</f>
        <v>37157</v>
      </c>
      <c r="Q238" s="3" t="str">
        <f>INDEX(Detail!$F$1:$F$1001,MATCH(Main!B238,Detail!$G$1:$G$1001,0))</f>
        <v>Kota Administrasi Jakarta Barat</v>
      </c>
      <c r="R238" s="7">
        <f>INDEX(Detail!$C$1:$C$1001,MATCH(B238,Detail!$G$1:$G$1001,0),1)</f>
        <v>172</v>
      </c>
      <c r="S238" s="7">
        <f>INDEX(Detail!$D$1:$D$1001,MATCH(B238,Detail!$G$1:$G$1001,0),1)</f>
        <v>95</v>
      </c>
      <c r="T238" s="7" t="str">
        <f>INDEX(Detail!$E$1:$E$1001,MATCH(Main!B238,Detail!$G$1:$G$1001,0))</f>
        <v>Gg. Surapati No. 92</v>
      </c>
      <c r="U238" s="7" t="str">
        <f>INDEX(Detail!$B$1:$B$1001,MATCH(B238,Detail!$G$1:$G$1001,0),1)</f>
        <v>AB+</v>
      </c>
    </row>
    <row r="239" spans="1:21" ht="15.75" x14ac:dyDescent="0.25">
      <c r="A239">
        <v>600</v>
      </c>
      <c r="B239" s="3" t="str">
        <f t="shared" si="9"/>
        <v>B0600</v>
      </c>
      <c r="C239" t="s">
        <v>1014</v>
      </c>
      <c r="D239" s="3" t="str">
        <f>VLOOKUP(B239,Detail!$G$1:$H$1001,2,FALSE)</f>
        <v>Ratna Mulyani</v>
      </c>
      <c r="E239">
        <v>58</v>
      </c>
      <c r="F239">
        <v>44</v>
      </c>
      <c r="G239" s="35">
        <v>61</v>
      </c>
      <c r="H239">
        <v>56</v>
      </c>
      <c r="I239">
        <v>59</v>
      </c>
      <c r="J239">
        <v>100</v>
      </c>
      <c r="K239">
        <v>83</v>
      </c>
      <c r="L239" s="26" t="str">
        <f>IFERROR(VLOOKUP(B239,Absen!$A$1:$C$501,2,FALSE),"No")</f>
        <v>No</v>
      </c>
      <c r="M239" s="44">
        <f t="shared" si="7"/>
        <v>8.3000000000000007</v>
      </c>
      <c r="N239" s="35">
        <f t="shared" si="8"/>
        <v>67.625</v>
      </c>
      <c r="O239" t="str">
        <f>VLOOKUP(N239,Helper!$B$30:$C$35,2,TRUE)</f>
        <v>C</v>
      </c>
      <c r="P239" s="26">
        <f>INDEX(Detail!$A$1:$A$1001,MATCH(B239,Detail!$G$1:$G$1001,0))</f>
        <v>38037</v>
      </c>
      <c r="Q239" s="3" t="str">
        <f>INDEX(Detail!$F$1:$F$1001,MATCH(Main!B239,Detail!$G$1:$G$1001,0))</f>
        <v>Kota Administrasi Jakarta Utara</v>
      </c>
      <c r="R239" s="7">
        <f>INDEX(Detail!$C$1:$C$1001,MATCH(B239,Detail!$G$1:$G$1001,0),1)</f>
        <v>153</v>
      </c>
      <c r="S239" s="7">
        <f>INDEX(Detail!$D$1:$D$1001,MATCH(B239,Detail!$G$1:$G$1001,0),1)</f>
        <v>65</v>
      </c>
      <c r="T239" s="7" t="str">
        <f>INDEX(Detail!$E$1:$E$1001,MATCH(Main!B239,Detail!$G$1:$G$1001,0))</f>
        <v xml:space="preserve">Gang Rawamangun No. 7
</v>
      </c>
      <c r="U239" s="7" t="str">
        <f>INDEX(Detail!$B$1:$B$1001,MATCH(B239,Detail!$G$1:$G$1001,0),1)</f>
        <v>O+</v>
      </c>
    </row>
    <row r="240" spans="1:21" ht="15.75" x14ac:dyDescent="0.25">
      <c r="A240">
        <v>606</v>
      </c>
      <c r="B240" s="3" t="str">
        <f t="shared" si="9"/>
        <v>B0606</v>
      </c>
      <c r="C240" t="s">
        <v>1014</v>
      </c>
      <c r="D240" s="3" t="str">
        <f>VLOOKUP(B240,Detail!$G$1:$H$1001,2,FALSE)</f>
        <v>Zelda Fujiati</v>
      </c>
      <c r="E240">
        <v>87</v>
      </c>
      <c r="F240">
        <v>70</v>
      </c>
      <c r="G240" s="35">
        <v>32</v>
      </c>
      <c r="H240">
        <v>74</v>
      </c>
      <c r="I240">
        <v>85</v>
      </c>
      <c r="J240">
        <v>94</v>
      </c>
      <c r="K240">
        <v>85</v>
      </c>
      <c r="L240" s="26" t="str">
        <f>IFERROR(VLOOKUP(B240,Absen!$A$1:$C$501,2,FALSE),"No")</f>
        <v>No</v>
      </c>
      <c r="M240" s="44">
        <f t="shared" si="7"/>
        <v>8.5</v>
      </c>
      <c r="N240" s="35">
        <f t="shared" si="8"/>
        <v>73.2</v>
      </c>
      <c r="O240" t="str">
        <f>VLOOKUP(N240,Helper!$B$30:$C$35,2,TRUE)</f>
        <v>B</v>
      </c>
      <c r="P240" s="26">
        <f>INDEX(Detail!$A$1:$A$1001,MATCH(B240,Detail!$G$1:$G$1001,0))</f>
        <v>38061</v>
      </c>
      <c r="Q240" s="3" t="str">
        <f>INDEX(Detail!$F$1:$F$1001,MATCH(Main!B240,Detail!$G$1:$G$1001,0))</f>
        <v>Bima</v>
      </c>
      <c r="R240" s="7">
        <f>INDEX(Detail!$C$1:$C$1001,MATCH(B240,Detail!$G$1:$G$1001,0),1)</f>
        <v>152</v>
      </c>
      <c r="S240" s="7">
        <f>INDEX(Detail!$D$1:$D$1001,MATCH(B240,Detail!$G$1:$G$1001,0),1)</f>
        <v>91</v>
      </c>
      <c r="T240" s="7" t="str">
        <f>INDEX(Detail!$E$1:$E$1001,MATCH(Main!B240,Detail!$G$1:$G$1001,0))</f>
        <v>Gang Pasirkoja No. 56</v>
      </c>
      <c r="U240" s="7" t="str">
        <f>INDEX(Detail!$B$1:$B$1001,MATCH(B240,Detail!$G$1:$G$1001,0),1)</f>
        <v>B+</v>
      </c>
    </row>
    <row r="241" spans="1:21" ht="15.75" x14ac:dyDescent="0.25">
      <c r="A241">
        <v>610</v>
      </c>
      <c r="B241" s="3" t="str">
        <f t="shared" si="9"/>
        <v>B0610</v>
      </c>
      <c r="C241" t="s">
        <v>1014</v>
      </c>
      <c r="D241" s="3" t="str">
        <f>VLOOKUP(B241,Detail!$G$1:$H$1001,2,FALSE)</f>
        <v>Darsirah Wahyuni</v>
      </c>
      <c r="E241">
        <v>93</v>
      </c>
      <c r="F241">
        <v>50</v>
      </c>
      <c r="G241" s="35">
        <v>39</v>
      </c>
      <c r="H241">
        <v>61</v>
      </c>
      <c r="I241">
        <v>76</v>
      </c>
      <c r="J241">
        <v>42</v>
      </c>
      <c r="K241">
        <v>87</v>
      </c>
      <c r="L241" s="26" t="str">
        <f>IFERROR(VLOOKUP(B241,Absen!$A$1:$C$501,2,FALSE),"No")</f>
        <v>No</v>
      </c>
      <c r="M241" s="44">
        <f t="shared" si="7"/>
        <v>8.7000000000000011</v>
      </c>
      <c r="N241" s="35">
        <f t="shared" si="8"/>
        <v>59.9</v>
      </c>
      <c r="O241" t="str">
        <f>VLOOKUP(N241,Helper!$B$30:$C$35,2,TRUE)</f>
        <v>D</v>
      </c>
      <c r="P241" s="26">
        <f>INDEX(Detail!$A$1:$A$1001,MATCH(B241,Detail!$G$1:$G$1001,0))</f>
        <v>37898</v>
      </c>
      <c r="Q241" s="3" t="str">
        <f>INDEX(Detail!$F$1:$F$1001,MATCH(Main!B241,Detail!$G$1:$G$1001,0))</f>
        <v>Banjarbaru</v>
      </c>
      <c r="R241" s="7">
        <f>INDEX(Detail!$C$1:$C$1001,MATCH(B241,Detail!$G$1:$G$1001,0),1)</f>
        <v>150</v>
      </c>
      <c r="S241" s="7">
        <f>INDEX(Detail!$D$1:$D$1001,MATCH(B241,Detail!$G$1:$G$1001,0),1)</f>
        <v>71</v>
      </c>
      <c r="T241" s="7" t="str">
        <f>INDEX(Detail!$E$1:$E$1001,MATCH(Main!B241,Detail!$G$1:$G$1001,0))</f>
        <v>Jl. Ciwastra No. 69</v>
      </c>
      <c r="U241" s="7" t="str">
        <f>INDEX(Detail!$B$1:$B$1001,MATCH(B241,Detail!$G$1:$G$1001,0),1)</f>
        <v>AB-</v>
      </c>
    </row>
    <row r="242" spans="1:21" ht="15.75" x14ac:dyDescent="0.25">
      <c r="A242">
        <v>612</v>
      </c>
      <c r="B242" s="3" t="str">
        <f t="shared" si="9"/>
        <v>B0612</v>
      </c>
      <c r="C242" t="s">
        <v>1014</v>
      </c>
      <c r="D242" s="3" t="str">
        <f>VLOOKUP(B242,Detail!$G$1:$H$1001,2,FALSE)</f>
        <v>Alambana Uyainah</v>
      </c>
      <c r="E242">
        <v>84</v>
      </c>
      <c r="F242">
        <v>42</v>
      </c>
      <c r="G242" s="35">
        <v>78</v>
      </c>
      <c r="H242">
        <v>59</v>
      </c>
      <c r="I242">
        <v>71</v>
      </c>
      <c r="J242">
        <v>96</v>
      </c>
      <c r="K242">
        <v>69</v>
      </c>
      <c r="L242" s="26" t="str">
        <f>IFERROR(VLOOKUP(B242,Absen!$A$1:$C$501,2,FALSE),"No")</f>
        <v>No</v>
      </c>
      <c r="M242" s="44">
        <f t="shared" si="7"/>
        <v>6.9</v>
      </c>
      <c r="N242" s="35">
        <f t="shared" si="8"/>
        <v>73.700000000000017</v>
      </c>
      <c r="O242" t="str">
        <f>VLOOKUP(N242,Helper!$B$30:$C$35,2,TRUE)</f>
        <v>B</v>
      </c>
      <c r="P242" s="26">
        <f>INDEX(Detail!$A$1:$A$1001,MATCH(B242,Detail!$G$1:$G$1001,0))</f>
        <v>38262</v>
      </c>
      <c r="Q242" s="3" t="str">
        <f>INDEX(Detail!$F$1:$F$1001,MATCH(Main!B242,Detail!$G$1:$G$1001,0))</f>
        <v>Tidore Kepulauan</v>
      </c>
      <c r="R242" s="7">
        <f>INDEX(Detail!$C$1:$C$1001,MATCH(B242,Detail!$G$1:$G$1001,0),1)</f>
        <v>165</v>
      </c>
      <c r="S242" s="7">
        <f>INDEX(Detail!$D$1:$D$1001,MATCH(B242,Detail!$G$1:$G$1001,0),1)</f>
        <v>89</v>
      </c>
      <c r="T242" s="7" t="str">
        <f>INDEX(Detail!$E$1:$E$1001,MATCH(Main!B242,Detail!$G$1:$G$1001,0))</f>
        <v>Gang Gardujati No. 90</v>
      </c>
      <c r="U242" s="7" t="str">
        <f>INDEX(Detail!$B$1:$B$1001,MATCH(B242,Detail!$G$1:$G$1001,0),1)</f>
        <v>O-</v>
      </c>
    </row>
    <row r="243" spans="1:21" ht="15.75" x14ac:dyDescent="0.25">
      <c r="A243">
        <v>618</v>
      </c>
      <c r="B243" s="3" t="str">
        <f t="shared" si="9"/>
        <v>B0618</v>
      </c>
      <c r="C243" t="s">
        <v>1014</v>
      </c>
      <c r="D243" s="3" t="str">
        <f>VLOOKUP(B243,Detail!$G$1:$H$1001,2,FALSE)</f>
        <v>Kenzie Widodo</v>
      </c>
      <c r="E243">
        <v>57</v>
      </c>
      <c r="F243">
        <v>58</v>
      </c>
      <c r="G243" s="35">
        <v>65</v>
      </c>
      <c r="H243">
        <v>68</v>
      </c>
      <c r="I243">
        <v>60</v>
      </c>
      <c r="J243">
        <v>43</v>
      </c>
      <c r="K243">
        <v>73</v>
      </c>
      <c r="L243" s="26" t="str">
        <f>IFERROR(VLOOKUP(B243,Absen!$A$1:$C$501,2,FALSE),"No")</f>
        <v>No</v>
      </c>
      <c r="M243" s="44">
        <f t="shared" si="7"/>
        <v>7.3000000000000007</v>
      </c>
      <c r="N243" s="35">
        <f t="shared" si="8"/>
        <v>59.275000000000006</v>
      </c>
      <c r="O243" t="str">
        <f>VLOOKUP(N243,Helper!$B$30:$C$35,2,TRUE)</f>
        <v>D</v>
      </c>
      <c r="P243" s="26">
        <f>INDEX(Detail!$A$1:$A$1001,MATCH(B243,Detail!$G$1:$G$1001,0))</f>
        <v>38229</v>
      </c>
      <c r="Q243" s="3" t="str">
        <f>INDEX(Detail!$F$1:$F$1001,MATCH(Main!B243,Detail!$G$1:$G$1001,0))</f>
        <v>Pematangsiantar</v>
      </c>
      <c r="R243" s="7">
        <f>INDEX(Detail!$C$1:$C$1001,MATCH(B243,Detail!$G$1:$G$1001,0),1)</f>
        <v>165</v>
      </c>
      <c r="S243" s="7">
        <f>INDEX(Detail!$D$1:$D$1001,MATCH(B243,Detail!$G$1:$G$1001,0),1)</f>
        <v>63</v>
      </c>
      <c r="T243" s="7" t="str">
        <f>INDEX(Detail!$E$1:$E$1001,MATCH(Main!B243,Detail!$G$1:$G$1001,0))</f>
        <v>Jalan Kendalsari No. 04</v>
      </c>
      <c r="U243" s="7" t="str">
        <f>INDEX(Detail!$B$1:$B$1001,MATCH(B243,Detail!$G$1:$G$1001,0),1)</f>
        <v>AB-</v>
      </c>
    </row>
    <row r="244" spans="1:21" ht="15.75" x14ac:dyDescent="0.25">
      <c r="A244">
        <v>619</v>
      </c>
      <c r="B244" s="3" t="str">
        <f t="shared" si="9"/>
        <v>B0619</v>
      </c>
      <c r="C244" t="s">
        <v>1014</v>
      </c>
      <c r="D244" s="3" t="str">
        <f>VLOOKUP(B244,Detail!$G$1:$H$1001,2,FALSE)</f>
        <v>Galak Oktaviani</v>
      </c>
      <c r="E244">
        <v>60</v>
      </c>
      <c r="F244">
        <v>63</v>
      </c>
      <c r="G244" s="35">
        <v>44</v>
      </c>
      <c r="H244">
        <v>68</v>
      </c>
      <c r="I244">
        <v>64</v>
      </c>
      <c r="J244">
        <v>57</v>
      </c>
      <c r="K244">
        <v>70</v>
      </c>
      <c r="L244" s="26" t="str">
        <f>IFERROR(VLOOKUP(B244,Absen!$A$1:$C$501,2,FALSE),"No")</f>
        <v>No</v>
      </c>
      <c r="M244" s="44">
        <f t="shared" si="7"/>
        <v>7</v>
      </c>
      <c r="N244" s="35">
        <f t="shared" si="8"/>
        <v>59.074999999999996</v>
      </c>
      <c r="O244" t="str">
        <f>VLOOKUP(N244,Helper!$B$30:$C$35,2,TRUE)</f>
        <v>D</v>
      </c>
      <c r="P244" s="26">
        <f>INDEX(Detail!$A$1:$A$1001,MATCH(B244,Detail!$G$1:$G$1001,0))</f>
        <v>37502</v>
      </c>
      <c r="Q244" s="3" t="str">
        <f>INDEX(Detail!$F$1:$F$1001,MATCH(Main!B244,Detail!$G$1:$G$1001,0))</f>
        <v>Surakarta</v>
      </c>
      <c r="R244" s="7">
        <f>INDEX(Detail!$C$1:$C$1001,MATCH(B244,Detail!$G$1:$G$1001,0),1)</f>
        <v>173</v>
      </c>
      <c r="S244" s="7">
        <f>INDEX(Detail!$D$1:$D$1001,MATCH(B244,Detail!$G$1:$G$1001,0),1)</f>
        <v>62</v>
      </c>
      <c r="T244" s="7" t="str">
        <f>INDEX(Detail!$E$1:$E$1001,MATCH(Main!B244,Detail!$G$1:$G$1001,0))</f>
        <v>Jl. Abdul Muis No. 96</v>
      </c>
      <c r="U244" s="7" t="str">
        <f>INDEX(Detail!$B$1:$B$1001,MATCH(B244,Detail!$G$1:$G$1001,0),1)</f>
        <v>O+</v>
      </c>
    </row>
    <row r="245" spans="1:21" ht="15.75" x14ac:dyDescent="0.25">
      <c r="A245">
        <v>621</v>
      </c>
      <c r="B245" s="3" t="str">
        <f t="shared" si="9"/>
        <v>B0621</v>
      </c>
      <c r="C245" t="s">
        <v>1014</v>
      </c>
      <c r="D245" s="3" t="str">
        <f>VLOOKUP(B245,Detail!$G$1:$H$1001,2,FALSE)</f>
        <v>Empluk Waskita</v>
      </c>
      <c r="E245">
        <v>85</v>
      </c>
      <c r="F245">
        <v>60</v>
      </c>
      <c r="G245" s="35">
        <v>57</v>
      </c>
      <c r="H245">
        <v>73</v>
      </c>
      <c r="I245">
        <v>71</v>
      </c>
      <c r="J245">
        <v>72</v>
      </c>
      <c r="K245">
        <v>83</v>
      </c>
      <c r="L245" s="26" t="str">
        <f>IFERROR(VLOOKUP(B245,Absen!$A$1:$C$501,2,FALSE),"No")</f>
        <v>No</v>
      </c>
      <c r="M245" s="44">
        <f t="shared" si="7"/>
        <v>8.3000000000000007</v>
      </c>
      <c r="N245" s="35">
        <f t="shared" si="8"/>
        <v>70.224999999999994</v>
      </c>
      <c r="O245" t="str">
        <f>VLOOKUP(N245,Helper!$B$30:$C$35,2,TRUE)</f>
        <v>B</v>
      </c>
      <c r="P245" s="26">
        <f>INDEX(Detail!$A$1:$A$1001,MATCH(B245,Detail!$G$1:$G$1001,0))</f>
        <v>37590</v>
      </c>
      <c r="Q245" s="3" t="str">
        <f>INDEX(Detail!$F$1:$F$1001,MATCH(Main!B245,Detail!$G$1:$G$1001,0))</f>
        <v>Banjarbaru</v>
      </c>
      <c r="R245" s="7">
        <f>INDEX(Detail!$C$1:$C$1001,MATCH(B245,Detail!$G$1:$G$1001,0),1)</f>
        <v>150</v>
      </c>
      <c r="S245" s="7">
        <f>INDEX(Detail!$D$1:$D$1001,MATCH(B245,Detail!$G$1:$G$1001,0),1)</f>
        <v>86</v>
      </c>
      <c r="T245" s="7" t="str">
        <f>INDEX(Detail!$E$1:$E$1001,MATCH(Main!B245,Detail!$G$1:$G$1001,0))</f>
        <v>Jalan KH Amin Jasuta No. 27</v>
      </c>
      <c r="U245" s="7" t="str">
        <f>INDEX(Detail!$B$1:$B$1001,MATCH(B245,Detail!$G$1:$G$1001,0),1)</f>
        <v>O+</v>
      </c>
    </row>
    <row r="246" spans="1:21" ht="15.75" x14ac:dyDescent="0.25">
      <c r="A246">
        <v>625</v>
      </c>
      <c r="B246" s="3" t="str">
        <f t="shared" si="9"/>
        <v>B0625</v>
      </c>
      <c r="C246" t="s">
        <v>1014</v>
      </c>
      <c r="D246" s="3" t="str">
        <f>VLOOKUP(B246,Detail!$G$1:$H$1001,2,FALSE)</f>
        <v>Faizah Suwarno</v>
      </c>
      <c r="E246">
        <v>78</v>
      </c>
      <c r="F246">
        <v>52</v>
      </c>
      <c r="G246" s="35">
        <v>84</v>
      </c>
      <c r="H246">
        <v>62</v>
      </c>
      <c r="I246">
        <v>60</v>
      </c>
      <c r="J246">
        <v>66</v>
      </c>
      <c r="K246">
        <v>73</v>
      </c>
      <c r="L246" s="26" t="str">
        <f>IFERROR(VLOOKUP(B246,Absen!$A$1:$C$501,2,FALSE),"No")</f>
        <v>No</v>
      </c>
      <c r="M246" s="44">
        <f t="shared" si="7"/>
        <v>7.3000000000000007</v>
      </c>
      <c r="N246" s="35">
        <f t="shared" si="8"/>
        <v>68.8</v>
      </c>
      <c r="O246" t="str">
        <f>VLOOKUP(N246,Helper!$B$30:$C$35,2,TRUE)</f>
        <v>C</v>
      </c>
      <c r="P246" s="26">
        <f>INDEX(Detail!$A$1:$A$1001,MATCH(B246,Detail!$G$1:$G$1001,0))</f>
        <v>38176</v>
      </c>
      <c r="Q246" s="3" t="str">
        <f>INDEX(Detail!$F$1:$F$1001,MATCH(Main!B246,Detail!$G$1:$G$1001,0))</f>
        <v>Palopo</v>
      </c>
      <c r="R246" s="7">
        <f>INDEX(Detail!$C$1:$C$1001,MATCH(B246,Detail!$G$1:$G$1001,0),1)</f>
        <v>161</v>
      </c>
      <c r="S246" s="7">
        <f>INDEX(Detail!$D$1:$D$1001,MATCH(B246,Detail!$G$1:$G$1001,0),1)</f>
        <v>49</v>
      </c>
      <c r="T246" s="7" t="str">
        <f>INDEX(Detail!$E$1:$E$1001,MATCH(Main!B246,Detail!$G$1:$G$1001,0))</f>
        <v xml:space="preserve">Gg. Stasiun Wonokromo No. 5
</v>
      </c>
      <c r="U246" s="7" t="str">
        <f>INDEX(Detail!$B$1:$B$1001,MATCH(B246,Detail!$G$1:$G$1001,0),1)</f>
        <v>B+</v>
      </c>
    </row>
    <row r="247" spans="1:21" ht="15.75" x14ac:dyDescent="0.25">
      <c r="A247">
        <v>628</v>
      </c>
      <c r="B247" s="3" t="str">
        <f t="shared" si="9"/>
        <v>B0628</v>
      </c>
      <c r="C247" t="s">
        <v>1014</v>
      </c>
      <c r="D247" s="3" t="str">
        <f>VLOOKUP(B247,Detail!$G$1:$H$1001,2,FALSE)</f>
        <v>Ibrani Thamrin</v>
      </c>
      <c r="E247">
        <v>64</v>
      </c>
      <c r="F247">
        <v>65</v>
      </c>
      <c r="G247" s="35">
        <v>30</v>
      </c>
      <c r="H247">
        <v>67</v>
      </c>
      <c r="I247">
        <v>73</v>
      </c>
      <c r="J247">
        <v>61</v>
      </c>
      <c r="K247">
        <v>79</v>
      </c>
      <c r="L247" s="26">
        <f>IFERROR(VLOOKUP(B247,Absen!$A$1:$C$501,2,FALSE),"No")</f>
        <v>44803</v>
      </c>
      <c r="M247" s="44">
        <f t="shared" si="7"/>
        <v>6.9</v>
      </c>
      <c r="N247" s="35">
        <f t="shared" si="8"/>
        <v>58.725000000000001</v>
      </c>
      <c r="O247" t="str">
        <f>VLOOKUP(N247,Helper!$B$30:$C$35,2,TRUE)</f>
        <v>D</v>
      </c>
      <c r="P247" s="26">
        <f>INDEX(Detail!$A$1:$A$1001,MATCH(B247,Detail!$G$1:$G$1001,0))</f>
        <v>37677</v>
      </c>
      <c r="Q247" s="3" t="str">
        <f>INDEX(Detail!$F$1:$F$1001,MATCH(Main!B247,Detail!$G$1:$G$1001,0))</f>
        <v>Makassar</v>
      </c>
      <c r="R247" s="7">
        <f>INDEX(Detail!$C$1:$C$1001,MATCH(B247,Detail!$G$1:$G$1001,0),1)</f>
        <v>155</v>
      </c>
      <c r="S247" s="7">
        <f>INDEX(Detail!$D$1:$D$1001,MATCH(B247,Detail!$G$1:$G$1001,0),1)</f>
        <v>71</v>
      </c>
      <c r="T247" s="7" t="str">
        <f>INDEX(Detail!$E$1:$E$1001,MATCH(Main!B247,Detail!$G$1:$G$1001,0))</f>
        <v>Jl. Ahmad Dahlan No. 75</v>
      </c>
      <c r="U247" s="7" t="str">
        <f>INDEX(Detail!$B$1:$B$1001,MATCH(B247,Detail!$G$1:$G$1001,0),1)</f>
        <v>A-</v>
      </c>
    </row>
    <row r="248" spans="1:21" ht="15.75" x14ac:dyDescent="0.25">
      <c r="A248">
        <v>629</v>
      </c>
      <c r="B248" s="3" t="str">
        <f t="shared" si="9"/>
        <v>B0629</v>
      </c>
      <c r="C248" t="s">
        <v>1014</v>
      </c>
      <c r="D248" s="3" t="str">
        <f>VLOOKUP(B248,Detail!$G$1:$H$1001,2,FALSE)</f>
        <v>Gantar Iswahyudi</v>
      </c>
      <c r="E248">
        <v>73</v>
      </c>
      <c r="F248">
        <v>41</v>
      </c>
      <c r="G248" s="35">
        <v>66</v>
      </c>
      <c r="H248">
        <v>55</v>
      </c>
      <c r="I248">
        <v>94</v>
      </c>
      <c r="J248">
        <v>62</v>
      </c>
      <c r="K248">
        <v>83</v>
      </c>
      <c r="L248" s="26">
        <f>IFERROR(VLOOKUP(B248,Absen!$A$1:$C$501,2,FALSE),"No")</f>
        <v>44858</v>
      </c>
      <c r="M248" s="44">
        <f t="shared" si="7"/>
        <v>7.3000000000000007</v>
      </c>
      <c r="N248" s="35">
        <f t="shared" si="8"/>
        <v>65.775000000000006</v>
      </c>
      <c r="O248" t="str">
        <f>VLOOKUP(N248,Helper!$B$30:$C$35,2,TRUE)</f>
        <v>C</v>
      </c>
      <c r="P248" s="26">
        <f>INDEX(Detail!$A$1:$A$1001,MATCH(B248,Detail!$G$1:$G$1001,0))</f>
        <v>38000</v>
      </c>
      <c r="Q248" s="3" t="str">
        <f>INDEX(Detail!$F$1:$F$1001,MATCH(Main!B248,Detail!$G$1:$G$1001,0))</f>
        <v>Padang</v>
      </c>
      <c r="R248" s="7">
        <f>INDEX(Detail!$C$1:$C$1001,MATCH(B248,Detail!$G$1:$G$1001,0),1)</f>
        <v>160</v>
      </c>
      <c r="S248" s="7">
        <f>INDEX(Detail!$D$1:$D$1001,MATCH(B248,Detail!$G$1:$G$1001,0),1)</f>
        <v>74</v>
      </c>
      <c r="T248" s="7" t="str">
        <f>INDEX(Detail!$E$1:$E$1001,MATCH(Main!B248,Detail!$G$1:$G$1001,0))</f>
        <v xml:space="preserve">Gang Jend. Sudirman No. 8
</v>
      </c>
      <c r="U248" s="7" t="str">
        <f>INDEX(Detail!$B$1:$B$1001,MATCH(B248,Detail!$G$1:$G$1001,0),1)</f>
        <v>B-</v>
      </c>
    </row>
    <row r="249" spans="1:21" ht="15.75" x14ac:dyDescent="0.25">
      <c r="A249">
        <v>635</v>
      </c>
      <c r="B249" s="3" t="str">
        <f t="shared" si="9"/>
        <v>B0635</v>
      </c>
      <c r="C249" t="s">
        <v>1014</v>
      </c>
      <c r="D249" s="3" t="str">
        <f>VLOOKUP(B249,Detail!$G$1:$H$1001,2,FALSE)</f>
        <v>Umay Sitompul</v>
      </c>
      <c r="E249">
        <v>80</v>
      </c>
      <c r="F249">
        <v>61</v>
      </c>
      <c r="G249" s="35">
        <v>88</v>
      </c>
      <c r="H249">
        <v>69</v>
      </c>
      <c r="I249">
        <v>90</v>
      </c>
      <c r="J249">
        <v>45</v>
      </c>
      <c r="K249">
        <v>83</v>
      </c>
      <c r="L249" s="26" t="str">
        <f>IFERROR(VLOOKUP(B249,Absen!$A$1:$C$501,2,FALSE),"No")</f>
        <v>No</v>
      </c>
      <c r="M249" s="44">
        <f t="shared" si="7"/>
        <v>8.3000000000000007</v>
      </c>
      <c r="N249" s="35">
        <f t="shared" si="8"/>
        <v>72.399999999999991</v>
      </c>
      <c r="O249" t="str">
        <f>VLOOKUP(N249,Helper!$B$30:$C$35,2,TRUE)</f>
        <v>B</v>
      </c>
      <c r="P249" s="26">
        <f>INDEX(Detail!$A$1:$A$1001,MATCH(B249,Detail!$G$1:$G$1001,0))</f>
        <v>37270</v>
      </c>
      <c r="Q249" s="3" t="str">
        <f>INDEX(Detail!$F$1:$F$1001,MATCH(Main!B249,Detail!$G$1:$G$1001,0))</f>
        <v>Tegal</v>
      </c>
      <c r="R249" s="7">
        <f>INDEX(Detail!$C$1:$C$1001,MATCH(B249,Detail!$G$1:$G$1001,0),1)</f>
        <v>154</v>
      </c>
      <c r="S249" s="7">
        <f>INDEX(Detail!$D$1:$D$1001,MATCH(B249,Detail!$G$1:$G$1001,0),1)</f>
        <v>50</v>
      </c>
      <c r="T249" s="7" t="str">
        <f>INDEX(Detail!$E$1:$E$1001,MATCH(Main!B249,Detail!$G$1:$G$1001,0))</f>
        <v>Jl. Suryakencana No. 91</v>
      </c>
      <c r="U249" s="7" t="str">
        <f>INDEX(Detail!$B$1:$B$1001,MATCH(B249,Detail!$G$1:$G$1001,0),1)</f>
        <v>B-</v>
      </c>
    </row>
    <row r="250" spans="1:21" ht="15.75" x14ac:dyDescent="0.25">
      <c r="A250">
        <v>637</v>
      </c>
      <c r="B250" s="3" t="str">
        <f t="shared" si="9"/>
        <v>B0637</v>
      </c>
      <c r="C250" t="s">
        <v>1014</v>
      </c>
      <c r="D250" s="3" t="str">
        <f>VLOOKUP(B250,Detail!$G$1:$H$1001,2,FALSE)</f>
        <v>Faizah Uwais</v>
      </c>
      <c r="E250">
        <v>93</v>
      </c>
      <c r="F250">
        <v>45</v>
      </c>
      <c r="G250" s="35">
        <v>66</v>
      </c>
      <c r="H250">
        <v>75</v>
      </c>
      <c r="I250">
        <v>56</v>
      </c>
      <c r="J250">
        <v>62</v>
      </c>
      <c r="K250">
        <v>62</v>
      </c>
      <c r="L250" s="26">
        <f>IFERROR(VLOOKUP(B250,Absen!$A$1:$C$501,2,FALSE),"No")</f>
        <v>44887</v>
      </c>
      <c r="M250" s="44">
        <f t="shared" si="7"/>
        <v>5.2</v>
      </c>
      <c r="N250" s="35">
        <f t="shared" si="8"/>
        <v>64.424999999999997</v>
      </c>
      <c r="O250" t="str">
        <f>VLOOKUP(N250,Helper!$B$30:$C$35,2,TRUE)</f>
        <v>C</v>
      </c>
      <c r="P250" s="26">
        <f>INDEX(Detail!$A$1:$A$1001,MATCH(B250,Detail!$G$1:$G$1001,0))</f>
        <v>37123</v>
      </c>
      <c r="Q250" s="3" t="str">
        <f>INDEX(Detail!$F$1:$F$1001,MATCH(Main!B250,Detail!$G$1:$G$1001,0))</f>
        <v>Kota Administrasi Jakarta Selatan</v>
      </c>
      <c r="R250" s="7">
        <f>INDEX(Detail!$C$1:$C$1001,MATCH(B250,Detail!$G$1:$G$1001,0),1)</f>
        <v>155</v>
      </c>
      <c r="S250" s="7">
        <f>INDEX(Detail!$D$1:$D$1001,MATCH(B250,Detail!$G$1:$G$1001,0),1)</f>
        <v>80</v>
      </c>
      <c r="T250" s="7" t="str">
        <f>INDEX(Detail!$E$1:$E$1001,MATCH(Main!B250,Detail!$G$1:$G$1001,0))</f>
        <v>Jl. Ahmad Yani No. 43</v>
      </c>
      <c r="U250" s="7" t="str">
        <f>INDEX(Detail!$B$1:$B$1001,MATCH(B250,Detail!$G$1:$G$1001,0),1)</f>
        <v>AB+</v>
      </c>
    </row>
    <row r="251" spans="1:21" ht="15.75" x14ac:dyDescent="0.25">
      <c r="A251">
        <v>641</v>
      </c>
      <c r="B251" s="3" t="str">
        <f t="shared" si="9"/>
        <v>B0641</v>
      </c>
      <c r="C251" t="s">
        <v>1014</v>
      </c>
      <c r="D251" s="3" t="str">
        <f>VLOOKUP(B251,Detail!$G$1:$H$1001,2,FALSE)</f>
        <v>Lala Yolanda</v>
      </c>
      <c r="E251">
        <v>58</v>
      </c>
      <c r="F251">
        <v>48</v>
      </c>
      <c r="G251" s="35">
        <v>32</v>
      </c>
      <c r="H251">
        <v>70</v>
      </c>
      <c r="I251">
        <v>87</v>
      </c>
      <c r="J251">
        <v>65</v>
      </c>
      <c r="K251">
        <v>81</v>
      </c>
      <c r="L251" s="26">
        <f>IFERROR(VLOOKUP(B251,Absen!$A$1:$C$501,2,FALSE),"No")</f>
        <v>44853</v>
      </c>
      <c r="M251" s="44">
        <f t="shared" si="7"/>
        <v>7.1000000000000005</v>
      </c>
      <c r="N251" s="35">
        <f t="shared" si="8"/>
        <v>59.375</v>
      </c>
      <c r="O251" t="str">
        <f>VLOOKUP(N251,Helper!$B$30:$C$35,2,TRUE)</f>
        <v>D</v>
      </c>
      <c r="P251" s="26">
        <f>INDEX(Detail!$A$1:$A$1001,MATCH(B251,Detail!$G$1:$G$1001,0))</f>
        <v>37907</v>
      </c>
      <c r="Q251" s="3" t="str">
        <f>INDEX(Detail!$F$1:$F$1001,MATCH(Main!B251,Detail!$G$1:$G$1001,0))</f>
        <v>Kota Administrasi Jakarta Timur</v>
      </c>
      <c r="R251" s="7">
        <f>INDEX(Detail!$C$1:$C$1001,MATCH(B251,Detail!$G$1:$G$1001,0),1)</f>
        <v>177</v>
      </c>
      <c r="S251" s="7">
        <f>INDEX(Detail!$D$1:$D$1001,MATCH(B251,Detail!$G$1:$G$1001,0),1)</f>
        <v>66</v>
      </c>
      <c r="T251" s="7" t="str">
        <f>INDEX(Detail!$E$1:$E$1001,MATCH(Main!B251,Detail!$G$1:$G$1001,0))</f>
        <v xml:space="preserve">Jl. Rungkut Industri No. 0
</v>
      </c>
      <c r="U251" s="7" t="str">
        <f>INDEX(Detail!$B$1:$B$1001,MATCH(B251,Detail!$G$1:$G$1001,0),1)</f>
        <v>A+</v>
      </c>
    </row>
    <row r="252" spans="1:21" ht="15.75" x14ac:dyDescent="0.25">
      <c r="A252">
        <v>649</v>
      </c>
      <c r="B252" s="3" t="str">
        <f t="shared" si="9"/>
        <v>B0649</v>
      </c>
      <c r="C252" t="s">
        <v>1014</v>
      </c>
      <c r="D252" s="3" t="str">
        <f>VLOOKUP(B252,Detail!$G$1:$H$1001,2,FALSE)</f>
        <v>Labuh Sudiati</v>
      </c>
      <c r="E252">
        <v>84</v>
      </c>
      <c r="F252">
        <v>58</v>
      </c>
      <c r="G252" s="35">
        <v>76</v>
      </c>
      <c r="H252">
        <v>70</v>
      </c>
      <c r="I252">
        <v>50</v>
      </c>
      <c r="J252">
        <v>67</v>
      </c>
      <c r="K252">
        <v>67</v>
      </c>
      <c r="L252" s="26" t="str">
        <f>IFERROR(VLOOKUP(B252,Absen!$A$1:$C$501,2,FALSE),"No")</f>
        <v>No</v>
      </c>
      <c r="M252" s="44">
        <f t="shared" si="7"/>
        <v>6.7</v>
      </c>
      <c r="N252" s="35">
        <f t="shared" si="8"/>
        <v>68.05</v>
      </c>
      <c r="O252" t="str">
        <f>VLOOKUP(N252,Helper!$B$30:$C$35,2,TRUE)</f>
        <v>C</v>
      </c>
      <c r="P252" s="26">
        <f>INDEX(Detail!$A$1:$A$1001,MATCH(B252,Detail!$G$1:$G$1001,0))</f>
        <v>37012</v>
      </c>
      <c r="Q252" s="3" t="str">
        <f>INDEX(Detail!$F$1:$F$1001,MATCH(Main!B252,Detail!$G$1:$G$1001,0))</f>
        <v>Kota Administrasi Jakarta Selatan</v>
      </c>
      <c r="R252" s="7">
        <f>INDEX(Detail!$C$1:$C$1001,MATCH(B252,Detail!$G$1:$G$1001,0),1)</f>
        <v>180</v>
      </c>
      <c r="S252" s="7">
        <f>INDEX(Detail!$D$1:$D$1001,MATCH(B252,Detail!$G$1:$G$1001,0),1)</f>
        <v>61</v>
      </c>
      <c r="T252" s="7" t="str">
        <f>INDEX(Detail!$E$1:$E$1001,MATCH(Main!B252,Detail!$G$1:$G$1001,0))</f>
        <v xml:space="preserve">Jl. Moch. Toha No. 4
</v>
      </c>
      <c r="U252" s="7" t="str">
        <f>INDEX(Detail!$B$1:$B$1001,MATCH(B252,Detail!$G$1:$G$1001,0),1)</f>
        <v>B-</v>
      </c>
    </row>
    <row r="253" spans="1:21" ht="15.75" x14ac:dyDescent="0.25">
      <c r="A253">
        <v>650</v>
      </c>
      <c r="B253" s="3" t="str">
        <f t="shared" si="9"/>
        <v>B0650</v>
      </c>
      <c r="C253" t="s">
        <v>1014</v>
      </c>
      <c r="D253" s="3" t="str">
        <f>VLOOKUP(B253,Detail!$G$1:$H$1001,2,FALSE)</f>
        <v>Cakrawala Namaga</v>
      </c>
      <c r="E253">
        <v>73</v>
      </c>
      <c r="F253">
        <v>70</v>
      </c>
      <c r="G253" s="35">
        <v>71</v>
      </c>
      <c r="H253">
        <v>64</v>
      </c>
      <c r="I253">
        <v>83</v>
      </c>
      <c r="J253">
        <v>91</v>
      </c>
      <c r="K253">
        <v>71</v>
      </c>
      <c r="L253" s="26" t="str">
        <f>IFERROR(VLOOKUP(B253,Absen!$A$1:$C$501,2,FALSE),"No")</f>
        <v>No</v>
      </c>
      <c r="M253" s="44">
        <f t="shared" si="7"/>
        <v>7.1000000000000005</v>
      </c>
      <c r="N253" s="35">
        <f t="shared" si="8"/>
        <v>75.75</v>
      </c>
      <c r="O253" t="str">
        <f>VLOOKUP(N253,Helper!$B$30:$C$35,2,TRUE)</f>
        <v>B</v>
      </c>
      <c r="P253" s="26">
        <f>INDEX(Detail!$A$1:$A$1001,MATCH(B253,Detail!$G$1:$G$1001,0))</f>
        <v>37671</v>
      </c>
      <c r="Q253" s="3" t="str">
        <f>INDEX(Detail!$F$1:$F$1001,MATCH(Main!B253,Detail!$G$1:$G$1001,0))</f>
        <v>Jayapura</v>
      </c>
      <c r="R253" s="7">
        <f>INDEX(Detail!$C$1:$C$1001,MATCH(B253,Detail!$G$1:$G$1001,0),1)</f>
        <v>163</v>
      </c>
      <c r="S253" s="7">
        <f>INDEX(Detail!$D$1:$D$1001,MATCH(B253,Detail!$G$1:$G$1001,0),1)</f>
        <v>87</v>
      </c>
      <c r="T253" s="7" t="str">
        <f>INDEX(Detail!$E$1:$E$1001,MATCH(Main!B253,Detail!$G$1:$G$1001,0))</f>
        <v xml:space="preserve">Jalan Sentot Alibasa No. 4
</v>
      </c>
      <c r="U253" s="7" t="str">
        <f>INDEX(Detail!$B$1:$B$1001,MATCH(B253,Detail!$G$1:$G$1001,0),1)</f>
        <v>AB+</v>
      </c>
    </row>
    <row r="254" spans="1:21" ht="15.75" x14ac:dyDescent="0.25">
      <c r="A254">
        <v>656</v>
      </c>
      <c r="B254" s="3" t="str">
        <f t="shared" si="9"/>
        <v>B0656</v>
      </c>
      <c r="C254" t="s">
        <v>1014</v>
      </c>
      <c r="D254" s="3" t="str">
        <f>VLOOKUP(B254,Detail!$G$1:$H$1001,2,FALSE)</f>
        <v>Salman Widiastuti</v>
      </c>
      <c r="E254">
        <v>54</v>
      </c>
      <c r="F254">
        <v>53</v>
      </c>
      <c r="G254" s="35">
        <v>37</v>
      </c>
      <c r="H254">
        <v>58</v>
      </c>
      <c r="I254">
        <v>92</v>
      </c>
      <c r="J254">
        <v>40</v>
      </c>
      <c r="K254">
        <v>68</v>
      </c>
      <c r="L254" s="26">
        <f>IFERROR(VLOOKUP(B254,Absen!$A$1:$C$501,2,FALSE),"No")</f>
        <v>44784</v>
      </c>
      <c r="M254" s="44">
        <f t="shared" si="7"/>
        <v>5.8000000000000007</v>
      </c>
      <c r="N254" s="35">
        <f t="shared" si="8"/>
        <v>53.325000000000003</v>
      </c>
      <c r="O254" t="str">
        <f>VLOOKUP(N254,Helper!$B$30:$C$35,2,TRUE)</f>
        <v>D</v>
      </c>
      <c r="P254" s="26">
        <f>INDEX(Detail!$A$1:$A$1001,MATCH(B254,Detail!$G$1:$G$1001,0))</f>
        <v>37623</v>
      </c>
      <c r="Q254" s="3" t="str">
        <f>INDEX(Detail!$F$1:$F$1001,MATCH(Main!B254,Detail!$G$1:$G$1001,0))</f>
        <v>Langsa</v>
      </c>
      <c r="R254" s="7">
        <f>INDEX(Detail!$C$1:$C$1001,MATCH(B254,Detail!$G$1:$G$1001,0),1)</f>
        <v>159</v>
      </c>
      <c r="S254" s="7">
        <f>INDEX(Detail!$D$1:$D$1001,MATCH(B254,Detail!$G$1:$G$1001,0),1)</f>
        <v>87</v>
      </c>
      <c r="T254" s="7" t="str">
        <f>INDEX(Detail!$E$1:$E$1001,MATCH(Main!B254,Detail!$G$1:$G$1001,0))</f>
        <v>Gg. Bangka Raya No. 76</v>
      </c>
      <c r="U254" s="7" t="str">
        <f>INDEX(Detail!$B$1:$B$1001,MATCH(B254,Detail!$G$1:$G$1001,0),1)</f>
        <v>B+</v>
      </c>
    </row>
    <row r="255" spans="1:21" ht="15.75" x14ac:dyDescent="0.25">
      <c r="A255">
        <v>660</v>
      </c>
      <c r="B255" s="3" t="str">
        <f t="shared" si="9"/>
        <v>B0660</v>
      </c>
      <c r="C255" t="s">
        <v>1014</v>
      </c>
      <c r="D255" s="3" t="str">
        <f>VLOOKUP(B255,Detail!$G$1:$H$1001,2,FALSE)</f>
        <v>Amalia Putra</v>
      </c>
      <c r="E255">
        <v>65</v>
      </c>
      <c r="F255">
        <v>41</v>
      </c>
      <c r="G255" s="35">
        <v>93</v>
      </c>
      <c r="H255">
        <v>50</v>
      </c>
      <c r="I255">
        <v>81</v>
      </c>
      <c r="J255">
        <v>96</v>
      </c>
      <c r="K255">
        <v>98</v>
      </c>
      <c r="L255" s="26">
        <f>IFERROR(VLOOKUP(B255,Absen!$A$1:$C$501,2,FALSE),"No")</f>
        <v>44784</v>
      </c>
      <c r="M255" s="44">
        <f t="shared" si="7"/>
        <v>8.8000000000000007</v>
      </c>
      <c r="N255" s="35">
        <f t="shared" si="8"/>
        <v>76.225000000000009</v>
      </c>
      <c r="O255" t="str">
        <f>VLOOKUP(N255,Helper!$B$30:$C$35,2,TRUE)</f>
        <v>B</v>
      </c>
      <c r="P255" s="26">
        <f>INDEX(Detail!$A$1:$A$1001,MATCH(B255,Detail!$G$1:$G$1001,0))</f>
        <v>37784</v>
      </c>
      <c r="Q255" s="3" t="str">
        <f>INDEX(Detail!$F$1:$F$1001,MATCH(Main!B255,Detail!$G$1:$G$1001,0))</f>
        <v>Banjar</v>
      </c>
      <c r="R255" s="7">
        <f>INDEX(Detail!$C$1:$C$1001,MATCH(B255,Detail!$G$1:$G$1001,0),1)</f>
        <v>150</v>
      </c>
      <c r="S255" s="7">
        <f>INDEX(Detail!$D$1:$D$1001,MATCH(B255,Detail!$G$1:$G$1001,0),1)</f>
        <v>75</v>
      </c>
      <c r="T255" s="7" t="str">
        <f>INDEX(Detail!$E$1:$E$1001,MATCH(Main!B255,Detail!$G$1:$G$1001,0))</f>
        <v xml:space="preserve">Jl. Kendalsari No. 6
</v>
      </c>
      <c r="U255" s="7" t="str">
        <f>INDEX(Detail!$B$1:$B$1001,MATCH(B255,Detail!$G$1:$G$1001,0),1)</f>
        <v>AB-</v>
      </c>
    </row>
    <row r="256" spans="1:21" ht="15.75" x14ac:dyDescent="0.25">
      <c r="A256">
        <v>662</v>
      </c>
      <c r="B256" s="3" t="str">
        <f t="shared" si="9"/>
        <v>B0662</v>
      </c>
      <c r="C256" t="s">
        <v>1014</v>
      </c>
      <c r="D256" s="3" t="str">
        <f>VLOOKUP(B256,Detail!$G$1:$H$1001,2,FALSE)</f>
        <v>Eka Gunawan</v>
      </c>
      <c r="E256">
        <v>70</v>
      </c>
      <c r="F256">
        <v>46</v>
      </c>
      <c r="G256" s="35">
        <v>82</v>
      </c>
      <c r="H256">
        <v>65</v>
      </c>
      <c r="I256">
        <v>68</v>
      </c>
      <c r="J256">
        <v>89</v>
      </c>
      <c r="K256">
        <v>60</v>
      </c>
      <c r="L256" s="26" t="str">
        <f>IFERROR(VLOOKUP(B256,Absen!$A$1:$C$501,2,FALSE),"No")</f>
        <v>No</v>
      </c>
      <c r="M256" s="44">
        <f t="shared" si="7"/>
        <v>6</v>
      </c>
      <c r="N256" s="35">
        <f t="shared" si="8"/>
        <v>71.325000000000003</v>
      </c>
      <c r="O256" t="str">
        <f>VLOOKUP(N256,Helper!$B$30:$C$35,2,TRUE)</f>
        <v>B</v>
      </c>
      <c r="P256" s="26">
        <f>INDEX(Detail!$A$1:$A$1001,MATCH(B256,Detail!$G$1:$G$1001,0))</f>
        <v>37810</v>
      </c>
      <c r="Q256" s="3" t="str">
        <f>INDEX(Detail!$F$1:$F$1001,MATCH(Main!B256,Detail!$G$1:$G$1001,0))</f>
        <v>Kota Administrasi Jakarta Barat</v>
      </c>
      <c r="R256" s="7">
        <f>INDEX(Detail!$C$1:$C$1001,MATCH(B256,Detail!$G$1:$G$1001,0),1)</f>
        <v>162</v>
      </c>
      <c r="S256" s="7">
        <f>INDEX(Detail!$D$1:$D$1001,MATCH(B256,Detail!$G$1:$G$1001,0),1)</f>
        <v>46</v>
      </c>
      <c r="T256" s="7" t="str">
        <f>INDEX(Detail!$E$1:$E$1001,MATCH(Main!B256,Detail!$G$1:$G$1001,0))</f>
        <v>Gg. HOS. Cokroaminoto No. 95</v>
      </c>
      <c r="U256" s="7" t="str">
        <f>INDEX(Detail!$B$1:$B$1001,MATCH(B256,Detail!$G$1:$G$1001,0),1)</f>
        <v>A-</v>
      </c>
    </row>
    <row r="257" spans="1:21" ht="15.75" x14ac:dyDescent="0.25">
      <c r="A257">
        <v>672</v>
      </c>
      <c r="B257" s="3" t="str">
        <f t="shared" si="9"/>
        <v>B0672</v>
      </c>
      <c r="C257" t="s">
        <v>1014</v>
      </c>
      <c r="D257" s="3" t="str">
        <f>VLOOKUP(B257,Detail!$G$1:$H$1001,2,FALSE)</f>
        <v>Agnes Siregar</v>
      </c>
      <c r="E257">
        <v>50</v>
      </c>
      <c r="F257">
        <v>41</v>
      </c>
      <c r="G257" s="35">
        <v>35</v>
      </c>
      <c r="H257">
        <v>68</v>
      </c>
      <c r="I257">
        <v>89</v>
      </c>
      <c r="J257">
        <v>40</v>
      </c>
      <c r="K257">
        <v>95</v>
      </c>
      <c r="L257" s="26" t="str">
        <f>IFERROR(VLOOKUP(B257,Absen!$A$1:$C$501,2,FALSE),"No")</f>
        <v>No</v>
      </c>
      <c r="M257" s="44">
        <f t="shared" si="7"/>
        <v>9.5</v>
      </c>
      <c r="N257" s="35">
        <f t="shared" si="8"/>
        <v>55.5</v>
      </c>
      <c r="O257" t="str">
        <f>VLOOKUP(N257,Helper!$B$30:$C$35,2,TRUE)</f>
        <v>D</v>
      </c>
      <c r="P257" s="26">
        <f>INDEX(Detail!$A$1:$A$1001,MATCH(B257,Detail!$G$1:$G$1001,0))</f>
        <v>38387</v>
      </c>
      <c r="Q257" s="3" t="str">
        <f>INDEX(Detail!$F$1:$F$1001,MATCH(Main!B257,Detail!$G$1:$G$1001,0))</f>
        <v>Tebingtinggi</v>
      </c>
      <c r="R257" s="7">
        <f>INDEX(Detail!$C$1:$C$1001,MATCH(B257,Detail!$G$1:$G$1001,0),1)</f>
        <v>166</v>
      </c>
      <c r="S257" s="7">
        <f>INDEX(Detail!$D$1:$D$1001,MATCH(B257,Detail!$G$1:$G$1001,0),1)</f>
        <v>61</v>
      </c>
      <c r="T257" s="7" t="str">
        <f>INDEX(Detail!$E$1:$E$1001,MATCH(Main!B257,Detail!$G$1:$G$1001,0))</f>
        <v>Gang Pasirkoja No. 48</v>
      </c>
      <c r="U257" s="7" t="str">
        <f>INDEX(Detail!$B$1:$B$1001,MATCH(B257,Detail!$G$1:$G$1001,0),1)</f>
        <v>AB+</v>
      </c>
    </row>
    <row r="258" spans="1:21" ht="15.75" x14ac:dyDescent="0.25">
      <c r="A258">
        <v>675</v>
      </c>
      <c r="B258" s="3" t="str">
        <f t="shared" si="9"/>
        <v>B0675</v>
      </c>
      <c r="C258" t="s">
        <v>1014</v>
      </c>
      <c r="D258" s="3" t="str">
        <f>VLOOKUP(B258,Detail!$G$1:$H$1001,2,FALSE)</f>
        <v>Balangga Prasetyo</v>
      </c>
      <c r="E258">
        <v>83</v>
      </c>
      <c r="F258">
        <v>42</v>
      </c>
      <c r="G258" s="35">
        <v>79</v>
      </c>
      <c r="H258">
        <v>55</v>
      </c>
      <c r="I258">
        <v>72</v>
      </c>
      <c r="J258">
        <v>58</v>
      </c>
      <c r="K258">
        <v>73</v>
      </c>
      <c r="L258" s="26" t="str">
        <f>IFERROR(VLOOKUP(B258,Absen!$A$1:$C$501,2,FALSE),"No")</f>
        <v>No</v>
      </c>
      <c r="M258" s="44">
        <f t="shared" ref="M258:M321" si="10">IF(L258="no",K258,K258-10)*10%</f>
        <v>7.3000000000000007</v>
      </c>
      <c r="N258" s="35">
        <f t="shared" ref="N258:N321" si="11">SUM(E258*12.5%,F258*12.5%,H258*12.5%,I258*12.5%,G258*20%,J258*20%,M258)</f>
        <v>66.2</v>
      </c>
      <c r="O258" t="str">
        <f>VLOOKUP(N258,Helper!$B$30:$C$35,2,TRUE)</f>
        <v>C</v>
      </c>
      <c r="P258" s="26">
        <f>INDEX(Detail!$A$1:$A$1001,MATCH(B258,Detail!$G$1:$G$1001,0))</f>
        <v>37634</v>
      </c>
      <c r="Q258" s="3" t="str">
        <f>INDEX(Detail!$F$1:$F$1001,MATCH(Main!B258,Detail!$G$1:$G$1001,0))</f>
        <v>Meulaboh</v>
      </c>
      <c r="R258" s="7">
        <f>INDEX(Detail!$C$1:$C$1001,MATCH(B258,Detail!$G$1:$G$1001,0),1)</f>
        <v>153</v>
      </c>
      <c r="S258" s="7">
        <f>INDEX(Detail!$D$1:$D$1001,MATCH(B258,Detail!$G$1:$G$1001,0),1)</f>
        <v>76</v>
      </c>
      <c r="T258" s="7" t="str">
        <f>INDEX(Detail!$E$1:$E$1001,MATCH(Main!B258,Detail!$G$1:$G$1001,0))</f>
        <v>Jl. Laswi No. 62</v>
      </c>
      <c r="U258" s="7" t="str">
        <f>INDEX(Detail!$B$1:$B$1001,MATCH(B258,Detail!$G$1:$G$1001,0),1)</f>
        <v>A+</v>
      </c>
    </row>
    <row r="259" spans="1:21" ht="15.75" x14ac:dyDescent="0.25">
      <c r="A259">
        <v>676</v>
      </c>
      <c r="B259" s="3" t="str">
        <f t="shared" si="9"/>
        <v>B0676</v>
      </c>
      <c r="C259" t="s">
        <v>1014</v>
      </c>
      <c r="D259" s="3" t="str">
        <f>VLOOKUP(B259,Detail!$G$1:$H$1001,2,FALSE)</f>
        <v>Darimin Adriansyah</v>
      </c>
      <c r="E259">
        <v>83</v>
      </c>
      <c r="F259">
        <v>41</v>
      </c>
      <c r="G259" s="35">
        <v>47</v>
      </c>
      <c r="H259">
        <v>75</v>
      </c>
      <c r="I259">
        <v>71</v>
      </c>
      <c r="J259">
        <v>73</v>
      </c>
      <c r="K259">
        <v>72</v>
      </c>
      <c r="L259" s="26">
        <f>IFERROR(VLOOKUP(B259,Absen!$A$1:$C$501,2,FALSE),"No")</f>
        <v>44839</v>
      </c>
      <c r="M259" s="44">
        <f t="shared" si="10"/>
        <v>6.2</v>
      </c>
      <c r="N259" s="35">
        <f t="shared" si="11"/>
        <v>63.95</v>
      </c>
      <c r="O259" t="str">
        <f>VLOOKUP(N259,Helper!$B$30:$C$35,2,TRUE)</f>
        <v>C</v>
      </c>
      <c r="P259" s="26">
        <f>INDEX(Detail!$A$1:$A$1001,MATCH(B259,Detail!$G$1:$G$1001,0))</f>
        <v>37179</v>
      </c>
      <c r="Q259" s="3" t="str">
        <f>INDEX(Detail!$F$1:$F$1001,MATCH(Main!B259,Detail!$G$1:$G$1001,0))</f>
        <v>Jambi</v>
      </c>
      <c r="R259" s="7">
        <f>INDEX(Detail!$C$1:$C$1001,MATCH(B259,Detail!$G$1:$G$1001,0),1)</f>
        <v>158</v>
      </c>
      <c r="S259" s="7">
        <f>INDEX(Detail!$D$1:$D$1001,MATCH(B259,Detail!$G$1:$G$1001,0),1)</f>
        <v>53</v>
      </c>
      <c r="T259" s="7" t="str">
        <f>INDEX(Detail!$E$1:$E$1001,MATCH(Main!B259,Detail!$G$1:$G$1001,0))</f>
        <v>Jl. Gardujati No. 57</v>
      </c>
      <c r="U259" s="7" t="str">
        <f>INDEX(Detail!$B$1:$B$1001,MATCH(B259,Detail!$G$1:$G$1001,0),1)</f>
        <v>O-</v>
      </c>
    </row>
    <row r="260" spans="1:21" ht="15.75" x14ac:dyDescent="0.25">
      <c r="A260">
        <v>677</v>
      </c>
      <c r="B260" s="3" t="str">
        <f t="shared" si="9"/>
        <v>B0677</v>
      </c>
      <c r="C260" t="s">
        <v>1014</v>
      </c>
      <c r="D260" s="3" t="str">
        <f>VLOOKUP(B260,Detail!$G$1:$H$1001,2,FALSE)</f>
        <v>Bakda Handayani</v>
      </c>
      <c r="E260">
        <v>64</v>
      </c>
      <c r="F260">
        <v>60</v>
      </c>
      <c r="G260" s="35">
        <v>84</v>
      </c>
      <c r="H260">
        <v>56</v>
      </c>
      <c r="I260">
        <v>86</v>
      </c>
      <c r="J260">
        <v>43</v>
      </c>
      <c r="K260">
        <v>70</v>
      </c>
      <c r="L260" s="26">
        <f>IFERROR(VLOOKUP(B260,Absen!$A$1:$C$501,2,FALSE),"No")</f>
        <v>44902</v>
      </c>
      <c r="M260" s="44">
        <f t="shared" si="10"/>
        <v>6</v>
      </c>
      <c r="N260" s="35">
        <f t="shared" si="11"/>
        <v>64.650000000000006</v>
      </c>
      <c r="O260" t="str">
        <f>VLOOKUP(N260,Helper!$B$30:$C$35,2,TRUE)</f>
        <v>C</v>
      </c>
      <c r="P260" s="26">
        <f>INDEX(Detail!$A$1:$A$1001,MATCH(B260,Detail!$G$1:$G$1001,0))</f>
        <v>38030</v>
      </c>
      <c r="Q260" s="3" t="str">
        <f>INDEX(Detail!$F$1:$F$1001,MATCH(Main!B260,Detail!$G$1:$G$1001,0))</f>
        <v>Mataram</v>
      </c>
      <c r="R260" s="7">
        <f>INDEX(Detail!$C$1:$C$1001,MATCH(B260,Detail!$G$1:$G$1001,0),1)</f>
        <v>161</v>
      </c>
      <c r="S260" s="7">
        <f>INDEX(Detail!$D$1:$D$1001,MATCH(B260,Detail!$G$1:$G$1001,0),1)</f>
        <v>54</v>
      </c>
      <c r="T260" s="7" t="str">
        <f>INDEX(Detail!$E$1:$E$1001,MATCH(Main!B260,Detail!$G$1:$G$1001,0))</f>
        <v>Gg. W.R. Supratman No. 89</v>
      </c>
      <c r="U260" s="7" t="str">
        <f>INDEX(Detail!$B$1:$B$1001,MATCH(B260,Detail!$G$1:$G$1001,0),1)</f>
        <v>AB-</v>
      </c>
    </row>
    <row r="261" spans="1:21" ht="15.75" x14ac:dyDescent="0.25">
      <c r="A261">
        <v>684</v>
      </c>
      <c r="B261" s="3" t="str">
        <f t="shared" si="9"/>
        <v>B0684</v>
      </c>
      <c r="C261" t="s">
        <v>1014</v>
      </c>
      <c r="D261" s="3" t="str">
        <f>VLOOKUP(B261,Detail!$G$1:$H$1001,2,FALSE)</f>
        <v>Gandi Purnawati</v>
      </c>
      <c r="E261">
        <v>93</v>
      </c>
      <c r="F261">
        <v>51</v>
      </c>
      <c r="G261" s="35">
        <v>89</v>
      </c>
      <c r="H261">
        <v>75</v>
      </c>
      <c r="I261">
        <v>77</v>
      </c>
      <c r="J261">
        <v>94</v>
      </c>
      <c r="K261">
        <v>100</v>
      </c>
      <c r="L261" s="26">
        <f>IFERROR(VLOOKUP(B261,Absen!$A$1:$C$501,2,FALSE),"No")</f>
        <v>44798</v>
      </c>
      <c r="M261" s="44">
        <f t="shared" si="10"/>
        <v>9</v>
      </c>
      <c r="N261" s="35">
        <f t="shared" si="11"/>
        <v>82.6</v>
      </c>
      <c r="O261" t="str">
        <f>VLOOKUP(N261,Helper!$B$30:$C$35,2,TRUE)</f>
        <v>A</v>
      </c>
      <c r="P261" s="26">
        <f>INDEX(Detail!$A$1:$A$1001,MATCH(B261,Detail!$G$1:$G$1001,0))</f>
        <v>37748</v>
      </c>
      <c r="Q261" s="3" t="str">
        <f>INDEX(Detail!$F$1:$F$1001,MATCH(Main!B261,Detail!$G$1:$G$1001,0))</f>
        <v>Lhokseumawe</v>
      </c>
      <c r="R261" s="7">
        <f>INDEX(Detail!$C$1:$C$1001,MATCH(B261,Detail!$G$1:$G$1001,0),1)</f>
        <v>157</v>
      </c>
      <c r="S261" s="7">
        <f>INDEX(Detail!$D$1:$D$1001,MATCH(B261,Detail!$G$1:$G$1001,0),1)</f>
        <v>87</v>
      </c>
      <c r="T261" s="7" t="str">
        <f>INDEX(Detail!$E$1:$E$1001,MATCH(Main!B261,Detail!$G$1:$G$1001,0))</f>
        <v>Gang Dipatiukur No. 95</v>
      </c>
      <c r="U261" s="7" t="str">
        <f>INDEX(Detail!$B$1:$B$1001,MATCH(B261,Detail!$G$1:$G$1001,0),1)</f>
        <v>O+</v>
      </c>
    </row>
    <row r="262" spans="1:21" ht="15.75" x14ac:dyDescent="0.25">
      <c r="A262">
        <v>690</v>
      </c>
      <c r="B262" s="3" t="str">
        <f t="shared" si="9"/>
        <v>B0690</v>
      </c>
      <c r="C262" t="s">
        <v>1014</v>
      </c>
      <c r="D262" s="3" t="str">
        <f>VLOOKUP(B262,Detail!$G$1:$H$1001,2,FALSE)</f>
        <v>Warsita Pudjiastuti</v>
      </c>
      <c r="E262">
        <v>85</v>
      </c>
      <c r="F262">
        <v>68</v>
      </c>
      <c r="G262" s="35">
        <v>53</v>
      </c>
      <c r="H262">
        <v>59</v>
      </c>
      <c r="I262">
        <v>65</v>
      </c>
      <c r="J262">
        <v>97</v>
      </c>
      <c r="K262">
        <v>88</v>
      </c>
      <c r="L262" s="26" t="str">
        <f>IFERROR(VLOOKUP(B262,Absen!$A$1:$C$501,2,FALSE),"No")</f>
        <v>No</v>
      </c>
      <c r="M262" s="44">
        <f t="shared" si="10"/>
        <v>8.8000000000000007</v>
      </c>
      <c r="N262" s="35">
        <f t="shared" si="11"/>
        <v>73.424999999999997</v>
      </c>
      <c r="O262" t="str">
        <f>VLOOKUP(N262,Helper!$B$30:$C$35,2,TRUE)</f>
        <v>B</v>
      </c>
      <c r="P262" s="26">
        <f>INDEX(Detail!$A$1:$A$1001,MATCH(B262,Detail!$G$1:$G$1001,0))</f>
        <v>37069</v>
      </c>
      <c r="Q262" s="3" t="str">
        <f>INDEX(Detail!$F$1:$F$1001,MATCH(Main!B262,Detail!$G$1:$G$1001,0))</f>
        <v>Solok</v>
      </c>
      <c r="R262" s="7">
        <f>INDEX(Detail!$C$1:$C$1001,MATCH(B262,Detail!$G$1:$G$1001,0),1)</f>
        <v>165</v>
      </c>
      <c r="S262" s="7">
        <f>INDEX(Detail!$D$1:$D$1001,MATCH(B262,Detail!$G$1:$G$1001,0),1)</f>
        <v>71</v>
      </c>
      <c r="T262" s="7" t="str">
        <f>INDEX(Detail!$E$1:$E$1001,MATCH(Main!B262,Detail!$G$1:$G$1001,0))</f>
        <v>Jl. Suryakencana No. 18</v>
      </c>
      <c r="U262" s="7" t="str">
        <f>INDEX(Detail!$B$1:$B$1001,MATCH(B262,Detail!$G$1:$G$1001,0),1)</f>
        <v>A-</v>
      </c>
    </row>
    <row r="263" spans="1:21" ht="15.75" x14ac:dyDescent="0.25">
      <c r="A263">
        <v>697</v>
      </c>
      <c r="B263" s="3" t="str">
        <f t="shared" si="9"/>
        <v>B0697</v>
      </c>
      <c r="C263" t="s">
        <v>1014</v>
      </c>
      <c r="D263" s="3" t="str">
        <f>VLOOKUP(B263,Detail!$G$1:$H$1001,2,FALSE)</f>
        <v>Makara Mulyani</v>
      </c>
      <c r="E263">
        <v>71</v>
      </c>
      <c r="F263">
        <v>55</v>
      </c>
      <c r="G263" s="35">
        <v>91</v>
      </c>
      <c r="H263">
        <v>59</v>
      </c>
      <c r="I263">
        <v>80</v>
      </c>
      <c r="J263">
        <v>80</v>
      </c>
      <c r="K263">
        <v>87</v>
      </c>
      <c r="L263" s="26">
        <f>IFERROR(VLOOKUP(B263,Absen!$A$1:$C$501,2,FALSE),"No")</f>
        <v>44829</v>
      </c>
      <c r="M263" s="44">
        <f t="shared" si="10"/>
        <v>7.7</v>
      </c>
      <c r="N263" s="35">
        <f t="shared" si="11"/>
        <v>75.025000000000006</v>
      </c>
      <c r="O263" t="str">
        <f>VLOOKUP(N263,Helper!$B$30:$C$35,2,TRUE)</f>
        <v>B</v>
      </c>
      <c r="P263" s="26">
        <f>INDEX(Detail!$A$1:$A$1001,MATCH(B263,Detail!$G$1:$G$1001,0))</f>
        <v>37065</v>
      </c>
      <c r="Q263" s="3" t="str">
        <f>INDEX(Detail!$F$1:$F$1001,MATCH(Main!B263,Detail!$G$1:$G$1001,0))</f>
        <v>Binjai</v>
      </c>
      <c r="R263" s="7">
        <f>INDEX(Detail!$C$1:$C$1001,MATCH(B263,Detail!$G$1:$G$1001,0),1)</f>
        <v>172</v>
      </c>
      <c r="S263" s="7">
        <f>INDEX(Detail!$D$1:$D$1001,MATCH(B263,Detail!$G$1:$G$1001,0),1)</f>
        <v>94</v>
      </c>
      <c r="T263" s="7" t="str">
        <f>INDEX(Detail!$E$1:$E$1001,MATCH(Main!B263,Detail!$G$1:$G$1001,0))</f>
        <v>Gg. Raya Setiabudhi No. 69</v>
      </c>
      <c r="U263" s="7" t="str">
        <f>INDEX(Detail!$B$1:$B$1001,MATCH(B263,Detail!$G$1:$G$1001,0),1)</f>
        <v>AB+</v>
      </c>
    </row>
    <row r="264" spans="1:21" ht="15.75" x14ac:dyDescent="0.25">
      <c r="A264">
        <v>702</v>
      </c>
      <c r="B264" s="3" t="str">
        <f t="shared" si="9"/>
        <v>B0702</v>
      </c>
      <c r="C264" t="s">
        <v>1014</v>
      </c>
      <c r="D264" s="3" t="str">
        <f>VLOOKUP(B264,Detail!$G$1:$H$1001,2,FALSE)</f>
        <v>Cayadi Maryati</v>
      </c>
      <c r="E264">
        <v>78</v>
      </c>
      <c r="F264">
        <v>69</v>
      </c>
      <c r="G264" s="35">
        <v>64</v>
      </c>
      <c r="H264">
        <v>74</v>
      </c>
      <c r="I264">
        <v>60</v>
      </c>
      <c r="J264">
        <v>97</v>
      </c>
      <c r="K264">
        <v>66</v>
      </c>
      <c r="L264" s="26">
        <f>IFERROR(VLOOKUP(B264,Absen!$A$1:$C$501,2,FALSE),"No")</f>
        <v>44832</v>
      </c>
      <c r="M264" s="44">
        <f t="shared" si="10"/>
        <v>5.6000000000000005</v>
      </c>
      <c r="N264" s="35">
        <f t="shared" si="11"/>
        <v>72.924999999999997</v>
      </c>
      <c r="O264" t="str">
        <f>VLOOKUP(N264,Helper!$B$30:$C$35,2,TRUE)</f>
        <v>B</v>
      </c>
      <c r="P264" s="26">
        <f>INDEX(Detail!$A$1:$A$1001,MATCH(B264,Detail!$G$1:$G$1001,0))</f>
        <v>37090</v>
      </c>
      <c r="Q264" s="3" t="str">
        <f>INDEX(Detail!$F$1:$F$1001,MATCH(Main!B264,Detail!$G$1:$G$1001,0))</f>
        <v>Blitar</v>
      </c>
      <c r="R264" s="7">
        <f>INDEX(Detail!$C$1:$C$1001,MATCH(B264,Detail!$G$1:$G$1001,0),1)</f>
        <v>159</v>
      </c>
      <c r="S264" s="7">
        <f>INDEX(Detail!$D$1:$D$1001,MATCH(B264,Detail!$G$1:$G$1001,0),1)</f>
        <v>89</v>
      </c>
      <c r="T264" s="7" t="str">
        <f>INDEX(Detail!$E$1:$E$1001,MATCH(Main!B264,Detail!$G$1:$G$1001,0))</f>
        <v xml:space="preserve">Jl. Monginsidi No. 3
</v>
      </c>
      <c r="U264" s="7" t="str">
        <f>INDEX(Detail!$B$1:$B$1001,MATCH(B264,Detail!$G$1:$G$1001,0),1)</f>
        <v>B+</v>
      </c>
    </row>
    <row r="265" spans="1:21" ht="15.75" x14ac:dyDescent="0.25">
      <c r="A265">
        <v>705</v>
      </c>
      <c r="B265" s="3" t="str">
        <f t="shared" si="9"/>
        <v>B0705</v>
      </c>
      <c r="C265" t="s">
        <v>1014</v>
      </c>
      <c r="D265" s="3" t="str">
        <f>VLOOKUP(B265,Detail!$G$1:$H$1001,2,FALSE)</f>
        <v>Elvin Saragih</v>
      </c>
      <c r="E265">
        <v>65</v>
      </c>
      <c r="F265">
        <v>49</v>
      </c>
      <c r="G265" s="35">
        <v>69</v>
      </c>
      <c r="H265">
        <v>70</v>
      </c>
      <c r="I265">
        <v>62</v>
      </c>
      <c r="J265">
        <v>96</v>
      </c>
      <c r="K265">
        <v>60</v>
      </c>
      <c r="L265" s="26" t="str">
        <f>IFERROR(VLOOKUP(B265,Absen!$A$1:$C$501,2,FALSE),"No")</f>
        <v>No</v>
      </c>
      <c r="M265" s="44">
        <f t="shared" si="10"/>
        <v>6</v>
      </c>
      <c r="N265" s="35">
        <f t="shared" si="11"/>
        <v>69.75</v>
      </c>
      <c r="O265" t="str">
        <f>VLOOKUP(N265,Helper!$B$30:$C$35,2,TRUE)</f>
        <v>C</v>
      </c>
      <c r="P265" s="26">
        <f>INDEX(Detail!$A$1:$A$1001,MATCH(B265,Detail!$G$1:$G$1001,0))</f>
        <v>37703</v>
      </c>
      <c r="Q265" s="3" t="str">
        <f>INDEX(Detail!$F$1:$F$1001,MATCH(Main!B265,Detail!$G$1:$G$1001,0))</f>
        <v>Blitar</v>
      </c>
      <c r="R265" s="7">
        <f>INDEX(Detail!$C$1:$C$1001,MATCH(B265,Detail!$G$1:$G$1001,0),1)</f>
        <v>159</v>
      </c>
      <c r="S265" s="7">
        <f>INDEX(Detail!$D$1:$D$1001,MATCH(B265,Detail!$G$1:$G$1001,0),1)</f>
        <v>82</v>
      </c>
      <c r="T265" s="7" t="str">
        <f>INDEX(Detail!$E$1:$E$1001,MATCH(Main!B265,Detail!$G$1:$G$1001,0))</f>
        <v>Gang Dr. Djunjunan No. 37</v>
      </c>
      <c r="U265" s="7" t="str">
        <f>INDEX(Detail!$B$1:$B$1001,MATCH(B265,Detail!$G$1:$G$1001,0),1)</f>
        <v>B+</v>
      </c>
    </row>
    <row r="266" spans="1:21" ht="15.75" x14ac:dyDescent="0.25">
      <c r="A266">
        <v>711</v>
      </c>
      <c r="B266" s="3" t="str">
        <f t="shared" si="9"/>
        <v>B0711</v>
      </c>
      <c r="C266" t="s">
        <v>1014</v>
      </c>
      <c r="D266" s="3" t="str">
        <f>VLOOKUP(B266,Detail!$G$1:$H$1001,2,FALSE)</f>
        <v>Indah Kurniawan</v>
      </c>
      <c r="E266">
        <v>50</v>
      </c>
      <c r="F266">
        <v>65</v>
      </c>
      <c r="G266" s="35">
        <v>63</v>
      </c>
      <c r="H266">
        <v>53</v>
      </c>
      <c r="I266">
        <v>81</v>
      </c>
      <c r="J266">
        <v>48</v>
      </c>
      <c r="K266">
        <v>97</v>
      </c>
      <c r="L266" s="26">
        <f>IFERROR(VLOOKUP(B266,Absen!$A$1:$C$501,2,FALSE),"No")</f>
        <v>44786</v>
      </c>
      <c r="M266" s="44">
        <f t="shared" si="10"/>
        <v>8.7000000000000011</v>
      </c>
      <c r="N266" s="35">
        <f t="shared" si="11"/>
        <v>62.025000000000006</v>
      </c>
      <c r="O266" t="str">
        <f>VLOOKUP(N266,Helper!$B$30:$C$35,2,TRUE)</f>
        <v>C</v>
      </c>
      <c r="P266" s="26">
        <f>INDEX(Detail!$A$1:$A$1001,MATCH(B266,Detail!$G$1:$G$1001,0))</f>
        <v>37082</v>
      </c>
      <c r="Q266" s="3" t="str">
        <f>INDEX(Detail!$F$1:$F$1001,MATCH(Main!B266,Detail!$G$1:$G$1001,0))</f>
        <v>Padang Sidempuan</v>
      </c>
      <c r="R266" s="7">
        <f>INDEX(Detail!$C$1:$C$1001,MATCH(B266,Detail!$G$1:$G$1001,0),1)</f>
        <v>154</v>
      </c>
      <c r="S266" s="7">
        <f>INDEX(Detail!$D$1:$D$1001,MATCH(B266,Detail!$G$1:$G$1001,0),1)</f>
        <v>67</v>
      </c>
      <c r="T266" s="7" t="str">
        <f>INDEX(Detail!$E$1:$E$1001,MATCH(Main!B266,Detail!$G$1:$G$1001,0))</f>
        <v>Gang Cikapayang No. 22</v>
      </c>
      <c r="U266" s="7" t="str">
        <f>INDEX(Detail!$B$1:$B$1001,MATCH(B266,Detail!$G$1:$G$1001,0),1)</f>
        <v>A-</v>
      </c>
    </row>
    <row r="267" spans="1:21" ht="15.75" x14ac:dyDescent="0.25">
      <c r="A267">
        <v>713</v>
      </c>
      <c r="B267" s="3" t="str">
        <f t="shared" si="9"/>
        <v>B0713</v>
      </c>
      <c r="C267" t="s">
        <v>1014</v>
      </c>
      <c r="D267" s="3" t="str">
        <f>VLOOKUP(B267,Detail!$G$1:$H$1001,2,FALSE)</f>
        <v>Lanjar Napitupulu</v>
      </c>
      <c r="E267">
        <v>60</v>
      </c>
      <c r="F267">
        <v>41</v>
      </c>
      <c r="G267" s="35">
        <v>65</v>
      </c>
      <c r="H267">
        <v>69</v>
      </c>
      <c r="I267">
        <v>63</v>
      </c>
      <c r="J267">
        <v>65</v>
      </c>
      <c r="K267">
        <v>98</v>
      </c>
      <c r="L267" s="26" t="str">
        <f>IFERROR(VLOOKUP(B267,Absen!$A$1:$C$501,2,FALSE),"No")</f>
        <v>No</v>
      </c>
      <c r="M267" s="44">
        <f t="shared" si="10"/>
        <v>9.8000000000000007</v>
      </c>
      <c r="N267" s="35">
        <f t="shared" si="11"/>
        <v>64.924999999999997</v>
      </c>
      <c r="O267" t="str">
        <f>VLOOKUP(N267,Helper!$B$30:$C$35,2,TRUE)</f>
        <v>C</v>
      </c>
      <c r="P267" s="26">
        <f>INDEX(Detail!$A$1:$A$1001,MATCH(B267,Detail!$G$1:$G$1001,0))</f>
        <v>37917</v>
      </c>
      <c r="Q267" s="3" t="str">
        <f>INDEX(Detail!$F$1:$F$1001,MATCH(Main!B267,Detail!$G$1:$G$1001,0))</f>
        <v>Pontianak</v>
      </c>
      <c r="R267" s="7">
        <f>INDEX(Detail!$C$1:$C$1001,MATCH(B267,Detail!$G$1:$G$1001,0),1)</f>
        <v>175</v>
      </c>
      <c r="S267" s="7">
        <f>INDEX(Detail!$D$1:$D$1001,MATCH(B267,Detail!$G$1:$G$1001,0),1)</f>
        <v>45</v>
      </c>
      <c r="T267" s="7" t="str">
        <f>INDEX(Detail!$E$1:$E$1001,MATCH(Main!B267,Detail!$G$1:$G$1001,0))</f>
        <v>Jl. Antapani Lama No. 09</v>
      </c>
      <c r="U267" s="7" t="str">
        <f>INDEX(Detail!$B$1:$B$1001,MATCH(B267,Detail!$G$1:$G$1001,0),1)</f>
        <v>AB+</v>
      </c>
    </row>
    <row r="268" spans="1:21" ht="15.75" x14ac:dyDescent="0.25">
      <c r="A268">
        <v>714</v>
      </c>
      <c r="B268" s="3" t="str">
        <f t="shared" si="9"/>
        <v>B0714</v>
      </c>
      <c r="C268" t="s">
        <v>1014</v>
      </c>
      <c r="D268" s="3" t="str">
        <f>VLOOKUP(B268,Detail!$G$1:$H$1001,2,FALSE)</f>
        <v>Jelita Suwarno</v>
      </c>
      <c r="E268">
        <v>79</v>
      </c>
      <c r="F268">
        <v>75</v>
      </c>
      <c r="G268" s="35">
        <v>64</v>
      </c>
      <c r="H268">
        <v>57</v>
      </c>
      <c r="I268">
        <v>79</v>
      </c>
      <c r="J268">
        <v>100</v>
      </c>
      <c r="K268">
        <v>76</v>
      </c>
      <c r="L268" s="26">
        <f>IFERROR(VLOOKUP(B268,Absen!$A$1:$C$501,2,FALSE),"No")</f>
        <v>44900</v>
      </c>
      <c r="M268" s="44">
        <f t="shared" si="10"/>
        <v>6.6000000000000005</v>
      </c>
      <c r="N268" s="35">
        <f t="shared" si="11"/>
        <v>75.649999999999991</v>
      </c>
      <c r="O268" t="str">
        <f>VLOOKUP(N268,Helper!$B$30:$C$35,2,TRUE)</f>
        <v>B</v>
      </c>
      <c r="P268" s="26">
        <f>INDEX(Detail!$A$1:$A$1001,MATCH(B268,Detail!$G$1:$G$1001,0))</f>
        <v>37295</v>
      </c>
      <c r="Q268" s="3" t="str">
        <f>INDEX(Detail!$F$1:$F$1001,MATCH(Main!B268,Detail!$G$1:$G$1001,0))</f>
        <v>Kediri</v>
      </c>
      <c r="R268" s="7">
        <f>INDEX(Detail!$C$1:$C$1001,MATCH(B268,Detail!$G$1:$G$1001,0),1)</f>
        <v>155</v>
      </c>
      <c r="S268" s="7">
        <f>INDEX(Detail!$D$1:$D$1001,MATCH(B268,Detail!$G$1:$G$1001,0),1)</f>
        <v>85</v>
      </c>
      <c r="T268" s="7" t="str">
        <f>INDEX(Detail!$E$1:$E$1001,MATCH(Main!B268,Detail!$G$1:$G$1001,0))</f>
        <v xml:space="preserve">Jl. Kapten Muslihat No. 1
</v>
      </c>
      <c r="U268" s="7" t="str">
        <f>INDEX(Detail!$B$1:$B$1001,MATCH(B268,Detail!$G$1:$G$1001,0),1)</f>
        <v>A-</v>
      </c>
    </row>
    <row r="269" spans="1:21" ht="15.75" x14ac:dyDescent="0.25">
      <c r="A269">
        <v>715</v>
      </c>
      <c r="B269" s="3" t="str">
        <f t="shared" si="9"/>
        <v>B0715</v>
      </c>
      <c r="C269" t="s">
        <v>1014</v>
      </c>
      <c r="D269" s="3" t="str">
        <f>VLOOKUP(B269,Detail!$G$1:$H$1001,2,FALSE)</f>
        <v>Lanjar Hidayanto</v>
      </c>
      <c r="E269">
        <v>76</v>
      </c>
      <c r="F269">
        <v>52</v>
      </c>
      <c r="G269" s="35">
        <v>63</v>
      </c>
      <c r="H269">
        <v>56</v>
      </c>
      <c r="I269">
        <v>83</v>
      </c>
      <c r="J269">
        <v>48</v>
      </c>
      <c r="K269">
        <v>81</v>
      </c>
      <c r="L269" s="26">
        <f>IFERROR(VLOOKUP(B269,Absen!$A$1:$C$501,2,FALSE),"No")</f>
        <v>44917</v>
      </c>
      <c r="M269" s="44">
        <f t="shared" si="10"/>
        <v>7.1000000000000005</v>
      </c>
      <c r="N269" s="35">
        <f t="shared" si="11"/>
        <v>62.675000000000004</v>
      </c>
      <c r="O269" t="str">
        <f>VLOOKUP(N269,Helper!$B$30:$C$35,2,TRUE)</f>
        <v>C</v>
      </c>
      <c r="P269" s="26">
        <f>INDEX(Detail!$A$1:$A$1001,MATCH(B269,Detail!$G$1:$G$1001,0))</f>
        <v>37506</v>
      </c>
      <c r="Q269" s="3" t="str">
        <f>INDEX(Detail!$F$1:$F$1001,MATCH(Main!B269,Detail!$G$1:$G$1001,0))</f>
        <v>Pangkalpinang</v>
      </c>
      <c r="R269" s="7">
        <f>INDEX(Detail!$C$1:$C$1001,MATCH(B269,Detail!$G$1:$G$1001,0),1)</f>
        <v>155</v>
      </c>
      <c r="S269" s="7">
        <f>INDEX(Detail!$D$1:$D$1001,MATCH(B269,Detail!$G$1:$G$1001,0),1)</f>
        <v>69</v>
      </c>
      <c r="T269" s="7" t="str">
        <f>INDEX(Detail!$E$1:$E$1001,MATCH(Main!B269,Detail!$G$1:$G$1001,0))</f>
        <v>Jl. KH Amin Jasuta No. 26</v>
      </c>
      <c r="U269" s="7" t="str">
        <f>INDEX(Detail!$B$1:$B$1001,MATCH(B269,Detail!$G$1:$G$1001,0),1)</f>
        <v>O-</v>
      </c>
    </row>
    <row r="270" spans="1:21" ht="15.75" x14ac:dyDescent="0.25">
      <c r="A270">
        <v>717</v>
      </c>
      <c r="B270" s="3" t="str">
        <f t="shared" si="9"/>
        <v>B0717</v>
      </c>
      <c r="C270" t="s">
        <v>1014</v>
      </c>
      <c r="D270" s="3" t="str">
        <f>VLOOKUP(B270,Detail!$G$1:$H$1001,2,FALSE)</f>
        <v>Umay Siregar</v>
      </c>
      <c r="E270">
        <v>73</v>
      </c>
      <c r="F270">
        <v>45</v>
      </c>
      <c r="G270" s="35">
        <v>61</v>
      </c>
      <c r="H270">
        <v>70</v>
      </c>
      <c r="I270">
        <v>62</v>
      </c>
      <c r="J270">
        <v>90</v>
      </c>
      <c r="K270">
        <v>83</v>
      </c>
      <c r="L270" s="26" t="str">
        <f>IFERROR(VLOOKUP(B270,Absen!$A$1:$C$501,2,FALSE),"No")</f>
        <v>No</v>
      </c>
      <c r="M270" s="44">
        <f t="shared" si="10"/>
        <v>8.3000000000000007</v>
      </c>
      <c r="N270" s="35">
        <f t="shared" si="11"/>
        <v>69.75</v>
      </c>
      <c r="O270" t="str">
        <f>VLOOKUP(N270,Helper!$B$30:$C$35,2,TRUE)</f>
        <v>C</v>
      </c>
      <c r="P270" s="26">
        <f>INDEX(Detail!$A$1:$A$1001,MATCH(B270,Detail!$G$1:$G$1001,0))</f>
        <v>38375</v>
      </c>
      <c r="Q270" s="3" t="str">
        <f>INDEX(Detail!$F$1:$F$1001,MATCH(Main!B270,Detail!$G$1:$G$1001,0))</f>
        <v>Sibolga</v>
      </c>
      <c r="R270" s="7">
        <f>INDEX(Detail!$C$1:$C$1001,MATCH(B270,Detail!$G$1:$G$1001,0),1)</f>
        <v>167</v>
      </c>
      <c r="S270" s="7">
        <f>INDEX(Detail!$D$1:$D$1001,MATCH(B270,Detail!$G$1:$G$1001,0),1)</f>
        <v>73</v>
      </c>
      <c r="T270" s="7" t="str">
        <f>INDEX(Detail!$E$1:$E$1001,MATCH(Main!B270,Detail!$G$1:$G$1001,0))</f>
        <v>Gg. PHH. Mustofa No. 89</v>
      </c>
      <c r="U270" s="7" t="str">
        <f>INDEX(Detail!$B$1:$B$1001,MATCH(B270,Detail!$G$1:$G$1001,0),1)</f>
        <v>AB-</v>
      </c>
    </row>
    <row r="271" spans="1:21" ht="15.75" x14ac:dyDescent="0.25">
      <c r="A271">
        <v>718</v>
      </c>
      <c r="B271" s="3" t="str">
        <f t="shared" si="9"/>
        <v>B0718</v>
      </c>
      <c r="C271" t="s">
        <v>1014</v>
      </c>
      <c r="D271" s="3" t="str">
        <f>VLOOKUP(B271,Detail!$G$1:$H$1001,2,FALSE)</f>
        <v>Natalia Rahimah</v>
      </c>
      <c r="E271">
        <v>92</v>
      </c>
      <c r="F271">
        <v>63</v>
      </c>
      <c r="G271" s="35">
        <v>95</v>
      </c>
      <c r="H271">
        <v>58</v>
      </c>
      <c r="I271">
        <v>54</v>
      </c>
      <c r="J271">
        <v>60</v>
      </c>
      <c r="K271">
        <v>71</v>
      </c>
      <c r="L271" s="26">
        <f>IFERROR(VLOOKUP(B271,Absen!$A$1:$C$501,2,FALSE),"No")</f>
        <v>44756</v>
      </c>
      <c r="M271" s="44">
        <f t="shared" si="10"/>
        <v>6.1000000000000005</v>
      </c>
      <c r="N271" s="35">
        <f t="shared" si="11"/>
        <v>70.474999999999994</v>
      </c>
      <c r="O271" t="str">
        <f>VLOOKUP(N271,Helper!$B$30:$C$35,2,TRUE)</f>
        <v>B</v>
      </c>
      <c r="P271" s="26">
        <f>INDEX(Detail!$A$1:$A$1001,MATCH(B271,Detail!$G$1:$G$1001,0))</f>
        <v>37375</v>
      </c>
      <c r="Q271" s="3" t="str">
        <f>INDEX(Detail!$F$1:$F$1001,MATCH(Main!B271,Detail!$G$1:$G$1001,0))</f>
        <v>Blitar</v>
      </c>
      <c r="R271" s="7">
        <f>INDEX(Detail!$C$1:$C$1001,MATCH(B271,Detail!$G$1:$G$1001,0),1)</f>
        <v>150</v>
      </c>
      <c r="S271" s="7">
        <f>INDEX(Detail!$D$1:$D$1001,MATCH(B271,Detail!$G$1:$G$1001,0),1)</f>
        <v>82</v>
      </c>
      <c r="T271" s="7" t="str">
        <f>INDEX(Detail!$E$1:$E$1001,MATCH(Main!B271,Detail!$G$1:$G$1001,0))</f>
        <v>Gang Moch. Ramdan No. 87</v>
      </c>
      <c r="U271" s="7" t="str">
        <f>INDEX(Detail!$B$1:$B$1001,MATCH(B271,Detail!$G$1:$G$1001,0),1)</f>
        <v>A-</v>
      </c>
    </row>
    <row r="272" spans="1:21" ht="15.75" x14ac:dyDescent="0.25">
      <c r="A272">
        <v>720</v>
      </c>
      <c r="B272" s="3" t="str">
        <f t="shared" si="9"/>
        <v>B0720</v>
      </c>
      <c r="C272" t="s">
        <v>1014</v>
      </c>
      <c r="D272" s="3" t="str">
        <f>VLOOKUP(B272,Detail!$G$1:$H$1001,2,FALSE)</f>
        <v>Cengkal Anggraini</v>
      </c>
      <c r="E272">
        <v>60</v>
      </c>
      <c r="F272">
        <v>45</v>
      </c>
      <c r="G272" s="35">
        <v>37</v>
      </c>
      <c r="H272">
        <v>58</v>
      </c>
      <c r="I272">
        <v>65</v>
      </c>
      <c r="J272">
        <v>74</v>
      </c>
      <c r="K272">
        <v>65</v>
      </c>
      <c r="L272" s="26">
        <f>IFERROR(VLOOKUP(B272,Absen!$A$1:$C$501,2,FALSE),"No")</f>
        <v>44767</v>
      </c>
      <c r="M272" s="44">
        <f t="shared" si="10"/>
        <v>5.5</v>
      </c>
      <c r="N272" s="35">
        <f t="shared" si="11"/>
        <v>56.2</v>
      </c>
      <c r="O272" t="str">
        <f>VLOOKUP(N272,Helper!$B$30:$C$35,2,TRUE)</f>
        <v>D</v>
      </c>
      <c r="P272" s="26">
        <f>INDEX(Detail!$A$1:$A$1001,MATCH(B272,Detail!$G$1:$G$1001,0))</f>
        <v>37982</v>
      </c>
      <c r="Q272" s="3" t="str">
        <f>INDEX(Detail!$F$1:$F$1001,MATCH(Main!B272,Detail!$G$1:$G$1001,0))</f>
        <v>Lubuklinggau</v>
      </c>
      <c r="R272" s="7">
        <f>INDEX(Detail!$C$1:$C$1001,MATCH(B272,Detail!$G$1:$G$1001,0),1)</f>
        <v>167</v>
      </c>
      <c r="S272" s="7">
        <f>INDEX(Detail!$D$1:$D$1001,MATCH(B272,Detail!$G$1:$G$1001,0),1)</f>
        <v>59</v>
      </c>
      <c r="T272" s="7" t="str">
        <f>INDEX(Detail!$E$1:$E$1001,MATCH(Main!B272,Detail!$G$1:$G$1001,0))</f>
        <v>Gang Peta No. 79</v>
      </c>
      <c r="U272" s="7" t="str">
        <f>INDEX(Detail!$B$1:$B$1001,MATCH(B272,Detail!$G$1:$G$1001,0),1)</f>
        <v>A-</v>
      </c>
    </row>
    <row r="273" spans="1:21" ht="15.75" x14ac:dyDescent="0.25">
      <c r="A273">
        <v>729</v>
      </c>
      <c r="B273" s="3" t="str">
        <f t="shared" si="9"/>
        <v>B0729</v>
      </c>
      <c r="C273" t="s">
        <v>1014</v>
      </c>
      <c r="D273" s="3" t="str">
        <f>VLOOKUP(B273,Detail!$G$1:$H$1001,2,FALSE)</f>
        <v>Vivi Nuraini</v>
      </c>
      <c r="E273">
        <v>55</v>
      </c>
      <c r="F273">
        <v>75</v>
      </c>
      <c r="G273" s="35">
        <v>91</v>
      </c>
      <c r="H273">
        <v>62</v>
      </c>
      <c r="I273">
        <v>71</v>
      </c>
      <c r="J273">
        <v>53</v>
      </c>
      <c r="K273">
        <v>67</v>
      </c>
      <c r="L273" s="26" t="str">
        <f>IFERROR(VLOOKUP(B273,Absen!$A$1:$C$501,2,FALSE),"No")</f>
        <v>No</v>
      </c>
      <c r="M273" s="44">
        <f t="shared" si="10"/>
        <v>6.7</v>
      </c>
      <c r="N273" s="35">
        <f t="shared" si="11"/>
        <v>68.375</v>
      </c>
      <c r="O273" t="str">
        <f>VLOOKUP(N273,Helper!$B$30:$C$35,2,TRUE)</f>
        <v>C</v>
      </c>
      <c r="P273" s="26">
        <f>INDEX(Detail!$A$1:$A$1001,MATCH(B273,Detail!$G$1:$G$1001,0))</f>
        <v>37031</v>
      </c>
      <c r="Q273" s="3" t="str">
        <f>INDEX(Detail!$F$1:$F$1001,MATCH(Main!B273,Detail!$G$1:$G$1001,0))</f>
        <v>Sungai Penuh</v>
      </c>
      <c r="R273" s="7">
        <f>INDEX(Detail!$C$1:$C$1001,MATCH(B273,Detail!$G$1:$G$1001,0),1)</f>
        <v>172</v>
      </c>
      <c r="S273" s="7">
        <f>INDEX(Detail!$D$1:$D$1001,MATCH(B273,Detail!$G$1:$G$1001,0),1)</f>
        <v>46</v>
      </c>
      <c r="T273" s="7" t="str">
        <f>INDEX(Detail!$E$1:$E$1001,MATCH(Main!B273,Detail!$G$1:$G$1001,0))</f>
        <v>Gang Kendalsari No. 67</v>
      </c>
      <c r="U273" s="7" t="str">
        <f>INDEX(Detail!$B$1:$B$1001,MATCH(B273,Detail!$G$1:$G$1001,0),1)</f>
        <v>A+</v>
      </c>
    </row>
    <row r="274" spans="1:21" ht="15.75" x14ac:dyDescent="0.25">
      <c r="A274">
        <v>740</v>
      </c>
      <c r="B274" s="3" t="str">
        <f t="shared" si="9"/>
        <v>B0740</v>
      </c>
      <c r="C274" t="s">
        <v>1014</v>
      </c>
      <c r="D274" s="3" t="str">
        <f>VLOOKUP(B274,Detail!$G$1:$H$1001,2,FALSE)</f>
        <v>Maria Palastri</v>
      </c>
      <c r="E274">
        <v>85</v>
      </c>
      <c r="F274">
        <v>67</v>
      </c>
      <c r="G274" s="35">
        <v>84</v>
      </c>
      <c r="H274">
        <v>58</v>
      </c>
      <c r="I274">
        <v>85</v>
      </c>
      <c r="J274">
        <v>47</v>
      </c>
      <c r="K274">
        <v>96</v>
      </c>
      <c r="L274" s="26">
        <f>IFERROR(VLOOKUP(B274,Absen!$A$1:$C$501,2,FALSE),"No")</f>
        <v>44751</v>
      </c>
      <c r="M274" s="44">
        <f t="shared" si="10"/>
        <v>8.6</v>
      </c>
      <c r="N274" s="35">
        <f t="shared" si="11"/>
        <v>71.674999999999997</v>
      </c>
      <c r="O274" t="str">
        <f>VLOOKUP(N274,Helper!$B$30:$C$35,2,TRUE)</f>
        <v>B</v>
      </c>
      <c r="P274" s="26">
        <f>INDEX(Detail!$A$1:$A$1001,MATCH(B274,Detail!$G$1:$G$1001,0))</f>
        <v>37301</v>
      </c>
      <c r="Q274" s="3" t="str">
        <f>INDEX(Detail!$F$1:$F$1001,MATCH(Main!B274,Detail!$G$1:$G$1001,0))</f>
        <v>Prabumulih</v>
      </c>
      <c r="R274" s="7">
        <f>INDEX(Detail!$C$1:$C$1001,MATCH(B274,Detail!$G$1:$G$1001,0),1)</f>
        <v>174</v>
      </c>
      <c r="S274" s="7">
        <f>INDEX(Detail!$D$1:$D$1001,MATCH(B274,Detail!$G$1:$G$1001,0),1)</f>
        <v>91</v>
      </c>
      <c r="T274" s="7" t="str">
        <f>INDEX(Detail!$E$1:$E$1001,MATCH(Main!B274,Detail!$G$1:$G$1001,0))</f>
        <v>Jalan Gedebage Selatan No. 31</v>
      </c>
      <c r="U274" s="7" t="str">
        <f>INDEX(Detail!$B$1:$B$1001,MATCH(B274,Detail!$G$1:$G$1001,0),1)</f>
        <v>B+</v>
      </c>
    </row>
    <row r="275" spans="1:21" ht="15.75" x14ac:dyDescent="0.25">
      <c r="A275">
        <v>744</v>
      </c>
      <c r="B275" s="3" t="str">
        <f t="shared" si="9"/>
        <v>B0744</v>
      </c>
      <c r="C275" t="s">
        <v>1014</v>
      </c>
      <c r="D275" s="3" t="str">
        <f>VLOOKUP(B275,Detail!$G$1:$H$1001,2,FALSE)</f>
        <v>Carla Hasanah</v>
      </c>
      <c r="E275">
        <v>83</v>
      </c>
      <c r="F275">
        <v>56</v>
      </c>
      <c r="G275" s="35">
        <v>33</v>
      </c>
      <c r="H275">
        <v>52</v>
      </c>
      <c r="I275">
        <v>62</v>
      </c>
      <c r="J275">
        <v>80</v>
      </c>
      <c r="K275">
        <v>71</v>
      </c>
      <c r="L275" s="26" t="str">
        <f>IFERROR(VLOOKUP(B275,Absen!$A$1:$C$501,2,FALSE),"No")</f>
        <v>No</v>
      </c>
      <c r="M275" s="44">
        <f t="shared" si="10"/>
        <v>7.1000000000000005</v>
      </c>
      <c r="N275" s="35">
        <f t="shared" si="11"/>
        <v>61.325000000000003</v>
      </c>
      <c r="O275" t="str">
        <f>VLOOKUP(N275,Helper!$B$30:$C$35,2,TRUE)</f>
        <v>C</v>
      </c>
      <c r="P275" s="26">
        <f>INDEX(Detail!$A$1:$A$1001,MATCH(B275,Detail!$G$1:$G$1001,0))</f>
        <v>37463</v>
      </c>
      <c r="Q275" s="3" t="str">
        <f>INDEX(Detail!$F$1:$F$1001,MATCH(Main!B275,Detail!$G$1:$G$1001,0))</f>
        <v>Manado</v>
      </c>
      <c r="R275" s="7">
        <f>INDEX(Detail!$C$1:$C$1001,MATCH(B275,Detail!$G$1:$G$1001,0),1)</f>
        <v>171</v>
      </c>
      <c r="S275" s="7">
        <f>INDEX(Detail!$D$1:$D$1001,MATCH(B275,Detail!$G$1:$G$1001,0),1)</f>
        <v>76</v>
      </c>
      <c r="T275" s="7" t="str">
        <f>INDEX(Detail!$E$1:$E$1001,MATCH(Main!B275,Detail!$G$1:$G$1001,0))</f>
        <v>Jalan Asia Afrika No. 15</v>
      </c>
      <c r="U275" s="7" t="str">
        <f>INDEX(Detail!$B$1:$B$1001,MATCH(B275,Detail!$G$1:$G$1001,0),1)</f>
        <v>O-</v>
      </c>
    </row>
    <row r="276" spans="1:21" ht="15.75" x14ac:dyDescent="0.25">
      <c r="A276">
        <v>745</v>
      </c>
      <c r="B276" s="3" t="str">
        <f t="shared" si="9"/>
        <v>B0745</v>
      </c>
      <c r="C276" t="s">
        <v>1014</v>
      </c>
      <c r="D276" s="3" t="str">
        <f>VLOOKUP(B276,Detail!$G$1:$H$1001,2,FALSE)</f>
        <v>Betania Namaga</v>
      </c>
      <c r="E276">
        <v>70</v>
      </c>
      <c r="F276">
        <v>42</v>
      </c>
      <c r="G276" s="35">
        <v>59</v>
      </c>
      <c r="H276">
        <v>55</v>
      </c>
      <c r="I276">
        <v>74</v>
      </c>
      <c r="J276">
        <v>98</v>
      </c>
      <c r="K276">
        <v>78</v>
      </c>
      <c r="L276" s="26" t="str">
        <f>IFERROR(VLOOKUP(B276,Absen!$A$1:$C$501,2,FALSE),"No")</f>
        <v>No</v>
      </c>
      <c r="M276" s="44">
        <f t="shared" si="10"/>
        <v>7.8000000000000007</v>
      </c>
      <c r="N276" s="35">
        <f t="shared" si="11"/>
        <v>69.325000000000003</v>
      </c>
      <c r="O276" t="str">
        <f>VLOOKUP(N276,Helper!$B$30:$C$35,2,TRUE)</f>
        <v>C</v>
      </c>
      <c r="P276" s="26">
        <f>INDEX(Detail!$A$1:$A$1001,MATCH(B276,Detail!$G$1:$G$1001,0))</f>
        <v>38019</v>
      </c>
      <c r="Q276" s="3" t="str">
        <f>INDEX(Detail!$F$1:$F$1001,MATCH(Main!B276,Detail!$G$1:$G$1001,0))</f>
        <v>Tidore Kepulauan</v>
      </c>
      <c r="R276" s="7">
        <f>INDEX(Detail!$C$1:$C$1001,MATCH(B276,Detail!$G$1:$G$1001,0),1)</f>
        <v>170</v>
      </c>
      <c r="S276" s="7">
        <f>INDEX(Detail!$D$1:$D$1001,MATCH(B276,Detail!$G$1:$G$1001,0),1)</f>
        <v>76</v>
      </c>
      <c r="T276" s="7" t="str">
        <f>INDEX(Detail!$E$1:$E$1001,MATCH(Main!B276,Detail!$G$1:$G$1001,0))</f>
        <v>Gg. Cikutra Barat No. 82</v>
      </c>
      <c r="U276" s="7" t="str">
        <f>INDEX(Detail!$B$1:$B$1001,MATCH(B276,Detail!$G$1:$G$1001,0),1)</f>
        <v>B-</v>
      </c>
    </row>
    <row r="277" spans="1:21" ht="15.75" x14ac:dyDescent="0.25">
      <c r="A277">
        <v>748</v>
      </c>
      <c r="B277" s="3" t="str">
        <f t="shared" si="9"/>
        <v>B0748</v>
      </c>
      <c r="C277" t="s">
        <v>1014</v>
      </c>
      <c r="D277" s="3" t="str">
        <f>VLOOKUP(B277,Detail!$G$1:$H$1001,2,FALSE)</f>
        <v>Mursita Safitri</v>
      </c>
      <c r="E277">
        <v>83</v>
      </c>
      <c r="F277">
        <v>61</v>
      </c>
      <c r="G277" s="35">
        <v>43</v>
      </c>
      <c r="H277">
        <v>57</v>
      </c>
      <c r="I277">
        <v>71</v>
      </c>
      <c r="J277">
        <v>98</v>
      </c>
      <c r="K277">
        <v>100</v>
      </c>
      <c r="L277" s="26">
        <f>IFERROR(VLOOKUP(B277,Absen!$A$1:$C$501,2,FALSE),"No")</f>
        <v>44795</v>
      </c>
      <c r="M277" s="44">
        <f t="shared" si="10"/>
        <v>9</v>
      </c>
      <c r="N277" s="35">
        <f t="shared" si="11"/>
        <v>71.2</v>
      </c>
      <c r="O277" t="str">
        <f>VLOOKUP(N277,Helper!$B$30:$C$35,2,TRUE)</f>
        <v>B</v>
      </c>
      <c r="P277" s="26">
        <f>INDEX(Detail!$A$1:$A$1001,MATCH(B277,Detail!$G$1:$G$1001,0))</f>
        <v>37202</v>
      </c>
      <c r="Q277" s="3" t="str">
        <f>INDEX(Detail!$F$1:$F$1001,MATCH(Main!B277,Detail!$G$1:$G$1001,0))</f>
        <v>Kota Administrasi Jakarta Barat</v>
      </c>
      <c r="R277" s="7">
        <f>INDEX(Detail!$C$1:$C$1001,MATCH(B277,Detail!$G$1:$G$1001,0),1)</f>
        <v>155</v>
      </c>
      <c r="S277" s="7">
        <f>INDEX(Detail!$D$1:$D$1001,MATCH(B277,Detail!$G$1:$G$1001,0),1)</f>
        <v>82</v>
      </c>
      <c r="T277" s="7" t="str">
        <f>INDEX(Detail!$E$1:$E$1001,MATCH(Main!B277,Detail!$G$1:$G$1001,0))</f>
        <v>Jl. Pasirkoja No. 44</v>
      </c>
      <c r="U277" s="7" t="str">
        <f>INDEX(Detail!$B$1:$B$1001,MATCH(B277,Detail!$G$1:$G$1001,0),1)</f>
        <v>A-</v>
      </c>
    </row>
    <row r="278" spans="1:21" ht="15.75" x14ac:dyDescent="0.25">
      <c r="A278">
        <v>749</v>
      </c>
      <c r="B278" s="3" t="str">
        <f t="shared" si="9"/>
        <v>B0749</v>
      </c>
      <c r="C278" t="s">
        <v>1014</v>
      </c>
      <c r="D278" s="3" t="str">
        <f>VLOOKUP(B278,Detail!$G$1:$H$1001,2,FALSE)</f>
        <v>Marwata Sudiati</v>
      </c>
      <c r="E278">
        <v>85</v>
      </c>
      <c r="F278">
        <v>60</v>
      </c>
      <c r="G278" s="35">
        <v>48</v>
      </c>
      <c r="H278">
        <v>74</v>
      </c>
      <c r="I278">
        <v>58</v>
      </c>
      <c r="J278">
        <v>94</v>
      </c>
      <c r="K278">
        <v>85</v>
      </c>
      <c r="L278" s="26">
        <f>IFERROR(VLOOKUP(B278,Absen!$A$1:$C$501,2,FALSE),"No")</f>
        <v>44840</v>
      </c>
      <c r="M278" s="44">
        <f t="shared" si="10"/>
        <v>7.5</v>
      </c>
      <c r="N278" s="35">
        <f t="shared" si="11"/>
        <v>70.525000000000006</v>
      </c>
      <c r="O278" t="str">
        <f>VLOOKUP(N278,Helper!$B$30:$C$35,2,TRUE)</f>
        <v>B</v>
      </c>
      <c r="P278" s="26">
        <f>INDEX(Detail!$A$1:$A$1001,MATCH(B278,Detail!$G$1:$G$1001,0))</f>
        <v>38109</v>
      </c>
      <c r="Q278" s="3" t="str">
        <f>INDEX(Detail!$F$1:$F$1001,MATCH(Main!B278,Detail!$G$1:$G$1001,0))</f>
        <v>Surakarta</v>
      </c>
      <c r="R278" s="7">
        <f>INDEX(Detail!$C$1:$C$1001,MATCH(B278,Detail!$G$1:$G$1001,0),1)</f>
        <v>167</v>
      </c>
      <c r="S278" s="7">
        <f>INDEX(Detail!$D$1:$D$1001,MATCH(B278,Detail!$G$1:$G$1001,0),1)</f>
        <v>92</v>
      </c>
      <c r="T278" s="7" t="str">
        <f>INDEX(Detail!$E$1:$E$1001,MATCH(Main!B278,Detail!$G$1:$G$1001,0))</f>
        <v xml:space="preserve">Jl. Joyoboyo No. 0
</v>
      </c>
      <c r="U278" s="7" t="str">
        <f>INDEX(Detail!$B$1:$B$1001,MATCH(B278,Detail!$G$1:$G$1001,0),1)</f>
        <v>A-</v>
      </c>
    </row>
    <row r="279" spans="1:21" ht="15.75" x14ac:dyDescent="0.25">
      <c r="A279">
        <v>751</v>
      </c>
      <c r="B279" s="3" t="str">
        <f t="shared" si="9"/>
        <v>B0751</v>
      </c>
      <c r="C279" t="s">
        <v>1014</v>
      </c>
      <c r="D279" s="3" t="str">
        <f>VLOOKUP(B279,Detail!$G$1:$H$1001,2,FALSE)</f>
        <v>Harja Suryatmi</v>
      </c>
      <c r="E279">
        <v>93</v>
      </c>
      <c r="F279">
        <v>55</v>
      </c>
      <c r="G279" s="35">
        <v>31</v>
      </c>
      <c r="H279">
        <v>71</v>
      </c>
      <c r="I279">
        <v>87</v>
      </c>
      <c r="J279">
        <v>59</v>
      </c>
      <c r="K279">
        <v>83</v>
      </c>
      <c r="L279" s="26" t="str">
        <f>IFERROR(VLOOKUP(B279,Absen!$A$1:$C$501,2,FALSE),"No")</f>
        <v>No</v>
      </c>
      <c r="M279" s="44">
        <f t="shared" si="10"/>
        <v>8.3000000000000007</v>
      </c>
      <c r="N279" s="35">
        <f t="shared" si="11"/>
        <v>64.55</v>
      </c>
      <c r="O279" t="str">
        <f>VLOOKUP(N279,Helper!$B$30:$C$35,2,TRUE)</f>
        <v>C</v>
      </c>
      <c r="P279" s="26">
        <f>INDEX(Detail!$A$1:$A$1001,MATCH(B279,Detail!$G$1:$G$1001,0))</f>
        <v>37934</v>
      </c>
      <c r="Q279" s="3" t="str">
        <f>INDEX(Detail!$F$1:$F$1001,MATCH(Main!B279,Detail!$G$1:$G$1001,0))</f>
        <v>Ambon</v>
      </c>
      <c r="R279" s="7">
        <f>INDEX(Detail!$C$1:$C$1001,MATCH(B279,Detail!$G$1:$G$1001,0),1)</f>
        <v>157</v>
      </c>
      <c r="S279" s="7">
        <f>INDEX(Detail!$D$1:$D$1001,MATCH(B279,Detail!$G$1:$G$1001,0),1)</f>
        <v>81</v>
      </c>
      <c r="T279" s="7" t="str">
        <f>INDEX(Detail!$E$1:$E$1001,MATCH(Main!B279,Detail!$G$1:$G$1001,0))</f>
        <v>Gg. Laswi No. 86</v>
      </c>
      <c r="U279" s="7" t="str">
        <f>INDEX(Detail!$B$1:$B$1001,MATCH(B279,Detail!$G$1:$G$1001,0),1)</f>
        <v>AB+</v>
      </c>
    </row>
    <row r="280" spans="1:21" ht="15.75" x14ac:dyDescent="0.25">
      <c r="A280">
        <v>761</v>
      </c>
      <c r="B280" s="3" t="str">
        <f t="shared" si="9"/>
        <v>B0761</v>
      </c>
      <c r="C280" t="s">
        <v>1014</v>
      </c>
      <c r="D280" s="3" t="str">
        <f>VLOOKUP(B280,Detail!$G$1:$H$1001,2,FALSE)</f>
        <v>Darijan Wacana</v>
      </c>
      <c r="E280">
        <v>74</v>
      </c>
      <c r="F280">
        <v>64</v>
      </c>
      <c r="G280" s="35">
        <v>30</v>
      </c>
      <c r="H280">
        <v>74</v>
      </c>
      <c r="I280">
        <v>54</v>
      </c>
      <c r="J280">
        <v>84</v>
      </c>
      <c r="K280">
        <v>61</v>
      </c>
      <c r="L280" s="26">
        <f>IFERROR(VLOOKUP(B280,Absen!$A$1:$C$501,2,FALSE),"No")</f>
        <v>44863</v>
      </c>
      <c r="M280" s="44">
        <f t="shared" si="10"/>
        <v>5.1000000000000005</v>
      </c>
      <c r="N280" s="35">
        <f t="shared" si="11"/>
        <v>61.15</v>
      </c>
      <c r="O280" t="str">
        <f>VLOOKUP(N280,Helper!$B$30:$C$35,2,TRUE)</f>
        <v>C</v>
      </c>
      <c r="P280" s="26">
        <f>INDEX(Detail!$A$1:$A$1001,MATCH(B280,Detail!$G$1:$G$1001,0))</f>
        <v>37601</v>
      </c>
      <c r="Q280" s="3" t="str">
        <f>INDEX(Detail!$F$1:$F$1001,MATCH(Main!B280,Detail!$G$1:$G$1001,0))</f>
        <v>Singkawang</v>
      </c>
      <c r="R280" s="7">
        <f>INDEX(Detail!$C$1:$C$1001,MATCH(B280,Detail!$G$1:$G$1001,0),1)</f>
        <v>168</v>
      </c>
      <c r="S280" s="7">
        <f>INDEX(Detail!$D$1:$D$1001,MATCH(B280,Detail!$G$1:$G$1001,0),1)</f>
        <v>88</v>
      </c>
      <c r="T280" s="7" t="str">
        <f>INDEX(Detail!$E$1:$E$1001,MATCH(Main!B280,Detail!$G$1:$G$1001,0))</f>
        <v>Jl. Jamika No. 21</v>
      </c>
      <c r="U280" s="7" t="str">
        <f>INDEX(Detail!$B$1:$B$1001,MATCH(B280,Detail!$G$1:$G$1001,0),1)</f>
        <v>AB-</v>
      </c>
    </row>
    <row r="281" spans="1:21" ht="15.75" x14ac:dyDescent="0.25">
      <c r="A281">
        <v>767</v>
      </c>
      <c r="B281" s="3" t="str">
        <f t="shared" si="9"/>
        <v>B0767</v>
      </c>
      <c r="C281" t="s">
        <v>1014</v>
      </c>
      <c r="D281" s="3" t="str">
        <f>VLOOKUP(B281,Detail!$G$1:$H$1001,2,FALSE)</f>
        <v>Ihsan Sudiati</v>
      </c>
      <c r="E281">
        <v>94</v>
      </c>
      <c r="F281">
        <v>42</v>
      </c>
      <c r="G281" s="35">
        <v>91</v>
      </c>
      <c r="H281">
        <v>59</v>
      </c>
      <c r="I281">
        <v>52</v>
      </c>
      <c r="J281">
        <v>80</v>
      </c>
      <c r="K281">
        <v>94</v>
      </c>
      <c r="L281" s="26" t="str">
        <f>IFERROR(VLOOKUP(B281,Absen!$A$1:$C$501,2,FALSE),"No")</f>
        <v>No</v>
      </c>
      <c r="M281" s="44">
        <f t="shared" si="10"/>
        <v>9.4</v>
      </c>
      <c r="N281" s="35">
        <f t="shared" si="11"/>
        <v>74.475000000000009</v>
      </c>
      <c r="O281" t="str">
        <f>VLOOKUP(N281,Helper!$B$30:$C$35,2,TRUE)</f>
        <v>B</v>
      </c>
      <c r="P281" s="26">
        <f>INDEX(Detail!$A$1:$A$1001,MATCH(B281,Detail!$G$1:$G$1001,0))</f>
        <v>37083</v>
      </c>
      <c r="Q281" s="3" t="str">
        <f>INDEX(Detail!$F$1:$F$1001,MATCH(Main!B281,Detail!$G$1:$G$1001,0))</f>
        <v>Tegal</v>
      </c>
      <c r="R281" s="7">
        <f>INDEX(Detail!$C$1:$C$1001,MATCH(B281,Detail!$G$1:$G$1001,0),1)</f>
        <v>162</v>
      </c>
      <c r="S281" s="7">
        <f>INDEX(Detail!$D$1:$D$1001,MATCH(B281,Detail!$G$1:$G$1001,0),1)</f>
        <v>46</v>
      </c>
      <c r="T281" s="7" t="str">
        <f>INDEX(Detail!$E$1:$E$1001,MATCH(Main!B281,Detail!$G$1:$G$1001,0))</f>
        <v xml:space="preserve">Jalan Surapati No. 2
</v>
      </c>
      <c r="U281" s="7" t="str">
        <f>INDEX(Detail!$B$1:$B$1001,MATCH(B281,Detail!$G$1:$G$1001,0),1)</f>
        <v>O+</v>
      </c>
    </row>
    <row r="282" spans="1:21" ht="15.75" x14ac:dyDescent="0.25">
      <c r="A282">
        <v>770</v>
      </c>
      <c r="B282" s="3" t="str">
        <f t="shared" si="9"/>
        <v>B0770</v>
      </c>
      <c r="C282" t="s">
        <v>1014</v>
      </c>
      <c r="D282" s="3" t="str">
        <f>VLOOKUP(B282,Detail!$G$1:$H$1001,2,FALSE)</f>
        <v>Cayadi Halimah</v>
      </c>
      <c r="E282">
        <v>91</v>
      </c>
      <c r="F282">
        <v>62</v>
      </c>
      <c r="G282" s="35">
        <v>82</v>
      </c>
      <c r="H282">
        <v>57</v>
      </c>
      <c r="I282">
        <v>66</v>
      </c>
      <c r="J282">
        <v>84</v>
      </c>
      <c r="K282">
        <v>69</v>
      </c>
      <c r="L282" s="26" t="str">
        <f>IFERROR(VLOOKUP(B282,Absen!$A$1:$C$501,2,FALSE),"No")</f>
        <v>No</v>
      </c>
      <c r="M282" s="44">
        <f t="shared" si="10"/>
        <v>6.9</v>
      </c>
      <c r="N282" s="35">
        <f t="shared" si="11"/>
        <v>74.600000000000009</v>
      </c>
      <c r="O282" t="str">
        <f>VLOOKUP(N282,Helper!$B$30:$C$35,2,TRUE)</f>
        <v>B</v>
      </c>
      <c r="P282" s="26">
        <f>INDEX(Detail!$A$1:$A$1001,MATCH(B282,Detail!$G$1:$G$1001,0))</f>
        <v>38415</v>
      </c>
      <c r="Q282" s="3" t="str">
        <f>INDEX(Detail!$F$1:$F$1001,MATCH(Main!B282,Detail!$G$1:$G$1001,0))</f>
        <v>Gorontalo</v>
      </c>
      <c r="R282" s="7">
        <f>INDEX(Detail!$C$1:$C$1001,MATCH(B282,Detail!$G$1:$G$1001,0),1)</f>
        <v>164</v>
      </c>
      <c r="S282" s="7">
        <f>INDEX(Detail!$D$1:$D$1001,MATCH(B282,Detail!$G$1:$G$1001,0),1)</f>
        <v>60</v>
      </c>
      <c r="T282" s="7" t="str">
        <f>INDEX(Detail!$E$1:$E$1001,MATCH(Main!B282,Detail!$G$1:$G$1001,0))</f>
        <v>Jl. M.H Thamrin No. 98</v>
      </c>
      <c r="U282" s="7" t="str">
        <f>INDEX(Detail!$B$1:$B$1001,MATCH(B282,Detail!$G$1:$G$1001,0),1)</f>
        <v>A-</v>
      </c>
    </row>
    <row r="283" spans="1:21" ht="15.75" x14ac:dyDescent="0.25">
      <c r="A283">
        <v>778</v>
      </c>
      <c r="B283" s="3" t="str">
        <f t="shared" si="9"/>
        <v>B0778</v>
      </c>
      <c r="C283" t="s">
        <v>1014</v>
      </c>
      <c r="D283" s="3" t="str">
        <f>VLOOKUP(B283,Detail!$G$1:$H$1001,2,FALSE)</f>
        <v>Balamantri Usamah</v>
      </c>
      <c r="E283">
        <v>60</v>
      </c>
      <c r="F283">
        <v>73</v>
      </c>
      <c r="G283" s="35">
        <v>82</v>
      </c>
      <c r="H283">
        <v>74</v>
      </c>
      <c r="I283">
        <v>65</v>
      </c>
      <c r="J283">
        <v>94</v>
      </c>
      <c r="K283">
        <v>76</v>
      </c>
      <c r="L283" s="26" t="str">
        <f>IFERROR(VLOOKUP(B283,Absen!$A$1:$C$501,2,FALSE),"No")</f>
        <v>No</v>
      </c>
      <c r="M283" s="44">
        <f t="shared" si="10"/>
        <v>7.6000000000000005</v>
      </c>
      <c r="N283" s="35">
        <f t="shared" si="11"/>
        <v>76.8</v>
      </c>
      <c r="O283" t="str">
        <f>VLOOKUP(N283,Helper!$B$30:$C$35,2,TRUE)</f>
        <v>B</v>
      </c>
      <c r="P283" s="26">
        <f>INDEX(Detail!$A$1:$A$1001,MATCH(B283,Detail!$G$1:$G$1001,0))</f>
        <v>37230</v>
      </c>
      <c r="Q283" s="3" t="str">
        <f>INDEX(Detail!$F$1:$F$1001,MATCH(Main!B283,Detail!$G$1:$G$1001,0))</f>
        <v>Jambi</v>
      </c>
      <c r="R283" s="7">
        <f>INDEX(Detail!$C$1:$C$1001,MATCH(B283,Detail!$G$1:$G$1001,0),1)</f>
        <v>155</v>
      </c>
      <c r="S283" s="7">
        <f>INDEX(Detail!$D$1:$D$1001,MATCH(B283,Detail!$G$1:$G$1001,0),1)</f>
        <v>74</v>
      </c>
      <c r="T283" s="7" t="str">
        <f>INDEX(Detail!$E$1:$E$1001,MATCH(Main!B283,Detail!$G$1:$G$1001,0))</f>
        <v>Jl. Monginsidi No. 91</v>
      </c>
      <c r="U283" s="7" t="str">
        <f>INDEX(Detail!$B$1:$B$1001,MATCH(B283,Detail!$G$1:$G$1001,0),1)</f>
        <v>AB+</v>
      </c>
    </row>
    <row r="284" spans="1:21" ht="15.75" x14ac:dyDescent="0.25">
      <c r="A284">
        <v>782</v>
      </c>
      <c r="B284" s="3" t="str">
        <f t="shared" si="9"/>
        <v>B0782</v>
      </c>
      <c r="C284" t="s">
        <v>1014</v>
      </c>
      <c r="D284" s="3" t="str">
        <f>VLOOKUP(B284,Detail!$G$1:$H$1001,2,FALSE)</f>
        <v>Tirta Puspasari</v>
      </c>
      <c r="E284">
        <v>91</v>
      </c>
      <c r="F284">
        <v>56</v>
      </c>
      <c r="G284" s="35">
        <v>66</v>
      </c>
      <c r="H284">
        <v>70</v>
      </c>
      <c r="I284">
        <v>82</v>
      </c>
      <c r="J284">
        <v>65</v>
      </c>
      <c r="K284">
        <v>76</v>
      </c>
      <c r="L284" s="26">
        <f>IFERROR(VLOOKUP(B284,Absen!$A$1:$C$501,2,FALSE),"No")</f>
        <v>44747</v>
      </c>
      <c r="M284" s="44">
        <f t="shared" si="10"/>
        <v>6.6000000000000005</v>
      </c>
      <c r="N284" s="35">
        <f t="shared" si="11"/>
        <v>70.174999999999997</v>
      </c>
      <c r="O284" t="str">
        <f>VLOOKUP(N284,Helper!$B$30:$C$35,2,TRUE)</f>
        <v>B</v>
      </c>
      <c r="P284" s="26">
        <f>INDEX(Detail!$A$1:$A$1001,MATCH(B284,Detail!$G$1:$G$1001,0))</f>
        <v>37502</v>
      </c>
      <c r="Q284" s="3" t="str">
        <f>INDEX(Detail!$F$1:$F$1001,MATCH(Main!B284,Detail!$G$1:$G$1001,0))</f>
        <v>Pekalongan</v>
      </c>
      <c r="R284" s="7">
        <f>INDEX(Detail!$C$1:$C$1001,MATCH(B284,Detail!$G$1:$G$1001,0),1)</f>
        <v>172</v>
      </c>
      <c r="S284" s="7">
        <f>INDEX(Detail!$D$1:$D$1001,MATCH(B284,Detail!$G$1:$G$1001,0),1)</f>
        <v>74</v>
      </c>
      <c r="T284" s="7" t="str">
        <f>INDEX(Detail!$E$1:$E$1001,MATCH(Main!B284,Detail!$G$1:$G$1001,0))</f>
        <v>Jl. Raya Setiabudhi No. 90</v>
      </c>
      <c r="U284" s="7" t="str">
        <f>INDEX(Detail!$B$1:$B$1001,MATCH(B284,Detail!$G$1:$G$1001,0),1)</f>
        <v>O-</v>
      </c>
    </row>
    <row r="285" spans="1:21" ht="15.75" x14ac:dyDescent="0.25">
      <c r="A285">
        <v>784</v>
      </c>
      <c r="B285" s="3" t="str">
        <f t="shared" si="9"/>
        <v>B0784</v>
      </c>
      <c r="C285" t="s">
        <v>1014</v>
      </c>
      <c r="D285" s="3" t="str">
        <f>VLOOKUP(B285,Detail!$G$1:$H$1001,2,FALSE)</f>
        <v>Elisa Mahendra</v>
      </c>
      <c r="E285">
        <v>65</v>
      </c>
      <c r="F285">
        <v>74</v>
      </c>
      <c r="G285" s="35">
        <v>44</v>
      </c>
      <c r="H285">
        <v>69</v>
      </c>
      <c r="I285">
        <v>51</v>
      </c>
      <c r="J285">
        <v>51</v>
      </c>
      <c r="K285">
        <v>85</v>
      </c>
      <c r="L285" s="26">
        <f>IFERROR(VLOOKUP(B285,Absen!$A$1:$C$501,2,FALSE),"No")</f>
        <v>44755</v>
      </c>
      <c r="M285" s="44">
        <f t="shared" si="10"/>
        <v>7.5</v>
      </c>
      <c r="N285" s="35">
        <f t="shared" si="11"/>
        <v>58.875</v>
      </c>
      <c r="O285" t="str">
        <f>VLOOKUP(N285,Helper!$B$30:$C$35,2,TRUE)</f>
        <v>D</v>
      </c>
      <c r="P285" s="26">
        <f>INDEX(Detail!$A$1:$A$1001,MATCH(B285,Detail!$G$1:$G$1001,0))</f>
        <v>38341</v>
      </c>
      <c r="Q285" s="3" t="str">
        <f>INDEX(Detail!$F$1:$F$1001,MATCH(Main!B285,Detail!$G$1:$G$1001,0))</f>
        <v>Palangkaraya</v>
      </c>
      <c r="R285" s="7">
        <f>INDEX(Detail!$C$1:$C$1001,MATCH(B285,Detail!$G$1:$G$1001,0),1)</f>
        <v>177</v>
      </c>
      <c r="S285" s="7">
        <f>INDEX(Detail!$D$1:$D$1001,MATCH(B285,Detail!$G$1:$G$1001,0),1)</f>
        <v>70</v>
      </c>
      <c r="T285" s="7" t="str">
        <f>INDEX(Detail!$E$1:$E$1001,MATCH(Main!B285,Detail!$G$1:$G$1001,0))</f>
        <v>Jl. Rajawali Barat No. 19</v>
      </c>
      <c r="U285" s="7" t="str">
        <f>INDEX(Detail!$B$1:$B$1001,MATCH(B285,Detail!$G$1:$G$1001,0),1)</f>
        <v>O-</v>
      </c>
    </row>
    <row r="286" spans="1:21" ht="15.75" x14ac:dyDescent="0.25">
      <c r="A286">
        <v>791</v>
      </c>
      <c r="B286" s="3" t="str">
        <f t="shared" si="9"/>
        <v>B0791</v>
      </c>
      <c r="C286" t="s">
        <v>1014</v>
      </c>
      <c r="D286" s="3" t="str">
        <f>VLOOKUP(B286,Detail!$G$1:$H$1001,2,FALSE)</f>
        <v>Rafi Uwais</v>
      </c>
      <c r="E286">
        <v>62</v>
      </c>
      <c r="F286">
        <v>72</v>
      </c>
      <c r="G286" s="35">
        <v>64</v>
      </c>
      <c r="H286">
        <v>74</v>
      </c>
      <c r="I286">
        <v>92</v>
      </c>
      <c r="J286">
        <v>90</v>
      </c>
      <c r="K286">
        <v>86</v>
      </c>
      <c r="L286" s="26">
        <f>IFERROR(VLOOKUP(B286,Absen!$A$1:$C$501,2,FALSE),"No")</f>
        <v>44866</v>
      </c>
      <c r="M286" s="44">
        <f t="shared" si="10"/>
        <v>7.6000000000000005</v>
      </c>
      <c r="N286" s="35">
        <f t="shared" si="11"/>
        <v>75.899999999999991</v>
      </c>
      <c r="O286" t="str">
        <f>VLOOKUP(N286,Helper!$B$30:$C$35,2,TRUE)</f>
        <v>B</v>
      </c>
      <c r="P286" s="26">
        <f>INDEX(Detail!$A$1:$A$1001,MATCH(B286,Detail!$G$1:$G$1001,0))</f>
        <v>38229</v>
      </c>
      <c r="Q286" s="3" t="str">
        <f>INDEX(Detail!$F$1:$F$1001,MATCH(Main!B286,Detail!$G$1:$G$1001,0))</f>
        <v>Padang</v>
      </c>
      <c r="R286" s="7">
        <f>INDEX(Detail!$C$1:$C$1001,MATCH(B286,Detail!$G$1:$G$1001,0),1)</f>
        <v>156</v>
      </c>
      <c r="S286" s="7">
        <f>INDEX(Detail!$D$1:$D$1001,MATCH(B286,Detail!$G$1:$G$1001,0),1)</f>
        <v>80</v>
      </c>
      <c r="T286" s="7" t="str">
        <f>INDEX(Detail!$E$1:$E$1001,MATCH(Main!B286,Detail!$G$1:$G$1001,0))</f>
        <v>Jalan Ir. H. Djuanda No. 13</v>
      </c>
      <c r="U286" s="7" t="str">
        <f>INDEX(Detail!$B$1:$B$1001,MATCH(B286,Detail!$G$1:$G$1001,0),1)</f>
        <v>AB+</v>
      </c>
    </row>
    <row r="287" spans="1:21" ht="15.75" x14ac:dyDescent="0.25">
      <c r="A287">
        <v>810</v>
      </c>
      <c r="B287" s="3" t="str">
        <f t="shared" si="9"/>
        <v>B0810</v>
      </c>
      <c r="C287" t="s">
        <v>1014</v>
      </c>
      <c r="D287" s="3" t="str">
        <f>VLOOKUP(B287,Detail!$G$1:$H$1001,2,FALSE)</f>
        <v>Gangsa Tampubolon</v>
      </c>
      <c r="E287">
        <v>60</v>
      </c>
      <c r="F287">
        <v>46</v>
      </c>
      <c r="G287" s="35">
        <v>79</v>
      </c>
      <c r="H287">
        <v>54</v>
      </c>
      <c r="I287">
        <v>86</v>
      </c>
      <c r="J287">
        <v>65</v>
      </c>
      <c r="K287">
        <v>83</v>
      </c>
      <c r="L287" s="26" t="str">
        <f>IFERROR(VLOOKUP(B287,Absen!$A$1:$C$501,2,FALSE),"No")</f>
        <v>No</v>
      </c>
      <c r="M287" s="44">
        <f t="shared" si="10"/>
        <v>8.3000000000000007</v>
      </c>
      <c r="N287" s="35">
        <f t="shared" si="11"/>
        <v>67.849999999999994</v>
      </c>
      <c r="O287" t="str">
        <f>VLOOKUP(N287,Helper!$B$30:$C$35,2,TRUE)</f>
        <v>C</v>
      </c>
      <c r="P287" s="26">
        <f>INDEX(Detail!$A$1:$A$1001,MATCH(B287,Detail!$G$1:$G$1001,0))</f>
        <v>37171</v>
      </c>
      <c r="Q287" s="3" t="str">
        <f>INDEX(Detail!$F$1:$F$1001,MATCH(Main!B287,Detail!$G$1:$G$1001,0))</f>
        <v>Kota Administrasi Jakarta Utara</v>
      </c>
      <c r="R287" s="7">
        <f>INDEX(Detail!$C$1:$C$1001,MATCH(B287,Detail!$G$1:$G$1001,0),1)</f>
        <v>167</v>
      </c>
      <c r="S287" s="7">
        <f>INDEX(Detail!$D$1:$D$1001,MATCH(B287,Detail!$G$1:$G$1001,0),1)</f>
        <v>89</v>
      </c>
      <c r="T287" s="7" t="str">
        <f>INDEX(Detail!$E$1:$E$1001,MATCH(Main!B287,Detail!$G$1:$G$1001,0))</f>
        <v>Jl. Otto Iskandardinata No. 19</v>
      </c>
      <c r="U287" s="7" t="str">
        <f>INDEX(Detail!$B$1:$B$1001,MATCH(B287,Detail!$G$1:$G$1001,0),1)</f>
        <v>AB+</v>
      </c>
    </row>
    <row r="288" spans="1:21" ht="15.75" x14ac:dyDescent="0.25">
      <c r="A288">
        <v>814</v>
      </c>
      <c r="B288" s="3" t="str">
        <f t="shared" si="9"/>
        <v>B0814</v>
      </c>
      <c r="C288" t="s">
        <v>1014</v>
      </c>
      <c r="D288" s="3" t="str">
        <f>VLOOKUP(B288,Detail!$G$1:$H$1001,2,FALSE)</f>
        <v>Tiara Halimah</v>
      </c>
      <c r="E288">
        <v>74</v>
      </c>
      <c r="F288">
        <v>68</v>
      </c>
      <c r="G288" s="35">
        <v>92</v>
      </c>
      <c r="H288">
        <v>50</v>
      </c>
      <c r="I288">
        <v>91</v>
      </c>
      <c r="J288">
        <v>73</v>
      </c>
      <c r="K288">
        <v>91</v>
      </c>
      <c r="L288" s="26">
        <f>IFERROR(VLOOKUP(B288,Absen!$A$1:$C$501,2,FALSE),"No")</f>
        <v>44790</v>
      </c>
      <c r="M288" s="44">
        <f t="shared" si="10"/>
        <v>8.1</v>
      </c>
      <c r="N288" s="35">
        <f t="shared" si="11"/>
        <v>76.474999999999994</v>
      </c>
      <c r="O288" t="str">
        <f>VLOOKUP(N288,Helper!$B$30:$C$35,2,TRUE)</f>
        <v>B</v>
      </c>
      <c r="P288" s="26">
        <f>INDEX(Detail!$A$1:$A$1001,MATCH(B288,Detail!$G$1:$G$1001,0))</f>
        <v>37582</v>
      </c>
      <c r="Q288" s="3" t="str">
        <f>INDEX(Detail!$F$1:$F$1001,MATCH(Main!B288,Detail!$G$1:$G$1001,0))</f>
        <v>Cimahi</v>
      </c>
      <c r="R288" s="7">
        <f>INDEX(Detail!$C$1:$C$1001,MATCH(B288,Detail!$G$1:$G$1001,0),1)</f>
        <v>154</v>
      </c>
      <c r="S288" s="7">
        <f>INDEX(Detail!$D$1:$D$1001,MATCH(B288,Detail!$G$1:$G$1001,0),1)</f>
        <v>87</v>
      </c>
      <c r="T288" s="7" t="str">
        <f>INDEX(Detail!$E$1:$E$1001,MATCH(Main!B288,Detail!$G$1:$G$1001,0))</f>
        <v>Jalan W.R. Supratman No. 28</v>
      </c>
      <c r="U288" s="7" t="str">
        <f>INDEX(Detail!$B$1:$B$1001,MATCH(B288,Detail!$G$1:$G$1001,0),1)</f>
        <v>B-</v>
      </c>
    </row>
    <row r="289" spans="1:21" ht="15.75" x14ac:dyDescent="0.25">
      <c r="A289">
        <v>818</v>
      </c>
      <c r="B289" s="3" t="str">
        <f t="shared" ref="B289:B320" si="12">CONCATENATE("B",TEXT(A289,"0000"))</f>
        <v>B0818</v>
      </c>
      <c r="C289" t="s">
        <v>1014</v>
      </c>
      <c r="D289" s="3" t="str">
        <f>VLOOKUP(B289,Detail!$G$1:$H$1001,2,FALSE)</f>
        <v>Cornelia Andriani</v>
      </c>
      <c r="E289">
        <v>78</v>
      </c>
      <c r="F289">
        <v>60</v>
      </c>
      <c r="G289" s="35">
        <v>79</v>
      </c>
      <c r="H289">
        <v>59</v>
      </c>
      <c r="I289">
        <v>71</v>
      </c>
      <c r="J289">
        <v>43</v>
      </c>
      <c r="K289">
        <v>95</v>
      </c>
      <c r="L289" s="26" t="str">
        <f>IFERROR(VLOOKUP(B289,Absen!$A$1:$C$501,2,FALSE),"No")</f>
        <v>No</v>
      </c>
      <c r="M289" s="44">
        <f t="shared" si="10"/>
        <v>9.5</v>
      </c>
      <c r="N289" s="35">
        <f t="shared" si="11"/>
        <v>67.400000000000006</v>
      </c>
      <c r="O289" t="str">
        <f>VLOOKUP(N289,Helper!$B$30:$C$35,2,TRUE)</f>
        <v>C</v>
      </c>
      <c r="P289" s="26">
        <f>INDEX(Detail!$A$1:$A$1001,MATCH(B289,Detail!$G$1:$G$1001,0))</f>
        <v>37668</v>
      </c>
      <c r="Q289" s="3" t="str">
        <f>INDEX(Detail!$F$1:$F$1001,MATCH(Main!B289,Detail!$G$1:$G$1001,0))</f>
        <v>Batu</v>
      </c>
      <c r="R289" s="7">
        <f>INDEX(Detail!$C$1:$C$1001,MATCH(B289,Detail!$G$1:$G$1001,0),1)</f>
        <v>158</v>
      </c>
      <c r="S289" s="7">
        <f>INDEX(Detail!$D$1:$D$1001,MATCH(B289,Detail!$G$1:$G$1001,0),1)</f>
        <v>79</v>
      </c>
      <c r="T289" s="7" t="str">
        <f>INDEX(Detail!$E$1:$E$1001,MATCH(Main!B289,Detail!$G$1:$G$1001,0))</f>
        <v xml:space="preserve">Jl. Pasteur No. 0
</v>
      </c>
      <c r="U289" s="7" t="str">
        <f>INDEX(Detail!$B$1:$B$1001,MATCH(B289,Detail!$G$1:$G$1001,0),1)</f>
        <v>AB-</v>
      </c>
    </row>
    <row r="290" spans="1:21" ht="15.75" x14ac:dyDescent="0.25">
      <c r="A290">
        <v>829</v>
      </c>
      <c r="B290" s="3" t="str">
        <f t="shared" si="12"/>
        <v>B0829</v>
      </c>
      <c r="C290" t="s">
        <v>1014</v>
      </c>
      <c r="D290" s="3" t="str">
        <f>VLOOKUP(B290,Detail!$G$1:$H$1001,2,FALSE)</f>
        <v>Darimin Yuliarti</v>
      </c>
      <c r="E290">
        <v>54</v>
      </c>
      <c r="F290">
        <v>72</v>
      </c>
      <c r="G290" s="35">
        <v>40</v>
      </c>
      <c r="H290">
        <v>50</v>
      </c>
      <c r="I290">
        <v>64</v>
      </c>
      <c r="J290">
        <v>77</v>
      </c>
      <c r="K290">
        <v>62</v>
      </c>
      <c r="L290" s="26" t="str">
        <f>IFERROR(VLOOKUP(B290,Absen!$A$1:$C$501,2,FALSE),"No")</f>
        <v>No</v>
      </c>
      <c r="M290" s="44">
        <f t="shared" si="10"/>
        <v>6.2</v>
      </c>
      <c r="N290" s="35">
        <f t="shared" si="11"/>
        <v>59.6</v>
      </c>
      <c r="O290" t="str">
        <f>VLOOKUP(N290,Helper!$B$30:$C$35,2,TRUE)</f>
        <v>D</v>
      </c>
      <c r="P290" s="26">
        <f>INDEX(Detail!$A$1:$A$1001,MATCH(B290,Detail!$G$1:$G$1001,0))</f>
        <v>37662</v>
      </c>
      <c r="Q290" s="3" t="str">
        <f>INDEX(Detail!$F$1:$F$1001,MATCH(Main!B290,Detail!$G$1:$G$1001,0))</f>
        <v>Bekasi</v>
      </c>
      <c r="R290" s="7">
        <f>INDEX(Detail!$C$1:$C$1001,MATCH(B290,Detail!$G$1:$G$1001,0),1)</f>
        <v>159</v>
      </c>
      <c r="S290" s="7">
        <f>INDEX(Detail!$D$1:$D$1001,MATCH(B290,Detail!$G$1:$G$1001,0),1)</f>
        <v>58</v>
      </c>
      <c r="T290" s="7" t="str">
        <f>INDEX(Detail!$E$1:$E$1001,MATCH(Main!B290,Detail!$G$1:$G$1001,0))</f>
        <v>Jl. Kebonjati No. 12</v>
      </c>
      <c r="U290" s="7" t="str">
        <f>INDEX(Detail!$B$1:$B$1001,MATCH(B290,Detail!$G$1:$G$1001,0),1)</f>
        <v>O+</v>
      </c>
    </row>
    <row r="291" spans="1:21" ht="15.75" x14ac:dyDescent="0.25">
      <c r="A291">
        <v>830</v>
      </c>
      <c r="B291" s="3" t="str">
        <f t="shared" si="12"/>
        <v>B0830</v>
      </c>
      <c r="C291" t="s">
        <v>1014</v>
      </c>
      <c r="D291" s="3" t="str">
        <f>VLOOKUP(B291,Detail!$G$1:$H$1001,2,FALSE)</f>
        <v>Jayeng Putra</v>
      </c>
      <c r="E291">
        <v>93</v>
      </c>
      <c r="F291">
        <v>71</v>
      </c>
      <c r="G291" s="35">
        <v>83</v>
      </c>
      <c r="H291">
        <v>57</v>
      </c>
      <c r="I291">
        <v>92</v>
      </c>
      <c r="J291">
        <v>76</v>
      </c>
      <c r="K291">
        <v>80</v>
      </c>
      <c r="L291" s="26">
        <f>IFERROR(VLOOKUP(B291,Absen!$A$1:$C$501,2,FALSE),"No")</f>
        <v>44821</v>
      </c>
      <c r="M291" s="44">
        <f t="shared" si="10"/>
        <v>7</v>
      </c>
      <c r="N291" s="35">
        <f t="shared" si="11"/>
        <v>77.924999999999997</v>
      </c>
      <c r="O291" t="str">
        <f>VLOOKUP(N291,Helper!$B$30:$C$35,2,TRUE)</f>
        <v>B</v>
      </c>
      <c r="P291" s="26">
        <f>INDEX(Detail!$A$1:$A$1001,MATCH(B291,Detail!$G$1:$G$1001,0))</f>
        <v>37870</v>
      </c>
      <c r="Q291" s="3" t="str">
        <f>INDEX(Detail!$F$1:$F$1001,MATCH(Main!B291,Detail!$G$1:$G$1001,0))</f>
        <v>Parepare</v>
      </c>
      <c r="R291" s="7">
        <f>INDEX(Detail!$C$1:$C$1001,MATCH(B291,Detail!$G$1:$G$1001,0),1)</f>
        <v>177</v>
      </c>
      <c r="S291" s="7">
        <f>INDEX(Detail!$D$1:$D$1001,MATCH(B291,Detail!$G$1:$G$1001,0),1)</f>
        <v>69</v>
      </c>
      <c r="T291" s="7" t="str">
        <f>INDEX(Detail!$E$1:$E$1001,MATCH(Main!B291,Detail!$G$1:$G$1001,0))</f>
        <v>Jl. KH Amin Jasuta No. 34</v>
      </c>
      <c r="U291" s="7" t="str">
        <f>INDEX(Detail!$B$1:$B$1001,MATCH(B291,Detail!$G$1:$G$1001,0),1)</f>
        <v>O-</v>
      </c>
    </row>
    <row r="292" spans="1:21" ht="15.75" x14ac:dyDescent="0.25">
      <c r="A292">
        <v>831</v>
      </c>
      <c r="B292" s="3" t="str">
        <f t="shared" si="12"/>
        <v>B0831</v>
      </c>
      <c r="C292" t="s">
        <v>1014</v>
      </c>
      <c r="D292" s="3" t="str">
        <f>VLOOKUP(B292,Detail!$G$1:$H$1001,2,FALSE)</f>
        <v>Kamila Prayoga</v>
      </c>
      <c r="E292">
        <v>82</v>
      </c>
      <c r="F292">
        <v>49</v>
      </c>
      <c r="G292" s="35">
        <v>73</v>
      </c>
      <c r="H292">
        <v>56</v>
      </c>
      <c r="I292">
        <v>60</v>
      </c>
      <c r="J292">
        <v>63</v>
      </c>
      <c r="K292">
        <v>75</v>
      </c>
      <c r="L292" s="26">
        <f>IFERROR(VLOOKUP(B292,Absen!$A$1:$C$501,2,FALSE),"No")</f>
        <v>44830</v>
      </c>
      <c r="M292" s="44">
        <f t="shared" si="10"/>
        <v>6.5</v>
      </c>
      <c r="N292" s="35">
        <f t="shared" si="11"/>
        <v>64.575000000000003</v>
      </c>
      <c r="O292" t="str">
        <f>VLOOKUP(N292,Helper!$B$30:$C$35,2,TRUE)</f>
        <v>C</v>
      </c>
      <c r="P292" s="26">
        <f>INDEX(Detail!$A$1:$A$1001,MATCH(B292,Detail!$G$1:$G$1001,0))</f>
        <v>38429</v>
      </c>
      <c r="Q292" s="3" t="str">
        <f>INDEX(Detail!$F$1:$F$1001,MATCH(Main!B292,Detail!$G$1:$G$1001,0))</f>
        <v>Bandar Lampung</v>
      </c>
      <c r="R292" s="7">
        <f>INDEX(Detail!$C$1:$C$1001,MATCH(B292,Detail!$G$1:$G$1001,0),1)</f>
        <v>161</v>
      </c>
      <c r="S292" s="7">
        <f>INDEX(Detail!$D$1:$D$1001,MATCH(B292,Detail!$G$1:$G$1001,0),1)</f>
        <v>71</v>
      </c>
      <c r="T292" s="7" t="str">
        <f>INDEX(Detail!$E$1:$E$1001,MATCH(Main!B292,Detail!$G$1:$G$1001,0))</f>
        <v>Gang Waringin No. 28</v>
      </c>
      <c r="U292" s="7" t="str">
        <f>INDEX(Detail!$B$1:$B$1001,MATCH(B292,Detail!$G$1:$G$1001,0),1)</f>
        <v>B-</v>
      </c>
    </row>
    <row r="293" spans="1:21" ht="15.75" x14ac:dyDescent="0.25">
      <c r="A293">
        <v>847</v>
      </c>
      <c r="B293" s="3" t="str">
        <f t="shared" si="12"/>
        <v>B0847</v>
      </c>
      <c r="C293" t="s">
        <v>1014</v>
      </c>
      <c r="D293" s="3" t="str">
        <f>VLOOKUP(B293,Detail!$G$1:$H$1001,2,FALSE)</f>
        <v>Endah Purwanti</v>
      </c>
      <c r="E293">
        <v>71</v>
      </c>
      <c r="F293">
        <v>60</v>
      </c>
      <c r="G293" s="35">
        <v>80</v>
      </c>
      <c r="H293">
        <v>60</v>
      </c>
      <c r="I293">
        <v>52</v>
      </c>
      <c r="J293">
        <v>55</v>
      </c>
      <c r="K293">
        <v>91</v>
      </c>
      <c r="L293" s="26">
        <f>IFERROR(VLOOKUP(B293,Absen!$A$1:$C$501,2,FALSE),"No")</f>
        <v>44867</v>
      </c>
      <c r="M293" s="44">
        <f t="shared" si="10"/>
        <v>8.1</v>
      </c>
      <c r="N293" s="35">
        <f t="shared" si="11"/>
        <v>65.474999999999994</v>
      </c>
      <c r="O293" t="str">
        <f>VLOOKUP(N293,Helper!$B$30:$C$35,2,TRUE)</f>
        <v>C</v>
      </c>
      <c r="P293" s="26">
        <f>INDEX(Detail!$A$1:$A$1001,MATCH(B293,Detail!$G$1:$G$1001,0))</f>
        <v>38363</v>
      </c>
      <c r="Q293" s="3" t="str">
        <f>INDEX(Detail!$F$1:$F$1001,MATCH(Main!B293,Detail!$G$1:$G$1001,0))</f>
        <v>Cilegon</v>
      </c>
      <c r="R293" s="7">
        <f>INDEX(Detail!$C$1:$C$1001,MATCH(B293,Detail!$G$1:$G$1001,0),1)</f>
        <v>179</v>
      </c>
      <c r="S293" s="7">
        <f>INDEX(Detail!$D$1:$D$1001,MATCH(B293,Detail!$G$1:$G$1001,0),1)</f>
        <v>90</v>
      </c>
      <c r="T293" s="7" t="str">
        <f>INDEX(Detail!$E$1:$E$1001,MATCH(Main!B293,Detail!$G$1:$G$1001,0))</f>
        <v>Jalan Pelajar Pejuang No. 01</v>
      </c>
      <c r="U293" s="7" t="str">
        <f>INDEX(Detail!$B$1:$B$1001,MATCH(B293,Detail!$G$1:$G$1001,0),1)</f>
        <v>AB+</v>
      </c>
    </row>
    <row r="294" spans="1:21" ht="15.75" x14ac:dyDescent="0.25">
      <c r="A294">
        <v>855</v>
      </c>
      <c r="B294" s="3" t="str">
        <f t="shared" si="12"/>
        <v>B0855</v>
      </c>
      <c r="C294" t="s">
        <v>1014</v>
      </c>
      <c r="D294" s="3" t="str">
        <f>VLOOKUP(B294,Detail!$G$1:$H$1001,2,FALSE)</f>
        <v>Rudi Zulkarnain</v>
      </c>
      <c r="E294">
        <v>59</v>
      </c>
      <c r="F294">
        <v>42</v>
      </c>
      <c r="G294" s="35">
        <v>71</v>
      </c>
      <c r="H294">
        <v>74</v>
      </c>
      <c r="I294">
        <v>50</v>
      </c>
      <c r="J294">
        <v>70</v>
      </c>
      <c r="K294">
        <v>77</v>
      </c>
      <c r="L294" s="26">
        <f>IFERROR(VLOOKUP(B294,Absen!$A$1:$C$501,2,FALSE),"No")</f>
        <v>44897</v>
      </c>
      <c r="M294" s="44">
        <f t="shared" si="10"/>
        <v>6.7</v>
      </c>
      <c r="N294" s="35">
        <f t="shared" si="11"/>
        <v>63.025000000000006</v>
      </c>
      <c r="O294" t="str">
        <f>VLOOKUP(N294,Helper!$B$30:$C$35,2,TRUE)</f>
        <v>C</v>
      </c>
      <c r="P294" s="26">
        <f>INDEX(Detail!$A$1:$A$1001,MATCH(B294,Detail!$G$1:$G$1001,0))</f>
        <v>37672</v>
      </c>
      <c r="Q294" s="3" t="str">
        <f>INDEX(Detail!$F$1:$F$1001,MATCH(Main!B294,Detail!$G$1:$G$1001,0))</f>
        <v>Pasuruan</v>
      </c>
      <c r="R294" s="7">
        <f>INDEX(Detail!$C$1:$C$1001,MATCH(B294,Detail!$G$1:$G$1001,0),1)</f>
        <v>156</v>
      </c>
      <c r="S294" s="7">
        <f>INDEX(Detail!$D$1:$D$1001,MATCH(B294,Detail!$G$1:$G$1001,0),1)</f>
        <v>90</v>
      </c>
      <c r="T294" s="7" t="str">
        <f>INDEX(Detail!$E$1:$E$1001,MATCH(Main!B294,Detail!$G$1:$G$1001,0))</f>
        <v xml:space="preserve">Jalan Antapani Lama No. 6
</v>
      </c>
      <c r="U294" s="7" t="str">
        <f>INDEX(Detail!$B$1:$B$1001,MATCH(B294,Detail!$G$1:$G$1001,0),1)</f>
        <v>AB+</v>
      </c>
    </row>
    <row r="295" spans="1:21" ht="15.75" x14ac:dyDescent="0.25">
      <c r="A295">
        <v>857</v>
      </c>
      <c r="B295" s="3" t="str">
        <f t="shared" si="12"/>
        <v>B0857</v>
      </c>
      <c r="C295" t="s">
        <v>1014</v>
      </c>
      <c r="D295" s="3" t="str">
        <f>VLOOKUP(B295,Detail!$G$1:$H$1001,2,FALSE)</f>
        <v>Waluyo Riyanti</v>
      </c>
      <c r="E295">
        <v>62</v>
      </c>
      <c r="F295">
        <v>45</v>
      </c>
      <c r="G295" s="35">
        <v>35</v>
      </c>
      <c r="H295">
        <v>57</v>
      </c>
      <c r="I295">
        <v>95</v>
      </c>
      <c r="J295">
        <v>44</v>
      </c>
      <c r="K295">
        <v>96</v>
      </c>
      <c r="L295" s="26" t="str">
        <f>IFERROR(VLOOKUP(B295,Absen!$A$1:$C$501,2,FALSE),"No")</f>
        <v>No</v>
      </c>
      <c r="M295" s="44">
        <f t="shared" si="10"/>
        <v>9.6000000000000014</v>
      </c>
      <c r="N295" s="35">
        <f t="shared" si="11"/>
        <v>57.774999999999999</v>
      </c>
      <c r="O295" t="str">
        <f>VLOOKUP(N295,Helper!$B$30:$C$35,2,TRUE)</f>
        <v>D</v>
      </c>
      <c r="P295" s="26">
        <f>INDEX(Detail!$A$1:$A$1001,MATCH(B295,Detail!$G$1:$G$1001,0))</f>
        <v>37200</v>
      </c>
      <c r="Q295" s="3" t="str">
        <f>INDEX(Detail!$F$1:$F$1001,MATCH(Main!B295,Detail!$G$1:$G$1001,0))</f>
        <v>Blitar</v>
      </c>
      <c r="R295" s="7">
        <f>INDEX(Detail!$C$1:$C$1001,MATCH(B295,Detail!$G$1:$G$1001,0),1)</f>
        <v>154</v>
      </c>
      <c r="S295" s="7">
        <f>INDEX(Detail!$D$1:$D$1001,MATCH(B295,Detail!$G$1:$G$1001,0),1)</f>
        <v>50</v>
      </c>
      <c r="T295" s="7" t="str">
        <f>INDEX(Detail!$E$1:$E$1001,MATCH(Main!B295,Detail!$G$1:$G$1001,0))</f>
        <v xml:space="preserve">Gg. Kutisari Selatan No. 5
</v>
      </c>
      <c r="U295" s="7" t="str">
        <f>INDEX(Detail!$B$1:$B$1001,MATCH(B295,Detail!$G$1:$G$1001,0),1)</f>
        <v>B+</v>
      </c>
    </row>
    <row r="296" spans="1:21" ht="15.75" x14ac:dyDescent="0.25">
      <c r="A296">
        <v>864</v>
      </c>
      <c r="B296" s="3" t="str">
        <f t="shared" si="12"/>
        <v>B0864</v>
      </c>
      <c r="C296" t="s">
        <v>1014</v>
      </c>
      <c r="D296" s="3" t="str">
        <f>VLOOKUP(B296,Detail!$G$1:$H$1001,2,FALSE)</f>
        <v>Vanesa Agustina</v>
      </c>
      <c r="E296">
        <v>93</v>
      </c>
      <c r="F296">
        <v>47</v>
      </c>
      <c r="G296" s="35">
        <v>59</v>
      </c>
      <c r="H296">
        <v>55</v>
      </c>
      <c r="I296">
        <v>56</v>
      </c>
      <c r="J296">
        <v>65</v>
      </c>
      <c r="K296">
        <v>78</v>
      </c>
      <c r="L296" s="26">
        <f>IFERROR(VLOOKUP(B296,Absen!$A$1:$C$501,2,FALSE),"No")</f>
        <v>44844</v>
      </c>
      <c r="M296" s="44">
        <f t="shared" si="10"/>
        <v>6.8000000000000007</v>
      </c>
      <c r="N296" s="35">
        <f t="shared" si="11"/>
        <v>62.974999999999994</v>
      </c>
      <c r="O296" t="str">
        <f>VLOOKUP(N296,Helper!$B$30:$C$35,2,TRUE)</f>
        <v>C</v>
      </c>
      <c r="P296" s="26">
        <f>INDEX(Detail!$A$1:$A$1001,MATCH(B296,Detail!$G$1:$G$1001,0))</f>
        <v>37478</v>
      </c>
      <c r="Q296" s="3" t="str">
        <f>INDEX(Detail!$F$1:$F$1001,MATCH(Main!B296,Detail!$G$1:$G$1001,0))</f>
        <v>Cimahi</v>
      </c>
      <c r="R296" s="7">
        <f>INDEX(Detail!$C$1:$C$1001,MATCH(B296,Detail!$G$1:$G$1001,0),1)</f>
        <v>178</v>
      </c>
      <c r="S296" s="7">
        <f>INDEX(Detail!$D$1:$D$1001,MATCH(B296,Detail!$G$1:$G$1001,0),1)</f>
        <v>51</v>
      </c>
      <c r="T296" s="7" t="str">
        <f>INDEX(Detail!$E$1:$E$1001,MATCH(Main!B296,Detail!$G$1:$G$1001,0))</f>
        <v xml:space="preserve">Gang Moch. Ramdan No. 0
</v>
      </c>
      <c r="U296" s="7" t="str">
        <f>INDEX(Detail!$B$1:$B$1001,MATCH(B296,Detail!$G$1:$G$1001,0),1)</f>
        <v>O+</v>
      </c>
    </row>
    <row r="297" spans="1:21" ht="15.75" x14ac:dyDescent="0.25">
      <c r="A297">
        <v>881</v>
      </c>
      <c r="B297" s="3" t="str">
        <f t="shared" si="12"/>
        <v>B0881</v>
      </c>
      <c r="C297" t="s">
        <v>1014</v>
      </c>
      <c r="D297" s="3" t="str">
        <f>VLOOKUP(B297,Detail!$G$1:$H$1001,2,FALSE)</f>
        <v>Raihan Nasyiah</v>
      </c>
      <c r="E297">
        <v>69</v>
      </c>
      <c r="F297">
        <v>50</v>
      </c>
      <c r="G297" s="35">
        <v>45</v>
      </c>
      <c r="H297">
        <v>60</v>
      </c>
      <c r="I297">
        <v>73</v>
      </c>
      <c r="J297">
        <v>99</v>
      </c>
      <c r="K297">
        <v>85</v>
      </c>
      <c r="L297" s="26" t="str">
        <f>IFERROR(VLOOKUP(B297,Absen!$A$1:$C$501,2,FALSE),"No")</f>
        <v>No</v>
      </c>
      <c r="M297" s="44">
        <f t="shared" si="10"/>
        <v>8.5</v>
      </c>
      <c r="N297" s="35">
        <f t="shared" si="11"/>
        <v>68.8</v>
      </c>
      <c r="O297" t="str">
        <f>VLOOKUP(N297,Helper!$B$30:$C$35,2,TRUE)</f>
        <v>C</v>
      </c>
      <c r="P297" s="26">
        <f>INDEX(Detail!$A$1:$A$1001,MATCH(B297,Detail!$G$1:$G$1001,0))</f>
        <v>37676</v>
      </c>
      <c r="Q297" s="3" t="str">
        <f>INDEX(Detail!$F$1:$F$1001,MATCH(Main!B297,Detail!$G$1:$G$1001,0))</f>
        <v>Bau-Bau</v>
      </c>
      <c r="R297" s="7">
        <f>INDEX(Detail!$C$1:$C$1001,MATCH(B297,Detail!$G$1:$G$1001,0),1)</f>
        <v>161</v>
      </c>
      <c r="S297" s="7">
        <f>INDEX(Detail!$D$1:$D$1001,MATCH(B297,Detail!$G$1:$G$1001,0),1)</f>
        <v>51</v>
      </c>
      <c r="T297" s="7" t="str">
        <f>INDEX(Detail!$E$1:$E$1001,MATCH(Main!B297,Detail!$G$1:$G$1001,0))</f>
        <v xml:space="preserve">Jl. Laswi No. 8
</v>
      </c>
      <c r="U297" s="7" t="str">
        <f>INDEX(Detail!$B$1:$B$1001,MATCH(B297,Detail!$G$1:$G$1001,0),1)</f>
        <v>A+</v>
      </c>
    </row>
    <row r="298" spans="1:21" ht="15.75" x14ac:dyDescent="0.25">
      <c r="A298">
        <v>885</v>
      </c>
      <c r="B298" s="3" t="str">
        <f t="shared" si="12"/>
        <v>B0885</v>
      </c>
      <c r="C298" t="s">
        <v>1014</v>
      </c>
      <c r="D298" s="3" t="str">
        <f>VLOOKUP(B298,Detail!$G$1:$H$1001,2,FALSE)</f>
        <v>Karsa Padmasari</v>
      </c>
      <c r="E298">
        <v>72</v>
      </c>
      <c r="F298">
        <v>69</v>
      </c>
      <c r="G298" s="35">
        <v>94</v>
      </c>
      <c r="H298">
        <v>68</v>
      </c>
      <c r="I298">
        <v>76</v>
      </c>
      <c r="J298">
        <v>77</v>
      </c>
      <c r="K298">
        <v>87</v>
      </c>
      <c r="L298" s="26" t="str">
        <f>IFERROR(VLOOKUP(B298,Absen!$A$1:$C$501,2,FALSE),"No")</f>
        <v>No</v>
      </c>
      <c r="M298" s="44">
        <f t="shared" si="10"/>
        <v>8.7000000000000011</v>
      </c>
      <c r="N298" s="35">
        <f t="shared" si="11"/>
        <v>78.525000000000006</v>
      </c>
      <c r="O298" t="str">
        <f>VLOOKUP(N298,Helper!$B$30:$C$35,2,TRUE)</f>
        <v>B</v>
      </c>
      <c r="P298" s="26">
        <f>INDEX(Detail!$A$1:$A$1001,MATCH(B298,Detail!$G$1:$G$1001,0))</f>
        <v>37566</v>
      </c>
      <c r="Q298" s="3" t="str">
        <f>INDEX(Detail!$F$1:$F$1001,MATCH(Main!B298,Detail!$G$1:$G$1001,0))</f>
        <v>Mataram</v>
      </c>
      <c r="R298" s="7">
        <f>INDEX(Detail!$C$1:$C$1001,MATCH(B298,Detail!$G$1:$G$1001,0),1)</f>
        <v>170</v>
      </c>
      <c r="S298" s="7">
        <f>INDEX(Detail!$D$1:$D$1001,MATCH(B298,Detail!$G$1:$G$1001,0),1)</f>
        <v>52</v>
      </c>
      <c r="T298" s="7" t="str">
        <f>INDEX(Detail!$E$1:$E$1001,MATCH(Main!B298,Detail!$G$1:$G$1001,0))</f>
        <v xml:space="preserve">Gg. Cikutra Barat No. 2
</v>
      </c>
      <c r="U298" s="7" t="str">
        <f>INDEX(Detail!$B$1:$B$1001,MATCH(B298,Detail!$G$1:$G$1001,0),1)</f>
        <v>O-</v>
      </c>
    </row>
    <row r="299" spans="1:21" ht="15.75" x14ac:dyDescent="0.25">
      <c r="A299">
        <v>886</v>
      </c>
      <c r="B299" s="3" t="str">
        <f t="shared" si="12"/>
        <v>B0886</v>
      </c>
      <c r="C299" t="s">
        <v>1014</v>
      </c>
      <c r="D299" s="3" t="str">
        <f>VLOOKUP(B299,Detail!$G$1:$H$1001,2,FALSE)</f>
        <v>Muhammad Wijaya</v>
      </c>
      <c r="E299">
        <v>64</v>
      </c>
      <c r="F299">
        <v>63</v>
      </c>
      <c r="G299" s="35">
        <v>35</v>
      </c>
      <c r="H299">
        <v>63</v>
      </c>
      <c r="I299">
        <v>54</v>
      </c>
      <c r="J299">
        <v>77</v>
      </c>
      <c r="K299">
        <v>82</v>
      </c>
      <c r="L299" s="26" t="str">
        <f>IFERROR(VLOOKUP(B299,Absen!$A$1:$C$501,2,FALSE),"No")</f>
        <v>No</v>
      </c>
      <c r="M299" s="44">
        <f t="shared" si="10"/>
        <v>8.2000000000000011</v>
      </c>
      <c r="N299" s="35">
        <f t="shared" si="11"/>
        <v>61.1</v>
      </c>
      <c r="O299" t="str">
        <f>VLOOKUP(N299,Helper!$B$30:$C$35,2,TRUE)</f>
        <v>C</v>
      </c>
      <c r="P299" s="26">
        <f>INDEX(Detail!$A$1:$A$1001,MATCH(B299,Detail!$G$1:$G$1001,0))</f>
        <v>37583</v>
      </c>
      <c r="Q299" s="3" t="str">
        <f>INDEX(Detail!$F$1:$F$1001,MATCH(Main!B299,Detail!$G$1:$G$1001,0))</f>
        <v>Bogor</v>
      </c>
      <c r="R299" s="7">
        <f>INDEX(Detail!$C$1:$C$1001,MATCH(B299,Detail!$G$1:$G$1001,0),1)</f>
        <v>168</v>
      </c>
      <c r="S299" s="7">
        <f>INDEX(Detail!$D$1:$D$1001,MATCH(B299,Detail!$G$1:$G$1001,0),1)</f>
        <v>87</v>
      </c>
      <c r="T299" s="7" t="str">
        <f>INDEX(Detail!$E$1:$E$1001,MATCH(Main!B299,Detail!$G$1:$G$1001,0))</f>
        <v xml:space="preserve">Gang Laswi No. 2
</v>
      </c>
      <c r="U299" s="7" t="str">
        <f>INDEX(Detail!$B$1:$B$1001,MATCH(B299,Detail!$G$1:$G$1001,0),1)</f>
        <v>B+</v>
      </c>
    </row>
    <row r="300" spans="1:21" ht="15.75" x14ac:dyDescent="0.25">
      <c r="A300">
        <v>887</v>
      </c>
      <c r="B300" s="3" t="str">
        <f t="shared" si="12"/>
        <v>B0887</v>
      </c>
      <c r="C300" t="s">
        <v>1014</v>
      </c>
      <c r="D300" s="3" t="str">
        <f>VLOOKUP(B300,Detail!$G$1:$H$1001,2,FALSE)</f>
        <v>Cemplunk Rajata</v>
      </c>
      <c r="E300">
        <v>69</v>
      </c>
      <c r="F300">
        <v>68</v>
      </c>
      <c r="G300" s="35">
        <v>77</v>
      </c>
      <c r="H300">
        <v>74</v>
      </c>
      <c r="I300">
        <v>90</v>
      </c>
      <c r="J300">
        <v>41</v>
      </c>
      <c r="K300">
        <v>87</v>
      </c>
      <c r="L300" s="26">
        <f>IFERROR(VLOOKUP(B300,Absen!$A$1:$C$501,2,FALSE),"No")</f>
        <v>44754</v>
      </c>
      <c r="M300" s="44">
        <f t="shared" si="10"/>
        <v>7.7</v>
      </c>
      <c r="N300" s="35">
        <f t="shared" si="11"/>
        <v>68.924999999999997</v>
      </c>
      <c r="O300" t="str">
        <f>VLOOKUP(N300,Helper!$B$30:$C$35,2,TRUE)</f>
        <v>C</v>
      </c>
      <c r="P300" s="26">
        <f>INDEX(Detail!$A$1:$A$1001,MATCH(B300,Detail!$G$1:$G$1001,0))</f>
        <v>37355</v>
      </c>
      <c r="Q300" s="3" t="str">
        <f>INDEX(Detail!$F$1:$F$1001,MATCH(Main!B300,Detail!$G$1:$G$1001,0))</f>
        <v>Tidore Kepulauan</v>
      </c>
      <c r="R300" s="7">
        <f>INDEX(Detail!$C$1:$C$1001,MATCH(B300,Detail!$G$1:$G$1001,0),1)</f>
        <v>178</v>
      </c>
      <c r="S300" s="7">
        <f>INDEX(Detail!$D$1:$D$1001,MATCH(B300,Detail!$G$1:$G$1001,0),1)</f>
        <v>69</v>
      </c>
      <c r="T300" s="7" t="str">
        <f>INDEX(Detail!$E$1:$E$1001,MATCH(Main!B300,Detail!$G$1:$G$1001,0))</f>
        <v>Jalan Ronggowarsito No. 42</v>
      </c>
      <c r="U300" s="7" t="str">
        <f>INDEX(Detail!$B$1:$B$1001,MATCH(B300,Detail!$G$1:$G$1001,0),1)</f>
        <v>O-</v>
      </c>
    </row>
    <row r="301" spans="1:21" ht="15.75" x14ac:dyDescent="0.25">
      <c r="A301">
        <v>891</v>
      </c>
      <c r="B301" s="3" t="str">
        <f t="shared" si="12"/>
        <v>B0891</v>
      </c>
      <c r="C301" t="s">
        <v>1014</v>
      </c>
      <c r="D301" s="3" t="str">
        <f>VLOOKUP(B301,Detail!$G$1:$H$1001,2,FALSE)</f>
        <v>Artawan Zulaika</v>
      </c>
      <c r="E301">
        <v>63</v>
      </c>
      <c r="F301">
        <v>43</v>
      </c>
      <c r="G301" s="35">
        <v>86</v>
      </c>
      <c r="H301">
        <v>58</v>
      </c>
      <c r="I301">
        <v>86</v>
      </c>
      <c r="J301">
        <v>76</v>
      </c>
      <c r="K301">
        <v>69</v>
      </c>
      <c r="L301" s="26" t="str">
        <f>IFERROR(VLOOKUP(B301,Absen!$A$1:$C$501,2,FALSE),"No")</f>
        <v>No</v>
      </c>
      <c r="M301" s="44">
        <f t="shared" si="10"/>
        <v>6.9</v>
      </c>
      <c r="N301" s="35">
        <f t="shared" si="11"/>
        <v>70.550000000000011</v>
      </c>
      <c r="O301" t="str">
        <f>VLOOKUP(N301,Helper!$B$30:$C$35,2,TRUE)</f>
        <v>B</v>
      </c>
      <c r="P301" s="26">
        <f>INDEX(Detail!$A$1:$A$1001,MATCH(B301,Detail!$G$1:$G$1001,0))</f>
        <v>38431</v>
      </c>
      <c r="Q301" s="3" t="str">
        <f>INDEX(Detail!$F$1:$F$1001,MATCH(Main!B301,Detail!$G$1:$G$1001,0))</f>
        <v>Gorontalo</v>
      </c>
      <c r="R301" s="7">
        <f>INDEX(Detail!$C$1:$C$1001,MATCH(B301,Detail!$G$1:$G$1001,0),1)</f>
        <v>159</v>
      </c>
      <c r="S301" s="7">
        <f>INDEX(Detail!$D$1:$D$1001,MATCH(B301,Detail!$G$1:$G$1001,0),1)</f>
        <v>86</v>
      </c>
      <c r="T301" s="7" t="str">
        <f>INDEX(Detail!$E$1:$E$1001,MATCH(Main!B301,Detail!$G$1:$G$1001,0))</f>
        <v xml:space="preserve">Gang W.R. Supratman No. 6
</v>
      </c>
      <c r="U301" s="7" t="str">
        <f>INDEX(Detail!$B$1:$B$1001,MATCH(B301,Detail!$G$1:$G$1001,0),1)</f>
        <v>O+</v>
      </c>
    </row>
    <row r="302" spans="1:21" ht="15.75" x14ac:dyDescent="0.25">
      <c r="A302">
        <v>893</v>
      </c>
      <c r="B302" s="3" t="str">
        <f t="shared" si="12"/>
        <v>B0893</v>
      </c>
      <c r="C302" t="s">
        <v>1014</v>
      </c>
      <c r="D302" s="3" t="str">
        <f>VLOOKUP(B302,Detail!$G$1:$H$1001,2,FALSE)</f>
        <v>Sari Wulandari</v>
      </c>
      <c r="E302">
        <v>77</v>
      </c>
      <c r="F302">
        <v>44</v>
      </c>
      <c r="G302" s="35">
        <v>46</v>
      </c>
      <c r="H302">
        <v>75</v>
      </c>
      <c r="I302">
        <v>52</v>
      </c>
      <c r="J302">
        <v>59</v>
      </c>
      <c r="K302">
        <v>82</v>
      </c>
      <c r="L302" s="26">
        <f>IFERROR(VLOOKUP(B302,Absen!$A$1:$C$501,2,FALSE),"No")</f>
        <v>44837</v>
      </c>
      <c r="M302" s="44">
        <f t="shared" si="10"/>
        <v>7.2</v>
      </c>
      <c r="N302" s="35">
        <f t="shared" si="11"/>
        <v>59.2</v>
      </c>
      <c r="O302" t="str">
        <f>VLOOKUP(N302,Helper!$B$30:$C$35,2,TRUE)</f>
        <v>D</v>
      </c>
      <c r="P302" s="26">
        <f>INDEX(Detail!$A$1:$A$1001,MATCH(B302,Detail!$G$1:$G$1001,0))</f>
        <v>37429</v>
      </c>
      <c r="Q302" s="3" t="str">
        <f>INDEX(Detail!$F$1:$F$1001,MATCH(Main!B302,Detail!$G$1:$G$1001,0))</f>
        <v>Medan</v>
      </c>
      <c r="R302" s="7">
        <f>INDEX(Detail!$C$1:$C$1001,MATCH(B302,Detail!$G$1:$G$1001,0),1)</f>
        <v>153</v>
      </c>
      <c r="S302" s="7">
        <f>INDEX(Detail!$D$1:$D$1001,MATCH(B302,Detail!$G$1:$G$1001,0),1)</f>
        <v>89</v>
      </c>
      <c r="T302" s="7" t="str">
        <f>INDEX(Detail!$E$1:$E$1001,MATCH(Main!B302,Detail!$G$1:$G$1001,0))</f>
        <v xml:space="preserve">Gg. Monginsidi No. 5
</v>
      </c>
      <c r="U302" s="7" t="str">
        <f>INDEX(Detail!$B$1:$B$1001,MATCH(B302,Detail!$G$1:$G$1001,0),1)</f>
        <v>B-</v>
      </c>
    </row>
    <row r="303" spans="1:21" ht="15.75" x14ac:dyDescent="0.25">
      <c r="A303">
        <v>910</v>
      </c>
      <c r="B303" s="3" t="str">
        <f t="shared" si="12"/>
        <v>B0910</v>
      </c>
      <c r="C303" t="s">
        <v>1014</v>
      </c>
      <c r="D303" s="3" t="str">
        <f>VLOOKUP(B303,Detail!$G$1:$H$1001,2,FALSE)</f>
        <v>Parman Kurniawan</v>
      </c>
      <c r="E303">
        <v>57</v>
      </c>
      <c r="F303">
        <v>60</v>
      </c>
      <c r="G303" s="35">
        <v>60</v>
      </c>
      <c r="H303">
        <v>55</v>
      </c>
      <c r="I303">
        <v>68</v>
      </c>
      <c r="J303">
        <v>97</v>
      </c>
      <c r="K303">
        <v>97</v>
      </c>
      <c r="L303" s="26" t="str">
        <f>IFERROR(VLOOKUP(B303,Absen!$A$1:$C$501,2,FALSE),"No")</f>
        <v>No</v>
      </c>
      <c r="M303" s="44">
        <f t="shared" si="10"/>
        <v>9.7000000000000011</v>
      </c>
      <c r="N303" s="35">
        <f t="shared" si="11"/>
        <v>71.100000000000009</v>
      </c>
      <c r="O303" t="str">
        <f>VLOOKUP(N303,Helper!$B$30:$C$35,2,TRUE)</f>
        <v>B</v>
      </c>
      <c r="P303" s="26">
        <f>INDEX(Detail!$A$1:$A$1001,MATCH(B303,Detail!$G$1:$G$1001,0))</f>
        <v>37117</v>
      </c>
      <c r="Q303" s="3" t="str">
        <f>INDEX(Detail!$F$1:$F$1001,MATCH(Main!B303,Detail!$G$1:$G$1001,0))</f>
        <v>Meulaboh</v>
      </c>
      <c r="R303" s="7">
        <f>INDEX(Detail!$C$1:$C$1001,MATCH(B303,Detail!$G$1:$G$1001,0),1)</f>
        <v>163</v>
      </c>
      <c r="S303" s="7">
        <f>INDEX(Detail!$D$1:$D$1001,MATCH(B303,Detail!$G$1:$G$1001,0),1)</f>
        <v>93</v>
      </c>
      <c r="T303" s="7" t="str">
        <f>INDEX(Detail!$E$1:$E$1001,MATCH(Main!B303,Detail!$G$1:$G$1001,0))</f>
        <v>Gg. Ciwastra No. 36</v>
      </c>
      <c r="U303" s="7" t="str">
        <f>INDEX(Detail!$B$1:$B$1001,MATCH(B303,Detail!$G$1:$G$1001,0),1)</f>
        <v>AB+</v>
      </c>
    </row>
    <row r="304" spans="1:21" ht="15.75" x14ac:dyDescent="0.25">
      <c r="A304">
        <v>920</v>
      </c>
      <c r="B304" s="3" t="str">
        <f t="shared" si="12"/>
        <v>B0920</v>
      </c>
      <c r="C304" t="s">
        <v>1014</v>
      </c>
      <c r="D304" s="3" t="str">
        <f>VLOOKUP(B304,Detail!$G$1:$H$1001,2,FALSE)</f>
        <v>Jaswadi Dabukke</v>
      </c>
      <c r="E304">
        <v>68</v>
      </c>
      <c r="F304">
        <v>56</v>
      </c>
      <c r="G304" s="35">
        <v>75</v>
      </c>
      <c r="H304">
        <v>59</v>
      </c>
      <c r="I304">
        <v>70</v>
      </c>
      <c r="J304">
        <v>63</v>
      </c>
      <c r="K304">
        <v>63</v>
      </c>
      <c r="L304" s="26" t="str">
        <f>IFERROR(VLOOKUP(B304,Absen!$A$1:$C$501,2,FALSE),"No")</f>
        <v>No</v>
      </c>
      <c r="M304" s="44">
        <f t="shared" si="10"/>
        <v>6.3000000000000007</v>
      </c>
      <c r="N304" s="35">
        <f t="shared" si="11"/>
        <v>65.525000000000006</v>
      </c>
      <c r="O304" t="str">
        <f>VLOOKUP(N304,Helper!$B$30:$C$35,2,TRUE)</f>
        <v>C</v>
      </c>
      <c r="P304" s="26">
        <f>INDEX(Detail!$A$1:$A$1001,MATCH(B304,Detail!$G$1:$G$1001,0))</f>
        <v>38060</v>
      </c>
      <c r="Q304" s="3" t="str">
        <f>INDEX(Detail!$F$1:$F$1001,MATCH(Main!B304,Detail!$G$1:$G$1001,0))</f>
        <v>Banda Aceh</v>
      </c>
      <c r="R304" s="7">
        <f>INDEX(Detail!$C$1:$C$1001,MATCH(B304,Detail!$G$1:$G$1001,0),1)</f>
        <v>168</v>
      </c>
      <c r="S304" s="7">
        <f>INDEX(Detail!$D$1:$D$1001,MATCH(B304,Detail!$G$1:$G$1001,0),1)</f>
        <v>49</v>
      </c>
      <c r="T304" s="7" t="str">
        <f>INDEX(Detail!$E$1:$E$1001,MATCH(Main!B304,Detail!$G$1:$G$1001,0))</f>
        <v xml:space="preserve">Jalan Cempaka No. 8
</v>
      </c>
      <c r="U304" s="7" t="str">
        <f>INDEX(Detail!$B$1:$B$1001,MATCH(B304,Detail!$G$1:$G$1001,0),1)</f>
        <v>AB-</v>
      </c>
    </row>
    <row r="305" spans="1:21" ht="15.75" x14ac:dyDescent="0.25">
      <c r="A305">
        <v>921</v>
      </c>
      <c r="B305" s="3" t="str">
        <f t="shared" si="12"/>
        <v>B0921</v>
      </c>
      <c r="C305" t="s">
        <v>1014</v>
      </c>
      <c r="D305" s="3" t="str">
        <f>VLOOKUP(B305,Detail!$G$1:$H$1001,2,FALSE)</f>
        <v>Warta Astuti</v>
      </c>
      <c r="E305">
        <v>58</v>
      </c>
      <c r="F305">
        <v>48</v>
      </c>
      <c r="G305" s="35">
        <v>49</v>
      </c>
      <c r="H305">
        <v>59</v>
      </c>
      <c r="I305">
        <v>76</v>
      </c>
      <c r="J305">
        <v>56</v>
      </c>
      <c r="K305">
        <v>67</v>
      </c>
      <c r="L305" s="26">
        <f>IFERROR(VLOOKUP(B305,Absen!$A$1:$C$501,2,FALSE),"No")</f>
        <v>44908</v>
      </c>
      <c r="M305" s="44">
        <f t="shared" si="10"/>
        <v>5.7</v>
      </c>
      <c r="N305" s="35">
        <f t="shared" si="11"/>
        <v>56.825000000000003</v>
      </c>
      <c r="O305" t="str">
        <f>VLOOKUP(N305,Helper!$B$30:$C$35,2,TRUE)</f>
        <v>D</v>
      </c>
      <c r="P305" s="26">
        <f>INDEX(Detail!$A$1:$A$1001,MATCH(B305,Detail!$G$1:$G$1001,0))</f>
        <v>37357</v>
      </c>
      <c r="Q305" s="3" t="str">
        <f>INDEX(Detail!$F$1:$F$1001,MATCH(Main!B305,Detail!$G$1:$G$1001,0))</f>
        <v>Ambon</v>
      </c>
      <c r="R305" s="7">
        <f>INDEX(Detail!$C$1:$C$1001,MATCH(B305,Detail!$G$1:$G$1001,0),1)</f>
        <v>157</v>
      </c>
      <c r="S305" s="7">
        <f>INDEX(Detail!$D$1:$D$1001,MATCH(B305,Detail!$G$1:$G$1001,0),1)</f>
        <v>56</v>
      </c>
      <c r="T305" s="7" t="str">
        <f>INDEX(Detail!$E$1:$E$1001,MATCH(Main!B305,Detail!$G$1:$G$1001,0))</f>
        <v>Jl. Pacuan Kuda No. 72</v>
      </c>
      <c r="U305" s="7" t="str">
        <f>INDEX(Detail!$B$1:$B$1001,MATCH(B305,Detail!$G$1:$G$1001,0),1)</f>
        <v>AB-</v>
      </c>
    </row>
    <row r="306" spans="1:21" ht="15.75" x14ac:dyDescent="0.25">
      <c r="A306">
        <v>924</v>
      </c>
      <c r="B306" s="3" t="str">
        <f t="shared" si="12"/>
        <v>B0924</v>
      </c>
      <c r="C306" t="s">
        <v>1014</v>
      </c>
      <c r="D306" s="3" t="str">
        <f>VLOOKUP(B306,Detail!$G$1:$H$1001,2,FALSE)</f>
        <v>Cindy Januar</v>
      </c>
      <c r="E306">
        <v>51</v>
      </c>
      <c r="F306">
        <v>45</v>
      </c>
      <c r="G306" s="35">
        <v>84</v>
      </c>
      <c r="H306">
        <v>71</v>
      </c>
      <c r="I306">
        <v>85</v>
      </c>
      <c r="J306">
        <v>62</v>
      </c>
      <c r="K306">
        <v>82</v>
      </c>
      <c r="L306" s="26" t="str">
        <f>IFERROR(VLOOKUP(B306,Absen!$A$1:$C$501,2,FALSE),"No")</f>
        <v>No</v>
      </c>
      <c r="M306" s="44">
        <f t="shared" si="10"/>
        <v>8.2000000000000011</v>
      </c>
      <c r="N306" s="35">
        <f t="shared" si="11"/>
        <v>68.899999999999991</v>
      </c>
      <c r="O306" t="str">
        <f>VLOOKUP(N306,Helper!$B$30:$C$35,2,TRUE)</f>
        <v>C</v>
      </c>
      <c r="P306" s="26">
        <f>INDEX(Detail!$A$1:$A$1001,MATCH(B306,Detail!$G$1:$G$1001,0))</f>
        <v>38304</v>
      </c>
      <c r="Q306" s="3" t="str">
        <f>INDEX(Detail!$F$1:$F$1001,MATCH(Main!B306,Detail!$G$1:$G$1001,0))</f>
        <v>Medan</v>
      </c>
      <c r="R306" s="7">
        <f>INDEX(Detail!$C$1:$C$1001,MATCH(B306,Detail!$G$1:$G$1001,0),1)</f>
        <v>178</v>
      </c>
      <c r="S306" s="7">
        <f>INDEX(Detail!$D$1:$D$1001,MATCH(B306,Detail!$G$1:$G$1001,0),1)</f>
        <v>59</v>
      </c>
      <c r="T306" s="7" t="str">
        <f>INDEX(Detail!$E$1:$E$1001,MATCH(Main!B306,Detail!$G$1:$G$1001,0))</f>
        <v xml:space="preserve">Gang Cempaka No. 2
</v>
      </c>
      <c r="U306" s="7" t="str">
        <f>INDEX(Detail!$B$1:$B$1001,MATCH(B306,Detail!$G$1:$G$1001,0),1)</f>
        <v>O-</v>
      </c>
    </row>
    <row r="307" spans="1:21" ht="15.75" x14ac:dyDescent="0.25">
      <c r="A307">
        <v>925</v>
      </c>
      <c r="B307" s="3" t="str">
        <f t="shared" si="12"/>
        <v>B0925</v>
      </c>
      <c r="C307" t="s">
        <v>1014</v>
      </c>
      <c r="D307" s="3" t="str">
        <f>VLOOKUP(B307,Detail!$G$1:$H$1001,2,FALSE)</f>
        <v>Olivia Anggraini</v>
      </c>
      <c r="E307">
        <v>62</v>
      </c>
      <c r="F307">
        <v>51</v>
      </c>
      <c r="G307" s="35">
        <v>57</v>
      </c>
      <c r="H307">
        <v>60</v>
      </c>
      <c r="I307">
        <v>67</v>
      </c>
      <c r="J307">
        <v>59</v>
      </c>
      <c r="K307">
        <v>82</v>
      </c>
      <c r="L307" s="26" t="str">
        <f>IFERROR(VLOOKUP(B307,Absen!$A$1:$C$501,2,FALSE),"No")</f>
        <v>No</v>
      </c>
      <c r="M307" s="44">
        <f t="shared" si="10"/>
        <v>8.2000000000000011</v>
      </c>
      <c r="N307" s="35">
        <f t="shared" si="11"/>
        <v>61.400000000000006</v>
      </c>
      <c r="O307" t="str">
        <f>VLOOKUP(N307,Helper!$B$30:$C$35,2,TRUE)</f>
        <v>C</v>
      </c>
      <c r="P307" s="26">
        <f>INDEX(Detail!$A$1:$A$1001,MATCH(B307,Detail!$G$1:$G$1001,0))</f>
        <v>37331</v>
      </c>
      <c r="Q307" s="3" t="str">
        <f>INDEX(Detail!$F$1:$F$1001,MATCH(Main!B307,Detail!$G$1:$G$1001,0))</f>
        <v>Sorong</v>
      </c>
      <c r="R307" s="7">
        <f>INDEX(Detail!$C$1:$C$1001,MATCH(B307,Detail!$G$1:$G$1001,0),1)</f>
        <v>173</v>
      </c>
      <c r="S307" s="7">
        <f>INDEX(Detail!$D$1:$D$1001,MATCH(B307,Detail!$G$1:$G$1001,0),1)</f>
        <v>57</v>
      </c>
      <c r="T307" s="7" t="str">
        <f>INDEX(Detail!$E$1:$E$1001,MATCH(Main!B307,Detail!$G$1:$G$1001,0))</f>
        <v>Gang Kendalsari No. 85</v>
      </c>
      <c r="U307" s="7" t="str">
        <f>INDEX(Detail!$B$1:$B$1001,MATCH(B307,Detail!$G$1:$G$1001,0),1)</f>
        <v>A+</v>
      </c>
    </row>
    <row r="308" spans="1:21" ht="15.75" x14ac:dyDescent="0.25">
      <c r="A308">
        <v>935</v>
      </c>
      <c r="B308" s="3" t="str">
        <f t="shared" si="12"/>
        <v>B0935</v>
      </c>
      <c r="C308" t="s">
        <v>1014</v>
      </c>
      <c r="D308" s="3" t="str">
        <f>VLOOKUP(B308,Detail!$G$1:$H$1001,2,FALSE)</f>
        <v>Humaira Marpaung</v>
      </c>
      <c r="E308">
        <v>61</v>
      </c>
      <c r="F308">
        <v>64</v>
      </c>
      <c r="G308" s="35">
        <v>77</v>
      </c>
      <c r="H308">
        <v>61</v>
      </c>
      <c r="I308">
        <v>83</v>
      </c>
      <c r="J308">
        <v>83</v>
      </c>
      <c r="K308">
        <v>61</v>
      </c>
      <c r="L308" s="26">
        <f>IFERROR(VLOOKUP(B308,Absen!$A$1:$C$501,2,FALSE),"No")</f>
        <v>44883</v>
      </c>
      <c r="M308" s="44">
        <f t="shared" si="10"/>
        <v>5.1000000000000005</v>
      </c>
      <c r="N308" s="35">
        <f t="shared" si="11"/>
        <v>70.724999999999994</v>
      </c>
      <c r="O308" t="str">
        <f>VLOOKUP(N308,Helper!$B$30:$C$35,2,TRUE)</f>
        <v>B</v>
      </c>
      <c r="P308" s="26">
        <f>INDEX(Detail!$A$1:$A$1001,MATCH(B308,Detail!$G$1:$G$1001,0))</f>
        <v>37581</v>
      </c>
      <c r="Q308" s="3" t="str">
        <f>INDEX(Detail!$F$1:$F$1001,MATCH(Main!B308,Detail!$G$1:$G$1001,0))</f>
        <v>Probolinggo</v>
      </c>
      <c r="R308" s="7">
        <f>INDEX(Detail!$C$1:$C$1001,MATCH(B308,Detail!$G$1:$G$1001,0),1)</f>
        <v>157</v>
      </c>
      <c r="S308" s="7">
        <f>INDEX(Detail!$D$1:$D$1001,MATCH(B308,Detail!$G$1:$G$1001,0),1)</f>
        <v>90</v>
      </c>
      <c r="T308" s="7" t="str">
        <f>INDEX(Detail!$E$1:$E$1001,MATCH(Main!B308,Detail!$G$1:$G$1001,0))</f>
        <v xml:space="preserve">Gang K.H. Wahid Hasyim No. 1
</v>
      </c>
      <c r="U308" s="7" t="str">
        <f>INDEX(Detail!$B$1:$B$1001,MATCH(B308,Detail!$G$1:$G$1001,0),1)</f>
        <v>A+</v>
      </c>
    </row>
    <row r="309" spans="1:21" ht="15.75" x14ac:dyDescent="0.25">
      <c r="A309">
        <v>939</v>
      </c>
      <c r="B309" s="3" t="str">
        <f t="shared" si="12"/>
        <v>B0939</v>
      </c>
      <c r="C309" t="s">
        <v>1014</v>
      </c>
      <c r="D309" s="3" t="str">
        <f>VLOOKUP(B309,Detail!$G$1:$H$1001,2,FALSE)</f>
        <v>Saka Hidayat</v>
      </c>
      <c r="E309">
        <v>74</v>
      </c>
      <c r="F309">
        <v>60</v>
      </c>
      <c r="G309" s="35">
        <v>87</v>
      </c>
      <c r="H309">
        <v>74</v>
      </c>
      <c r="I309">
        <v>87</v>
      </c>
      <c r="J309">
        <v>42</v>
      </c>
      <c r="K309">
        <v>99</v>
      </c>
      <c r="L309" s="26" t="str">
        <f>IFERROR(VLOOKUP(B309,Absen!$A$1:$C$501,2,FALSE),"No")</f>
        <v>No</v>
      </c>
      <c r="M309" s="44">
        <f t="shared" si="10"/>
        <v>9.9</v>
      </c>
      <c r="N309" s="35">
        <f t="shared" si="11"/>
        <v>72.575000000000003</v>
      </c>
      <c r="O309" t="str">
        <f>VLOOKUP(N309,Helper!$B$30:$C$35,2,TRUE)</f>
        <v>B</v>
      </c>
      <c r="P309" s="26">
        <f>INDEX(Detail!$A$1:$A$1001,MATCH(B309,Detail!$G$1:$G$1001,0))</f>
        <v>38437</v>
      </c>
      <c r="Q309" s="3" t="str">
        <f>INDEX(Detail!$F$1:$F$1001,MATCH(Main!B309,Detail!$G$1:$G$1001,0))</f>
        <v>Pekalongan</v>
      </c>
      <c r="R309" s="7">
        <f>INDEX(Detail!$C$1:$C$1001,MATCH(B309,Detail!$G$1:$G$1001,0),1)</f>
        <v>175</v>
      </c>
      <c r="S309" s="7">
        <f>INDEX(Detail!$D$1:$D$1001,MATCH(B309,Detail!$G$1:$G$1001,0),1)</f>
        <v>49</v>
      </c>
      <c r="T309" s="7" t="str">
        <f>INDEX(Detail!$E$1:$E$1001,MATCH(Main!B309,Detail!$G$1:$G$1001,0))</f>
        <v>Jl. Indragiri No. 66</v>
      </c>
      <c r="U309" s="7" t="str">
        <f>INDEX(Detail!$B$1:$B$1001,MATCH(B309,Detail!$G$1:$G$1001,0),1)</f>
        <v>B+</v>
      </c>
    </row>
    <row r="310" spans="1:21" ht="15.75" x14ac:dyDescent="0.25">
      <c r="A310">
        <v>943</v>
      </c>
      <c r="B310" s="3" t="str">
        <f t="shared" si="12"/>
        <v>B0943</v>
      </c>
      <c r="C310" t="s">
        <v>1014</v>
      </c>
      <c r="D310" s="3" t="str">
        <f>VLOOKUP(B310,Detail!$G$1:$H$1001,2,FALSE)</f>
        <v>Gawati Purwanti</v>
      </c>
      <c r="E310">
        <v>56</v>
      </c>
      <c r="F310">
        <v>63</v>
      </c>
      <c r="G310" s="35">
        <v>45</v>
      </c>
      <c r="H310">
        <v>74</v>
      </c>
      <c r="I310">
        <v>55</v>
      </c>
      <c r="J310">
        <v>54</v>
      </c>
      <c r="K310">
        <v>83</v>
      </c>
      <c r="L310" s="26">
        <f>IFERROR(VLOOKUP(B310,Absen!$A$1:$C$501,2,FALSE),"No")</f>
        <v>44828</v>
      </c>
      <c r="M310" s="44">
        <f t="shared" si="10"/>
        <v>7.3000000000000007</v>
      </c>
      <c r="N310" s="35">
        <f t="shared" si="11"/>
        <v>58.099999999999994</v>
      </c>
      <c r="O310" t="str">
        <f>VLOOKUP(N310,Helper!$B$30:$C$35,2,TRUE)</f>
        <v>D</v>
      </c>
      <c r="P310" s="26">
        <f>INDEX(Detail!$A$1:$A$1001,MATCH(B310,Detail!$G$1:$G$1001,0))</f>
        <v>38347</v>
      </c>
      <c r="Q310" s="3" t="str">
        <f>INDEX(Detail!$F$1:$F$1001,MATCH(Main!B310,Detail!$G$1:$G$1001,0))</f>
        <v>Tegal</v>
      </c>
      <c r="R310" s="7">
        <f>INDEX(Detail!$C$1:$C$1001,MATCH(B310,Detail!$G$1:$G$1001,0),1)</f>
        <v>161</v>
      </c>
      <c r="S310" s="7">
        <f>INDEX(Detail!$D$1:$D$1001,MATCH(B310,Detail!$G$1:$G$1001,0),1)</f>
        <v>51</v>
      </c>
      <c r="T310" s="7" t="str">
        <f>INDEX(Detail!$E$1:$E$1001,MATCH(Main!B310,Detail!$G$1:$G$1001,0))</f>
        <v>Gg. Monginsidi No. 39</v>
      </c>
      <c r="U310" s="7" t="str">
        <f>INDEX(Detail!$B$1:$B$1001,MATCH(B310,Detail!$G$1:$G$1001,0),1)</f>
        <v>AB+</v>
      </c>
    </row>
    <row r="311" spans="1:21" ht="15.75" x14ac:dyDescent="0.25">
      <c r="A311">
        <v>945</v>
      </c>
      <c r="B311" s="3" t="str">
        <f t="shared" si="12"/>
        <v>B0945</v>
      </c>
      <c r="C311" t="s">
        <v>1014</v>
      </c>
      <c r="D311" s="3" t="str">
        <f>VLOOKUP(B311,Detail!$G$1:$H$1001,2,FALSE)</f>
        <v>Jaeman Sinaga</v>
      </c>
      <c r="E311">
        <v>90</v>
      </c>
      <c r="F311">
        <v>45</v>
      </c>
      <c r="G311" s="35">
        <v>67</v>
      </c>
      <c r="H311">
        <v>70</v>
      </c>
      <c r="I311">
        <v>81</v>
      </c>
      <c r="J311">
        <v>74</v>
      </c>
      <c r="K311">
        <v>90</v>
      </c>
      <c r="L311" s="26" t="str">
        <f>IFERROR(VLOOKUP(B311,Absen!$A$1:$C$501,2,FALSE),"No")</f>
        <v>No</v>
      </c>
      <c r="M311" s="44">
        <f t="shared" si="10"/>
        <v>9</v>
      </c>
      <c r="N311" s="35">
        <f t="shared" si="11"/>
        <v>72.95</v>
      </c>
      <c r="O311" t="str">
        <f>VLOOKUP(N311,Helper!$B$30:$C$35,2,TRUE)</f>
        <v>B</v>
      </c>
      <c r="P311" s="26">
        <f>INDEX(Detail!$A$1:$A$1001,MATCH(B311,Detail!$G$1:$G$1001,0))</f>
        <v>38185</v>
      </c>
      <c r="Q311" s="3" t="str">
        <f>INDEX(Detail!$F$1:$F$1001,MATCH(Main!B311,Detail!$G$1:$G$1001,0))</f>
        <v>Kota Administrasi Jakarta Utara</v>
      </c>
      <c r="R311" s="7">
        <f>INDEX(Detail!$C$1:$C$1001,MATCH(B311,Detail!$G$1:$G$1001,0),1)</f>
        <v>171</v>
      </c>
      <c r="S311" s="7">
        <f>INDEX(Detail!$D$1:$D$1001,MATCH(B311,Detail!$G$1:$G$1001,0),1)</f>
        <v>58</v>
      </c>
      <c r="T311" s="7" t="str">
        <f>INDEX(Detail!$E$1:$E$1001,MATCH(Main!B311,Detail!$G$1:$G$1001,0))</f>
        <v>Jl. Medokan Ayu No. 73</v>
      </c>
      <c r="U311" s="7" t="str">
        <f>INDEX(Detail!$B$1:$B$1001,MATCH(B311,Detail!$G$1:$G$1001,0),1)</f>
        <v>AB-</v>
      </c>
    </row>
    <row r="312" spans="1:21" ht="15.75" x14ac:dyDescent="0.25">
      <c r="A312">
        <v>954</v>
      </c>
      <c r="B312" s="3" t="str">
        <f t="shared" si="12"/>
        <v>B0954</v>
      </c>
      <c r="C312" t="s">
        <v>1014</v>
      </c>
      <c r="D312" s="3" t="str">
        <f>VLOOKUP(B312,Detail!$G$1:$H$1001,2,FALSE)</f>
        <v>Zamira Simanjuntak</v>
      </c>
      <c r="E312">
        <v>93</v>
      </c>
      <c r="F312">
        <v>73</v>
      </c>
      <c r="G312" s="35">
        <v>41</v>
      </c>
      <c r="H312">
        <v>50</v>
      </c>
      <c r="I312">
        <v>53</v>
      </c>
      <c r="J312">
        <v>82</v>
      </c>
      <c r="K312">
        <v>74</v>
      </c>
      <c r="L312" s="26" t="str">
        <f>IFERROR(VLOOKUP(B312,Absen!$A$1:$C$501,2,FALSE),"No")</f>
        <v>No</v>
      </c>
      <c r="M312" s="44">
        <f t="shared" si="10"/>
        <v>7.4</v>
      </c>
      <c r="N312" s="35">
        <f t="shared" si="11"/>
        <v>65.625000000000014</v>
      </c>
      <c r="O312" t="str">
        <f>VLOOKUP(N312,Helper!$B$30:$C$35,2,TRUE)</f>
        <v>C</v>
      </c>
      <c r="P312" s="26">
        <f>INDEX(Detail!$A$1:$A$1001,MATCH(B312,Detail!$G$1:$G$1001,0))</f>
        <v>37996</v>
      </c>
      <c r="Q312" s="3" t="str">
        <f>INDEX(Detail!$F$1:$F$1001,MATCH(Main!B312,Detail!$G$1:$G$1001,0))</f>
        <v>Pasuruan</v>
      </c>
      <c r="R312" s="7">
        <f>INDEX(Detail!$C$1:$C$1001,MATCH(B312,Detail!$G$1:$G$1001,0),1)</f>
        <v>150</v>
      </c>
      <c r="S312" s="7">
        <f>INDEX(Detail!$D$1:$D$1001,MATCH(B312,Detail!$G$1:$G$1001,0),1)</f>
        <v>86</v>
      </c>
      <c r="T312" s="7" t="str">
        <f>INDEX(Detail!$E$1:$E$1001,MATCH(Main!B312,Detail!$G$1:$G$1001,0))</f>
        <v xml:space="preserve">Jalan Cihampelas No. 5
</v>
      </c>
      <c r="U312" s="7" t="str">
        <f>INDEX(Detail!$B$1:$B$1001,MATCH(B312,Detail!$G$1:$G$1001,0),1)</f>
        <v>A-</v>
      </c>
    </row>
    <row r="313" spans="1:21" ht="15.75" x14ac:dyDescent="0.25">
      <c r="A313">
        <v>955</v>
      </c>
      <c r="B313" s="3" t="str">
        <f t="shared" si="12"/>
        <v>B0955</v>
      </c>
      <c r="C313" t="s">
        <v>1014</v>
      </c>
      <c r="D313" s="3" t="str">
        <f>VLOOKUP(B313,Detail!$G$1:$H$1001,2,FALSE)</f>
        <v>Adhiarja Hartati</v>
      </c>
      <c r="E313">
        <v>82</v>
      </c>
      <c r="F313">
        <v>43</v>
      </c>
      <c r="G313" s="35">
        <v>86</v>
      </c>
      <c r="H313">
        <v>56</v>
      </c>
      <c r="I313">
        <v>50</v>
      </c>
      <c r="J313">
        <v>63</v>
      </c>
      <c r="K313">
        <v>94</v>
      </c>
      <c r="L313" s="26" t="str">
        <f>IFERROR(VLOOKUP(B313,Absen!$A$1:$C$501,2,FALSE),"No")</f>
        <v>No</v>
      </c>
      <c r="M313" s="44">
        <f t="shared" si="10"/>
        <v>9.4</v>
      </c>
      <c r="N313" s="35">
        <f t="shared" si="11"/>
        <v>68.075000000000003</v>
      </c>
      <c r="O313" t="str">
        <f>VLOOKUP(N313,Helper!$B$30:$C$35,2,TRUE)</f>
        <v>C</v>
      </c>
      <c r="P313" s="26">
        <f>INDEX(Detail!$A$1:$A$1001,MATCH(B313,Detail!$G$1:$G$1001,0))</f>
        <v>37859</v>
      </c>
      <c r="Q313" s="3" t="str">
        <f>INDEX(Detail!$F$1:$F$1001,MATCH(Main!B313,Detail!$G$1:$G$1001,0))</f>
        <v>Samarinda</v>
      </c>
      <c r="R313" s="7">
        <f>INDEX(Detail!$C$1:$C$1001,MATCH(B313,Detail!$G$1:$G$1001,0),1)</f>
        <v>162</v>
      </c>
      <c r="S313" s="7">
        <f>INDEX(Detail!$D$1:$D$1001,MATCH(B313,Detail!$G$1:$G$1001,0),1)</f>
        <v>86</v>
      </c>
      <c r="T313" s="7" t="str">
        <f>INDEX(Detail!$E$1:$E$1001,MATCH(Main!B313,Detail!$G$1:$G$1001,0))</f>
        <v>Gg. Gedebage Selatan No. 16</v>
      </c>
      <c r="U313" s="7" t="str">
        <f>INDEX(Detail!$B$1:$B$1001,MATCH(B313,Detail!$G$1:$G$1001,0),1)</f>
        <v>A+</v>
      </c>
    </row>
    <row r="314" spans="1:21" ht="15.75" x14ac:dyDescent="0.25">
      <c r="A314">
        <v>956</v>
      </c>
      <c r="B314" s="3" t="str">
        <f t="shared" si="12"/>
        <v>B0956</v>
      </c>
      <c r="C314" t="s">
        <v>1014</v>
      </c>
      <c r="D314" s="3" t="str">
        <f>VLOOKUP(B314,Detail!$G$1:$H$1001,2,FALSE)</f>
        <v>Bahuwirya Novitasari</v>
      </c>
      <c r="E314">
        <v>65</v>
      </c>
      <c r="F314">
        <v>58</v>
      </c>
      <c r="G314" s="35">
        <v>77</v>
      </c>
      <c r="H314">
        <v>55</v>
      </c>
      <c r="I314">
        <v>88</v>
      </c>
      <c r="J314">
        <v>80</v>
      </c>
      <c r="K314">
        <v>80</v>
      </c>
      <c r="L314" s="26" t="str">
        <f>IFERROR(VLOOKUP(B314,Absen!$A$1:$C$501,2,FALSE),"No")</f>
        <v>No</v>
      </c>
      <c r="M314" s="44">
        <f t="shared" si="10"/>
        <v>8</v>
      </c>
      <c r="N314" s="35">
        <f t="shared" si="11"/>
        <v>72.650000000000006</v>
      </c>
      <c r="O314" t="str">
        <f>VLOOKUP(N314,Helper!$B$30:$C$35,2,TRUE)</f>
        <v>B</v>
      </c>
      <c r="P314" s="26">
        <f>INDEX(Detail!$A$1:$A$1001,MATCH(B314,Detail!$G$1:$G$1001,0))</f>
        <v>37061</v>
      </c>
      <c r="Q314" s="3" t="str">
        <f>INDEX(Detail!$F$1:$F$1001,MATCH(Main!B314,Detail!$G$1:$G$1001,0))</f>
        <v>Denpasar</v>
      </c>
      <c r="R314" s="7">
        <f>INDEX(Detail!$C$1:$C$1001,MATCH(B314,Detail!$G$1:$G$1001,0),1)</f>
        <v>177</v>
      </c>
      <c r="S314" s="7">
        <f>INDEX(Detail!$D$1:$D$1001,MATCH(B314,Detail!$G$1:$G$1001,0),1)</f>
        <v>93</v>
      </c>
      <c r="T314" s="7" t="str">
        <f>INDEX(Detail!$E$1:$E$1001,MATCH(Main!B314,Detail!$G$1:$G$1001,0))</f>
        <v>Gang Cikutra Barat No. 03</v>
      </c>
      <c r="U314" s="7" t="str">
        <f>INDEX(Detail!$B$1:$B$1001,MATCH(B314,Detail!$G$1:$G$1001,0),1)</f>
        <v>AB-</v>
      </c>
    </row>
    <row r="315" spans="1:21" ht="15.75" x14ac:dyDescent="0.25">
      <c r="A315">
        <v>960</v>
      </c>
      <c r="B315" s="3" t="str">
        <f t="shared" si="12"/>
        <v>B0960</v>
      </c>
      <c r="C315" t="s">
        <v>1014</v>
      </c>
      <c r="D315" s="3" t="str">
        <f>VLOOKUP(B315,Detail!$G$1:$H$1001,2,FALSE)</f>
        <v>Aris Purnawati</v>
      </c>
      <c r="E315">
        <v>94</v>
      </c>
      <c r="F315">
        <v>73</v>
      </c>
      <c r="G315" s="35">
        <v>59</v>
      </c>
      <c r="H315">
        <v>71</v>
      </c>
      <c r="I315">
        <v>95</v>
      </c>
      <c r="J315">
        <v>78</v>
      </c>
      <c r="K315">
        <v>98</v>
      </c>
      <c r="L315" s="26" t="str">
        <f>IFERROR(VLOOKUP(B315,Absen!$A$1:$C$501,2,FALSE),"No")</f>
        <v>No</v>
      </c>
      <c r="M315" s="44">
        <f t="shared" si="10"/>
        <v>9.8000000000000007</v>
      </c>
      <c r="N315" s="35">
        <f t="shared" si="11"/>
        <v>78.825000000000003</v>
      </c>
      <c r="O315" t="str">
        <f>VLOOKUP(N315,Helper!$B$30:$C$35,2,TRUE)</f>
        <v>B</v>
      </c>
      <c r="P315" s="26">
        <f>INDEX(Detail!$A$1:$A$1001,MATCH(B315,Detail!$G$1:$G$1001,0))</f>
        <v>38014</v>
      </c>
      <c r="Q315" s="3" t="str">
        <f>INDEX(Detail!$F$1:$F$1001,MATCH(Main!B315,Detail!$G$1:$G$1001,0))</f>
        <v>Prabumulih</v>
      </c>
      <c r="R315" s="7">
        <f>INDEX(Detail!$C$1:$C$1001,MATCH(B315,Detail!$G$1:$G$1001,0),1)</f>
        <v>154</v>
      </c>
      <c r="S315" s="7">
        <f>INDEX(Detail!$D$1:$D$1001,MATCH(B315,Detail!$G$1:$G$1001,0),1)</f>
        <v>71</v>
      </c>
      <c r="T315" s="7" t="str">
        <f>INDEX(Detail!$E$1:$E$1001,MATCH(Main!B315,Detail!$G$1:$G$1001,0))</f>
        <v>Gang HOS. Cokroaminoto No. 41</v>
      </c>
      <c r="U315" s="7" t="str">
        <f>INDEX(Detail!$B$1:$B$1001,MATCH(B315,Detail!$G$1:$G$1001,0),1)</f>
        <v>A-</v>
      </c>
    </row>
    <row r="316" spans="1:21" ht="15.75" x14ac:dyDescent="0.25">
      <c r="A316">
        <v>962</v>
      </c>
      <c r="B316" s="3" t="str">
        <f t="shared" si="12"/>
        <v>B0962</v>
      </c>
      <c r="C316" t="s">
        <v>1014</v>
      </c>
      <c r="D316" s="3" t="str">
        <f>VLOOKUP(B316,Detail!$G$1:$H$1001,2,FALSE)</f>
        <v>Damu Pradana</v>
      </c>
      <c r="E316">
        <v>64</v>
      </c>
      <c r="F316">
        <v>53</v>
      </c>
      <c r="G316" s="35">
        <v>49</v>
      </c>
      <c r="H316">
        <v>56</v>
      </c>
      <c r="I316">
        <v>74</v>
      </c>
      <c r="J316">
        <v>56</v>
      </c>
      <c r="K316">
        <v>84</v>
      </c>
      <c r="L316" s="26" t="str">
        <f>IFERROR(VLOOKUP(B316,Absen!$A$1:$C$501,2,FALSE),"No")</f>
        <v>No</v>
      </c>
      <c r="M316" s="44">
        <f t="shared" si="10"/>
        <v>8.4</v>
      </c>
      <c r="N316" s="35">
        <f t="shared" si="11"/>
        <v>60.274999999999999</v>
      </c>
      <c r="O316" t="str">
        <f>VLOOKUP(N316,Helper!$B$30:$C$35,2,TRUE)</f>
        <v>C</v>
      </c>
      <c r="P316" s="26">
        <f>INDEX(Detail!$A$1:$A$1001,MATCH(B316,Detail!$G$1:$G$1001,0))</f>
        <v>37142</v>
      </c>
      <c r="Q316" s="3" t="str">
        <f>INDEX(Detail!$F$1:$F$1001,MATCH(Main!B316,Detail!$G$1:$G$1001,0))</f>
        <v>Jayapura</v>
      </c>
      <c r="R316" s="7">
        <f>INDEX(Detail!$C$1:$C$1001,MATCH(B316,Detail!$G$1:$G$1001,0),1)</f>
        <v>177</v>
      </c>
      <c r="S316" s="7">
        <f>INDEX(Detail!$D$1:$D$1001,MATCH(B316,Detail!$G$1:$G$1001,0),1)</f>
        <v>80</v>
      </c>
      <c r="T316" s="7" t="str">
        <f>INDEX(Detail!$E$1:$E$1001,MATCH(Main!B316,Detail!$G$1:$G$1001,0))</f>
        <v xml:space="preserve">Jl. M.T Haryono No. 0
</v>
      </c>
      <c r="U316" s="7" t="str">
        <f>INDEX(Detail!$B$1:$B$1001,MATCH(B316,Detail!$G$1:$G$1001,0),1)</f>
        <v>A-</v>
      </c>
    </row>
    <row r="317" spans="1:21" ht="15.75" x14ac:dyDescent="0.25">
      <c r="A317">
        <v>963</v>
      </c>
      <c r="B317" s="3" t="str">
        <f t="shared" si="12"/>
        <v>B0963</v>
      </c>
      <c r="C317" t="s">
        <v>1014</v>
      </c>
      <c r="D317" s="3" t="str">
        <f>VLOOKUP(B317,Detail!$G$1:$H$1001,2,FALSE)</f>
        <v>Alambana Purwanti</v>
      </c>
      <c r="E317">
        <v>82</v>
      </c>
      <c r="F317">
        <v>59</v>
      </c>
      <c r="G317" s="35">
        <v>61</v>
      </c>
      <c r="H317">
        <v>74</v>
      </c>
      <c r="I317">
        <v>53</v>
      </c>
      <c r="J317">
        <v>82</v>
      </c>
      <c r="K317">
        <v>78</v>
      </c>
      <c r="L317" s="26">
        <f>IFERROR(VLOOKUP(B317,Absen!$A$1:$C$501,2,FALSE),"No")</f>
        <v>44823</v>
      </c>
      <c r="M317" s="44">
        <f t="shared" si="10"/>
        <v>6.8000000000000007</v>
      </c>
      <c r="N317" s="35">
        <f t="shared" si="11"/>
        <v>68.900000000000006</v>
      </c>
      <c r="O317" t="str">
        <f>VLOOKUP(N317,Helper!$B$30:$C$35,2,TRUE)</f>
        <v>C</v>
      </c>
      <c r="P317" s="26">
        <f>INDEX(Detail!$A$1:$A$1001,MATCH(B317,Detail!$G$1:$G$1001,0))</f>
        <v>37219</v>
      </c>
      <c r="Q317" s="3" t="str">
        <f>INDEX(Detail!$F$1:$F$1001,MATCH(Main!B317,Detail!$G$1:$G$1001,0))</f>
        <v>Tangerang</v>
      </c>
      <c r="R317" s="7">
        <f>INDEX(Detail!$C$1:$C$1001,MATCH(B317,Detail!$G$1:$G$1001,0),1)</f>
        <v>155</v>
      </c>
      <c r="S317" s="7">
        <f>INDEX(Detail!$D$1:$D$1001,MATCH(B317,Detail!$G$1:$G$1001,0),1)</f>
        <v>49</v>
      </c>
      <c r="T317" s="7" t="str">
        <f>INDEX(Detail!$E$1:$E$1001,MATCH(Main!B317,Detail!$G$1:$G$1001,0))</f>
        <v>Jl. Sadang Serang No. 28</v>
      </c>
      <c r="U317" s="7" t="str">
        <f>INDEX(Detail!$B$1:$B$1001,MATCH(B317,Detail!$G$1:$G$1001,0),1)</f>
        <v>AB+</v>
      </c>
    </row>
    <row r="318" spans="1:21" ht="15.75" x14ac:dyDescent="0.25">
      <c r="A318">
        <v>973</v>
      </c>
      <c r="B318" s="3" t="str">
        <f t="shared" si="12"/>
        <v>B0973</v>
      </c>
      <c r="C318" t="s">
        <v>1014</v>
      </c>
      <c r="D318" s="3" t="str">
        <f>VLOOKUP(B318,Detail!$G$1:$H$1001,2,FALSE)</f>
        <v>Martani Mulyani</v>
      </c>
      <c r="E318">
        <v>91</v>
      </c>
      <c r="F318">
        <v>62</v>
      </c>
      <c r="G318" s="35">
        <v>68</v>
      </c>
      <c r="H318">
        <v>69</v>
      </c>
      <c r="I318">
        <v>72</v>
      </c>
      <c r="J318">
        <v>81</v>
      </c>
      <c r="K318">
        <v>71</v>
      </c>
      <c r="L318" s="26">
        <f>IFERROR(VLOOKUP(B318,Absen!$A$1:$C$501,2,FALSE),"No")</f>
        <v>44823</v>
      </c>
      <c r="M318" s="44">
        <f t="shared" si="10"/>
        <v>6.1000000000000005</v>
      </c>
      <c r="N318" s="35">
        <f t="shared" si="11"/>
        <v>72.649999999999991</v>
      </c>
      <c r="O318" t="str">
        <f>VLOOKUP(N318,Helper!$B$30:$C$35,2,TRUE)</f>
        <v>B</v>
      </c>
      <c r="P318" s="26">
        <f>INDEX(Detail!$A$1:$A$1001,MATCH(B318,Detail!$G$1:$G$1001,0))</f>
        <v>37924</v>
      </c>
      <c r="Q318" s="3" t="str">
        <f>INDEX(Detail!$F$1:$F$1001,MATCH(Main!B318,Detail!$G$1:$G$1001,0))</f>
        <v>Tangerang Selatan</v>
      </c>
      <c r="R318" s="7">
        <f>INDEX(Detail!$C$1:$C$1001,MATCH(B318,Detail!$G$1:$G$1001,0),1)</f>
        <v>172</v>
      </c>
      <c r="S318" s="7">
        <f>INDEX(Detail!$D$1:$D$1001,MATCH(B318,Detail!$G$1:$G$1001,0),1)</f>
        <v>93</v>
      </c>
      <c r="T318" s="7" t="str">
        <f>INDEX(Detail!$E$1:$E$1001,MATCH(Main!B318,Detail!$G$1:$G$1001,0))</f>
        <v xml:space="preserve">Gang Sadang Serang No. 5
</v>
      </c>
      <c r="U318" s="7" t="str">
        <f>INDEX(Detail!$B$1:$B$1001,MATCH(B318,Detail!$G$1:$G$1001,0),1)</f>
        <v>AB+</v>
      </c>
    </row>
    <row r="319" spans="1:21" ht="15.75" x14ac:dyDescent="0.25">
      <c r="A319">
        <v>982</v>
      </c>
      <c r="B319" s="3" t="str">
        <f t="shared" si="12"/>
        <v>B0982</v>
      </c>
      <c r="C319" t="s">
        <v>1014</v>
      </c>
      <c r="D319" s="3" t="str">
        <f>VLOOKUP(B319,Detail!$G$1:$H$1001,2,FALSE)</f>
        <v>Damu Suwarno</v>
      </c>
      <c r="E319">
        <v>95</v>
      </c>
      <c r="F319">
        <v>45</v>
      </c>
      <c r="G319" s="35">
        <v>94</v>
      </c>
      <c r="H319">
        <v>66</v>
      </c>
      <c r="I319">
        <v>94</v>
      </c>
      <c r="J319">
        <v>90</v>
      </c>
      <c r="K319">
        <v>99</v>
      </c>
      <c r="L319" s="26">
        <f>IFERROR(VLOOKUP(B319,Absen!$A$1:$C$501,2,FALSE),"No")</f>
        <v>44859</v>
      </c>
      <c r="M319" s="44">
        <f t="shared" si="10"/>
        <v>8.9</v>
      </c>
      <c r="N319" s="35">
        <f t="shared" si="11"/>
        <v>83.2</v>
      </c>
      <c r="O319" t="str">
        <f>VLOOKUP(N319,Helper!$B$30:$C$35,2,TRUE)</f>
        <v>A</v>
      </c>
      <c r="P319" s="26">
        <f>INDEX(Detail!$A$1:$A$1001,MATCH(B319,Detail!$G$1:$G$1001,0))</f>
        <v>37163</v>
      </c>
      <c r="Q319" s="3" t="str">
        <f>INDEX(Detail!$F$1:$F$1001,MATCH(Main!B319,Detail!$G$1:$G$1001,0))</f>
        <v>Bontang</v>
      </c>
      <c r="R319" s="7">
        <f>INDEX(Detail!$C$1:$C$1001,MATCH(B319,Detail!$G$1:$G$1001,0),1)</f>
        <v>158</v>
      </c>
      <c r="S319" s="7">
        <f>INDEX(Detail!$D$1:$D$1001,MATCH(B319,Detail!$G$1:$G$1001,0),1)</f>
        <v>85</v>
      </c>
      <c r="T319" s="7" t="str">
        <f>INDEX(Detail!$E$1:$E$1001,MATCH(Main!B319,Detail!$G$1:$G$1001,0))</f>
        <v>Gg. Ciumbuleuit No. 29</v>
      </c>
      <c r="U319" s="7" t="str">
        <f>INDEX(Detail!$B$1:$B$1001,MATCH(B319,Detail!$G$1:$G$1001,0),1)</f>
        <v>B-</v>
      </c>
    </row>
    <row r="320" spans="1:21" ht="15.75" x14ac:dyDescent="0.25">
      <c r="A320">
        <v>993</v>
      </c>
      <c r="B320" s="3" t="str">
        <f t="shared" si="12"/>
        <v>B0993</v>
      </c>
      <c r="C320" t="s">
        <v>1014</v>
      </c>
      <c r="D320" s="3" t="str">
        <f>VLOOKUP(B320,Detail!$G$1:$H$1001,2,FALSE)</f>
        <v>Novi Prabowo</v>
      </c>
      <c r="E320">
        <v>89</v>
      </c>
      <c r="F320">
        <v>63</v>
      </c>
      <c r="G320" s="35">
        <v>66</v>
      </c>
      <c r="H320">
        <v>55</v>
      </c>
      <c r="I320">
        <v>95</v>
      </c>
      <c r="J320">
        <v>75</v>
      </c>
      <c r="K320">
        <v>93</v>
      </c>
      <c r="L320" s="26">
        <f>IFERROR(VLOOKUP(B320,Absen!$A$1:$C$501,2,FALSE),"No")</f>
        <v>44810</v>
      </c>
      <c r="M320" s="44">
        <f t="shared" si="10"/>
        <v>8.3000000000000007</v>
      </c>
      <c r="N320" s="35">
        <f t="shared" si="11"/>
        <v>74.25</v>
      </c>
      <c r="O320" t="str">
        <f>VLOOKUP(N320,Helper!$B$30:$C$35,2,TRUE)</f>
        <v>B</v>
      </c>
      <c r="P320" s="26">
        <f>INDEX(Detail!$A$1:$A$1001,MATCH(B320,Detail!$G$1:$G$1001,0))</f>
        <v>38204</v>
      </c>
      <c r="Q320" s="3" t="str">
        <f>INDEX(Detail!$F$1:$F$1001,MATCH(Main!B320,Detail!$G$1:$G$1001,0))</f>
        <v>Pariaman</v>
      </c>
      <c r="R320" s="7">
        <f>INDEX(Detail!$C$1:$C$1001,MATCH(B320,Detail!$G$1:$G$1001,0),1)</f>
        <v>157</v>
      </c>
      <c r="S320" s="7">
        <f>INDEX(Detail!$D$1:$D$1001,MATCH(B320,Detail!$G$1:$G$1001,0),1)</f>
        <v>51</v>
      </c>
      <c r="T320" s="7" t="str">
        <f>INDEX(Detail!$E$1:$E$1001,MATCH(Main!B320,Detail!$G$1:$G$1001,0))</f>
        <v xml:space="preserve">Gang Cihampelas No. 1
</v>
      </c>
      <c r="U320" s="7" t="str">
        <f>INDEX(Detail!$B$1:$B$1001,MATCH(B320,Detail!$G$1:$G$1001,0),1)</f>
        <v>A-</v>
      </c>
    </row>
    <row r="321" spans="1:21" ht="15.75" x14ac:dyDescent="0.25">
      <c r="A321">
        <v>19</v>
      </c>
      <c r="B321" s="3" t="str">
        <f t="shared" ref="B321:B384" si="13">CONCATENATE("C",TEXT(A321,"0000"))</f>
        <v>C0019</v>
      </c>
      <c r="C321" t="s">
        <v>1012</v>
      </c>
      <c r="D321" s="3" t="str">
        <f>VLOOKUP(B321,Detail!$G$1:$H$1001,2,FALSE)</f>
        <v>Daniswara Manullang</v>
      </c>
      <c r="E321">
        <v>85</v>
      </c>
      <c r="F321">
        <v>63</v>
      </c>
      <c r="G321" s="35">
        <v>93</v>
      </c>
      <c r="H321">
        <v>65</v>
      </c>
      <c r="I321">
        <v>84</v>
      </c>
      <c r="J321">
        <v>48</v>
      </c>
      <c r="K321">
        <v>89</v>
      </c>
      <c r="L321" s="26">
        <f>IFERROR(VLOOKUP(B321,Absen!$A$1:$C$501,2,FALSE),"No")</f>
        <v>44846</v>
      </c>
      <c r="M321" s="44">
        <f t="shared" si="10"/>
        <v>7.9</v>
      </c>
      <c r="N321" s="35">
        <f t="shared" si="11"/>
        <v>73.225000000000009</v>
      </c>
      <c r="O321" t="str">
        <f>VLOOKUP(N321,Helper!$B$30:$C$35,2,TRUE)</f>
        <v>B</v>
      </c>
      <c r="P321" s="26">
        <f>INDEX(Detail!$A$1:$A$1001,MATCH(B321,Detail!$G$1:$G$1001,0))</f>
        <v>38185</v>
      </c>
      <c r="Q321" s="3" t="str">
        <f>INDEX(Detail!$F$1:$F$1001,MATCH(Main!B321,Detail!$G$1:$G$1001,0))</f>
        <v>Banda Aceh</v>
      </c>
      <c r="R321" s="7">
        <f>INDEX(Detail!$C$1:$C$1001,MATCH(B321,Detail!$G$1:$G$1001,0),1)</f>
        <v>161</v>
      </c>
      <c r="S321" s="7">
        <f>INDEX(Detail!$D$1:$D$1001,MATCH(B321,Detail!$G$1:$G$1001,0),1)</f>
        <v>89</v>
      </c>
      <c r="T321" s="7" t="str">
        <f>INDEX(Detail!$E$1:$E$1001,MATCH(Main!B321,Detail!$G$1:$G$1001,0))</f>
        <v>Jalan Dipenogoro No. 70</v>
      </c>
      <c r="U321" s="7" t="str">
        <f>INDEX(Detail!$B$1:$B$1001,MATCH(B321,Detail!$G$1:$G$1001,0),1)</f>
        <v>AB+</v>
      </c>
    </row>
    <row r="322" spans="1:21" ht="15.75" x14ac:dyDescent="0.25">
      <c r="A322">
        <v>29</v>
      </c>
      <c r="B322" s="3" t="str">
        <f t="shared" si="13"/>
        <v>C0029</v>
      </c>
      <c r="C322" t="s">
        <v>1012</v>
      </c>
      <c r="D322" s="3" t="str">
        <f>VLOOKUP(B322,Detail!$G$1:$H$1001,2,FALSE)</f>
        <v>Banawi Laksita</v>
      </c>
      <c r="E322">
        <v>72</v>
      </c>
      <c r="F322">
        <v>51</v>
      </c>
      <c r="G322" s="35">
        <v>43</v>
      </c>
      <c r="H322">
        <v>74</v>
      </c>
      <c r="I322">
        <v>56</v>
      </c>
      <c r="J322">
        <v>50</v>
      </c>
      <c r="K322">
        <v>79</v>
      </c>
      <c r="L322" s="26">
        <f>IFERROR(VLOOKUP(B322,Absen!$A$1:$C$501,2,FALSE),"No")</f>
        <v>44772</v>
      </c>
      <c r="M322" s="44">
        <f t="shared" ref="M322:M385" si="14">IF(L322="no",K322,K322-10)*10%</f>
        <v>6.9</v>
      </c>
      <c r="N322" s="35">
        <f t="shared" ref="N322:N385" si="15">SUM(E322*12.5%,F322*12.5%,H322*12.5%,I322*12.5%,G322*20%,J322*20%,M322)</f>
        <v>57.125</v>
      </c>
      <c r="O322" t="str">
        <f>VLOOKUP(N322,Helper!$B$30:$C$35,2,TRUE)</f>
        <v>D</v>
      </c>
      <c r="P322" s="26">
        <f>INDEX(Detail!$A$1:$A$1001,MATCH(B322,Detail!$G$1:$G$1001,0))</f>
        <v>37209</v>
      </c>
      <c r="Q322" s="3" t="str">
        <f>INDEX(Detail!$F$1:$F$1001,MATCH(Main!B322,Detail!$G$1:$G$1001,0))</f>
        <v>Langsa</v>
      </c>
      <c r="R322" s="7">
        <f>INDEX(Detail!$C$1:$C$1001,MATCH(B322,Detail!$G$1:$G$1001,0),1)</f>
        <v>150</v>
      </c>
      <c r="S322" s="7">
        <f>INDEX(Detail!$D$1:$D$1001,MATCH(B322,Detail!$G$1:$G$1001,0),1)</f>
        <v>82</v>
      </c>
      <c r="T322" s="7" t="str">
        <f>INDEX(Detail!$E$1:$E$1001,MATCH(Main!B322,Detail!$G$1:$G$1001,0))</f>
        <v xml:space="preserve">Gang Rajawali Timur No. 4
</v>
      </c>
      <c r="U322" s="7" t="str">
        <f>INDEX(Detail!$B$1:$B$1001,MATCH(B322,Detail!$G$1:$G$1001,0),1)</f>
        <v>A-</v>
      </c>
    </row>
    <row r="323" spans="1:21" ht="15.75" x14ac:dyDescent="0.25">
      <c r="A323">
        <v>30</v>
      </c>
      <c r="B323" s="3" t="str">
        <f t="shared" si="13"/>
        <v>C0030</v>
      </c>
      <c r="C323" t="s">
        <v>1012</v>
      </c>
      <c r="D323" s="3" t="str">
        <f>VLOOKUP(B323,Detail!$G$1:$H$1001,2,FALSE)</f>
        <v>Dewi Budiman</v>
      </c>
      <c r="E323">
        <v>59</v>
      </c>
      <c r="F323">
        <v>46</v>
      </c>
      <c r="G323" s="35">
        <v>87</v>
      </c>
      <c r="H323">
        <v>71</v>
      </c>
      <c r="I323">
        <v>57</v>
      </c>
      <c r="J323">
        <v>48</v>
      </c>
      <c r="K323">
        <v>71</v>
      </c>
      <c r="L323" s="26">
        <f>IFERROR(VLOOKUP(B323,Absen!$A$1:$C$501,2,FALSE),"No")</f>
        <v>44883</v>
      </c>
      <c r="M323" s="44">
        <f t="shared" si="14"/>
        <v>6.1000000000000005</v>
      </c>
      <c r="N323" s="35">
        <f t="shared" si="15"/>
        <v>62.225000000000009</v>
      </c>
      <c r="O323" t="str">
        <f>VLOOKUP(N323,Helper!$B$30:$C$35,2,TRUE)</f>
        <v>C</v>
      </c>
      <c r="P323" s="26">
        <f>INDEX(Detail!$A$1:$A$1001,MATCH(B323,Detail!$G$1:$G$1001,0))</f>
        <v>38444</v>
      </c>
      <c r="Q323" s="3" t="str">
        <f>INDEX(Detail!$F$1:$F$1001,MATCH(Main!B323,Detail!$G$1:$G$1001,0))</f>
        <v>Samarinda</v>
      </c>
      <c r="R323" s="7">
        <f>INDEX(Detail!$C$1:$C$1001,MATCH(B323,Detail!$G$1:$G$1001,0),1)</f>
        <v>180</v>
      </c>
      <c r="S323" s="7">
        <f>INDEX(Detail!$D$1:$D$1001,MATCH(B323,Detail!$G$1:$G$1001,0),1)</f>
        <v>86</v>
      </c>
      <c r="T323" s="7" t="str">
        <f>INDEX(Detail!$E$1:$E$1001,MATCH(Main!B323,Detail!$G$1:$G$1001,0))</f>
        <v>Jl. Medokan Ayu No. 73</v>
      </c>
      <c r="U323" s="7" t="str">
        <f>INDEX(Detail!$B$1:$B$1001,MATCH(B323,Detail!$G$1:$G$1001,0),1)</f>
        <v>A-</v>
      </c>
    </row>
    <row r="324" spans="1:21" ht="15.75" x14ac:dyDescent="0.25">
      <c r="A324">
        <v>49</v>
      </c>
      <c r="B324" s="3" t="str">
        <f t="shared" si="13"/>
        <v>C0049</v>
      </c>
      <c r="C324" t="s">
        <v>1012</v>
      </c>
      <c r="D324" s="3" t="str">
        <f>VLOOKUP(B324,Detail!$G$1:$H$1001,2,FALSE)</f>
        <v>Cecep Mansur</v>
      </c>
      <c r="E324">
        <v>51</v>
      </c>
      <c r="F324">
        <v>62</v>
      </c>
      <c r="G324" s="35">
        <v>51</v>
      </c>
      <c r="H324">
        <v>54</v>
      </c>
      <c r="I324">
        <v>68</v>
      </c>
      <c r="J324">
        <v>100</v>
      </c>
      <c r="K324">
        <v>82</v>
      </c>
      <c r="L324" s="26" t="str">
        <f>IFERROR(VLOOKUP(B324,Absen!$A$1:$C$501,2,FALSE),"No")</f>
        <v>No</v>
      </c>
      <c r="M324" s="44">
        <f t="shared" si="14"/>
        <v>8.2000000000000011</v>
      </c>
      <c r="N324" s="35">
        <f t="shared" si="15"/>
        <v>67.775000000000006</v>
      </c>
      <c r="O324" t="str">
        <f>VLOOKUP(N324,Helper!$B$30:$C$35,2,TRUE)</f>
        <v>C</v>
      </c>
      <c r="P324" s="26">
        <f>INDEX(Detail!$A$1:$A$1001,MATCH(B324,Detail!$G$1:$G$1001,0))</f>
        <v>37102</v>
      </c>
      <c r="Q324" s="3" t="str">
        <f>INDEX(Detail!$F$1:$F$1001,MATCH(Main!B324,Detail!$G$1:$G$1001,0))</f>
        <v>Magelang</v>
      </c>
      <c r="R324" s="7">
        <f>INDEX(Detail!$C$1:$C$1001,MATCH(B324,Detail!$G$1:$G$1001,0),1)</f>
        <v>180</v>
      </c>
      <c r="S324" s="7">
        <f>INDEX(Detail!$D$1:$D$1001,MATCH(B324,Detail!$G$1:$G$1001,0),1)</f>
        <v>56</v>
      </c>
      <c r="T324" s="7" t="str">
        <f>INDEX(Detail!$E$1:$E$1001,MATCH(Main!B324,Detail!$G$1:$G$1001,0))</f>
        <v>Jl. Indragiri No. 50</v>
      </c>
      <c r="U324" s="7" t="str">
        <f>INDEX(Detail!$B$1:$B$1001,MATCH(B324,Detail!$G$1:$G$1001,0),1)</f>
        <v>A+</v>
      </c>
    </row>
    <row r="325" spans="1:21" ht="15.75" x14ac:dyDescent="0.25">
      <c r="A325">
        <v>54</v>
      </c>
      <c r="B325" s="3" t="str">
        <f t="shared" si="13"/>
        <v>C0054</v>
      </c>
      <c r="C325" t="s">
        <v>1012</v>
      </c>
      <c r="D325" s="3" t="str">
        <f>VLOOKUP(B325,Detail!$G$1:$H$1001,2,FALSE)</f>
        <v>Radika Aryani</v>
      </c>
      <c r="E325">
        <v>77</v>
      </c>
      <c r="F325">
        <v>69</v>
      </c>
      <c r="G325" s="35">
        <v>61</v>
      </c>
      <c r="H325">
        <v>73</v>
      </c>
      <c r="I325">
        <v>52</v>
      </c>
      <c r="J325">
        <v>99</v>
      </c>
      <c r="K325">
        <v>91</v>
      </c>
      <c r="L325" s="26">
        <f>IFERROR(VLOOKUP(B325,Absen!$A$1:$C$501,2,FALSE),"No")</f>
        <v>44847</v>
      </c>
      <c r="M325" s="44">
        <f t="shared" si="14"/>
        <v>8.1</v>
      </c>
      <c r="N325" s="35">
        <f t="shared" si="15"/>
        <v>73.974999999999994</v>
      </c>
      <c r="O325" t="str">
        <f>VLOOKUP(N325,Helper!$B$30:$C$35,2,TRUE)</f>
        <v>B</v>
      </c>
      <c r="P325" s="26">
        <f>INDEX(Detail!$A$1:$A$1001,MATCH(B325,Detail!$G$1:$G$1001,0))</f>
        <v>37113</v>
      </c>
      <c r="Q325" s="3" t="str">
        <f>INDEX(Detail!$F$1:$F$1001,MATCH(Main!B325,Detail!$G$1:$G$1001,0))</f>
        <v>Cimahi</v>
      </c>
      <c r="R325" s="7">
        <f>INDEX(Detail!$C$1:$C$1001,MATCH(B325,Detail!$G$1:$G$1001,0),1)</f>
        <v>179</v>
      </c>
      <c r="S325" s="7">
        <f>INDEX(Detail!$D$1:$D$1001,MATCH(B325,Detail!$G$1:$G$1001,0),1)</f>
        <v>57</v>
      </c>
      <c r="T325" s="7" t="str">
        <f>INDEX(Detail!$E$1:$E$1001,MATCH(Main!B325,Detail!$G$1:$G$1001,0))</f>
        <v xml:space="preserve">Jl. Suniaraja No. 5
</v>
      </c>
      <c r="U325" s="7" t="str">
        <f>INDEX(Detail!$B$1:$B$1001,MATCH(B325,Detail!$G$1:$G$1001,0),1)</f>
        <v>O-</v>
      </c>
    </row>
    <row r="326" spans="1:21" ht="15.75" x14ac:dyDescent="0.25">
      <c r="A326">
        <v>55</v>
      </c>
      <c r="B326" s="3" t="str">
        <f t="shared" si="13"/>
        <v>C0055</v>
      </c>
      <c r="C326" t="s">
        <v>1012</v>
      </c>
      <c r="D326" s="3" t="str">
        <f>VLOOKUP(B326,Detail!$G$1:$H$1001,2,FALSE)</f>
        <v>Warji Wahyudin</v>
      </c>
      <c r="E326">
        <v>68</v>
      </c>
      <c r="F326">
        <v>72</v>
      </c>
      <c r="G326" s="35">
        <v>58</v>
      </c>
      <c r="H326">
        <v>64</v>
      </c>
      <c r="I326">
        <v>56</v>
      </c>
      <c r="J326">
        <v>42</v>
      </c>
      <c r="K326">
        <v>74</v>
      </c>
      <c r="L326" s="26" t="str">
        <f>IFERROR(VLOOKUP(B326,Absen!$A$1:$C$501,2,FALSE),"No")</f>
        <v>No</v>
      </c>
      <c r="M326" s="44">
        <f t="shared" si="14"/>
        <v>7.4</v>
      </c>
      <c r="N326" s="35">
        <f t="shared" si="15"/>
        <v>59.9</v>
      </c>
      <c r="O326" t="str">
        <f>VLOOKUP(N326,Helper!$B$30:$C$35,2,TRUE)</f>
        <v>D</v>
      </c>
      <c r="P326" s="26">
        <f>INDEX(Detail!$A$1:$A$1001,MATCH(B326,Detail!$G$1:$G$1001,0))</f>
        <v>38369</v>
      </c>
      <c r="Q326" s="3" t="str">
        <f>INDEX(Detail!$F$1:$F$1001,MATCH(Main!B326,Detail!$G$1:$G$1001,0))</f>
        <v>Lhokseumawe</v>
      </c>
      <c r="R326" s="7">
        <f>INDEX(Detail!$C$1:$C$1001,MATCH(B326,Detail!$G$1:$G$1001,0),1)</f>
        <v>155</v>
      </c>
      <c r="S326" s="7">
        <f>INDEX(Detail!$D$1:$D$1001,MATCH(B326,Detail!$G$1:$G$1001,0),1)</f>
        <v>73</v>
      </c>
      <c r="T326" s="7" t="str">
        <f>INDEX(Detail!$E$1:$E$1001,MATCH(Main!B326,Detail!$G$1:$G$1001,0))</f>
        <v>Jalan Kebonjati No. 08</v>
      </c>
      <c r="U326" s="7" t="str">
        <f>INDEX(Detail!$B$1:$B$1001,MATCH(B326,Detail!$G$1:$G$1001,0),1)</f>
        <v>B-</v>
      </c>
    </row>
    <row r="327" spans="1:21" ht="15.75" x14ac:dyDescent="0.25">
      <c r="A327">
        <v>64</v>
      </c>
      <c r="B327" s="3" t="str">
        <f t="shared" si="13"/>
        <v>C0064</v>
      </c>
      <c r="C327" t="s">
        <v>1012</v>
      </c>
      <c r="D327" s="3" t="str">
        <f>VLOOKUP(B327,Detail!$G$1:$H$1001,2,FALSE)</f>
        <v>Gantar Sihombing</v>
      </c>
      <c r="E327">
        <v>68</v>
      </c>
      <c r="F327">
        <v>53</v>
      </c>
      <c r="G327" s="35">
        <v>87</v>
      </c>
      <c r="H327">
        <v>55</v>
      </c>
      <c r="I327">
        <v>91</v>
      </c>
      <c r="J327">
        <v>78</v>
      </c>
      <c r="K327">
        <v>90</v>
      </c>
      <c r="L327" s="26">
        <f>IFERROR(VLOOKUP(B327,Absen!$A$1:$C$501,2,FALSE),"No")</f>
        <v>44887</v>
      </c>
      <c r="M327" s="44">
        <f t="shared" si="14"/>
        <v>8</v>
      </c>
      <c r="N327" s="35">
        <f t="shared" si="15"/>
        <v>74.375</v>
      </c>
      <c r="O327" t="str">
        <f>VLOOKUP(N327,Helper!$B$30:$C$35,2,TRUE)</f>
        <v>B</v>
      </c>
      <c r="P327" s="26">
        <f>INDEX(Detail!$A$1:$A$1001,MATCH(B327,Detail!$G$1:$G$1001,0))</f>
        <v>37710</v>
      </c>
      <c r="Q327" s="3" t="str">
        <f>INDEX(Detail!$F$1:$F$1001,MATCH(Main!B327,Detail!$G$1:$G$1001,0))</f>
        <v>Pasuruan</v>
      </c>
      <c r="R327" s="7">
        <f>INDEX(Detail!$C$1:$C$1001,MATCH(B327,Detail!$G$1:$G$1001,0),1)</f>
        <v>158</v>
      </c>
      <c r="S327" s="7">
        <f>INDEX(Detail!$D$1:$D$1001,MATCH(B327,Detail!$G$1:$G$1001,0),1)</f>
        <v>52</v>
      </c>
      <c r="T327" s="7" t="str">
        <f>INDEX(Detail!$E$1:$E$1001,MATCH(Main!B327,Detail!$G$1:$G$1001,0))</f>
        <v xml:space="preserve">Gang Waringin No. 6
</v>
      </c>
      <c r="U327" s="7" t="str">
        <f>INDEX(Detail!$B$1:$B$1001,MATCH(B327,Detail!$G$1:$G$1001,0),1)</f>
        <v>AB+</v>
      </c>
    </row>
    <row r="328" spans="1:21" ht="15.75" x14ac:dyDescent="0.25">
      <c r="A328">
        <v>67</v>
      </c>
      <c r="B328" s="3" t="str">
        <f t="shared" si="13"/>
        <v>C0067</v>
      </c>
      <c r="C328" t="s">
        <v>1012</v>
      </c>
      <c r="D328" s="3" t="str">
        <f>VLOOKUP(B328,Detail!$G$1:$H$1001,2,FALSE)</f>
        <v>Siti Manullang</v>
      </c>
      <c r="E328">
        <v>60</v>
      </c>
      <c r="F328">
        <v>65</v>
      </c>
      <c r="G328" s="35">
        <v>51</v>
      </c>
      <c r="H328">
        <v>58</v>
      </c>
      <c r="I328">
        <v>78</v>
      </c>
      <c r="J328">
        <v>72</v>
      </c>
      <c r="K328">
        <v>77</v>
      </c>
      <c r="L328" s="26" t="str">
        <f>IFERROR(VLOOKUP(B328,Absen!$A$1:$C$501,2,FALSE),"No")</f>
        <v>No</v>
      </c>
      <c r="M328" s="44">
        <f t="shared" si="14"/>
        <v>7.7</v>
      </c>
      <c r="N328" s="35">
        <f t="shared" si="15"/>
        <v>64.924999999999997</v>
      </c>
      <c r="O328" t="str">
        <f>VLOOKUP(N328,Helper!$B$30:$C$35,2,TRUE)</f>
        <v>C</v>
      </c>
      <c r="P328" s="26">
        <f>INDEX(Detail!$A$1:$A$1001,MATCH(B328,Detail!$G$1:$G$1001,0))</f>
        <v>37133</v>
      </c>
      <c r="Q328" s="3" t="str">
        <f>INDEX(Detail!$F$1:$F$1001,MATCH(Main!B328,Detail!$G$1:$G$1001,0))</f>
        <v>Binjai</v>
      </c>
      <c r="R328" s="7">
        <f>INDEX(Detail!$C$1:$C$1001,MATCH(B328,Detail!$G$1:$G$1001,0),1)</f>
        <v>173</v>
      </c>
      <c r="S328" s="7">
        <f>INDEX(Detail!$D$1:$D$1001,MATCH(B328,Detail!$G$1:$G$1001,0),1)</f>
        <v>93</v>
      </c>
      <c r="T328" s="7" t="str">
        <f>INDEX(Detail!$E$1:$E$1001,MATCH(Main!B328,Detail!$G$1:$G$1001,0))</f>
        <v xml:space="preserve">Gg. Dipenogoro No. 2
</v>
      </c>
      <c r="U328" s="7" t="str">
        <f>INDEX(Detail!$B$1:$B$1001,MATCH(B328,Detail!$G$1:$G$1001,0),1)</f>
        <v>A-</v>
      </c>
    </row>
    <row r="329" spans="1:21" ht="15.75" x14ac:dyDescent="0.25">
      <c r="A329">
        <v>69</v>
      </c>
      <c r="B329" s="3" t="str">
        <f t="shared" si="13"/>
        <v>C0069</v>
      </c>
      <c r="C329" t="s">
        <v>1012</v>
      </c>
      <c r="D329" s="3" t="str">
        <f>VLOOKUP(B329,Detail!$G$1:$H$1001,2,FALSE)</f>
        <v>Niyaga Pradipta</v>
      </c>
      <c r="E329">
        <v>78</v>
      </c>
      <c r="F329">
        <v>68</v>
      </c>
      <c r="G329" s="35">
        <v>38</v>
      </c>
      <c r="H329">
        <v>59</v>
      </c>
      <c r="I329">
        <v>56</v>
      </c>
      <c r="J329">
        <v>78</v>
      </c>
      <c r="K329">
        <v>91</v>
      </c>
      <c r="L329" s="26" t="str">
        <f>IFERROR(VLOOKUP(B329,Absen!$A$1:$C$501,2,FALSE),"No")</f>
        <v>No</v>
      </c>
      <c r="M329" s="44">
        <f t="shared" si="14"/>
        <v>9.1</v>
      </c>
      <c r="N329" s="35">
        <f t="shared" si="15"/>
        <v>64.924999999999997</v>
      </c>
      <c r="O329" t="str">
        <f>VLOOKUP(N329,Helper!$B$30:$C$35,2,TRUE)</f>
        <v>C</v>
      </c>
      <c r="P329" s="26">
        <f>INDEX(Detail!$A$1:$A$1001,MATCH(B329,Detail!$G$1:$G$1001,0))</f>
        <v>38030</v>
      </c>
      <c r="Q329" s="3" t="str">
        <f>INDEX(Detail!$F$1:$F$1001,MATCH(Main!B329,Detail!$G$1:$G$1001,0))</f>
        <v>Surakarta</v>
      </c>
      <c r="R329" s="7">
        <f>INDEX(Detail!$C$1:$C$1001,MATCH(B329,Detail!$G$1:$G$1001,0),1)</f>
        <v>163</v>
      </c>
      <c r="S329" s="7">
        <f>INDEX(Detail!$D$1:$D$1001,MATCH(B329,Detail!$G$1:$G$1001,0),1)</f>
        <v>48</v>
      </c>
      <c r="T329" s="7" t="str">
        <f>INDEX(Detail!$E$1:$E$1001,MATCH(Main!B329,Detail!$G$1:$G$1001,0))</f>
        <v>Gg. Rawamangun No. 30</v>
      </c>
      <c r="U329" s="7" t="str">
        <f>INDEX(Detail!$B$1:$B$1001,MATCH(B329,Detail!$G$1:$G$1001,0),1)</f>
        <v>B+</v>
      </c>
    </row>
    <row r="330" spans="1:21" ht="15.75" x14ac:dyDescent="0.25">
      <c r="A330">
        <v>85</v>
      </c>
      <c r="B330" s="3" t="str">
        <f t="shared" si="13"/>
        <v>C0085</v>
      </c>
      <c r="C330" t="s">
        <v>1012</v>
      </c>
      <c r="D330" s="3" t="str">
        <f>VLOOKUP(B330,Detail!$G$1:$H$1001,2,FALSE)</f>
        <v>Gamani Susanti</v>
      </c>
      <c r="E330">
        <v>61</v>
      </c>
      <c r="F330">
        <v>49</v>
      </c>
      <c r="G330" s="35">
        <v>56</v>
      </c>
      <c r="H330">
        <v>56</v>
      </c>
      <c r="I330">
        <v>52</v>
      </c>
      <c r="J330">
        <v>97</v>
      </c>
      <c r="K330">
        <v>63</v>
      </c>
      <c r="L330" s="26" t="str">
        <f>IFERROR(VLOOKUP(B330,Absen!$A$1:$C$501,2,FALSE),"No")</f>
        <v>No</v>
      </c>
      <c r="M330" s="44">
        <f t="shared" si="14"/>
        <v>6.3000000000000007</v>
      </c>
      <c r="N330" s="35">
        <f t="shared" si="15"/>
        <v>64.150000000000006</v>
      </c>
      <c r="O330" t="str">
        <f>VLOOKUP(N330,Helper!$B$30:$C$35,2,TRUE)</f>
        <v>C</v>
      </c>
      <c r="P330" s="26">
        <f>INDEX(Detail!$A$1:$A$1001,MATCH(B330,Detail!$G$1:$G$1001,0))</f>
        <v>38394</v>
      </c>
      <c r="Q330" s="3" t="str">
        <f>INDEX(Detail!$F$1:$F$1001,MATCH(Main!B330,Detail!$G$1:$G$1001,0))</f>
        <v>Pekanbaru</v>
      </c>
      <c r="R330" s="7">
        <f>INDEX(Detail!$C$1:$C$1001,MATCH(B330,Detail!$G$1:$G$1001,0),1)</f>
        <v>167</v>
      </c>
      <c r="S330" s="7">
        <f>INDEX(Detail!$D$1:$D$1001,MATCH(B330,Detail!$G$1:$G$1001,0),1)</f>
        <v>91</v>
      </c>
      <c r="T330" s="7" t="str">
        <f>INDEX(Detail!$E$1:$E$1001,MATCH(Main!B330,Detail!$G$1:$G$1001,0))</f>
        <v>Jalan Surapati No. 19</v>
      </c>
      <c r="U330" s="7" t="str">
        <f>INDEX(Detail!$B$1:$B$1001,MATCH(B330,Detail!$G$1:$G$1001,0),1)</f>
        <v>O+</v>
      </c>
    </row>
    <row r="331" spans="1:21" ht="15.75" x14ac:dyDescent="0.25">
      <c r="A331">
        <v>86</v>
      </c>
      <c r="B331" s="3" t="str">
        <f t="shared" si="13"/>
        <v>C0086</v>
      </c>
      <c r="C331" t="s">
        <v>1012</v>
      </c>
      <c r="D331" s="3" t="str">
        <f>VLOOKUP(B331,Detail!$G$1:$H$1001,2,FALSE)</f>
        <v>Elvin Tarihoran</v>
      </c>
      <c r="E331">
        <v>81</v>
      </c>
      <c r="F331">
        <v>52</v>
      </c>
      <c r="G331" s="35">
        <v>56</v>
      </c>
      <c r="H331">
        <v>63</v>
      </c>
      <c r="I331">
        <v>80</v>
      </c>
      <c r="J331">
        <v>94</v>
      </c>
      <c r="K331">
        <v>71</v>
      </c>
      <c r="L331" s="26" t="str">
        <f>IFERROR(VLOOKUP(B331,Absen!$A$1:$C$501,2,FALSE),"No")</f>
        <v>No</v>
      </c>
      <c r="M331" s="44">
        <f t="shared" si="14"/>
        <v>7.1000000000000005</v>
      </c>
      <c r="N331" s="35">
        <f t="shared" si="15"/>
        <v>71.599999999999994</v>
      </c>
      <c r="O331" t="str">
        <f>VLOOKUP(N331,Helper!$B$30:$C$35,2,TRUE)</f>
        <v>B</v>
      </c>
      <c r="P331" s="26">
        <f>INDEX(Detail!$A$1:$A$1001,MATCH(B331,Detail!$G$1:$G$1001,0))</f>
        <v>37793</v>
      </c>
      <c r="Q331" s="3" t="str">
        <f>INDEX(Detail!$F$1:$F$1001,MATCH(Main!B331,Detail!$G$1:$G$1001,0))</f>
        <v>Bogor</v>
      </c>
      <c r="R331" s="7">
        <f>INDEX(Detail!$C$1:$C$1001,MATCH(B331,Detail!$G$1:$G$1001,0),1)</f>
        <v>167</v>
      </c>
      <c r="S331" s="7">
        <f>INDEX(Detail!$D$1:$D$1001,MATCH(B331,Detail!$G$1:$G$1001,0),1)</f>
        <v>76</v>
      </c>
      <c r="T331" s="7" t="str">
        <f>INDEX(Detail!$E$1:$E$1001,MATCH(Main!B331,Detail!$G$1:$G$1001,0))</f>
        <v>Gg. Monginsidi No. 76</v>
      </c>
      <c r="U331" s="7" t="str">
        <f>INDEX(Detail!$B$1:$B$1001,MATCH(B331,Detail!$G$1:$G$1001,0),1)</f>
        <v>O-</v>
      </c>
    </row>
    <row r="332" spans="1:21" ht="15.75" x14ac:dyDescent="0.25">
      <c r="A332">
        <v>101</v>
      </c>
      <c r="B332" s="3" t="str">
        <f t="shared" si="13"/>
        <v>C0101</v>
      </c>
      <c r="C332" t="s">
        <v>1012</v>
      </c>
      <c r="D332" s="3" t="str">
        <f>VLOOKUP(B332,Detail!$G$1:$H$1001,2,FALSE)</f>
        <v>Dodo Hassanah</v>
      </c>
      <c r="E332">
        <v>57</v>
      </c>
      <c r="F332">
        <v>43</v>
      </c>
      <c r="G332" s="35">
        <v>61</v>
      </c>
      <c r="H332">
        <v>50</v>
      </c>
      <c r="I332">
        <v>79</v>
      </c>
      <c r="J332">
        <v>82</v>
      </c>
      <c r="K332">
        <v>60</v>
      </c>
      <c r="L332" s="26" t="str">
        <f>IFERROR(VLOOKUP(B332,Absen!$A$1:$C$501,2,FALSE),"No")</f>
        <v>No</v>
      </c>
      <c r="M332" s="44">
        <f t="shared" si="14"/>
        <v>6</v>
      </c>
      <c r="N332" s="35">
        <f t="shared" si="15"/>
        <v>63.225000000000009</v>
      </c>
      <c r="O332" t="str">
        <f>VLOOKUP(N332,Helper!$B$30:$C$35,2,TRUE)</f>
        <v>C</v>
      </c>
      <c r="P332" s="26">
        <f>INDEX(Detail!$A$1:$A$1001,MATCH(B332,Detail!$G$1:$G$1001,0))</f>
        <v>37705</v>
      </c>
      <c r="Q332" s="3" t="str">
        <f>INDEX(Detail!$F$1:$F$1001,MATCH(Main!B332,Detail!$G$1:$G$1001,0))</f>
        <v>Ternate</v>
      </c>
      <c r="R332" s="7">
        <f>INDEX(Detail!$C$1:$C$1001,MATCH(B332,Detail!$G$1:$G$1001,0),1)</f>
        <v>157</v>
      </c>
      <c r="S332" s="7">
        <f>INDEX(Detail!$D$1:$D$1001,MATCH(B332,Detail!$G$1:$G$1001,0),1)</f>
        <v>91</v>
      </c>
      <c r="T332" s="7" t="str">
        <f>INDEX(Detail!$E$1:$E$1001,MATCH(Main!B332,Detail!$G$1:$G$1001,0))</f>
        <v xml:space="preserve">Jalan Medokan Ayu No. 3
</v>
      </c>
      <c r="U332" s="7" t="str">
        <f>INDEX(Detail!$B$1:$B$1001,MATCH(B332,Detail!$G$1:$G$1001,0),1)</f>
        <v>O+</v>
      </c>
    </row>
    <row r="333" spans="1:21" ht="15.75" x14ac:dyDescent="0.25">
      <c r="A333">
        <v>112</v>
      </c>
      <c r="B333" s="3" t="str">
        <f t="shared" si="13"/>
        <v>C0112</v>
      </c>
      <c r="C333" t="s">
        <v>1012</v>
      </c>
      <c r="D333" s="3" t="str">
        <f>VLOOKUP(B333,Detail!$G$1:$H$1001,2,FALSE)</f>
        <v>Kania Mandasari</v>
      </c>
      <c r="E333">
        <v>58</v>
      </c>
      <c r="F333">
        <v>72</v>
      </c>
      <c r="G333" s="35">
        <v>74</v>
      </c>
      <c r="H333">
        <v>57</v>
      </c>
      <c r="I333">
        <v>93</v>
      </c>
      <c r="J333">
        <v>67</v>
      </c>
      <c r="K333">
        <v>65</v>
      </c>
      <c r="L333" s="26" t="str">
        <f>IFERROR(VLOOKUP(B333,Absen!$A$1:$C$501,2,FALSE),"No")</f>
        <v>No</v>
      </c>
      <c r="M333" s="44">
        <f t="shared" si="14"/>
        <v>6.5</v>
      </c>
      <c r="N333" s="35">
        <f t="shared" si="15"/>
        <v>69.699999999999989</v>
      </c>
      <c r="O333" t="str">
        <f>VLOOKUP(N333,Helper!$B$30:$C$35,2,TRUE)</f>
        <v>C</v>
      </c>
      <c r="P333" s="26">
        <f>INDEX(Detail!$A$1:$A$1001,MATCH(B333,Detail!$G$1:$G$1001,0))</f>
        <v>37835</v>
      </c>
      <c r="Q333" s="3" t="str">
        <f>INDEX(Detail!$F$1:$F$1001,MATCH(Main!B333,Detail!$G$1:$G$1001,0))</f>
        <v>Tangerang</v>
      </c>
      <c r="R333" s="7">
        <f>INDEX(Detail!$C$1:$C$1001,MATCH(B333,Detail!$G$1:$G$1001,0),1)</f>
        <v>173</v>
      </c>
      <c r="S333" s="7">
        <f>INDEX(Detail!$D$1:$D$1001,MATCH(B333,Detail!$G$1:$G$1001,0),1)</f>
        <v>84</v>
      </c>
      <c r="T333" s="7" t="str">
        <f>INDEX(Detail!$E$1:$E$1001,MATCH(Main!B333,Detail!$G$1:$G$1001,0))</f>
        <v>Jl. Rajiman No. 09</v>
      </c>
      <c r="U333" s="7" t="str">
        <f>INDEX(Detail!$B$1:$B$1001,MATCH(B333,Detail!$G$1:$G$1001,0),1)</f>
        <v>A+</v>
      </c>
    </row>
    <row r="334" spans="1:21" ht="15.75" x14ac:dyDescent="0.25">
      <c r="A334">
        <v>113</v>
      </c>
      <c r="B334" s="3" t="str">
        <f t="shared" si="13"/>
        <v>C0113</v>
      </c>
      <c r="C334" t="s">
        <v>1012</v>
      </c>
      <c r="D334" s="3" t="str">
        <f>VLOOKUP(B334,Detail!$G$1:$H$1001,2,FALSE)</f>
        <v>Lantar Prakasa</v>
      </c>
      <c r="E334">
        <v>87</v>
      </c>
      <c r="F334">
        <v>64</v>
      </c>
      <c r="G334" s="35">
        <v>50</v>
      </c>
      <c r="H334">
        <v>72</v>
      </c>
      <c r="I334">
        <v>73</v>
      </c>
      <c r="J334">
        <v>76</v>
      </c>
      <c r="K334">
        <v>68</v>
      </c>
      <c r="L334" s="26" t="str">
        <f>IFERROR(VLOOKUP(B334,Absen!$A$1:$C$501,2,FALSE),"No")</f>
        <v>No</v>
      </c>
      <c r="M334" s="44">
        <f t="shared" si="14"/>
        <v>6.8000000000000007</v>
      </c>
      <c r="N334" s="35">
        <f t="shared" si="15"/>
        <v>69</v>
      </c>
      <c r="O334" t="str">
        <f>VLOOKUP(N334,Helper!$B$30:$C$35,2,TRUE)</f>
        <v>C</v>
      </c>
      <c r="P334" s="26">
        <f>INDEX(Detail!$A$1:$A$1001,MATCH(B334,Detail!$G$1:$G$1001,0))</f>
        <v>37112</v>
      </c>
      <c r="Q334" s="3" t="str">
        <f>INDEX(Detail!$F$1:$F$1001,MATCH(Main!B334,Detail!$G$1:$G$1001,0))</f>
        <v>Tebingtinggi</v>
      </c>
      <c r="R334" s="7">
        <f>INDEX(Detail!$C$1:$C$1001,MATCH(B334,Detail!$G$1:$G$1001,0),1)</f>
        <v>177</v>
      </c>
      <c r="S334" s="7">
        <f>INDEX(Detail!$D$1:$D$1001,MATCH(B334,Detail!$G$1:$G$1001,0),1)</f>
        <v>47</v>
      </c>
      <c r="T334" s="7" t="str">
        <f>INDEX(Detail!$E$1:$E$1001,MATCH(Main!B334,Detail!$G$1:$G$1001,0))</f>
        <v xml:space="preserve">Jalan Ahmad Dahlan No. 4
</v>
      </c>
      <c r="U334" s="7" t="str">
        <f>INDEX(Detail!$B$1:$B$1001,MATCH(B334,Detail!$G$1:$G$1001,0),1)</f>
        <v>AB+</v>
      </c>
    </row>
    <row r="335" spans="1:21" ht="15.75" x14ac:dyDescent="0.25">
      <c r="A335">
        <v>118</v>
      </c>
      <c r="B335" s="3" t="str">
        <f t="shared" si="13"/>
        <v>C0118</v>
      </c>
      <c r="C335" t="s">
        <v>1012</v>
      </c>
      <c r="D335" s="3" t="str">
        <f>VLOOKUP(B335,Detail!$G$1:$H$1001,2,FALSE)</f>
        <v>Kiandra Megantara</v>
      </c>
      <c r="E335">
        <v>94</v>
      </c>
      <c r="F335">
        <v>64</v>
      </c>
      <c r="G335" s="35">
        <v>31</v>
      </c>
      <c r="H335">
        <v>52</v>
      </c>
      <c r="I335">
        <v>68</v>
      </c>
      <c r="J335">
        <v>40</v>
      </c>
      <c r="K335">
        <v>69</v>
      </c>
      <c r="L335" s="26" t="str">
        <f>IFERROR(VLOOKUP(B335,Absen!$A$1:$C$501,2,FALSE),"No")</f>
        <v>No</v>
      </c>
      <c r="M335" s="44">
        <f t="shared" si="14"/>
        <v>6.9</v>
      </c>
      <c r="N335" s="35">
        <f t="shared" si="15"/>
        <v>55.85</v>
      </c>
      <c r="O335" t="str">
        <f>VLOOKUP(N335,Helper!$B$30:$C$35,2,TRUE)</f>
        <v>D</v>
      </c>
      <c r="P335" s="26">
        <f>INDEX(Detail!$A$1:$A$1001,MATCH(B335,Detail!$G$1:$G$1001,0))</f>
        <v>37964</v>
      </c>
      <c r="Q335" s="3" t="str">
        <f>INDEX(Detail!$F$1:$F$1001,MATCH(Main!B335,Detail!$G$1:$G$1001,0))</f>
        <v>Kediri</v>
      </c>
      <c r="R335" s="7">
        <f>INDEX(Detail!$C$1:$C$1001,MATCH(B335,Detail!$G$1:$G$1001,0),1)</f>
        <v>174</v>
      </c>
      <c r="S335" s="7">
        <f>INDEX(Detail!$D$1:$D$1001,MATCH(B335,Detail!$G$1:$G$1001,0),1)</f>
        <v>49</v>
      </c>
      <c r="T335" s="7" t="str">
        <f>INDEX(Detail!$E$1:$E$1001,MATCH(Main!B335,Detail!$G$1:$G$1001,0))</f>
        <v xml:space="preserve">Jalan Waringin No. 6
</v>
      </c>
      <c r="U335" s="7" t="str">
        <f>INDEX(Detail!$B$1:$B$1001,MATCH(B335,Detail!$G$1:$G$1001,0),1)</f>
        <v>O-</v>
      </c>
    </row>
    <row r="336" spans="1:21" ht="15.75" x14ac:dyDescent="0.25">
      <c r="A336">
        <v>121</v>
      </c>
      <c r="B336" s="3" t="str">
        <f t="shared" si="13"/>
        <v>C0121</v>
      </c>
      <c r="C336" t="s">
        <v>1012</v>
      </c>
      <c r="D336" s="3" t="str">
        <f>VLOOKUP(B336,Detail!$G$1:$H$1001,2,FALSE)</f>
        <v>Galak Saefullah</v>
      </c>
      <c r="E336">
        <v>65</v>
      </c>
      <c r="F336">
        <v>48</v>
      </c>
      <c r="G336" s="35">
        <v>86</v>
      </c>
      <c r="H336">
        <v>73</v>
      </c>
      <c r="I336">
        <v>77</v>
      </c>
      <c r="J336">
        <v>93</v>
      </c>
      <c r="K336">
        <v>81</v>
      </c>
      <c r="L336" s="26">
        <f>IFERROR(VLOOKUP(B336,Absen!$A$1:$C$501,2,FALSE),"No")</f>
        <v>44837</v>
      </c>
      <c r="M336" s="44">
        <f t="shared" si="14"/>
        <v>7.1000000000000005</v>
      </c>
      <c r="N336" s="35">
        <f t="shared" si="15"/>
        <v>75.775000000000006</v>
      </c>
      <c r="O336" t="str">
        <f>VLOOKUP(N336,Helper!$B$30:$C$35,2,TRUE)</f>
        <v>B</v>
      </c>
      <c r="P336" s="26">
        <f>INDEX(Detail!$A$1:$A$1001,MATCH(B336,Detail!$G$1:$G$1001,0))</f>
        <v>38040</v>
      </c>
      <c r="Q336" s="3" t="str">
        <f>INDEX(Detail!$F$1:$F$1001,MATCH(Main!B336,Detail!$G$1:$G$1001,0))</f>
        <v>Sibolga</v>
      </c>
      <c r="R336" s="7">
        <f>INDEX(Detail!$C$1:$C$1001,MATCH(B336,Detail!$G$1:$G$1001,0),1)</f>
        <v>165</v>
      </c>
      <c r="S336" s="7">
        <f>INDEX(Detail!$D$1:$D$1001,MATCH(B336,Detail!$G$1:$G$1001,0),1)</f>
        <v>79</v>
      </c>
      <c r="T336" s="7" t="str">
        <f>INDEX(Detail!$E$1:$E$1001,MATCH(Main!B336,Detail!$G$1:$G$1001,0))</f>
        <v>Gang Siliwangi No. 32</v>
      </c>
      <c r="U336" s="7" t="str">
        <f>INDEX(Detail!$B$1:$B$1001,MATCH(B336,Detail!$G$1:$G$1001,0),1)</f>
        <v>A+</v>
      </c>
    </row>
    <row r="337" spans="1:21" ht="15.75" x14ac:dyDescent="0.25">
      <c r="A337">
        <v>122</v>
      </c>
      <c r="B337" s="3" t="str">
        <f t="shared" si="13"/>
        <v>C0122</v>
      </c>
      <c r="C337" t="s">
        <v>1012</v>
      </c>
      <c r="D337" s="3" t="str">
        <f>VLOOKUP(B337,Detail!$G$1:$H$1001,2,FALSE)</f>
        <v>Yoga Suryono</v>
      </c>
      <c r="E337">
        <v>85</v>
      </c>
      <c r="F337">
        <v>41</v>
      </c>
      <c r="G337" s="35">
        <v>81</v>
      </c>
      <c r="H337">
        <v>64</v>
      </c>
      <c r="I337">
        <v>55</v>
      </c>
      <c r="J337">
        <v>74</v>
      </c>
      <c r="K337">
        <v>76</v>
      </c>
      <c r="L337" s="26" t="str">
        <f>IFERROR(VLOOKUP(B337,Absen!$A$1:$C$501,2,FALSE),"No")</f>
        <v>No</v>
      </c>
      <c r="M337" s="44">
        <f t="shared" si="14"/>
        <v>7.6000000000000005</v>
      </c>
      <c r="N337" s="35">
        <f t="shared" si="15"/>
        <v>69.224999999999994</v>
      </c>
      <c r="O337" t="str">
        <f>VLOOKUP(N337,Helper!$B$30:$C$35,2,TRUE)</f>
        <v>C</v>
      </c>
      <c r="P337" s="26">
        <f>INDEX(Detail!$A$1:$A$1001,MATCH(B337,Detail!$G$1:$G$1001,0))</f>
        <v>37139</v>
      </c>
      <c r="Q337" s="3" t="str">
        <f>INDEX(Detail!$F$1:$F$1001,MATCH(Main!B337,Detail!$G$1:$G$1001,0))</f>
        <v>Serang</v>
      </c>
      <c r="R337" s="7">
        <f>INDEX(Detail!$C$1:$C$1001,MATCH(B337,Detail!$G$1:$G$1001,0),1)</f>
        <v>157</v>
      </c>
      <c r="S337" s="7">
        <f>INDEX(Detail!$D$1:$D$1001,MATCH(B337,Detail!$G$1:$G$1001,0),1)</f>
        <v>72</v>
      </c>
      <c r="T337" s="7" t="str">
        <f>INDEX(Detail!$E$1:$E$1001,MATCH(Main!B337,Detail!$G$1:$G$1001,0))</f>
        <v>Jl. Sukajadi No. 34</v>
      </c>
      <c r="U337" s="7" t="str">
        <f>INDEX(Detail!$B$1:$B$1001,MATCH(B337,Detail!$G$1:$G$1001,0),1)</f>
        <v>AB-</v>
      </c>
    </row>
    <row r="338" spans="1:21" ht="15.75" x14ac:dyDescent="0.25">
      <c r="A338">
        <v>128</v>
      </c>
      <c r="B338" s="3" t="str">
        <f t="shared" si="13"/>
        <v>C0128</v>
      </c>
      <c r="C338" t="s">
        <v>1012</v>
      </c>
      <c r="D338" s="3" t="str">
        <f>VLOOKUP(B338,Detail!$G$1:$H$1001,2,FALSE)</f>
        <v>Nadine Salahudin</v>
      </c>
      <c r="E338">
        <v>65</v>
      </c>
      <c r="F338">
        <v>73</v>
      </c>
      <c r="G338" s="35">
        <v>77</v>
      </c>
      <c r="H338">
        <v>75</v>
      </c>
      <c r="I338">
        <v>68</v>
      </c>
      <c r="J338">
        <v>56</v>
      </c>
      <c r="K338">
        <v>83</v>
      </c>
      <c r="L338" s="26">
        <f>IFERROR(VLOOKUP(B338,Absen!$A$1:$C$501,2,FALSE),"No")</f>
        <v>44776</v>
      </c>
      <c r="M338" s="44">
        <f t="shared" si="14"/>
        <v>7.3000000000000007</v>
      </c>
      <c r="N338" s="35">
        <f t="shared" si="15"/>
        <v>69.025000000000006</v>
      </c>
      <c r="O338" t="str">
        <f>VLOOKUP(N338,Helper!$B$30:$C$35,2,TRUE)</f>
        <v>C</v>
      </c>
      <c r="P338" s="26">
        <f>INDEX(Detail!$A$1:$A$1001,MATCH(B338,Detail!$G$1:$G$1001,0))</f>
        <v>37593</v>
      </c>
      <c r="Q338" s="3" t="str">
        <f>INDEX(Detail!$F$1:$F$1001,MATCH(Main!B338,Detail!$G$1:$G$1001,0))</f>
        <v>Bima</v>
      </c>
      <c r="R338" s="7">
        <f>INDEX(Detail!$C$1:$C$1001,MATCH(B338,Detail!$G$1:$G$1001,0),1)</f>
        <v>165</v>
      </c>
      <c r="S338" s="7">
        <f>INDEX(Detail!$D$1:$D$1001,MATCH(B338,Detail!$G$1:$G$1001,0),1)</f>
        <v>85</v>
      </c>
      <c r="T338" s="7" t="str">
        <f>INDEX(Detail!$E$1:$E$1001,MATCH(Main!B338,Detail!$G$1:$G$1001,0))</f>
        <v>Jalan Kutai No. 84</v>
      </c>
      <c r="U338" s="7" t="str">
        <f>INDEX(Detail!$B$1:$B$1001,MATCH(B338,Detail!$G$1:$G$1001,0),1)</f>
        <v>O+</v>
      </c>
    </row>
    <row r="339" spans="1:21" ht="15.75" x14ac:dyDescent="0.25">
      <c r="A339">
        <v>138</v>
      </c>
      <c r="B339" s="3" t="str">
        <f t="shared" si="13"/>
        <v>C0138</v>
      </c>
      <c r="C339" t="s">
        <v>1012</v>
      </c>
      <c r="D339" s="3" t="str">
        <f>VLOOKUP(B339,Detail!$G$1:$H$1001,2,FALSE)</f>
        <v>Raden Halim</v>
      </c>
      <c r="E339">
        <v>59</v>
      </c>
      <c r="F339">
        <v>60</v>
      </c>
      <c r="G339" s="35">
        <v>61</v>
      </c>
      <c r="H339">
        <v>56</v>
      </c>
      <c r="I339">
        <v>51</v>
      </c>
      <c r="J339">
        <v>54</v>
      </c>
      <c r="K339">
        <v>69</v>
      </c>
      <c r="L339" s="26" t="str">
        <f>IFERROR(VLOOKUP(B339,Absen!$A$1:$C$501,2,FALSE),"No")</f>
        <v>No</v>
      </c>
      <c r="M339" s="44">
        <f t="shared" si="14"/>
        <v>6.9</v>
      </c>
      <c r="N339" s="35">
        <f t="shared" si="15"/>
        <v>58.15</v>
      </c>
      <c r="O339" t="str">
        <f>VLOOKUP(N339,Helper!$B$30:$C$35,2,TRUE)</f>
        <v>D</v>
      </c>
      <c r="P339" s="26">
        <f>INDEX(Detail!$A$1:$A$1001,MATCH(B339,Detail!$G$1:$G$1001,0))</f>
        <v>37704</v>
      </c>
      <c r="Q339" s="3" t="str">
        <f>INDEX(Detail!$F$1:$F$1001,MATCH(Main!B339,Detail!$G$1:$G$1001,0))</f>
        <v>Dumai</v>
      </c>
      <c r="R339" s="7">
        <f>INDEX(Detail!$C$1:$C$1001,MATCH(B339,Detail!$G$1:$G$1001,0),1)</f>
        <v>167</v>
      </c>
      <c r="S339" s="7">
        <f>INDEX(Detail!$D$1:$D$1001,MATCH(B339,Detail!$G$1:$G$1001,0),1)</f>
        <v>80</v>
      </c>
      <c r="T339" s="7" t="str">
        <f>INDEX(Detail!$E$1:$E$1001,MATCH(Main!B339,Detail!$G$1:$G$1001,0))</f>
        <v xml:space="preserve">Gg. Indragiri No. 7
</v>
      </c>
      <c r="U339" s="7" t="str">
        <f>INDEX(Detail!$B$1:$B$1001,MATCH(B339,Detail!$G$1:$G$1001,0),1)</f>
        <v>B-</v>
      </c>
    </row>
    <row r="340" spans="1:21" ht="15.75" x14ac:dyDescent="0.25">
      <c r="A340">
        <v>139</v>
      </c>
      <c r="B340" s="3" t="str">
        <f t="shared" si="13"/>
        <v>C0139</v>
      </c>
      <c r="C340" t="s">
        <v>1012</v>
      </c>
      <c r="D340" s="3" t="str">
        <f>VLOOKUP(B340,Detail!$G$1:$H$1001,2,FALSE)</f>
        <v>Taufik Uwais</v>
      </c>
      <c r="E340">
        <v>81</v>
      </c>
      <c r="F340">
        <v>70</v>
      </c>
      <c r="G340" s="35">
        <v>68</v>
      </c>
      <c r="H340">
        <v>50</v>
      </c>
      <c r="I340">
        <v>68</v>
      </c>
      <c r="J340">
        <v>55</v>
      </c>
      <c r="K340">
        <v>89</v>
      </c>
      <c r="L340" s="26">
        <f>IFERROR(VLOOKUP(B340,Absen!$A$1:$C$501,2,FALSE),"No")</f>
        <v>44896</v>
      </c>
      <c r="M340" s="44">
        <f t="shared" si="14"/>
        <v>7.9</v>
      </c>
      <c r="N340" s="35">
        <f t="shared" si="15"/>
        <v>66.125</v>
      </c>
      <c r="O340" t="str">
        <f>VLOOKUP(N340,Helper!$B$30:$C$35,2,TRUE)</f>
        <v>C</v>
      </c>
      <c r="P340" s="26">
        <f>INDEX(Detail!$A$1:$A$1001,MATCH(B340,Detail!$G$1:$G$1001,0))</f>
        <v>37026</v>
      </c>
      <c r="Q340" s="3" t="str">
        <f>INDEX(Detail!$F$1:$F$1001,MATCH(Main!B340,Detail!$G$1:$G$1001,0))</f>
        <v>Tidore Kepulauan</v>
      </c>
      <c r="R340" s="7">
        <f>INDEX(Detail!$C$1:$C$1001,MATCH(B340,Detail!$G$1:$G$1001,0),1)</f>
        <v>172</v>
      </c>
      <c r="S340" s="7">
        <f>INDEX(Detail!$D$1:$D$1001,MATCH(B340,Detail!$G$1:$G$1001,0),1)</f>
        <v>68</v>
      </c>
      <c r="T340" s="7" t="str">
        <f>INDEX(Detail!$E$1:$E$1001,MATCH(Main!B340,Detail!$G$1:$G$1001,0))</f>
        <v>Jl. Kiaracondong No. 50</v>
      </c>
      <c r="U340" s="7" t="str">
        <f>INDEX(Detail!$B$1:$B$1001,MATCH(B340,Detail!$G$1:$G$1001,0),1)</f>
        <v>A+</v>
      </c>
    </row>
    <row r="341" spans="1:21" ht="15.75" x14ac:dyDescent="0.25">
      <c r="A341">
        <v>149</v>
      </c>
      <c r="B341" s="3" t="str">
        <f t="shared" si="13"/>
        <v>C0149</v>
      </c>
      <c r="C341" t="s">
        <v>1012</v>
      </c>
      <c r="D341" s="3" t="str">
        <f>VLOOKUP(B341,Detail!$G$1:$H$1001,2,FALSE)</f>
        <v>Vino Nashiruddin</v>
      </c>
      <c r="E341">
        <v>87</v>
      </c>
      <c r="F341">
        <v>66</v>
      </c>
      <c r="G341" s="35">
        <v>73</v>
      </c>
      <c r="H341">
        <v>63</v>
      </c>
      <c r="I341">
        <v>82</v>
      </c>
      <c r="J341">
        <v>66</v>
      </c>
      <c r="K341">
        <v>73</v>
      </c>
      <c r="L341" s="26" t="str">
        <f>IFERROR(VLOOKUP(B341,Absen!$A$1:$C$501,2,FALSE),"No")</f>
        <v>No</v>
      </c>
      <c r="M341" s="44">
        <f t="shared" si="14"/>
        <v>7.3000000000000007</v>
      </c>
      <c r="N341" s="35">
        <f t="shared" si="15"/>
        <v>72.349999999999994</v>
      </c>
      <c r="O341" t="str">
        <f>VLOOKUP(N341,Helper!$B$30:$C$35,2,TRUE)</f>
        <v>B</v>
      </c>
      <c r="P341" s="26">
        <f>INDEX(Detail!$A$1:$A$1001,MATCH(B341,Detail!$G$1:$G$1001,0))</f>
        <v>37027</v>
      </c>
      <c r="Q341" s="3" t="str">
        <f>INDEX(Detail!$F$1:$F$1001,MATCH(Main!B341,Detail!$G$1:$G$1001,0))</f>
        <v>Kota Administrasi Jakarta Selatan</v>
      </c>
      <c r="R341" s="7">
        <f>INDEX(Detail!$C$1:$C$1001,MATCH(B341,Detail!$G$1:$G$1001,0),1)</f>
        <v>157</v>
      </c>
      <c r="S341" s="7">
        <f>INDEX(Detail!$D$1:$D$1001,MATCH(B341,Detail!$G$1:$G$1001,0),1)</f>
        <v>61</v>
      </c>
      <c r="T341" s="7" t="str">
        <f>INDEX(Detail!$E$1:$E$1001,MATCH(Main!B341,Detail!$G$1:$G$1001,0))</f>
        <v>Gg. Bangka Raya No. 25</v>
      </c>
      <c r="U341" s="7" t="str">
        <f>INDEX(Detail!$B$1:$B$1001,MATCH(B341,Detail!$G$1:$G$1001,0),1)</f>
        <v>B-</v>
      </c>
    </row>
    <row r="342" spans="1:21" ht="15.75" x14ac:dyDescent="0.25">
      <c r="A342">
        <v>151</v>
      </c>
      <c r="B342" s="3" t="str">
        <f t="shared" si="13"/>
        <v>C0151</v>
      </c>
      <c r="C342" t="s">
        <v>1012</v>
      </c>
      <c r="D342" s="3" t="str">
        <f>VLOOKUP(B342,Detail!$G$1:$H$1001,2,FALSE)</f>
        <v>Gamblang Permata</v>
      </c>
      <c r="E342">
        <v>87</v>
      </c>
      <c r="F342">
        <v>48</v>
      </c>
      <c r="G342" s="35">
        <v>45</v>
      </c>
      <c r="H342">
        <v>63</v>
      </c>
      <c r="I342">
        <v>86</v>
      </c>
      <c r="J342">
        <v>63</v>
      </c>
      <c r="K342">
        <v>70</v>
      </c>
      <c r="L342" s="26">
        <f>IFERROR(VLOOKUP(B342,Absen!$A$1:$C$501,2,FALSE),"No")</f>
        <v>44778</v>
      </c>
      <c r="M342" s="44">
        <f t="shared" si="14"/>
        <v>6</v>
      </c>
      <c r="N342" s="35">
        <f t="shared" si="15"/>
        <v>63.1</v>
      </c>
      <c r="O342" t="str">
        <f>VLOOKUP(N342,Helper!$B$30:$C$35,2,TRUE)</f>
        <v>C</v>
      </c>
      <c r="P342" s="26">
        <f>INDEX(Detail!$A$1:$A$1001,MATCH(B342,Detail!$G$1:$G$1001,0))</f>
        <v>38221</v>
      </c>
      <c r="Q342" s="3" t="str">
        <f>INDEX(Detail!$F$1:$F$1001,MATCH(Main!B342,Detail!$G$1:$G$1001,0))</f>
        <v>Madiun</v>
      </c>
      <c r="R342" s="7">
        <f>INDEX(Detail!$C$1:$C$1001,MATCH(B342,Detail!$G$1:$G$1001,0),1)</f>
        <v>157</v>
      </c>
      <c r="S342" s="7">
        <f>INDEX(Detail!$D$1:$D$1001,MATCH(B342,Detail!$G$1:$G$1001,0),1)</f>
        <v>48</v>
      </c>
      <c r="T342" s="7" t="str">
        <f>INDEX(Detail!$E$1:$E$1001,MATCH(Main!B342,Detail!$G$1:$G$1001,0))</f>
        <v>Jl. Suniaraja No. 37</v>
      </c>
      <c r="U342" s="7" t="str">
        <f>INDEX(Detail!$B$1:$B$1001,MATCH(B342,Detail!$G$1:$G$1001,0),1)</f>
        <v>B-</v>
      </c>
    </row>
    <row r="343" spans="1:21" ht="15.75" x14ac:dyDescent="0.25">
      <c r="A343">
        <v>170</v>
      </c>
      <c r="B343" s="3" t="str">
        <f t="shared" si="13"/>
        <v>C0170</v>
      </c>
      <c r="C343" t="s">
        <v>1012</v>
      </c>
      <c r="D343" s="3" t="str">
        <f>VLOOKUP(B343,Detail!$G$1:$H$1001,2,FALSE)</f>
        <v>Kiandra Prayoga</v>
      </c>
      <c r="E343">
        <v>86</v>
      </c>
      <c r="F343">
        <v>65</v>
      </c>
      <c r="G343" s="35">
        <v>34</v>
      </c>
      <c r="H343">
        <v>56</v>
      </c>
      <c r="I343">
        <v>66</v>
      </c>
      <c r="J343">
        <v>72</v>
      </c>
      <c r="K343">
        <v>97</v>
      </c>
      <c r="L343" s="26" t="str">
        <f>IFERROR(VLOOKUP(B343,Absen!$A$1:$C$501,2,FALSE),"No")</f>
        <v>No</v>
      </c>
      <c r="M343" s="44">
        <f t="shared" si="14"/>
        <v>9.7000000000000011</v>
      </c>
      <c r="N343" s="35">
        <f t="shared" si="15"/>
        <v>65.024999999999991</v>
      </c>
      <c r="O343" t="str">
        <f>VLOOKUP(N343,Helper!$B$30:$C$35,2,TRUE)</f>
        <v>C</v>
      </c>
      <c r="P343" s="26">
        <f>INDEX(Detail!$A$1:$A$1001,MATCH(B343,Detail!$G$1:$G$1001,0))</f>
        <v>38429</v>
      </c>
      <c r="Q343" s="3" t="str">
        <f>INDEX(Detail!$F$1:$F$1001,MATCH(Main!B343,Detail!$G$1:$G$1001,0))</f>
        <v>Magelang</v>
      </c>
      <c r="R343" s="7">
        <f>INDEX(Detail!$C$1:$C$1001,MATCH(B343,Detail!$G$1:$G$1001,0),1)</f>
        <v>151</v>
      </c>
      <c r="S343" s="7">
        <f>INDEX(Detail!$D$1:$D$1001,MATCH(B343,Detail!$G$1:$G$1001,0),1)</f>
        <v>47</v>
      </c>
      <c r="T343" s="7" t="str">
        <f>INDEX(Detail!$E$1:$E$1001,MATCH(Main!B343,Detail!$G$1:$G$1001,0))</f>
        <v xml:space="preserve">Gang Waringin No. 9
</v>
      </c>
      <c r="U343" s="7" t="str">
        <f>INDEX(Detail!$B$1:$B$1001,MATCH(B343,Detail!$G$1:$G$1001,0),1)</f>
        <v>B-</v>
      </c>
    </row>
    <row r="344" spans="1:21" ht="15.75" x14ac:dyDescent="0.25">
      <c r="A344">
        <v>173</v>
      </c>
      <c r="B344" s="3" t="str">
        <f t="shared" si="13"/>
        <v>C0173</v>
      </c>
      <c r="C344" t="s">
        <v>1012</v>
      </c>
      <c r="D344" s="3" t="str">
        <f>VLOOKUP(B344,Detail!$G$1:$H$1001,2,FALSE)</f>
        <v>Citra Zulkarnain</v>
      </c>
      <c r="E344">
        <v>79</v>
      </c>
      <c r="F344">
        <v>66</v>
      </c>
      <c r="G344" s="35">
        <v>53</v>
      </c>
      <c r="H344">
        <v>75</v>
      </c>
      <c r="I344">
        <v>77</v>
      </c>
      <c r="J344">
        <v>41</v>
      </c>
      <c r="K344">
        <v>94</v>
      </c>
      <c r="L344" s="26" t="str">
        <f>IFERROR(VLOOKUP(B344,Absen!$A$1:$C$501,2,FALSE),"No")</f>
        <v>No</v>
      </c>
      <c r="M344" s="44">
        <f t="shared" si="14"/>
        <v>9.4</v>
      </c>
      <c r="N344" s="35">
        <f t="shared" si="15"/>
        <v>65.325000000000003</v>
      </c>
      <c r="O344" t="str">
        <f>VLOOKUP(N344,Helper!$B$30:$C$35,2,TRUE)</f>
        <v>C</v>
      </c>
      <c r="P344" s="26">
        <f>INDEX(Detail!$A$1:$A$1001,MATCH(B344,Detail!$G$1:$G$1001,0))</f>
        <v>38059</v>
      </c>
      <c r="Q344" s="3" t="str">
        <f>INDEX(Detail!$F$1:$F$1001,MATCH(Main!B344,Detail!$G$1:$G$1001,0))</f>
        <v>Kupang</v>
      </c>
      <c r="R344" s="7">
        <f>INDEX(Detail!$C$1:$C$1001,MATCH(B344,Detail!$G$1:$G$1001,0),1)</f>
        <v>155</v>
      </c>
      <c r="S344" s="7">
        <f>INDEX(Detail!$D$1:$D$1001,MATCH(B344,Detail!$G$1:$G$1001,0),1)</f>
        <v>82</v>
      </c>
      <c r="T344" s="7" t="str">
        <f>INDEX(Detail!$E$1:$E$1001,MATCH(Main!B344,Detail!$G$1:$G$1001,0))</f>
        <v xml:space="preserve">Gang Soekarno Hatta No. 7
</v>
      </c>
      <c r="U344" s="7" t="str">
        <f>INDEX(Detail!$B$1:$B$1001,MATCH(B344,Detail!$G$1:$G$1001,0),1)</f>
        <v>A+</v>
      </c>
    </row>
    <row r="345" spans="1:21" ht="15.75" x14ac:dyDescent="0.25">
      <c r="A345">
        <v>177</v>
      </c>
      <c r="B345" s="3" t="str">
        <f t="shared" si="13"/>
        <v>C0177</v>
      </c>
      <c r="C345" t="s">
        <v>1012</v>
      </c>
      <c r="D345" s="3" t="str">
        <f>VLOOKUP(B345,Detail!$G$1:$H$1001,2,FALSE)</f>
        <v>Mariadi Hasanah</v>
      </c>
      <c r="E345">
        <v>52</v>
      </c>
      <c r="F345">
        <v>40</v>
      </c>
      <c r="G345" s="35">
        <v>49</v>
      </c>
      <c r="H345">
        <v>59</v>
      </c>
      <c r="I345">
        <v>65</v>
      </c>
      <c r="J345">
        <v>92</v>
      </c>
      <c r="K345">
        <v>80</v>
      </c>
      <c r="L345" s="26" t="str">
        <f>IFERROR(VLOOKUP(B345,Absen!$A$1:$C$501,2,FALSE),"No")</f>
        <v>No</v>
      </c>
      <c r="M345" s="44">
        <f t="shared" si="14"/>
        <v>8</v>
      </c>
      <c r="N345" s="35">
        <f t="shared" si="15"/>
        <v>63.2</v>
      </c>
      <c r="O345" t="str">
        <f>VLOOKUP(N345,Helper!$B$30:$C$35,2,TRUE)</f>
        <v>C</v>
      </c>
      <c r="P345" s="26">
        <f>INDEX(Detail!$A$1:$A$1001,MATCH(B345,Detail!$G$1:$G$1001,0))</f>
        <v>37328</v>
      </c>
      <c r="Q345" s="3" t="str">
        <f>INDEX(Detail!$F$1:$F$1001,MATCH(Main!B345,Detail!$G$1:$G$1001,0))</f>
        <v>Metro</v>
      </c>
      <c r="R345" s="7">
        <f>INDEX(Detail!$C$1:$C$1001,MATCH(B345,Detail!$G$1:$G$1001,0),1)</f>
        <v>167</v>
      </c>
      <c r="S345" s="7">
        <f>INDEX(Detail!$D$1:$D$1001,MATCH(B345,Detail!$G$1:$G$1001,0),1)</f>
        <v>65</v>
      </c>
      <c r="T345" s="7" t="str">
        <f>INDEX(Detail!$E$1:$E$1001,MATCH(Main!B345,Detail!$G$1:$G$1001,0))</f>
        <v xml:space="preserve">Jalan Monginsidi No. 6
</v>
      </c>
      <c r="U345" s="7" t="str">
        <f>INDEX(Detail!$B$1:$B$1001,MATCH(B345,Detail!$G$1:$G$1001,0),1)</f>
        <v>AB-</v>
      </c>
    </row>
    <row r="346" spans="1:21" ht="15.75" x14ac:dyDescent="0.25">
      <c r="A346">
        <v>179</v>
      </c>
      <c r="B346" s="3" t="str">
        <f t="shared" si="13"/>
        <v>C0179</v>
      </c>
      <c r="C346" t="s">
        <v>1012</v>
      </c>
      <c r="D346" s="3" t="str">
        <f>VLOOKUP(B346,Detail!$G$1:$H$1001,2,FALSE)</f>
        <v>Sidiq Damanik</v>
      </c>
      <c r="E346">
        <v>87</v>
      </c>
      <c r="F346">
        <v>73</v>
      </c>
      <c r="G346" s="35">
        <v>89</v>
      </c>
      <c r="H346">
        <v>65</v>
      </c>
      <c r="I346">
        <v>92</v>
      </c>
      <c r="J346">
        <v>42</v>
      </c>
      <c r="K346">
        <v>99</v>
      </c>
      <c r="L346" s="26">
        <f>IFERROR(VLOOKUP(B346,Absen!$A$1:$C$501,2,FALSE),"No")</f>
        <v>44865</v>
      </c>
      <c r="M346" s="44">
        <f t="shared" si="14"/>
        <v>8.9</v>
      </c>
      <c r="N346" s="35">
        <f t="shared" si="15"/>
        <v>74.725000000000009</v>
      </c>
      <c r="O346" t="str">
        <f>VLOOKUP(N346,Helper!$B$30:$C$35,2,TRUE)</f>
        <v>B</v>
      </c>
      <c r="P346" s="26">
        <f>INDEX(Detail!$A$1:$A$1001,MATCH(B346,Detail!$G$1:$G$1001,0))</f>
        <v>37324</v>
      </c>
      <c r="Q346" s="3" t="str">
        <f>INDEX(Detail!$F$1:$F$1001,MATCH(Main!B346,Detail!$G$1:$G$1001,0))</f>
        <v>Kupang</v>
      </c>
      <c r="R346" s="7">
        <f>INDEX(Detail!$C$1:$C$1001,MATCH(B346,Detail!$G$1:$G$1001,0),1)</f>
        <v>167</v>
      </c>
      <c r="S346" s="7">
        <f>INDEX(Detail!$D$1:$D$1001,MATCH(B346,Detail!$G$1:$G$1001,0),1)</f>
        <v>82</v>
      </c>
      <c r="T346" s="7" t="str">
        <f>INDEX(Detail!$E$1:$E$1001,MATCH(Main!B346,Detail!$G$1:$G$1001,0))</f>
        <v>Jl. Ciwastra No. 38</v>
      </c>
      <c r="U346" s="7" t="str">
        <f>INDEX(Detail!$B$1:$B$1001,MATCH(B346,Detail!$G$1:$G$1001,0),1)</f>
        <v>A-</v>
      </c>
    </row>
    <row r="347" spans="1:21" ht="15.75" x14ac:dyDescent="0.25">
      <c r="A347">
        <v>203</v>
      </c>
      <c r="B347" s="3" t="str">
        <f t="shared" si="13"/>
        <v>C0203</v>
      </c>
      <c r="C347" t="s">
        <v>1012</v>
      </c>
      <c r="D347" s="3" t="str">
        <f>VLOOKUP(B347,Detail!$G$1:$H$1001,2,FALSE)</f>
        <v>Narji Januar</v>
      </c>
      <c r="E347">
        <v>69</v>
      </c>
      <c r="F347">
        <v>53</v>
      </c>
      <c r="G347" s="35">
        <v>71</v>
      </c>
      <c r="H347">
        <v>58</v>
      </c>
      <c r="I347">
        <v>78</v>
      </c>
      <c r="J347">
        <v>48</v>
      </c>
      <c r="K347">
        <v>69</v>
      </c>
      <c r="L347" s="26" t="str">
        <f>IFERROR(VLOOKUP(B347,Absen!$A$1:$C$501,2,FALSE),"No")</f>
        <v>No</v>
      </c>
      <c r="M347" s="44">
        <f t="shared" si="14"/>
        <v>6.9</v>
      </c>
      <c r="N347" s="35">
        <f t="shared" si="15"/>
        <v>62.95</v>
      </c>
      <c r="O347" t="str">
        <f>VLOOKUP(N347,Helper!$B$30:$C$35,2,TRUE)</f>
        <v>C</v>
      </c>
      <c r="P347" s="26">
        <f>INDEX(Detail!$A$1:$A$1001,MATCH(B347,Detail!$G$1:$G$1001,0))</f>
        <v>37918</v>
      </c>
      <c r="Q347" s="3" t="str">
        <f>INDEX(Detail!$F$1:$F$1001,MATCH(Main!B347,Detail!$G$1:$G$1001,0))</f>
        <v>Kotamobagu</v>
      </c>
      <c r="R347" s="7">
        <f>INDEX(Detail!$C$1:$C$1001,MATCH(B347,Detail!$G$1:$G$1001,0),1)</f>
        <v>151</v>
      </c>
      <c r="S347" s="7">
        <f>INDEX(Detail!$D$1:$D$1001,MATCH(B347,Detail!$G$1:$G$1001,0),1)</f>
        <v>94</v>
      </c>
      <c r="T347" s="7" t="str">
        <f>INDEX(Detail!$E$1:$E$1001,MATCH(Main!B347,Detail!$G$1:$G$1001,0))</f>
        <v xml:space="preserve">Gang Rajawali Timur No. 5
</v>
      </c>
      <c r="U347" s="7" t="str">
        <f>INDEX(Detail!$B$1:$B$1001,MATCH(B347,Detail!$G$1:$G$1001,0),1)</f>
        <v>B-</v>
      </c>
    </row>
    <row r="348" spans="1:21" ht="15.75" x14ac:dyDescent="0.25">
      <c r="A348">
        <v>205</v>
      </c>
      <c r="B348" s="3" t="str">
        <f t="shared" si="13"/>
        <v>C0205</v>
      </c>
      <c r="C348" t="s">
        <v>1012</v>
      </c>
      <c r="D348" s="3" t="str">
        <f>VLOOKUP(B348,Detail!$G$1:$H$1001,2,FALSE)</f>
        <v>Cemplunk Maryadi</v>
      </c>
      <c r="E348">
        <v>95</v>
      </c>
      <c r="F348">
        <v>44</v>
      </c>
      <c r="G348" s="35">
        <v>51</v>
      </c>
      <c r="H348">
        <v>66</v>
      </c>
      <c r="I348">
        <v>61</v>
      </c>
      <c r="J348">
        <v>54</v>
      </c>
      <c r="K348">
        <v>90</v>
      </c>
      <c r="L348" s="26">
        <f>IFERROR(VLOOKUP(B348,Absen!$A$1:$C$501,2,FALSE),"No")</f>
        <v>44846</v>
      </c>
      <c r="M348" s="44">
        <f t="shared" si="14"/>
        <v>8</v>
      </c>
      <c r="N348" s="35">
        <f t="shared" si="15"/>
        <v>62.25</v>
      </c>
      <c r="O348" t="str">
        <f>VLOOKUP(N348,Helper!$B$30:$C$35,2,TRUE)</f>
        <v>C</v>
      </c>
      <c r="P348" s="26">
        <f>INDEX(Detail!$A$1:$A$1001,MATCH(B348,Detail!$G$1:$G$1001,0))</f>
        <v>38314</v>
      </c>
      <c r="Q348" s="3" t="str">
        <f>INDEX(Detail!$F$1:$F$1001,MATCH(Main!B348,Detail!$G$1:$G$1001,0))</f>
        <v>Palembang</v>
      </c>
      <c r="R348" s="7">
        <f>INDEX(Detail!$C$1:$C$1001,MATCH(B348,Detail!$G$1:$G$1001,0),1)</f>
        <v>153</v>
      </c>
      <c r="S348" s="7">
        <f>INDEX(Detail!$D$1:$D$1001,MATCH(B348,Detail!$G$1:$G$1001,0),1)</f>
        <v>84</v>
      </c>
      <c r="T348" s="7" t="str">
        <f>INDEX(Detail!$E$1:$E$1001,MATCH(Main!B348,Detail!$G$1:$G$1001,0))</f>
        <v xml:space="preserve">Gang Kiaracondong No. 5
</v>
      </c>
      <c r="U348" s="7" t="str">
        <f>INDEX(Detail!$B$1:$B$1001,MATCH(B348,Detail!$G$1:$G$1001,0),1)</f>
        <v>B+</v>
      </c>
    </row>
    <row r="349" spans="1:21" ht="15.75" x14ac:dyDescent="0.25">
      <c r="A349">
        <v>214</v>
      </c>
      <c r="B349" s="3" t="str">
        <f t="shared" si="13"/>
        <v>C0214</v>
      </c>
      <c r="C349" t="s">
        <v>1012</v>
      </c>
      <c r="D349" s="3" t="str">
        <f>VLOOKUP(B349,Detail!$G$1:$H$1001,2,FALSE)</f>
        <v>Ratih Palastri</v>
      </c>
      <c r="E349">
        <v>79</v>
      </c>
      <c r="F349">
        <v>60</v>
      </c>
      <c r="G349" s="35">
        <v>42</v>
      </c>
      <c r="H349">
        <v>59</v>
      </c>
      <c r="I349">
        <v>68</v>
      </c>
      <c r="J349">
        <v>54</v>
      </c>
      <c r="K349">
        <v>97</v>
      </c>
      <c r="L349" s="26">
        <f>IFERROR(VLOOKUP(B349,Absen!$A$1:$C$501,2,FALSE),"No")</f>
        <v>44766</v>
      </c>
      <c r="M349" s="44">
        <f t="shared" si="14"/>
        <v>8.7000000000000011</v>
      </c>
      <c r="N349" s="35">
        <f t="shared" si="15"/>
        <v>61.150000000000006</v>
      </c>
      <c r="O349" t="str">
        <f>VLOOKUP(N349,Helper!$B$30:$C$35,2,TRUE)</f>
        <v>C</v>
      </c>
      <c r="P349" s="26">
        <f>INDEX(Detail!$A$1:$A$1001,MATCH(B349,Detail!$G$1:$G$1001,0))</f>
        <v>37915</v>
      </c>
      <c r="Q349" s="3" t="str">
        <f>INDEX(Detail!$F$1:$F$1001,MATCH(Main!B349,Detail!$G$1:$G$1001,0))</f>
        <v>Prabumulih</v>
      </c>
      <c r="R349" s="7">
        <f>INDEX(Detail!$C$1:$C$1001,MATCH(B349,Detail!$G$1:$G$1001,0),1)</f>
        <v>166</v>
      </c>
      <c r="S349" s="7">
        <f>INDEX(Detail!$D$1:$D$1001,MATCH(B349,Detail!$G$1:$G$1001,0),1)</f>
        <v>61</v>
      </c>
      <c r="T349" s="7" t="str">
        <f>INDEX(Detail!$E$1:$E$1001,MATCH(Main!B349,Detail!$G$1:$G$1001,0))</f>
        <v>Gg. Bangka Raya No. 15</v>
      </c>
      <c r="U349" s="7" t="str">
        <f>INDEX(Detail!$B$1:$B$1001,MATCH(B349,Detail!$G$1:$G$1001,0),1)</f>
        <v>B+</v>
      </c>
    </row>
    <row r="350" spans="1:21" ht="15.75" x14ac:dyDescent="0.25">
      <c r="A350">
        <v>216</v>
      </c>
      <c r="B350" s="3" t="str">
        <f t="shared" si="13"/>
        <v>C0216</v>
      </c>
      <c r="C350" t="s">
        <v>1012</v>
      </c>
      <c r="D350" s="3" t="str">
        <f>VLOOKUP(B350,Detail!$G$1:$H$1001,2,FALSE)</f>
        <v>Kamidin Handayani</v>
      </c>
      <c r="E350">
        <v>61</v>
      </c>
      <c r="F350">
        <v>51</v>
      </c>
      <c r="G350" s="35">
        <v>75</v>
      </c>
      <c r="H350">
        <v>62</v>
      </c>
      <c r="I350">
        <v>59</v>
      </c>
      <c r="J350">
        <v>45</v>
      </c>
      <c r="K350">
        <v>88</v>
      </c>
      <c r="L350" s="26" t="str">
        <f>IFERROR(VLOOKUP(B350,Absen!$A$1:$C$501,2,FALSE),"No")</f>
        <v>No</v>
      </c>
      <c r="M350" s="44">
        <f t="shared" si="14"/>
        <v>8.8000000000000007</v>
      </c>
      <c r="N350" s="35">
        <f t="shared" si="15"/>
        <v>61.924999999999997</v>
      </c>
      <c r="O350" t="str">
        <f>VLOOKUP(N350,Helper!$B$30:$C$35,2,TRUE)</f>
        <v>C</v>
      </c>
      <c r="P350" s="26">
        <f>INDEX(Detail!$A$1:$A$1001,MATCH(B350,Detail!$G$1:$G$1001,0))</f>
        <v>37201</v>
      </c>
      <c r="Q350" s="3" t="str">
        <f>INDEX(Detail!$F$1:$F$1001,MATCH(Main!B350,Detail!$G$1:$G$1001,0))</f>
        <v>Jambi</v>
      </c>
      <c r="R350" s="7">
        <f>INDEX(Detail!$C$1:$C$1001,MATCH(B350,Detail!$G$1:$G$1001,0),1)</f>
        <v>177</v>
      </c>
      <c r="S350" s="7">
        <f>INDEX(Detail!$D$1:$D$1001,MATCH(B350,Detail!$G$1:$G$1001,0),1)</f>
        <v>89</v>
      </c>
      <c r="T350" s="7" t="str">
        <f>INDEX(Detail!$E$1:$E$1001,MATCH(Main!B350,Detail!$G$1:$G$1001,0))</f>
        <v>Gg. Jamika No. 10</v>
      </c>
      <c r="U350" s="7" t="str">
        <f>INDEX(Detail!$B$1:$B$1001,MATCH(B350,Detail!$G$1:$G$1001,0),1)</f>
        <v>B+</v>
      </c>
    </row>
    <row r="351" spans="1:21" ht="15.75" x14ac:dyDescent="0.25">
      <c r="A351">
        <v>230</v>
      </c>
      <c r="B351" s="3" t="str">
        <f t="shared" si="13"/>
        <v>C0230</v>
      </c>
      <c r="C351" t="s">
        <v>1012</v>
      </c>
      <c r="D351" s="3" t="str">
        <f>VLOOKUP(B351,Detail!$G$1:$H$1001,2,FALSE)</f>
        <v>Jagapati Situmorang</v>
      </c>
      <c r="E351">
        <v>77</v>
      </c>
      <c r="F351">
        <v>53</v>
      </c>
      <c r="G351" s="35">
        <v>68</v>
      </c>
      <c r="H351">
        <v>65</v>
      </c>
      <c r="I351">
        <v>55</v>
      </c>
      <c r="J351">
        <v>47</v>
      </c>
      <c r="K351">
        <v>77</v>
      </c>
      <c r="L351" s="26">
        <f>IFERROR(VLOOKUP(B351,Absen!$A$1:$C$501,2,FALSE),"No")</f>
        <v>44864</v>
      </c>
      <c r="M351" s="44">
        <f t="shared" si="14"/>
        <v>6.7</v>
      </c>
      <c r="N351" s="35">
        <f t="shared" si="15"/>
        <v>60.95</v>
      </c>
      <c r="O351" t="str">
        <f>VLOOKUP(N351,Helper!$B$30:$C$35,2,TRUE)</f>
        <v>C</v>
      </c>
      <c r="P351" s="26">
        <f>INDEX(Detail!$A$1:$A$1001,MATCH(B351,Detail!$G$1:$G$1001,0))</f>
        <v>37113</v>
      </c>
      <c r="Q351" s="3" t="str">
        <f>INDEX(Detail!$F$1:$F$1001,MATCH(Main!B351,Detail!$G$1:$G$1001,0))</f>
        <v>Pontianak</v>
      </c>
      <c r="R351" s="7">
        <f>INDEX(Detail!$C$1:$C$1001,MATCH(B351,Detail!$G$1:$G$1001,0),1)</f>
        <v>174</v>
      </c>
      <c r="S351" s="7">
        <f>INDEX(Detail!$D$1:$D$1001,MATCH(B351,Detail!$G$1:$G$1001,0),1)</f>
        <v>74</v>
      </c>
      <c r="T351" s="7" t="str">
        <f>INDEX(Detail!$E$1:$E$1001,MATCH(Main!B351,Detail!$G$1:$G$1001,0))</f>
        <v>Gang H.J Maemunah No. 15</v>
      </c>
      <c r="U351" s="7" t="str">
        <f>INDEX(Detail!$B$1:$B$1001,MATCH(B351,Detail!$G$1:$G$1001,0),1)</f>
        <v>A-</v>
      </c>
    </row>
    <row r="352" spans="1:21" ht="15.75" x14ac:dyDescent="0.25">
      <c r="A352">
        <v>237</v>
      </c>
      <c r="B352" s="3" t="str">
        <f t="shared" si="13"/>
        <v>C0237</v>
      </c>
      <c r="C352" t="s">
        <v>1012</v>
      </c>
      <c r="D352" s="3" t="str">
        <f>VLOOKUP(B352,Detail!$G$1:$H$1001,2,FALSE)</f>
        <v>Lala Gunarto</v>
      </c>
      <c r="E352">
        <v>52</v>
      </c>
      <c r="F352">
        <v>74</v>
      </c>
      <c r="G352" s="35">
        <v>73</v>
      </c>
      <c r="H352">
        <v>51</v>
      </c>
      <c r="I352">
        <v>54</v>
      </c>
      <c r="J352">
        <v>57</v>
      </c>
      <c r="K352">
        <v>89</v>
      </c>
      <c r="L352" s="26" t="str">
        <f>IFERROR(VLOOKUP(B352,Absen!$A$1:$C$501,2,FALSE),"No")</f>
        <v>No</v>
      </c>
      <c r="M352" s="44">
        <f t="shared" si="14"/>
        <v>8.9</v>
      </c>
      <c r="N352" s="35">
        <f t="shared" si="15"/>
        <v>63.774999999999999</v>
      </c>
      <c r="O352" t="str">
        <f>VLOOKUP(N352,Helper!$B$30:$C$35,2,TRUE)</f>
        <v>C</v>
      </c>
      <c r="P352" s="26">
        <f>INDEX(Detail!$A$1:$A$1001,MATCH(B352,Detail!$G$1:$G$1001,0))</f>
        <v>37967</v>
      </c>
      <c r="Q352" s="3" t="str">
        <f>INDEX(Detail!$F$1:$F$1001,MATCH(Main!B352,Detail!$G$1:$G$1001,0))</f>
        <v>Medan</v>
      </c>
      <c r="R352" s="7">
        <f>INDEX(Detail!$C$1:$C$1001,MATCH(B352,Detail!$G$1:$G$1001,0),1)</f>
        <v>178</v>
      </c>
      <c r="S352" s="7">
        <f>INDEX(Detail!$D$1:$D$1001,MATCH(B352,Detail!$G$1:$G$1001,0),1)</f>
        <v>56</v>
      </c>
      <c r="T352" s="7" t="str">
        <f>INDEX(Detail!$E$1:$E$1001,MATCH(Main!B352,Detail!$G$1:$G$1001,0))</f>
        <v>Gg. Ir. H. Djuanda No. 36</v>
      </c>
      <c r="U352" s="7" t="str">
        <f>INDEX(Detail!$B$1:$B$1001,MATCH(B352,Detail!$G$1:$G$1001,0),1)</f>
        <v>AB+</v>
      </c>
    </row>
    <row r="353" spans="1:21" ht="15.75" x14ac:dyDescent="0.25">
      <c r="A353">
        <v>240</v>
      </c>
      <c r="B353" s="3" t="str">
        <f t="shared" si="13"/>
        <v>C0240</v>
      </c>
      <c r="C353" t="s">
        <v>1012</v>
      </c>
      <c r="D353" s="3" t="str">
        <f>VLOOKUP(B353,Detail!$G$1:$H$1001,2,FALSE)</f>
        <v>Kanda Pratiwi</v>
      </c>
      <c r="E353">
        <v>52</v>
      </c>
      <c r="F353">
        <v>44</v>
      </c>
      <c r="G353" s="35">
        <v>86</v>
      </c>
      <c r="H353">
        <v>51</v>
      </c>
      <c r="I353">
        <v>85</v>
      </c>
      <c r="J353">
        <v>100</v>
      </c>
      <c r="K353">
        <v>70</v>
      </c>
      <c r="L353" s="26">
        <f>IFERROR(VLOOKUP(B353,Absen!$A$1:$C$501,2,FALSE),"No")</f>
        <v>44899</v>
      </c>
      <c r="M353" s="44">
        <f t="shared" si="14"/>
        <v>6</v>
      </c>
      <c r="N353" s="35">
        <f t="shared" si="15"/>
        <v>72.2</v>
      </c>
      <c r="O353" t="str">
        <f>VLOOKUP(N353,Helper!$B$30:$C$35,2,TRUE)</f>
        <v>B</v>
      </c>
      <c r="P353" s="26">
        <f>INDEX(Detail!$A$1:$A$1001,MATCH(B353,Detail!$G$1:$G$1001,0))</f>
        <v>38353</v>
      </c>
      <c r="Q353" s="3" t="str">
        <f>INDEX(Detail!$F$1:$F$1001,MATCH(Main!B353,Detail!$G$1:$G$1001,0))</f>
        <v>Lubuklinggau</v>
      </c>
      <c r="R353" s="7">
        <f>INDEX(Detail!$C$1:$C$1001,MATCH(B353,Detail!$G$1:$G$1001,0),1)</f>
        <v>176</v>
      </c>
      <c r="S353" s="7">
        <f>INDEX(Detail!$D$1:$D$1001,MATCH(B353,Detail!$G$1:$G$1001,0),1)</f>
        <v>65</v>
      </c>
      <c r="T353" s="7" t="str">
        <f>INDEX(Detail!$E$1:$E$1001,MATCH(Main!B353,Detail!$G$1:$G$1001,0))</f>
        <v>Jl. Rawamangun No. 71</v>
      </c>
      <c r="U353" s="7" t="str">
        <f>INDEX(Detail!$B$1:$B$1001,MATCH(B353,Detail!$G$1:$G$1001,0),1)</f>
        <v>A-</v>
      </c>
    </row>
    <row r="354" spans="1:21" ht="15.75" x14ac:dyDescent="0.25">
      <c r="A354">
        <v>246</v>
      </c>
      <c r="B354" s="3" t="str">
        <f t="shared" si="13"/>
        <v>C0246</v>
      </c>
      <c r="C354" t="s">
        <v>1012</v>
      </c>
      <c r="D354" s="3" t="str">
        <f>VLOOKUP(B354,Detail!$G$1:$H$1001,2,FALSE)</f>
        <v>Dirja Nashiruddin</v>
      </c>
      <c r="E354">
        <v>65</v>
      </c>
      <c r="F354">
        <v>53</v>
      </c>
      <c r="G354" s="35">
        <v>78</v>
      </c>
      <c r="H354">
        <v>52</v>
      </c>
      <c r="I354">
        <v>92</v>
      </c>
      <c r="J354">
        <v>96</v>
      </c>
      <c r="K354">
        <v>77</v>
      </c>
      <c r="L354" s="26" t="str">
        <f>IFERROR(VLOOKUP(B354,Absen!$A$1:$C$501,2,FALSE),"No")</f>
        <v>No</v>
      </c>
      <c r="M354" s="44">
        <f t="shared" si="14"/>
        <v>7.7</v>
      </c>
      <c r="N354" s="35">
        <f t="shared" si="15"/>
        <v>75.250000000000014</v>
      </c>
      <c r="O354" t="str">
        <f>VLOOKUP(N354,Helper!$B$30:$C$35,2,TRUE)</f>
        <v>B</v>
      </c>
      <c r="P354" s="26">
        <f>INDEX(Detail!$A$1:$A$1001,MATCH(B354,Detail!$G$1:$G$1001,0))</f>
        <v>37713</v>
      </c>
      <c r="Q354" s="3" t="str">
        <f>INDEX(Detail!$F$1:$F$1001,MATCH(Main!B354,Detail!$G$1:$G$1001,0))</f>
        <v>Semarang</v>
      </c>
      <c r="R354" s="7">
        <f>INDEX(Detail!$C$1:$C$1001,MATCH(B354,Detail!$G$1:$G$1001,0),1)</f>
        <v>177</v>
      </c>
      <c r="S354" s="7">
        <f>INDEX(Detail!$D$1:$D$1001,MATCH(B354,Detail!$G$1:$G$1001,0),1)</f>
        <v>52</v>
      </c>
      <c r="T354" s="7" t="str">
        <f>INDEX(Detail!$E$1:$E$1001,MATCH(Main!B354,Detail!$G$1:$G$1001,0))</f>
        <v>Gang K.H. Wahid Hasyim No. 54</v>
      </c>
      <c r="U354" s="7" t="str">
        <f>INDEX(Detail!$B$1:$B$1001,MATCH(B354,Detail!$G$1:$G$1001,0),1)</f>
        <v>AB+</v>
      </c>
    </row>
    <row r="355" spans="1:21" ht="15.75" x14ac:dyDescent="0.25">
      <c r="A355">
        <v>247</v>
      </c>
      <c r="B355" s="3" t="str">
        <f t="shared" si="13"/>
        <v>C0247</v>
      </c>
      <c r="C355" t="s">
        <v>1012</v>
      </c>
      <c r="D355" s="3" t="str">
        <f>VLOOKUP(B355,Detail!$G$1:$H$1001,2,FALSE)</f>
        <v>Hasta Utami</v>
      </c>
      <c r="E355">
        <v>78</v>
      </c>
      <c r="F355">
        <v>62</v>
      </c>
      <c r="G355" s="35">
        <v>94</v>
      </c>
      <c r="H355">
        <v>75</v>
      </c>
      <c r="I355">
        <v>93</v>
      </c>
      <c r="J355">
        <v>100</v>
      </c>
      <c r="K355">
        <v>79</v>
      </c>
      <c r="L355" s="26" t="str">
        <f>IFERROR(VLOOKUP(B355,Absen!$A$1:$C$501,2,FALSE),"No")</f>
        <v>No</v>
      </c>
      <c r="M355" s="44">
        <f t="shared" si="14"/>
        <v>7.9</v>
      </c>
      <c r="N355" s="35">
        <f t="shared" si="15"/>
        <v>85.2</v>
      </c>
      <c r="O355" t="str">
        <f>VLOOKUP(N355,Helper!$B$30:$C$35,2,TRUE)</f>
        <v>A</v>
      </c>
      <c r="P355" s="26">
        <f>INDEX(Detail!$A$1:$A$1001,MATCH(B355,Detail!$G$1:$G$1001,0))</f>
        <v>38403</v>
      </c>
      <c r="Q355" s="3" t="str">
        <f>INDEX(Detail!$F$1:$F$1001,MATCH(Main!B355,Detail!$G$1:$G$1001,0))</f>
        <v>Pangkalpinang</v>
      </c>
      <c r="R355" s="7">
        <f>INDEX(Detail!$C$1:$C$1001,MATCH(B355,Detail!$G$1:$G$1001,0),1)</f>
        <v>177</v>
      </c>
      <c r="S355" s="7">
        <f>INDEX(Detail!$D$1:$D$1001,MATCH(B355,Detail!$G$1:$G$1001,0),1)</f>
        <v>85</v>
      </c>
      <c r="T355" s="7" t="str">
        <f>INDEX(Detail!$E$1:$E$1001,MATCH(Main!B355,Detail!$G$1:$G$1001,0))</f>
        <v>Gg. Suniaraja No. 09</v>
      </c>
      <c r="U355" s="7" t="str">
        <f>INDEX(Detail!$B$1:$B$1001,MATCH(B355,Detail!$G$1:$G$1001,0),1)</f>
        <v>AB+</v>
      </c>
    </row>
    <row r="356" spans="1:21" ht="15.75" x14ac:dyDescent="0.25">
      <c r="A356">
        <v>250</v>
      </c>
      <c r="B356" s="3" t="str">
        <f t="shared" si="13"/>
        <v>C0250</v>
      </c>
      <c r="C356" t="s">
        <v>1012</v>
      </c>
      <c r="D356" s="3" t="str">
        <f>VLOOKUP(B356,Detail!$G$1:$H$1001,2,FALSE)</f>
        <v>Qori Hidayat</v>
      </c>
      <c r="E356">
        <v>60</v>
      </c>
      <c r="F356">
        <v>48</v>
      </c>
      <c r="G356" s="35">
        <v>38</v>
      </c>
      <c r="H356">
        <v>53</v>
      </c>
      <c r="I356">
        <v>86</v>
      </c>
      <c r="J356">
        <v>54</v>
      </c>
      <c r="K356">
        <v>60</v>
      </c>
      <c r="L356" s="26">
        <f>IFERROR(VLOOKUP(B356,Absen!$A$1:$C$501,2,FALSE),"No")</f>
        <v>44871</v>
      </c>
      <c r="M356" s="44">
        <f t="shared" si="14"/>
        <v>5</v>
      </c>
      <c r="N356" s="35">
        <f t="shared" si="15"/>
        <v>54.275000000000006</v>
      </c>
      <c r="O356" t="str">
        <f>VLOOKUP(N356,Helper!$B$30:$C$35,2,TRUE)</f>
        <v>D</v>
      </c>
      <c r="P356" s="26">
        <f>INDEX(Detail!$A$1:$A$1001,MATCH(B356,Detail!$G$1:$G$1001,0))</f>
        <v>37885</v>
      </c>
      <c r="Q356" s="3" t="str">
        <f>INDEX(Detail!$F$1:$F$1001,MATCH(Main!B356,Detail!$G$1:$G$1001,0))</f>
        <v>Banda Aceh</v>
      </c>
      <c r="R356" s="7">
        <f>INDEX(Detail!$C$1:$C$1001,MATCH(B356,Detail!$G$1:$G$1001,0),1)</f>
        <v>163</v>
      </c>
      <c r="S356" s="7">
        <f>INDEX(Detail!$D$1:$D$1001,MATCH(B356,Detail!$G$1:$G$1001,0),1)</f>
        <v>85</v>
      </c>
      <c r="T356" s="7" t="str">
        <f>INDEX(Detail!$E$1:$E$1001,MATCH(Main!B356,Detail!$G$1:$G$1001,0))</f>
        <v>Jalan Gegerkalong Hilir No. 96</v>
      </c>
      <c r="U356" s="7" t="str">
        <f>INDEX(Detail!$B$1:$B$1001,MATCH(B356,Detail!$G$1:$G$1001,0),1)</f>
        <v>O-</v>
      </c>
    </row>
    <row r="357" spans="1:21" ht="15.75" x14ac:dyDescent="0.25">
      <c r="A357">
        <v>253</v>
      </c>
      <c r="B357" s="3" t="str">
        <f t="shared" si="13"/>
        <v>C0253</v>
      </c>
      <c r="C357" t="s">
        <v>1012</v>
      </c>
      <c r="D357" s="3" t="str">
        <f>VLOOKUP(B357,Detail!$G$1:$H$1001,2,FALSE)</f>
        <v>Raden Rahayu</v>
      </c>
      <c r="E357">
        <v>65</v>
      </c>
      <c r="F357">
        <v>40</v>
      </c>
      <c r="G357" s="35">
        <v>85</v>
      </c>
      <c r="H357">
        <v>61</v>
      </c>
      <c r="I357">
        <v>94</v>
      </c>
      <c r="J357">
        <v>41</v>
      </c>
      <c r="K357">
        <v>78</v>
      </c>
      <c r="L357" s="26">
        <f>IFERROR(VLOOKUP(B357,Absen!$A$1:$C$501,2,FALSE),"No")</f>
        <v>44859</v>
      </c>
      <c r="M357" s="44">
        <f t="shared" si="14"/>
        <v>6.8000000000000007</v>
      </c>
      <c r="N357" s="35">
        <f t="shared" si="15"/>
        <v>64.5</v>
      </c>
      <c r="O357" t="str">
        <f>VLOOKUP(N357,Helper!$B$30:$C$35,2,TRUE)</f>
        <v>C</v>
      </c>
      <c r="P357" s="26">
        <f>INDEX(Detail!$A$1:$A$1001,MATCH(B357,Detail!$G$1:$G$1001,0))</f>
        <v>37099</v>
      </c>
      <c r="Q357" s="3" t="str">
        <f>INDEX(Detail!$F$1:$F$1001,MATCH(Main!B357,Detail!$G$1:$G$1001,0))</f>
        <v>Pekanbaru</v>
      </c>
      <c r="R357" s="7">
        <f>INDEX(Detail!$C$1:$C$1001,MATCH(B357,Detail!$G$1:$G$1001,0),1)</f>
        <v>176</v>
      </c>
      <c r="S357" s="7">
        <f>INDEX(Detail!$D$1:$D$1001,MATCH(B357,Detail!$G$1:$G$1001,0),1)</f>
        <v>78</v>
      </c>
      <c r="T357" s="7" t="str">
        <f>INDEX(Detail!$E$1:$E$1001,MATCH(Main!B357,Detail!$G$1:$G$1001,0))</f>
        <v xml:space="preserve">Gang Dipatiukur No. 7
</v>
      </c>
      <c r="U357" s="7" t="str">
        <f>INDEX(Detail!$B$1:$B$1001,MATCH(B357,Detail!$G$1:$G$1001,0),1)</f>
        <v>O+</v>
      </c>
    </row>
    <row r="358" spans="1:21" ht="15.75" x14ac:dyDescent="0.25">
      <c r="A358">
        <v>258</v>
      </c>
      <c r="B358" s="3" t="str">
        <f t="shared" si="13"/>
        <v>C0258</v>
      </c>
      <c r="C358" t="s">
        <v>1012</v>
      </c>
      <c r="D358" s="3" t="str">
        <f>VLOOKUP(B358,Detail!$G$1:$H$1001,2,FALSE)</f>
        <v>Ghani Hariyah</v>
      </c>
      <c r="E358">
        <v>61</v>
      </c>
      <c r="F358">
        <v>61</v>
      </c>
      <c r="G358" s="35">
        <v>53</v>
      </c>
      <c r="H358">
        <v>60</v>
      </c>
      <c r="I358">
        <v>81</v>
      </c>
      <c r="J358">
        <v>48</v>
      </c>
      <c r="K358">
        <v>87</v>
      </c>
      <c r="L358" s="26" t="str">
        <f>IFERROR(VLOOKUP(B358,Absen!$A$1:$C$501,2,FALSE),"No")</f>
        <v>No</v>
      </c>
      <c r="M358" s="44">
        <f t="shared" si="14"/>
        <v>8.7000000000000011</v>
      </c>
      <c r="N358" s="35">
        <f t="shared" si="15"/>
        <v>61.775000000000006</v>
      </c>
      <c r="O358" t="str">
        <f>VLOOKUP(N358,Helper!$B$30:$C$35,2,TRUE)</f>
        <v>C</v>
      </c>
      <c r="P358" s="26">
        <f>INDEX(Detail!$A$1:$A$1001,MATCH(B358,Detail!$G$1:$G$1001,0))</f>
        <v>37447</v>
      </c>
      <c r="Q358" s="3" t="str">
        <f>INDEX(Detail!$F$1:$F$1001,MATCH(Main!B358,Detail!$G$1:$G$1001,0))</f>
        <v>Denpasar</v>
      </c>
      <c r="R358" s="7">
        <f>INDEX(Detail!$C$1:$C$1001,MATCH(B358,Detail!$G$1:$G$1001,0),1)</f>
        <v>177</v>
      </c>
      <c r="S358" s="7">
        <f>INDEX(Detail!$D$1:$D$1001,MATCH(B358,Detail!$G$1:$G$1001,0),1)</f>
        <v>87</v>
      </c>
      <c r="T358" s="7" t="str">
        <f>INDEX(Detail!$E$1:$E$1001,MATCH(Main!B358,Detail!$G$1:$G$1001,0))</f>
        <v>Jl. Abdul Muis No. 10</v>
      </c>
      <c r="U358" s="7" t="str">
        <f>INDEX(Detail!$B$1:$B$1001,MATCH(B358,Detail!$G$1:$G$1001,0),1)</f>
        <v>B-</v>
      </c>
    </row>
    <row r="359" spans="1:21" ht="15.75" x14ac:dyDescent="0.25">
      <c r="A359">
        <v>260</v>
      </c>
      <c r="B359" s="3" t="str">
        <f t="shared" si="13"/>
        <v>C0260</v>
      </c>
      <c r="C359" t="s">
        <v>1012</v>
      </c>
      <c r="D359" s="3" t="str">
        <f>VLOOKUP(B359,Detail!$G$1:$H$1001,2,FALSE)</f>
        <v>Ajiman Puspasari</v>
      </c>
      <c r="E359">
        <v>93</v>
      </c>
      <c r="F359">
        <v>50</v>
      </c>
      <c r="G359" s="35">
        <v>39</v>
      </c>
      <c r="H359">
        <v>64</v>
      </c>
      <c r="I359">
        <v>86</v>
      </c>
      <c r="J359">
        <v>74</v>
      </c>
      <c r="K359">
        <v>83</v>
      </c>
      <c r="L359" s="26" t="str">
        <f>IFERROR(VLOOKUP(B359,Absen!$A$1:$C$501,2,FALSE),"No")</f>
        <v>No</v>
      </c>
      <c r="M359" s="44">
        <f t="shared" si="14"/>
        <v>8.3000000000000007</v>
      </c>
      <c r="N359" s="35">
        <f t="shared" si="15"/>
        <v>67.524999999999991</v>
      </c>
      <c r="O359" t="str">
        <f>VLOOKUP(N359,Helper!$B$30:$C$35,2,TRUE)</f>
        <v>C</v>
      </c>
      <c r="P359" s="26">
        <f>INDEX(Detail!$A$1:$A$1001,MATCH(B359,Detail!$G$1:$G$1001,0))</f>
        <v>37037</v>
      </c>
      <c r="Q359" s="3" t="str">
        <f>INDEX(Detail!$F$1:$F$1001,MATCH(Main!B359,Detail!$G$1:$G$1001,0))</f>
        <v>Dumai</v>
      </c>
      <c r="R359" s="7">
        <f>INDEX(Detail!$C$1:$C$1001,MATCH(B359,Detail!$G$1:$G$1001,0),1)</f>
        <v>163</v>
      </c>
      <c r="S359" s="7">
        <f>INDEX(Detail!$D$1:$D$1001,MATCH(B359,Detail!$G$1:$G$1001,0),1)</f>
        <v>56</v>
      </c>
      <c r="T359" s="7" t="str">
        <f>INDEX(Detail!$E$1:$E$1001,MATCH(Main!B359,Detail!$G$1:$G$1001,0))</f>
        <v>Jl. Ciwastra No. 68</v>
      </c>
      <c r="U359" s="7" t="str">
        <f>INDEX(Detail!$B$1:$B$1001,MATCH(B359,Detail!$G$1:$G$1001,0),1)</f>
        <v>B-</v>
      </c>
    </row>
    <row r="360" spans="1:21" ht="15.75" x14ac:dyDescent="0.25">
      <c r="A360">
        <v>273</v>
      </c>
      <c r="B360" s="3" t="str">
        <f t="shared" si="13"/>
        <v>C0273</v>
      </c>
      <c r="C360" t="s">
        <v>1012</v>
      </c>
      <c r="D360" s="3" t="str">
        <f>VLOOKUP(B360,Detail!$G$1:$H$1001,2,FALSE)</f>
        <v>Kamidin Tamba</v>
      </c>
      <c r="E360">
        <v>67</v>
      </c>
      <c r="F360">
        <v>63</v>
      </c>
      <c r="G360" s="35">
        <v>88</v>
      </c>
      <c r="H360">
        <v>72</v>
      </c>
      <c r="I360">
        <v>95</v>
      </c>
      <c r="J360">
        <v>57</v>
      </c>
      <c r="K360">
        <v>79</v>
      </c>
      <c r="L360" s="26">
        <f>IFERROR(VLOOKUP(B360,Absen!$A$1:$C$501,2,FALSE),"No")</f>
        <v>44838</v>
      </c>
      <c r="M360" s="44">
        <f t="shared" si="14"/>
        <v>6.9</v>
      </c>
      <c r="N360" s="35">
        <f t="shared" si="15"/>
        <v>73.025000000000006</v>
      </c>
      <c r="O360" t="str">
        <f>VLOOKUP(N360,Helper!$B$30:$C$35,2,TRUE)</f>
        <v>B</v>
      </c>
      <c r="P360" s="26">
        <f>INDEX(Detail!$A$1:$A$1001,MATCH(B360,Detail!$G$1:$G$1001,0))</f>
        <v>37608</v>
      </c>
      <c r="Q360" s="3" t="str">
        <f>INDEX(Detail!$F$1:$F$1001,MATCH(Main!B360,Detail!$G$1:$G$1001,0))</f>
        <v>Sungai Penuh</v>
      </c>
      <c r="R360" s="7">
        <f>INDEX(Detail!$C$1:$C$1001,MATCH(B360,Detail!$G$1:$G$1001,0),1)</f>
        <v>176</v>
      </c>
      <c r="S360" s="7">
        <f>INDEX(Detail!$D$1:$D$1001,MATCH(B360,Detail!$G$1:$G$1001,0),1)</f>
        <v>72</v>
      </c>
      <c r="T360" s="7" t="str">
        <f>INDEX(Detail!$E$1:$E$1001,MATCH(Main!B360,Detail!$G$1:$G$1001,0))</f>
        <v xml:space="preserve">Jalan BKR No. 3
</v>
      </c>
      <c r="U360" s="7" t="str">
        <f>INDEX(Detail!$B$1:$B$1001,MATCH(B360,Detail!$G$1:$G$1001,0),1)</f>
        <v>A-</v>
      </c>
    </row>
    <row r="361" spans="1:21" ht="15.75" x14ac:dyDescent="0.25">
      <c r="A361">
        <v>274</v>
      </c>
      <c r="B361" s="3" t="str">
        <f t="shared" si="13"/>
        <v>C0274</v>
      </c>
      <c r="C361" t="s">
        <v>1012</v>
      </c>
      <c r="D361" s="3" t="str">
        <f>VLOOKUP(B361,Detail!$G$1:$H$1001,2,FALSE)</f>
        <v>Laksana Maheswara</v>
      </c>
      <c r="E361">
        <v>64</v>
      </c>
      <c r="F361">
        <v>63</v>
      </c>
      <c r="G361" s="35">
        <v>93</v>
      </c>
      <c r="H361">
        <v>56</v>
      </c>
      <c r="I361">
        <v>89</v>
      </c>
      <c r="J361">
        <v>70</v>
      </c>
      <c r="K361">
        <v>74</v>
      </c>
      <c r="L361" s="26">
        <f>IFERROR(VLOOKUP(B361,Absen!$A$1:$C$501,2,FALSE),"No")</f>
        <v>44783</v>
      </c>
      <c r="M361" s="44">
        <f t="shared" si="14"/>
        <v>6.4</v>
      </c>
      <c r="N361" s="35">
        <f t="shared" si="15"/>
        <v>73</v>
      </c>
      <c r="O361" t="str">
        <f>VLOOKUP(N361,Helper!$B$30:$C$35,2,TRUE)</f>
        <v>B</v>
      </c>
      <c r="P361" s="26">
        <f>INDEX(Detail!$A$1:$A$1001,MATCH(B361,Detail!$G$1:$G$1001,0))</f>
        <v>38198</v>
      </c>
      <c r="Q361" s="3" t="str">
        <f>INDEX(Detail!$F$1:$F$1001,MATCH(Main!B361,Detail!$G$1:$G$1001,0))</f>
        <v>Sukabumi</v>
      </c>
      <c r="R361" s="7">
        <f>INDEX(Detail!$C$1:$C$1001,MATCH(B361,Detail!$G$1:$G$1001,0),1)</f>
        <v>172</v>
      </c>
      <c r="S361" s="7">
        <f>INDEX(Detail!$D$1:$D$1001,MATCH(B361,Detail!$G$1:$G$1001,0),1)</f>
        <v>79</v>
      </c>
      <c r="T361" s="7" t="str">
        <f>INDEX(Detail!$E$1:$E$1001,MATCH(Main!B361,Detail!$G$1:$G$1001,0))</f>
        <v>Gang Sadang Serang No. 57</v>
      </c>
      <c r="U361" s="7" t="str">
        <f>INDEX(Detail!$B$1:$B$1001,MATCH(B361,Detail!$G$1:$G$1001,0),1)</f>
        <v>A-</v>
      </c>
    </row>
    <row r="362" spans="1:21" ht="15.75" x14ac:dyDescent="0.25">
      <c r="A362">
        <v>275</v>
      </c>
      <c r="B362" s="3" t="str">
        <f t="shared" si="13"/>
        <v>C0275</v>
      </c>
      <c r="C362" t="s">
        <v>1012</v>
      </c>
      <c r="D362" s="3" t="str">
        <f>VLOOKUP(B362,Detail!$G$1:$H$1001,2,FALSE)</f>
        <v>Nabila Hidayat</v>
      </c>
      <c r="E362">
        <v>93</v>
      </c>
      <c r="F362">
        <v>68</v>
      </c>
      <c r="G362" s="35">
        <v>90</v>
      </c>
      <c r="H362">
        <v>66</v>
      </c>
      <c r="I362">
        <v>90</v>
      </c>
      <c r="J362">
        <v>40</v>
      </c>
      <c r="K362">
        <v>72</v>
      </c>
      <c r="L362" s="26">
        <f>IFERROR(VLOOKUP(B362,Absen!$A$1:$C$501,2,FALSE),"No")</f>
        <v>44887</v>
      </c>
      <c r="M362" s="44">
        <f t="shared" si="14"/>
        <v>6.2</v>
      </c>
      <c r="N362" s="35">
        <f t="shared" si="15"/>
        <v>71.825000000000003</v>
      </c>
      <c r="O362" t="str">
        <f>VLOOKUP(N362,Helper!$B$30:$C$35,2,TRUE)</f>
        <v>B</v>
      </c>
      <c r="P362" s="26">
        <f>INDEX(Detail!$A$1:$A$1001,MATCH(B362,Detail!$G$1:$G$1001,0))</f>
        <v>37815</v>
      </c>
      <c r="Q362" s="3" t="str">
        <f>INDEX(Detail!$F$1:$F$1001,MATCH(Main!B362,Detail!$G$1:$G$1001,0))</f>
        <v>Kupang</v>
      </c>
      <c r="R362" s="7">
        <f>INDEX(Detail!$C$1:$C$1001,MATCH(B362,Detail!$G$1:$G$1001,0),1)</f>
        <v>176</v>
      </c>
      <c r="S362" s="7">
        <f>INDEX(Detail!$D$1:$D$1001,MATCH(B362,Detail!$G$1:$G$1001,0),1)</f>
        <v>84</v>
      </c>
      <c r="T362" s="7" t="str">
        <f>INDEX(Detail!$E$1:$E$1001,MATCH(Main!B362,Detail!$G$1:$G$1001,0))</f>
        <v>Jl. Setiabudhi No. 78</v>
      </c>
      <c r="U362" s="7" t="str">
        <f>INDEX(Detail!$B$1:$B$1001,MATCH(B362,Detail!$G$1:$G$1001,0),1)</f>
        <v>A+</v>
      </c>
    </row>
    <row r="363" spans="1:21" ht="15.75" x14ac:dyDescent="0.25">
      <c r="A363">
        <v>278</v>
      </c>
      <c r="B363" s="3" t="str">
        <f t="shared" si="13"/>
        <v>C0278</v>
      </c>
      <c r="C363" t="s">
        <v>1012</v>
      </c>
      <c r="D363" s="3" t="str">
        <f>VLOOKUP(B363,Detail!$G$1:$H$1001,2,FALSE)</f>
        <v>Dwi Permadi</v>
      </c>
      <c r="E363">
        <v>82</v>
      </c>
      <c r="F363">
        <v>63</v>
      </c>
      <c r="G363" s="35">
        <v>38</v>
      </c>
      <c r="H363">
        <v>63</v>
      </c>
      <c r="I363">
        <v>83</v>
      </c>
      <c r="J363">
        <v>54</v>
      </c>
      <c r="K363">
        <v>78</v>
      </c>
      <c r="L363" s="26" t="str">
        <f>IFERROR(VLOOKUP(B363,Absen!$A$1:$C$501,2,FALSE),"No")</f>
        <v>No</v>
      </c>
      <c r="M363" s="44">
        <f t="shared" si="14"/>
        <v>7.8000000000000007</v>
      </c>
      <c r="N363" s="35">
        <f t="shared" si="15"/>
        <v>62.575000000000003</v>
      </c>
      <c r="O363" t="str">
        <f>VLOOKUP(N363,Helper!$B$30:$C$35,2,TRUE)</f>
        <v>C</v>
      </c>
      <c r="P363" s="26">
        <f>INDEX(Detail!$A$1:$A$1001,MATCH(B363,Detail!$G$1:$G$1001,0))</f>
        <v>37365</v>
      </c>
      <c r="Q363" s="3" t="str">
        <f>INDEX(Detail!$F$1:$F$1001,MATCH(Main!B363,Detail!$G$1:$G$1001,0))</f>
        <v>Padang</v>
      </c>
      <c r="R363" s="7">
        <f>INDEX(Detail!$C$1:$C$1001,MATCH(B363,Detail!$G$1:$G$1001,0),1)</f>
        <v>175</v>
      </c>
      <c r="S363" s="7">
        <f>INDEX(Detail!$D$1:$D$1001,MATCH(B363,Detail!$G$1:$G$1001,0),1)</f>
        <v>46</v>
      </c>
      <c r="T363" s="7" t="str">
        <f>INDEX(Detail!$E$1:$E$1001,MATCH(Main!B363,Detail!$G$1:$G$1001,0))</f>
        <v xml:space="preserve">Gg. Ciumbuleuit No. 1
</v>
      </c>
      <c r="U363" s="7" t="str">
        <f>INDEX(Detail!$B$1:$B$1001,MATCH(B363,Detail!$G$1:$G$1001,0),1)</f>
        <v>B+</v>
      </c>
    </row>
    <row r="364" spans="1:21" ht="15.75" x14ac:dyDescent="0.25">
      <c r="A364">
        <v>286</v>
      </c>
      <c r="B364" s="3" t="str">
        <f t="shared" si="13"/>
        <v>C0286</v>
      </c>
      <c r="C364" t="s">
        <v>1012</v>
      </c>
      <c r="D364" s="3" t="str">
        <f>VLOOKUP(B364,Detail!$G$1:$H$1001,2,FALSE)</f>
        <v>Narji Suryono</v>
      </c>
      <c r="E364">
        <v>92</v>
      </c>
      <c r="F364">
        <v>51</v>
      </c>
      <c r="G364" s="35">
        <v>77</v>
      </c>
      <c r="H364">
        <v>63</v>
      </c>
      <c r="I364">
        <v>52</v>
      </c>
      <c r="J364">
        <v>60</v>
      </c>
      <c r="K364">
        <v>62</v>
      </c>
      <c r="L364" s="26">
        <f>IFERROR(VLOOKUP(B364,Absen!$A$1:$C$501,2,FALSE),"No")</f>
        <v>44838</v>
      </c>
      <c r="M364" s="44">
        <f t="shared" si="14"/>
        <v>5.2</v>
      </c>
      <c r="N364" s="35">
        <f t="shared" si="15"/>
        <v>64.849999999999994</v>
      </c>
      <c r="O364" t="str">
        <f>VLOOKUP(N364,Helper!$B$30:$C$35,2,TRUE)</f>
        <v>C</v>
      </c>
      <c r="P364" s="26">
        <f>INDEX(Detail!$A$1:$A$1001,MATCH(B364,Detail!$G$1:$G$1001,0))</f>
        <v>38392</v>
      </c>
      <c r="Q364" s="3" t="str">
        <f>INDEX(Detail!$F$1:$F$1001,MATCH(Main!B364,Detail!$G$1:$G$1001,0))</f>
        <v>Surabaya</v>
      </c>
      <c r="R364" s="7">
        <f>INDEX(Detail!$C$1:$C$1001,MATCH(B364,Detail!$G$1:$G$1001,0),1)</f>
        <v>151</v>
      </c>
      <c r="S364" s="7">
        <f>INDEX(Detail!$D$1:$D$1001,MATCH(B364,Detail!$G$1:$G$1001,0),1)</f>
        <v>78</v>
      </c>
      <c r="T364" s="7" t="str">
        <f>INDEX(Detail!$E$1:$E$1001,MATCH(Main!B364,Detail!$G$1:$G$1001,0))</f>
        <v>Gang Kiaracondong No. 53</v>
      </c>
      <c r="U364" s="7" t="str">
        <f>INDEX(Detail!$B$1:$B$1001,MATCH(B364,Detail!$G$1:$G$1001,0),1)</f>
        <v>O+</v>
      </c>
    </row>
    <row r="365" spans="1:21" ht="15.75" x14ac:dyDescent="0.25">
      <c r="A365">
        <v>290</v>
      </c>
      <c r="B365" s="3" t="str">
        <f t="shared" si="13"/>
        <v>C0290</v>
      </c>
      <c r="C365" t="s">
        <v>1012</v>
      </c>
      <c r="D365" s="3" t="str">
        <f>VLOOKUP(B365,Detail!$G$1:$H$1001,2,FALSE)</f>
        <v>Rahmat Saputra</v>
      </c>
      <c r="E365">
        <v>61</v>
      </c>
      <c r="F365">
        <v>55</v>
      </c>
      <c r="G365" s="35">
        <v>33</v>
      </c>
      <c r="H365">
        <v>60</v>
      </c>
      <c r="I365">
        <v>63</v>
      </c>
      <c r="J365">
        <v>71</v>
      </c>
      <c r="K365">
        <v>61</v>
      </c>
      <c r="L365" s="26">
        <f>IFERROR(VLOOKUP(B365,Absen!$A$1:$C$501,2,FALSE),"No")</f>
        <v>44827</v>
      </c>
      <c r="M365" s="44">
        <f t="shared" si="14"/>
        <v>5.1000000000000005</v>
      </c>
      <c r="N365" s="35">
        <f t="shared" si="15"/>
        <v>55.775000000000006</v>
      </c>
      <c r="O365" t="str">
        <f>VLOOKUP(N365,Helper!$B$30:$C$35,2,TRUE)</f>
        <v>D</v>
      </c>
      <c r="P365" s="26">
        <f>INDEX(Detail!$A$1:$A$1001,MATCH(B365,Detail!$G$1:$G$1001,0))</f>
        <v>38065</v>
      </c>
      <c r="Q365" s="3" t="str">
        <f>INDEX(Detail!$F$1:$F$1001,MATCH(Main!B365,Detail!$G$1:$G$1001,0))</f>
        <v>Denpasar</v>
      </c>
      <c r="R365" s="7">
        <f>INDEX(Detail!$C$1:$C$1001,MATCH(B365,Detail!$G$1:$G$1001,0),1)</f>
        <v>151</v>
      </c>
      <c r="S365" s="7">
        <f>INDEX(Detail!$D$1:$D$1001,MATCH(B365,Detail!$G$1:$G$1001,0),1)</f>
        <v>83</v>
      </c>
      <c r="T365" s="7" t="str">
        <f>INDEX(Detail!$E$1:$E$1001,MATCH(Main!B365,Detail!$G$1:$G$1001,0))</f>
        <v>Gg. M.T Haryono No. 33</v>
      </c>
      <c r="U365" s="7" t="str">
        <f>INDEX(Detail!$B$1:$B$1001,MATCH(B365,Detail!$G$1:$G$1001,0),1)</f>
        <v>A-</v>
      </c>
    </row>
    <row r="366" spans="1:21" ht="15.75" x14ac:dyDescent="0.25">
      <c r="A366">
        <v>297</v>
      </c>
      <c r="B366" s="3" t="str">
        <f t="shared" si="13"/>
        <v>C0297</v>
      </c>
      <c r="C366" t="s">
        <v>1012</v>
      </c>
      <c r="D366" s="3" t="str">
        <f>VLOOKUP(B366,Detail!$G$1:$H$1001,2,FALSE)</f>
        <v>Adikara Wahyudin</v>
      </c>
      <c r="E366">
        <v>55</v>
      </c>
      <c r="F366">
        <v>74</v>
      </c>
      <c r="G366" s="35">
        <v>83</v>
      </c>
      <c r="H366">
        <v>70</v>
      </c>
      <c r="I366">
        <v>52</v>
      </c>
      <c r="J366">
        <v>43</v>
      </c>
      <c r="K366">
        <v>61</v>
      </c>
      <c r="L366" s="26" t="str">
        <f>IFERROR(VLOOKUP(B366,Absen!$A$1:$C$501,2,FALSE),"No")</f>
        <v>No</v>
      </c>
      <c r="M366" s="44">
        <f t="shared" si="14"/>
        <v>6.1000000000000005</v>
      </c>
      <c r="N366" s="35">
        <f t="shared" si="15"/>
        <v>62.675000000000004</v>
      </c>
      <c r="O366" t="str">
        <f>VLOOKUP(N366,Helper!$B$30:$C$35,2,TRUE)</f>
        <v>C</v>
      </c>
      <c r="P366" s="26">
        <f>INDEX(Detail!$A$1:$A$1001,MATCH(B366,Detail!$G$1:$G$1001,0))</f>
        <v>37507</v>
      </c>
      <c r="Q366" s="3" t="str">
        <f>INDEX(Detail!$F$1:$F$1001,MATCH(Main!B366,Detail!$G$1:$G$1001,0))</f>
        <v>Payakumbuh</v>
      </c>
      <c r="R366" s="7">
        <f>INDEX(Detail!$C$1:$C$1001,MATCH(B366,Detail!$G$1:$G$1001,0),1)</f>
        <v>171</v>
      </c>
      <c r="S366" s="7">
        <f>INDEX(Detail!$D$1:$D$1001,MATCH(B366,Detail!$G$1:$G$1001,0),1)</f>
        <v>83</v>
      </c>
      <c r="T366" s="7" t="str">
        <f>INDEX(Detail!$E$1:$E$1001,MATCH(Main!B366,Detail!$G$1:$G$1001,0))</f>
        <v>Gg. Pasirkoja No. 93</v>
      </c>
      <c r="U366" s="7" t="str">
        <f>INDEX(Detail!$B$1:$B$1001,MATCH(B366,Detail!$G$1:$G$1001,0),1)</f>
        <v>A+</v>
      </c>
    </row>
    <row r="367" spans="1:21" ht="15.75" x14ac:dyDescent="0.25">
      <c r="A367">
        <v>298</v>
      </c>
      <c r="B367" s="3" t="str">
        <f t="shared" si="13"/>
        <v>C0298</v>
      </c>
      <c r="C367" t="s">
        <v>1012</v>
      </c>
      <c r="D367" s="3" t="str">
        <f>VLOOKUP(B367,Detail!$G$1:$H$1001,2,FALSE)</f>
        <v>Ganjaran Hartati</v>
      </c>
      <c r="E367">
        <v>89</v>
      </c>
      <c r="F367">
        <v>46</v>
      </c>
      <c r="G367" s="35">
        <v>68</v>
      </c>
      <c r="H367">
        <v>68</v>
      </c>
      <c r="I367">
        <v>72</v>
      </c>
      <c r="J367">
        <v>90</v>
      </c>
      <c r="K367">
        <v>68</v>
      </c>
      <c r="L367" s="26">
        <f>IFERROR(VLOOKUP(B367,Absen!$A$1:$C$501,2,FALSE),"No")</f>
        <v>44784</v>
      </c>
      <c r="M367" s="44">
        <f t="shared" si="14"/>
        <v>5.8000000000000007</v>
      </c>
      <c r="N367" s="35">
        <f t="shared" si="15"/>
        <v>71.774999999999991</v>
      </c>
      <c r="O367" t="str">
        <f>VLOOKUP(N367,Helper!$B$30:$C$35,2,TRUE)</f>
        <v>B</v>
      </c>
      <c r="P367" s="26">
        <f>INDEX(Detail!$A$1:$A$1001,MATCH(B367,Detail!$G$1:$G$1001,0))</f>
        <v>37212</v>
      </c>
      <c r="Q367" s="3" t="str">
        <f>INDEX(Detail!$F$1:$F$1001,MATCH(Main!B367,Detail!$G$1:$G$1001,0))</f>
        <v>Palangkaraya</v>
      </c>
      <c r="R367" s="7">
        <f>INDEX(Detail!$C$1:$C$1001,MATCH(B367,Detail!$G$1:$G$1001,0),1)</f>
        <v>150</v>
      </c>
      <c r="S367" s="7">
        <f>INDEX(Detail!$D$1:$D$1001,MATCH(B367,Detail!$G$1:$G$1001,0),1)</f>
        <v>78</v>
      </c>
      <c r="T367" s="7" t="str">
        <f>INDEX(Detail!$E$1:$E$1001,MATCH(Main!B367,Detail!$G$1:$G$1001,0))</f>
        <v>Gang Raya Setiabudhi No. 20</v>
      </c>
      <c r="U367" s="7" t="str">
        <f>INDEX(Detail!$B$1:$B$1001,MATCH(B367,Detail!$G$1:$G$1001,0),1)</f>
        <v>A+</v>
      </c>
    </row>
    <row r="368" spans="1:21" ht="15.75" x14ac:dyDescent="0.25">
      <c r="A368">
        <v>300</v>
      </c>
      <c r="B368" s="3" t="str">
        <f t="shared" si="13"/>
        <v>C0300</v>
      </c>
      <c r="C368" t="s">
        <v>1012</v>
      </c>
      <c r="D368" s="3" t="str">
        <f>VLOOKUP(B368,Detail!$G$1:$H$1001,2,FALSE)</f>
        <v>Dian Wulandari</v>
      </c>
      <c r="E368">
        <v>86</v>
      </c>
      <c r="F368">
        <v>51</v>
      </c>
      <c r="G368" s="35">
        <v>70</v>
      </c>
      <c r="H368">
        <v>53</v>
      </c>
      <c r="I368">
        <v>95</v>
      </c>
      <c r="J368">
        <v>91</v>
      </c>
      <c r="K368">
        <v>88</v>
      </c>
      <c r="L368" s="26">
        <f>IFERROR(VLOOKUP(B368,Absen!$A$1:$C$501,2,FALSE),"No")</f>
        <v>44878</v>
      </c>
      <c r="M368" s="44">
        <f t="shared" si="14"/>
        <v>7.8000000000000007</v>
      </c>
      <c r="N368" s="35">
        <f t="shared" si="15"/>
        <v>75.625</v>
      </c>
      <c r="O368" t="str">
        <f>VLOOKUP(N368,Helper!$B$30:$C$35,2,TRUE)</f>
        <v>B</v>
      </c>
      <c r="P368" s="26">
        <f>INDEX(Detail!$A$1:$A$1001,MATCH(B368,Detail!$G$1:$G$1001,0))</f>
        <v>38005</v>
      </c>
      <c r="Q368" s="3" t="str">
        <f>INDEX(Detail!$F$1:$F$1001,MATCH(Main!B368,Detail!$G$1:$G$1001,0))</f>
        <v>Purwokerto</v>
      </c>
      <c r="R368" s="7">
        <f>INDEX(Detail!$C$1:$C$1001,MATCH(B368,Detail!$G$1:$G$1001,0),1)</f>
        <v>180</v>
      </c>
      <c r="S368" s="7">
        <f>INDEX(Detail!$D$1:$D$1001,MATCH(B368,Detail!$G$1:$G$1001,0),1)</f>
        <v>55</v>
      </c>
      <c r="T368" s="7" t="str">
        <f>INDEX(Detail!$E$1:$E$1001,MATCH(Main!B368,Detail!$G$1:$G$1001,0))</f>
        <v xml:space="preserve">Jalan PHH. Mustofa No. 6
</v>
      </c>
      <c r="U368" s="7" t="str">
        <f>INDEX(Detail!$B$1:$B$1001,MATCH(B368,Detail!$G$1:$G$1001,0),1)</f>
        <v>O+</v>
      </c>
    </row>
    <row r="369" spans="1:21" ht="15.75" x14ac:dyDescent="0.25">
      <c r="A369">
        <v>302</v>
      </c>
      <c r="B369" s="3" t="str">
        <f t="shared" si="13"/>
        <v>C0302</v>
      </c>
      <c r="C369" t="s">
        <v>1012</v>
      </c>
      <c r="D369" s="3" t="str">
        <f>VLOOKUP(B369,Detail!$G$1:$H$1001,2,FALSE)</f>
        <v>Jaeman Halimah</v>
      </c>
      <c r="E369">
        <v>67</v>
      </c>
      <c r="F369">
        <v>42</v>
      </c>
      <c r="G369" s="35">
        <v>53</v>
      </c>
      <c r="H369">
        <v>52</v>
      </c>
      <c r="I369">
        <v>82</v>
      </c>
      <c r="J369">
        <v>86</v>
      </c>
      <c r="K369">
        <v>79</v>
      </c>
      <c r="L369" s="26">
        <f>IFERROR(VLOOKUP(B369,Absen!$A$1:$C$501,2,FALSE),"No")</f>
        <v>44907</v>
      </c>
      <c r="M369" s="44">
        <f t="shared" si="14"/>
        <v>6.9</v>
      </c>
      <c r="N369" s="35">
        <f t="shared" si="15"/>
        <v>65.075000000000003</v>
      </c>
      <c r="O369" t="str">
        <f>VLOOKUP(N369,Helper!$B$30:$C$35,2,TRUE)</f>
        <v>C</v>
      </c>
      <c r="P369" s="26">
        <f>INDEX(Detail!$A$1:$A$1001,MATCH(B369,Detail!$G$1:$G$1001,0))</f>
        <v>37932</v>
      </c>
      <c r="Q369" s="3" t="str">
        <f>INDEX(Detail!$F$1:$F$1001,MATCH(Main!B369,Detail!$G$1:$G$1001,0))</f>
        <v>Kupang</v>
      </c>
      <c r="R369" s="7">
        <f>INDEX(Detail!$C$1:$C$1001,MATCH(B369,Detail!$G$1:$G$1001,0),1)</f>
        <v>166</v>
      </c>
      <c r="S369" s="7">
        <f>INDEX(Detail!$D$1:$D$1001,MATCH(B369,Detail!$G$1:$G$1001,0),1)</f>
        <v>52</v>
      </c>
      <c r="T369" s="7" t="str">
        <f>INDEX(Detail!$E$1:$E$1001,MATCH(Main!B369,Detail!$G$1:$G$1001,0))</f>
        <v>Gang Sukabumi No. 16</v>
      </c>
      <c r="U369" s="7" t="str">
        <f>INDEX(Detail!$B$1:$B$1001,MATCH(B369,Detail!$G$1:$G$1001,0),1)</f>
        <v>A+</v>
      </c>
    </row>
    <row r="370" spans="1:21" ht="15.75" x14ac:dyDescent="0.25">
      <c r="A370">
        <v>309</v>
      </c>
      <c r="B370" s="3" t="str">
        <f t="shared" si="13"/>
        <v>C0309</v>
      </c>
      <c r="C370" t="s">
        <v>1012</v>
      </c>
      <c r="D370" s="3" t="str">
        <f>VLOOKUP(B370,Detail!$G$1:$H$1001,2,FALSE)</f>
        <v>Melinda Mayasari</v>
      </c>
      <c r="E370">
        <v>82</v>
      </c>
      <c r="F370">
        <v>48</v>
      </c>
      <c r="G370" s="35">
        <v>81</v>
      </c>
      <c r="H370">
        <v>50</v>
      </c>
      <c r="I370">
        <v>65</v>
      </c>
      <c r="J370">
        <v>81</v>
      </c>
      <c r="K370">
        <v>96</v>
      </c>
      <c r="L370" s="26" t="str">
        <f>IFERROR(VLOOKUP(B370,Absen!$A$1:$C$501,2,FALSE),"No")</f>
        <v>No</v>
      </c>
      <c r="M370" s="44">
        <f t="shared" si="14"/>
        <v>9.6000000000000014</v>
      </c>
      <c r="N370" s="35">
        <f t="shared" si="15"/>
        <v>72.625</v>
      </c>
      <c r="O370" t="str">
        <f>VLOOKUP(N370,Helper!$B$30:$C$35,2,TRUE)</f>
        <v>B</v>
      </c>
      <c r="P370" s="26">
        <f>INDEX(Detail!$A$1:$A$1001,MATCH(B370,Detail!$G$1:$G$1001,0))</f>
        <v>37882</v>
      </c>
      <c r="Q370" s="3" t="str">
        <f>INDEX(Detail!$F$1:$F$1001,MATCH(Main!B370,Detail!$G$1:$G$1001,0))</f>
        <v>Yogyakarta</v>
      </c>
      <c r="R370" s="7">
        <f>INDEX(Detail!$C$1:$C$1001,MATCH(B370,Detail!$G$1:$G$1001,0),1)</f>
        <v>161</v>
      </c>
      <c r="S370" s="7">
        <f>INDEX(Detail!$D$1:$D$1001,MATCH(B370,Detail!$G$1:$G$1001,0),1)</f>
        <v>91</v>
      </c>
      <c r="T370" s="7" t="str">
        <f>INDEX(Detail!$E$1:$E$1001,MATCH(Main!B370,Detail!$G$1:$G$1001,0))</f>
        <v>Jl. Jend. A. Yani No. 89</v>
      </c>
      <c r="U370" s="7" t="str">
        <f>INDEX(Detail!$B$1:$B$1001,MATCH(B370,Detail!$G$1:$G$1001,0),1)</f>
        <v>AB-</v>
      </c>
    </row>
    <row r="371" spans="1:21" ht="15.75" x14ac:dyDescent="0.25">
      <c r="A371">
        <v>313</v>
      </c>
      <c r="B371" s="3" t="str">
        <f t="shared" si="13"/>
        <v>C0313</v>
      </c>
      <c r="C371" t="s">
        <v>1012</v>
      </c>
      <c r="D371" s="3" t="str">
        <f>VLOOKUP(B371,Detail!$G$1:$H$1001,2,FALSE)</f>
        <v>Nova Nurdiyanti</v>
      </c>
      <c r="E371">
        <v>74</v>
      </c>
      <c r="F371">
        <v>45</v>
      </c>
      <c r="G371" s="35">
        <v>54</v>
      </c>
      <c r="H371">
        <v>67</v>
      </c>
      <c r="I371">
        <v>74</v>
      </c>
      <c r="J371">
        <v>62</v>
      </c>
      <c r="K371">
        <v>79</v>
      </c>
      <c r="L371" s="26">
        <f>IFERROR(VLOOKUP(B371,Absen!$A$1:$C$501,2,FALSE),"No")</f>
        <v>44908</v>
      </c>
      <c r="M371" s="44">
        <f t="shared" si="14"/>
        <v>6.9</v>
      </c>
      <c r="N371" s="35">
        <f t="shared" si="15"/>
        <v>62.599999999999994</v>
      </c>
      <c r="O371" t="str">
        <f>VLOOKUP(N371,Helper!$B$30:$C$35,2,TRUE)</f>
        <v>C</v>
      </c>
      <c r="P371" s="26">
        <f>INDEX(Detail!$A$1:$A$1001,MATCH(B371,Detail!$G$1:$G$1001,0))</f>
        <v>38375</v>
      </c>
      <c r="Q371" s="3" t="str">
        <f>INDEX(Detail!$F$1:$F$1001,MATCH(Main!B371,Detail!$G$1:$G$1001,0))</f>
        <v>Batu</v>
      </c>
      <c r="R371" s="7">
        <f>INDEX(Detail!$C$1:$C$1001,MATCH(B371,Detail!$G$1:$G$1001,0),1)</f>
        <v>168</v>
      </c>
      <c r="S371" s="7">
        <f>INDEX(Detail!$D$1:$D$1001,MATCH(B371,Detail!$G$1:$G$1001,0),1)</f>
        <v>93</v>
      </c>
      <c r="T371" s="7" t="str">
        <f>INDEX(Detail!$E$1:$E$1001,MATCH(Main!B371,Detail!$G$1:$G$1001,0))</f>
        <v xml:space="preserve">Gang Stasiun Wonokromo No. 1
</v>
      </c>
      <c r="U371" s="7" t="str">
        <f>INDEX(Detail!$B$1:$B$1001,MATCH(B371,Detail!$G$1:$G$1001,0),1)</f>
        <v>O+</v>
      </c>
    </row>
    <row r="372" spans="1:21" ht="15.75" x14ac:dyDescent="0.25">
      <c r="A372">
        <v>317</v>
      </c>
      <c r="B372" s="3" t="str">
        <f t="shared" si="13"/>
        <v>C0317</v>
      </c>
      <c r="C372" t="s">
        <v>1012</v>
      </c>
      <c r="D372" s="3" t="str">
        <f>VLOOKUP(B372,Detail!$G$1:$H$1001,2,FALSE)</f>
        <v>Mahesa Kurniawan</v>
      </c>
      <c r="E372">
        <v>91</v>
      </c>
      <c r="F372">
        <v>41</v>
      </c>
      <c r="G372" s="35">
        <v>92</v>
      </c>
      <c r="H372">
        <v>51</v>
      </c>
      <c r="I372">
        <v>57</v>
      </c>
      <c r="J372">
        <v>51</v>
      </c>
      <c r="K372">
        <v>72</v>
      </c>
      <c r="L372" s="26" t="str">
        <f>IFERROR(VLOOKUP(B372,Absen!$A$1:$C$501,2,FALSE),"No")</f>
        <v>No</v>
      </c>
      <c r="M372" s="44">
        <f t="shared" si="14"/>
        <v>7.2</v>
      </c>
      <c r="N372" s="35">
        <f t="shared" si="15"/>
        <v>65.800000000000011</v>
      </c>
      <c r="O372" t="str">
        <f>VLOOKUP(N372,Helper!$B$30:$C$35,2,TRUE)</f>
        <v>C</v>
      </c>
      <c r="P372" s="26">
        <f>INDEX(Detail!$A$1:$A$1001,MATCH(B372,Detail!$G$1:$G$1001,0))</f>
        <v>37325</v>
      </c>
      <c r="Q372" s="3" t="str">
        <f>INDEX(Detail!$F$1:$F$1001,MATCH(Main!B372,Detail!$G$1:$G$1001,0))</f>
        <v>Kota Administrasi Jakarta Utara</v>
      </c>
      <c r="R372" s="7">
        <f>INDEX(Detail!$C$1:$C$1001,MATCH(B372,Detail!$G$1:$G$1001,0),1)</f>
        <v>180</v>
      </c>
      <c r="S372" s="7">
        <f>INDEX(Detail!$D$1:$D$1001,MATCH(B372,Detail!$G$1:$G$1001,0),1)</f>
        <v>58</v>
      </c>
      <c r="T372" s="7" t="str">
        <f>INDEX(Detail!$E$1:$E$1001,MATCH(Main!B372,Detail!$G$1:$G$1001,0))</f>
        <v>Gang Siliwangi No. 93</v>
      </c>
      <c r="U372" s="7" t="str">
        <f>INDEX(Detail!$B$1:$B$1001,MATCH(B372,Detail!$G$1:$G$1001,0),1)</f>
        <v>B-</v>
      </c>
    </row>
    <row r="373" spans="1:21" ht="15.75" x14ac:dyDescent="0.25">
      <c r="A373">
        <v>320</v>
      </c>
      <c r="B373" s="3" t="str">
        <f t="shared" si="13"/>
        <v>C0320</v>
      </c>
      <c r="C373" t="s">
        <v>1012</v>
      </c>
      <c r="D373" s="3" t="str">
        <f>VLOOKUP(B373,Detail!$G$1:$H$1001,2,FALSE)</f>
        <v>Almira Wahyuni</v>
      </c>
      <c r="E373">
        <v>50</v>
      </c>
      <c r="F373">
        <v>75</v>
      </c>
      <c r="G373" s="35">
        <v>84</v>
      </c>
      <c r="H373">
        <v>68</v>
      </c>
      <c r="I373">
        <v>82</v>
      </c>
      <c r="J373">
        <v>46</v>
      </c>
      <c r="K373">
        <v>92</v>
      </c>
      <c r="L373" s="26" t="str">
        <f>IFERROR(VLOOKUP(B373,Absen!$A$1:$C$501,2,FALSE),"No")</f>
        <v>No</v>
      </c>
      <c r="M373" s="44">
        <f t="shared" si="14"/>
        <v>9.2000000000000011</v>
      </c>
      <c r="N373" s="35">
        <f t="shared" si="15"/>
        <v>69.575000000000003</v>
      </c>
      <c r="O373" t="str">
        <f>VLOOKUP(N373,Helper!$B$30:$C$35,2,TRUE)</f>
        <v>C</v>
      </c>
      <c r="P373" s="26">
        <f>INDEX(Detail!$A$1:$A$1001,MATCH(B373,Detail!$G$1:$G$1001,0))</f>
        <v>37744</v>
      </c>
      <c r="Q373" s="3" t="str">
        <f>INDEX(Detail!$F$1:$F$1001,MATCH(Main!B373,Detail!$G$1:$G$1001,0))</f>
        <v>Bekasi</v>
      </c>
      <c r="R373" s="7">
        <f>INDEX(Detail!$C$1:$C$1001,MATCH(B373,Detail!$G$1:$G$1001,0),1)</f>
        <v>154</v>
      </c>
      <c r="S373" s="7">
        <f>INDEX(Detail!$D$1:$D$1001,MATCH(B373,Detail!$G$1:$G$1001,0),1)</f>
        <v>49</v>
      </c>
      <c r="T373" s="7" t="str">
        <f>INDEX(Detail!$E$1:$E$1001,MATCH(Main!B373,Detail!$G$1:$G$1001,0))</f>
        <v>Gg. Kebonjati No. 65</v>
      </c>
      <c r="U373" s="7" t="str">
        <f>INDEX(Detail!$B$1:$B$1001,MATCH(B373,Detail!$G$1:$G$1001,0),1)</f>
        <v>A+</v>
      </c>
    </row>
    <row r="374" spans="1:21" ht="15.75" x14ac:dyDescent="0.25">
      <c r="A374">
        <v>324</v>
      </c>
      <c r="B374" s="3" t="str">
        <f t="shared" si="13"/>
        <v>C0324</v>
      </c>
      <c r="C374" t="s">
        <v>1012</v>
      </c>
      <c r="D374" s="3" t="str">
        <f>VLOOKUP(B374,Detail!$G$1:$H$1001,2,FALSE)</f>
        <v>Hardi Latupono</v>
      </c>
      <c r="E374">
        <v>71</v>
      </c>
      <c r="F374">
        <v>49</v>
      </c>
      <c r="G374" s="35">
        <v>85</v>
      </c>
      <c r="H374">
        <v>56</v>
      </c>
      <c r="I374">
        <v>64</v>
      </c>
      <c r="J374">
        <v>86</v>
      </c>
      <c r="K374">
        <v>64</v>
      </c>
      <c r="L374" s="26">
        <f>IFERROR(VLOOKUP(B374,Absen!$A$1:$C$501,2,FALSE),"No")</f>
        <v>44878</v>
      </c>
      <c r="M374" s="44">
        <f t="shared" si="14"/>
        <v>5.4</v>
      </c>
      <c r="N374" s="35">
        <f t="shared" si="15"/>
        <v>69.600000000000009</v>
      </c>
      <c r="O374" t="str">
        <f>VLOOKUP(N374,Helper!$B$30:$C$35,2,TRUE)</f>
        <v>C</v>
      </c>
      <c r="P374" s="26">
        <f>INDEX(Detail!$A$1:$A$1001,MATCH(B374,Detail!$G$1:$G$1001,0))</f>
        <v>37250</v>
      </c>
      <c r="Q374" s="3" t="str">
        <f>INDEX(Detail!$F$1:$F$1001,MATCH(Main!B374,Detail!$G$1:$G$1001,0))</f>
        <v>Bitung</v>
      </c>
      <c r="R374" s="7">
        <f>INDEX(Detail!$C$1:$C$1001,MATCH(B374,Detail!$G$1:$G$1001,0),1)</f>
        <v>176</v>
      </c>
      <c r="S374" s="7">
        <f>INDEX(Detail!$D$1:$D$1001,MATCH(B374,Detail!$G$1:$G$1001,0),1)</f>
        <v>45</v>
      </c>
      <c r="T374" s="7" t="str">
        <f>INDEX(Detail!$E$1:$E$1001,MATCH(Main!B374,Detail!$G$1:$G$1001,0))</f>
        <v>Gg. Surapati No. 82</v>
      </c>
      <c r="U374" s="7" t="str">
        <f>INDEX(Detail!$B$1:$B$1001,MATCH(B374,Detail!$G$1:$G$1001,0),1)</f>
        <v>AB+</v>
      </c>
    </row>
    <row r="375" spans="1:21" ht="15.75" x14ac:dyDescent="0.25">
      <c r="A375">
        <v>328</v>
      </c>
      <c r="B375" s="3" t="str">
        <f t="shared" si="13"/>
        <v>C0328</v>
      </c>
      <c r="C375" t="s">
        <v>1012</v>
      </c>
      <c r="D375" s="3" t="str">
        <f>VLOOKUP(B375,Detail!$G$1:$H$1001,2,FALSE)</f>
        <v>Prabawa Hutasoit</v>
      </c>
      <c r="E375">
        <v>66</v>
      </c>
      <c r="F375">
        <v>55</v>
      </c>
      <c r="G375" s="35">
        <v>57</v>
      </c>
      <c r="H375">
        <v>58</v>
      </c>
      <c r="I375">
        <v>86</v>
      </c>
      <c r="J375">
        <v>50</v>
      </c>
      <c r="K375">
        <v>96</v>
      </c>
      <c r="L375" s="26">
        <f>IFERROR(VLOOKUP(B375,Absen!$A$1:$C$501,2,FALSE),"No")</f>
        <v>44831</v>
      </c>
      <c r="M375" s="44">
        <f t="shared" si="14"/>
        <v>8.6</v>
      </c>
      <c r="N375" s="35">
        <f t="shared" si="15"/>
        <v>63.125</v>
      </c>
      <c r="O375" t="str">
        <f>VLOOKUP(N375,Helper!$B$30:$C$35,2,TRUE)</f>
        <v>C</v>
      </c>
      <c r="P375" s="26">
        <f>INDEX(Detail!$A$1:$A$1001,MATCH(B375,Detail!$G$1:$G$1001,0))</f>
        <v>37112</v>
      </c>
      <c r="Q375" s="3" t="str">
        <f>INDEX(Detail!$F$1:$F$1001,MATCH(Main!B375,Detail!$G$1:$G$1001,0))</f>
        <v>Kupang</v>
      </c>
      <c r="R375" s="7">
        <f>INDEX(Detail!$C$1:$C$1001,MATCH(B375,Detail!$G$1:$G$1001,0),1)</f>
        <v>165</v>
      </c>
      <c r="S375" s="7">
        <f>INDEX(Detail!$D$1:$D$1001,MATCH(B375,Detail!$G$1:$G$1001,0),1)</f>
        <v>84</v>
      </c>
      <c r="T375" s="7" t="str">
        <f>INDEX(Detail!$E$1:$E$1001,MATCH(Main!B375,Detail!$G$1:$G$1001,0))</f>
        <v>Gang Pelajar Pejuang No. 06</v>
      </c>
      <c r="U375" s="7" t="str">
        <f>INDEX(Detail!$B$1:$B$1001,MATCH(B375,Detail!$G$1:$G$1001,0),1)</f>
        <v>B-</v>
      </c>
    </row>
    <row r="376" spans="1:21" ht="15.75" x14ac:dyDescent="0.25">
      <c r="A376">
        <v>330</v>
      </c>
      <c r="B376" s="3" t="str">
        <f t="shared" si="13"/>
        <v>C0330</v>
      </c>
      <c r="C376" t="s">
        <v>1012</v>
      </c>
      <c r="D376" s="3" t="str">
        <f>VLOOKUP(B376,Detail!$G$1:$H$1001,2,FALSE)</f>
        <v>Rizki Saputra</v>
      </c>
      <c r="E376">
        <v>82</v>
      </c>
      <c r="F376">
        <v>45</v>
      </c>
      <c r="G376" s="35">
        <v>61</v>
      </c>
      <c r="H376">
        <v>71</v>
      </c>
      <c r="I376">
        <v>61</v>
      </c>
      <c r="J376">
        <v>92</v>
      </c>
      <c r="K376">
        <v>96</v>
      </c>
      <c r="L376" s="26">
        <f>IFERROR(VLOOKUP(B376,Absen!$A$1:$C$501,2,FALSE),"No")</f>
        <v>44909</v>
      </c>
      <c r="M376" s="44">
        <f t="shared" si="14"/>
        <v>8.6</v>
      </c>
      <c r="N376" s="35">
        <f t="shared" si="15"/>
        <v>71.575000000000003</v>
      </c>
      <c r="O376" t="str">
        <f>VLOOKUP(N376,Helper!$B$30:$C$35,2,TRUE)</f>
        <v>B</v>
      </c>
      <c r="P376" s="26">
        <f>INDEX(Detail!$A$1:$A$1001,MATCH(B376,Detail!$G$1:$G$1001,0))</f>
        <v>38349</v>
      </c>
      <c r="Q376" s="3" t="str">
        <f>INDEX(Detail!$F$1:$F$1001,MATCH(Main!B376,Detail!$G$1:$G$1001,0))</f>
        <v>Pariaman</v>
      </c>
      <c r="R376" s="7">
        <f>INDEX(Detail!$C$1:$C$1001,MATCH(B376,Detail!$G$1:$G$1001,0),1)</f>
        <v>167</v>
      </c>
      <c r="S376" s="7">
        <f>INDEX(Detail!$D$1:$D$1001,MATCH(B376,Detail!$G$1:$G$1001,0),1)</f>
        <v>47</v>
      </c>
      <c r="T376" s="7" t="str">
        <f>INDEX(Detail!$E$1:$E$1001,MATCH(Main!B376,Detail!$G$1:$G$1001,0))</f>
        <v xml:space="preserve">Gg. Rungkut Industri No. 6
</v>
      </c>
      <c r="U376" s="7" t="str">
        <f>INDEX(Detail!$B$1:$B$1001,MATCH(B376,Detail!$G$1:$G$1001,0),1)</f>
        <v>AB+</v>
      </c>
    </row>
    <row r="377" spans="1:21" ht="15.75" x14ac:dyDescent="0.25">
      <c r="A377">
        <v>339</v>
      </c>
      <c r="B377" s="3" t="str">
        <f t="shared" si="13"/>
        <v>C0339</v>
      </c>
      <c r="C377" t="s">
        <v>1012</v>
      </c>
      <c r="D377" s="3" t="str">
        <f>VLOOKUP(B377,Detail!$G$1:$H$1001,2,FALSE)</f>
        <v>Jindra Purwanti</v>
      </c>
      <c r="E377">
        <v>89</v>
      </c>
      <c r="F377">
        <v>66</v>
      </c>
      <c r="G377" s="35">
        <v>91</v>
      </c>
      <c r="H377">
        <v>69</v>
      </c>
      <c r="I377">
        <v>95</v>
      </c>
      <c r="J377">
        <v>53</v>
      </c>
      <c r="K377">
        <v>69</v>
      </c>
      <c r="L377" s="26">
        <f>IFERROR(VLOOKUP(B377,Absen!$A$1:$C$501,2,FALSE),"No")</f>
        <v>44768</v>
      </c>
      <c r="M377" s="44">
        <f t="shared" si="14"/>
        <v>5.9</v>
      </c>
      <c r="N377" s="35">
        <f t="shared" si="15"/>
        <v>74.575000000000017</v>
      </c>
      <c r="O377" t="str">
        <f>VLOOKUP(N377,Helper!$B$30:$C$35,2,TRUE)</f>
        <v>B</v>
      </c>
      <c r="P377" s="26">
        <f>INDEX(Detail!$A$1:$A$1001,MATCH(B377,Detail!$G$1:$G$1001,0))</f>
        <v>37549</v>
      </c>
      <c r="Q377" s="3" t="str">
        <f>INDEX(Detail!$F$1:$F$1001,MATCH(Main!B377,Detail!$G$1:$G$1001,0))</f>
        <v>Pekalongan</v>
      </c>
      <c r="R377" s="7">
        <f>INDEX(Detail!$C$1:$C$1001,MATCH(B377,Detail!$G$1:$G$1001,0),1)</f>
        <v>169</v>
      </c>
      <c r="S377" s="7">
        <f>INDEX(Detail!$D$1:$D$1001,MATCH(B377,Detail!$G$1:$G$1001,0),1)</f>
        <v>51</v>
      </c>
      <c r="T377" s="7" t="str">
        <f>INDEX(Detail!$E$1:$E$1001,MATCH(Main!B377,Detail!$G$1:$G$1001,0))</f>
        <v>Jalan Yos Sudarso No. 41</v>
      </c>
      <c r="U377" s="7" t="str">
        <f>INDEX(Detail!$B$1:$B$1001,MATCH(B377,Detail!$G$1:$G$1001,0),1)</f>
        <v>A+</v>
      </c>
    </row>
    <row r="378" spans="1:21" ht="15.75" x14ac:dyDescent="0.25">
      <c r="A378">
        <v>340</v>
      </c>
      <c r="B378" s="3" t="str">
        <f t="shared" si="13"/>
        <v>C0340</v>
      </c>
      <c r="C378" t="s">
        <v>1012</v>
      </c>
      <c r="D378" s="3" t="str">
        <f>VLOOKUP(B378,Detail!$G$1:$H$1001,2,FALSE)</f>
        <v>Jumadi Saragih</v>
      </c>
      <c r="E378">
        <v>55</v>
      </c>
      <c r="F378">
        <v>71</v>
      </c>
      <c r="G378" s="35">
        <v>69</v>
      </c>
      <c r="H378">
        <v>55</v>
      </c>
      <c r="I378">
        <v>88</v>
      </c>
      <c r="J378">
        <v>43</v>
      </c>
      <c r="K378">
        <v>93</v>
      </c>
      <c r="L378" s="26">
        <f>IFERROR(VLOOKUP(B378,Absen!$A$1:$C$501,2,FALSE),"No")</f>
        <v>44748</v>
      </c>
      <c r="M378" s="44">
        <f t="shared" si="14"/>
        <v>8.3000000000000007</v>
      </c>
      <c r="N378" s="35">
        <f t="shared" si="15"/>
        <v>64.325000000000003</v>
      </c>
      <c r="O378" t="str">
        <f>VLOOKUP(N378,Helper!$B$30:$C$35,2,TRUE)</f>
        <v>C</v>
      </c>
      <c r="P378" s="26">
        <f>INDEX(Detail!$A$1:$A$1001,MATCH(B378,Detail!$G$1:$G$1001,0))</f>
        <v>38069</v>
      </c>
      <c r="Q378" s="3" t="str">
        <f>INDEX(Detail!$F$1:$F$1001,MATCH(Main!B378,Detail!$G$1:$G$1001,0))</f>
        <v>Depok</v>
      </c>
      <c r="R378" s="7">
        <f>INDEX(Detail!$C$1:$C$1001,MATCH(B378,Detail!$G$1:$G$1001,0),1)</f>
        <v>153</v>
      </c>
      <c r="S378" s="7">
        <f>INDEX(Detail!$D$1:$D$1001,MATCH(B378,Detail!$G$1:$G$1001,0),1)</f>
        <v>92</v>
      </c>
      <c r="T378" s="7" t="str">
        <f>INDEX(Detail!$E$1:$E$1001,MATCH(Main!B378,Detail!$G$1:$G$1001,0))</f>
        <v>Gg. Suryakencana No. 76</v>
      </c>
      <c r="U378" s="7" t="str">
        <f>INDEX(Detail!$B$1:$B$1001,MATCH(B378,Detail!$G$1:$G$1001,0),1)</f>
        <v>B-</v>
      </c>
    </row>
    <row r="379" spans="1:21" ht="15.75" x14ac:dyDescent="0.25">
      <c r="A379">
        <v>341</v>
      </c>
      <c r="B379" s="3" t="str">
        <f t="shared" si="13"/>
        <v>C0341</v>
      </c>
      <c r="C379" t="s">
        <v>1012</v>
      </c>
      <c r="D379" s="3" t="str">
        <f>VLOOKUP(B379,Detail!$G$1:$H$1001,2,FALSE)</f>
        <v>Padma Melani</v>
      </c>
      <c r="E379">
        <v>74</v>
      </c>
      <c r="F379">
        <v>55</v>
      </c>
      <c r="G379" s="35">
        <v>82</v>
      </c>
      <c r="H379">
        <v>75</v>
      </c>
      <c r="I379">
        <v>76</v>
      </c>
      <c r="J379">
        <v>64</v>
      </c>
      <c r="K379">
        <v>100</v>
      </c>
      <c r="L379" s="26">
        <f>IFERROR(VLOOKUP(B379,Absen!$A$1:$C$501,2,FALSE),"No")</f>
        <v>44777</v>
      </c>
      <c r="M379" s="44">
        <f t="shared" si="14"/>
        <v>9</v>
      </c>
      <c r="N379" s="35">
        <f t="shared" si="15"/>
        <v>73.2</v>
      </c>
      <c r="O379" t="str">
        <f>VLOOKUP(N379,Helper!$B$30:$C$35,2,TRUE)</f>
        <v>B</v>
      </c>
      <c r="P379" s="26">
        <f>INDEX(Detail!$A$1:$A$1001,MATCH(B379,Detail!$G$1:$G$1001,0))</f>
        <v>38440</v>
      </c>
      <c r="Q379" s="3" t="str">
        <f>INDEX(Detail!$F$1:$F$1001,MATCH(Main!B379,Detail!$G$1:$G$1001,0))</f>
        <v>Meulaboh</v>
      </c>
      <c r="R379" s="7">
        <f>INDEX(Detail!$C$1:$C$1001,MATCH(B379,Detail!$G$1:$G$1001,0),1)</f>
        <v>180</v>
      </c>
      <c r="S379" s="7">
        <f>INDEX(Detail!$D$1:$D$1001,MATCH(B379,Detail!$G$1:$G$1001,0),1)</f>
        <v>68</v>
      </c>
      <c r="T379" s="7" t="str">
        <f>INDEX(Detail!$E$1:$E$1001,MATCH(Main!B379,Detail!$G$1:$G$1001,0))</f>
        <v>Jalan Joyoboyo No. 51</v>
      </c>
      <c r="U379" s="7" t="str">
        <f>INDEX(Detail!$B$1:$B$1001,MATCH(B379,Detail!$G$1:$G$1001,0),1)</f>
        <v>AB+</v>
      </c>
    </row>
    <row r="380" spans="1:21" ht="15.75" x14ac:dyDescent="0.25">
      <c r="A380">
        <v>354</v>
      </c>
      <c r="B380" s="3" t="str">
        <f t="shared" si="13"/>
        <v>C0354</v>
      </c>
      <c r="C380" t="s">
        <v>1012</v>
      </c>
      <c r="D380" s="3" t="str">
        <f>VLOOKUP(B380,Detail!$G$1:$H$1001,2,FALSE)</f>
        <v>Ika Haryanto</v>
      </c>
      <c r="E380">
        <v>60</v>
      </c>
      <c r="F380">
        <v>58</v>
      </c>
      <c r="G380" s="35">
        <v>78</v>
      </c>
      <c r="H380">
        <v>58</v>
      </c>
      <c r="I380">
        <v>71</v>
      </c>
      <c r="J380">
        <v>92</v>
      </c>
      <c r="K380">
        <v>99</v>
      </c>
      <c r="L380" s="26" t="str">
        <f>IFERROR(VLOOKUP(B380,Absen!$A$1:$C$501,2,FALSE),"No")</f>
        <v>No</v>
      </c>
      <c r="M380" s="44">
        <f t="shared" si="14"/>
        <v>9.9</v>
      </c>
      <c r="N380" s="35">
        <f t="shared" si="15"/>
        <v>74.775000000000006</v>
      </c>
      <c r="O380" t="str">
        <f>VLOOKUP(N380,Helper!$B$30:$C$35,2,TRUE)</f>
        <v>B</v>
      </c>
      <c r="P380" s="26">
        <f>INDEX(Detail!$A$1:$A$1001,MATCH(B380,Detail!$G$1:$G$1001,0))</f>
        <v>37033</v>
      </c>
      <c r="Q380" s="3" t="str">
        <f>INDEX(Detail!$F$1:$F$1001,MATCH(Main!B380,Detail!$G$1:$G$1001,0))</f>
        <v>Tasikmalaya</v>
      </c>
      <c r="R380" s="7">
        <f>INDEX(Detail!$C$1:$C$1001,MATCH(B380,Detail!$G$1:$G$1001,0),1)</f>
        <v>162</v>
      </c>
      <c r="S380" s="7">
        <f>INDEX(Detail!$D$1:$D$1001,MATCH(B380,Detail!$G$1:$G$1001,0),1)</f>
        <v>87</v>
      </c>
      <c r="T380" s="7" t="str">
        <f>INDEX(Detail!$E$1:$E$1001,MATCH(Main!B380,Detail!$G$1:$G$1001,0))</f>
        <v>Gg. Rungkut Industri No. 31</v>
      </c>
      <c r="U380" s="7" t="str">
        <f>INDEX(Detail!$B$1:$B$1001,MATCH(B380,Detail!$G$1:$G$1001,0),1)</f>
        <v>B-</v>
      </c>
    </row>
    <row r="381" spans="1:21" ht="15.75" x14ac:dyDescent="0.25">
      <c r="A381">
        <v>357</v>
      </c>
      <c r="B381" s="3" t="str">
        <f t="shared" si="13"/>
        <v>C0357</v>
      </c>
      <c r="C381" t="s">
        <v>1012</v>
      </c>
      <c r="D381" s="3" t="str">
        <f>VLOOKUP(B381,Detail!$G$1:$H$1001,2,FALSE)</f>
        <v>Gadang Thamrin</v>
      </c>
      <c r="E381">
        <v>60</v>
      </c>
      <c r="F381">
        <v>74</v>
      </c>
      <c r="G381" s="35">
        <v>94</v>
      </c>
      <c r="H381">
        <v>67</v>
      </c>
      <c r="I381">
        <v>83</v>
      </c>
      <c r="J381">
        <v>77</v>
      </c>
      <c r="K381">
        <v>64</v>
      </c>
      <c r="L381" s="26" t="str">
        <f>IFERROR(VLOOKUP(B381,Absen!$A$1:$C$501,2,FALSE),"No")</f>
        <v>No</v>
      </c>
      <c r="M381" s="44">
        <f t="shared" si="14"/>
        <v>6.4</v>
      </c>
      <c r="N381" s="35">
        <f t="shared" si="15"/>
        <v>76.100000000000009</v>
      </c>
      <c r="O381" t="str">
        <f>VLOOKUP(N381,Helper!$B$30:$C$35,2,TRUE)</f>
        <v>B</v>
      </c>
      <c r="P381" s="26">
        <f>INDEX(Detail!$A$1:$A$1001,MATCH(B381,Detail!$G$1:$G$1001,0))</f>
        <v>37701</v>
      </c>
      <c r="Q381" s="3" t="str">
        <f>INDEX(Detail!$F$1:$F$1001,MATCH(Main!B381,Detail!$G$1:$G$1001,0))</f>
        <v>Ambon</v>
      </c>
      <c r="R381" s="7">
        <f>INDEX(Detail!$C$1:$C$1001,MATCH(B381,Detail!$G$1:$G$1001,0),1)</f>
        <v>162</v>
      </c>
      <c r="S381" s="7">
        <f>INDEX(Detail!$D$1:$D$1001,MATCH(B381,Detail!$G$1:$G$1001,0),1)</f>
        <v>66</v>
      </c>
      <c r="T381" s="7" t="str">
        <f>INDEX(Detail!$E$1:$E$1001,MATCH(Main!B381,Detail!$G$1:$G$1001,0))</f>
        <v>Gg. Astana Anyar No. 49</v>
      </c>
      <c r="U381" s="7" t="str">
        <f>INDEX(Detail!$B$1:$B$1001,MATCH(B381,Detail!$G$1:$G$1001,0),1)</f>
        <v>O+</v>
      </c>
    </row>
    <row r="382" spans="1:21" ht="15.75" x14ac:dyDescent="0.25">
      <c r="A382">
        <v>363</v>
      </c>
      <c r="B382" s="3" t="str">
        <f t="shared" si="13"/>
        <v>C0363</v>
      </c>
      <c r="C382" t="s">
        <v>1012</v>
      </c>
      <c r="D382" s="3" t="str">
        <f>VLOOKUP(B382,Detail!$G$1:$H$1001,2,FALSE)</f>
        <v>Ida Budiman</v>
      </c>
      <c r="E382">
        <v>54</v>
      </c>
      <c r="F382">
        <v>68</v>
      </c>
      <c r="G382" s="35">
        <v>91</v>
      </c>
      <c r="H382">
        <v>62</v>
      </c>
      <c r="I382">
        <v>61</v>
      </c>
      <c r="J382">
        <v>64</v>
      </c>
      <c r="K382">
        <v>62</v>
      </c>
      <c r="L382" s="26" t="str">
        <f>IFERROR(VLOOKUP(B382,Absen!$A$1:$C$501,2,FALSE),"No")</f>
        <v>No</v>
      </c>
      <c r="M382" s="44">
        <f t="shared" si="14"/>
        <v>6.2</v>
      </c>
      <c r="N382" s="35">
        <f t="shared" si="15"/>
        <v>67.825000000000003</v>
      </c>
      <c r="O382" t="str">
        <f>VLOOKUP(N382,Helper!$B$30:$C$35,2,TRUE)</f>
        <v>C</v>
      </c>
      <c r="P382" s="26">
        <f>INDEX(Detail!$A$1:$A$1001,MATCH(B382,Detail!$G$1:$G$1001,0))</f>
        <v>37424</v>
      </c>
      <c r="Q382" s="3" t="str">
        <f>INDEX(Detail!$F$1:$F$1001,MATCH(Main!B382,Detail!$G$1:$G$1001,0))</f>
        <v>Langsa</v>
      </c>
      <c r="R382" s="7">
        <f>INDEX(Detail!$C$1:$C$1001,MATCH(B382,Detail!$G$1:$G$1001,0),1)</f>
        <v>158</v>
      </c>
      <c r="S382" s="7">
        <f>INDEX(Detail!$D$1:$D$1001,MATCH(B382,Detail!$G$1:$G$1001,0),1)</f>
        <v>73</v>
      </c>
      <c r="T382" s="7" t="str">
        <f>INDEX(Detail!$E$1:$E$1001,MATCH(Main!B382,Detail!$G$1:$G$1001,0))</f>
        <v>Jl. Jakarta No. 19</v>
      </c>
      <c r="U382" s="7" t="str">
        <f>INDEX(Detail!$B$1:$B$1001,MATCH(B382,Detail!$G$1:$G$1001,0),1)</f>
        <v>AB+</v>
      </c>
    </row>
    <row r="383" spans="1:21" ht="15.75" x14ac:dyDescent="0.25">
      <c r="A383">
        <v>372</v>
      </c>
      <c r="B383" s="3" t="str">
        <f t="shared" si="13"/>
        <v>C0372</v>
      </c>
      <c r="C383" t="s">
        <v>1012</v>
      </c>
      <c r="D383" s="3" t="str">
        <f>VLOOKUP(B383,Detail!$G$1:$H$1001,2,FALSE)</f>
        <v>Hendri Marpaung</v>
      </c>
      <c r="E383">
        <v>70</v>
      </c>
      <c r="F383">
        <v>42</v>
      </c>
      <c r="G383" s="35">
        <v>38</v>
      </c>
      <c r="H383">
        <v>52</v>
      </c>
      <c r="I383">
        <v>61</v>
      </c>
      <c r="J383">
        <v>94</v>
      </c>
      <c r="K383">
        <v>74</v>
      </c>
      <c r="L383" s="26">
        <f>IFERROR(VLOOKUP(B383,Absen!$A$1:$C$501,2,FALSE),"No")</f>
        <v>44908</v>
      </c>
      <c r="M383" s="44">
        <f t="shared" si="14"/>
        <v>6.4</v>
      </c>
      <c r="N383" s="35">
        <f t="shared" si="15"/>
        <v>60.925000000000004</v>
      </c>
      <c r="O383" t="str">
        <f>VLOOKUP(N383,Helper!$B$30:$C$35,2,TRUE)</f>
        <v>C</v>
      </c>
      <c r="P383" s="26">
        <f>INDEX(Detail!$A$1:$A$1001,MATCH(B383,Detail!$G$1:$G$1001,0))</f>
        <v>37485</v>
      </c>
      <c r="Q383" s="3" t="str">
        <f>INDEX(Detail!$F$1:$F$1001,MATCH(Main!B383,Detail!$G$1:$G$1001,0))</f>
        <v>Mojokerto</v>
      </c>
      <c r="R383" s="7">
        <f>INDEX(Detail!$C$1:$C$1001,MATCH(B383,Detail!$G$1:$G$1001,0),1)</f>
        <v>175</v>
      </c>
      <c r="S383" s="7">
        <f>INDEX(Detail!$D$1:$D$1001,MATCH(B383,Detail!$G$1:$G$1001,0),1)</f>
        <v>75</v>
      </c>
      <c r="T383" s="7" t="str">
        <f>INDEX(Detail!$E$1:$E$1001,MATCH(Main!B383,Detail!$G$1:$G$1001,0))</f>
        <v xml:space="preserve">Gang M.T Haryono No. 0
</v>
      </c>
      <c r="U383" s="7" t="str">
        <f>INDEX(Detail!$B$1:$B$1001,MATCH(B383,Detail!$G$1:$G$1001,0),1)</f>
        <v>O-</v>
      </c>
    </row>
    <row r="384" spans="1:21" ht="15.75" x14ac:dyDescent="0.25">
      <c r="A384">
        <v>379</v>
      </c>
      <c r="B384" s="3" t="str">
        <f t="shared" si="13"/>
        <v>C0379</v>
      </c>
      <c r="C384" t="s">
        <v>1012</v>
      </c>
      <c r="D384" s="3" t="str">
        <f>VLOOKUP(B384,Detail!$G$1:$H$1001,2,FALSE)</f>
        <v>Hasim Nurdiyanti</v>
      </c>
      <c r="E384">
        <v>66</v>
      </c>
      <c r="F384">
        <v>55</v>
      </c>
      <c r="G384" s="35">
        <v>85</v>
      </c>
      <c r="H384">
        <v>60</v>
      </c>
      <c r="I384">
        <v>64</v>
      </c>
      <c r="J384">
        <v>66</v>
      </c>
      <c r="K384">
        <v>68</v>
      </c>
      <c r="L384" s="26">
        <f>IFERROR(VLOOKUP(B384,Absen!$A$1:$C$501,2,FALSE),"No")</f>
        <v>44893</v>
      </c>
      <c r="M384" s="44">
        <f t="shared" si="14"/>
        <v>5.8000000000000007</v>
      </c>
      <c r="N384" s="35">
        <f t="shared" si="15"/>
        <v>66.625</v>
      </c>
      <c r="O384" t="str">
        <f>VLOOKUP(N384,Helper!$B$30:$C$35,2,TRUE)</f>
        <v>C</v>
      </c>
      <c r="P384" s="26">
        <f>INDEX(Detail!$A$1:$A$1001,MATCH(B384,Detail!$G$1:$G$1001,0))</f>
        <v>37466</v>
      </c>
      <c r="Q384" s="3" t="str">
        <f>INDEX(Detail!$F$1:$F$1001,MATCH(Main!B384,Detail!$G$1:$G$1001,0))</f>
        <v>Tidore Kepulauan</v>
      </c>
      <c r="R384" s="7">
        <f>INDEX(Detail!$C$1:$C$1001,MATCH(B384,Detail!$G$1:$G$1001,0),1)</f>
        <v>161</v>
      </c>
      <c r="S384" s="7">
        <f>INDEX(Detail!$D$1:$D$1001,MATCH(B384,Detail!$G$1:$G$1001,0),1)</f>
        <v>69</v>
      </c>
      <c r="T384" s="7" t="str">
        <f>INDEX(Detail!$E$1:$E$1001,MATCH(Main!B384,Detail!$G$1:$G$1001,0))</f>
        <v xml:space="preserve">Gg. Cihampelas No. 5
</v>
      </c>
      <c r="U384" s="7" t="str">
        <f>INDEX(Detail!$B$1:$B$1001,MATCH(B384,Detail!$G$1:$G$1001,0),1)</f>
        <v>B+</v>
      </c>
    </row>
    <row r="385" spans="1:21" ht="15.75" x14ac:dyDescent="0.25">
      <c r="A385">
        <v>383</v>
      </c>
      <c r="B385" s="3" t="str">
        <f t="shared" ref="B385:B448" si="16">CONCATENATE("C",TEXT(A385,"0000"))</f>
        <v>C0383</v>
      </c>
      <c r="C385" t="s">
        <v>1012</v>
      </c>
      <c r="D385" s="3" t="str">
        <f>VLOOKUP(B385,Detail!$G$1:$H$1001,2,FALSE)</f>
        <v>Vanya Pradipta</v>
      </c>
      <c r="E385">
        <v>71</v>
      </c>
      <c r="F385">
        <v>65</v>
      </c>
      <c r="G385" s="35">
        <v>58</v>
      </c>
      <c r="H385">
        <v>74</v>
      </c>
      <c r="I385">
        <v>80</v>
      </c>
      <c r="J385">
        <v>62</v>
      </c>
      <c r="K385">
        <v>79</v>
      </c>
      <c r="L385" s="26">
        <f>IFERROR(VLOOKUP(B385,Absen!$A$1:$C$501,2,FALSE),"No")</f>
        <v>44875</v>
      </c>
      <c r="M385" s="44">
        <f t="shared" si="14"/>
        <v>6.9</v>
      </c>
      <c r="N385" s="35">
        <f t="shared" si="15"/>
        <v>67.150000000000006</v>
      </c>
      <c r="O385" t="str">
        <f>VLOOKUP(N385,Helper!$B$30:$C$35,2,TRUE)</f>
        <v>C</v>
      </c>
      <c r="P385" s="26">
        <f>INDEX(Detail!$A$1:$A$1001,MATCH(B385,Detail!$G$1:$G$1001,0))</f>
        <v>37796</v>
      </c>
      <c r="Q385" s="3" t="str">
        <f>INDEX(Detail!$F$1:$F$1001,MATCH(Main!B385,Detail!$G$1:$G$1001,0))</f>
        <v>Sukabumi</v>
      </c>
      <c r="R385" s="7">
        <f>INDEX(Detail!$C$1:$C$1001,MATCH(B385,Detail!$G$1:$G$1001,0),1)</f>
        <v>153</v>
      </c>
      <c r="S385" s="7">
        <f>INDEX(Detail!$D$1:$D$1001,MATCH(B385,Detail!$G$1:$G$1001,0),1)</f>
        <v>45</v>
      </c>
      <c r="T385" s="7" t="str">
        <f>INDEX(Detail!$E$1:$E$1001,MATCH(Main!B385,Detail!$G$1:$G$1001,0))</f>
        <v>Gg. Asia Afrika No. 28</v>
      </c>
      <c r="U385" s="7" t="str">
        <f>INDEX(Detail!$B$1:$B$1001,MATCH(B385,Detail!$G$1:$G$1001,0),1)</f>
        <v>AB-</v>
      </c>
    </row>
    <row r="386" spans="1:21" ht="15.75" x14ac:dyDescent="0.25">
      <c r="A386">
        <v>388</v>
      </c>
      <c r="B386" s="3" t="str">
        <f t="shared" si="16"/>
        <v>C0388</v>
      </c>
      <c r="C386" t="s">
        <v>1012</v>
      </c>
      <c r="D386" s="3" t="str">
        <f>VLOOKUP(B386,Detail!$G$1:$H$1001,2,FALSE)</f>
        <v>Zalindra Ramadan</v>
      </c>
      <c r="E386">
        <v>74</v>
      </c>
      <c r="F386">
        <v>65</v>
      </c>
      <c r="G386" s="35">
        <v>46</v>
      </c>
      <c r="H386">
        <v>74</v>
      </c>
      <c r="I386">
        <v>94</v>
      </c>
      <c r="J386">
        <v>43</v>
      </c>
      <c r="K386">
        <v>62</v>
      </c>
      <c r="L386" s="26">
        <f>IFERROR(VLOOKUP(B386,Absen!$A$1:$C$501,2,FALSE),"No")</f>
        <v>44875</v>
      </c>
      <c r="M386" s="44">
        <f t="shared" ref="M386:M449" si="17">IF(L386="no",K386,K386-10)*10%</f>
        <v>5.2</v>
      </c>
      <c r="N386" s="35">
        <f t="shared" ref="N386:N449" si="18">SUM(E386*12.5%,F386*12.5%,H386*12.5%,I386*12.5%,G386*20%,J386*20%,M386)</f>
        <v>61.375000000000007</v>
      </c>
      <c r="O386" t="str">
        <f>VLOOKUP(N386,Helper!$B$30:$C$35,2,TRUE)</f>
        <v>C</v>
      </c>
      <c r="P386" s="26">
        <f>INDEX(Detail!$A$1:$A$1001,MATCH(B386,Detail!$G$1:$G$1001,0))</f>
        <v>38468</v>
      </c>
      <c r="Q386" s="3" t="str">
        <f>INDEX(Detail!$F$1:$F$1001,MATCH(Main!B386,Detail!$G$1:$G$1001,0))</f>
        <v>Mojokerto</v>
      </c>
      <c r="R386" s="7">
        <f>INDEX(Detail!$C$1:$C$1001,MATCH(B386,Detail!$G$1:$G$1001,0),1)</f>
        <v>177</v>
      </c>
      <c r="S386" s="7">
        <f>INDEX(Detail!$D$1:$D$1001,MATCH(B386,Detail!$G$1:$G$1001,0),1)</f>
        <v>90</v>
      </c>
      <c r="T386" s="7" t="str">
        <f>INDEX(Detail!$E$1:$E$1001,MATCH(Main!B386,Detail!$G$1:$G$1001,0))</f>
        <v>Jalan Tebet Barat Dalam No. 39</v>
      </c>
      <c r="U386" s="7" t="str">
        <f>INDEX(Detail!$B$1:$B$1001,MATCH(B386,Detail!$G$1:$G$1001,0),1)</f>
        <v>O-</v>
      </c>
    </row>
    <row r="387" spans="1:21" ht="15.75" x14ac:dyDescent="0.25">
      <c r="A387">
        <v>391</v>
      </c>
      <c r="B387" s="3" t="str">
        <f t="shared" si="16"/>
        <v>C0391</v>
      </c>
      <c r="C387" t="s">
        <v>1012</v>
      </c>
      <c r="D387" s="3" t="str">
        <f>VLOOKUP(B387,Detail!$G$1:$H$1001,2,FALSE)</f>
        <v>Laila Maryadi</v>
      </c>
      <c r="E387">
        <v>94</v>
      </c>
      <c r="F387">
        <v>53</v>
      </c>
      <c r="G387" s="35">
        <v>46</v>
      </c>
      <c r="H387">
        <v>66</v>
      </c>
      <c r="I387">
        <v>90</v>
      </c>
      <c r="J387">
        <v>100</v>
      </c>
      <c r="K387">
        <v>60</v>
      </c>
      <c r="L387" s="26" t="str">
        <f>IFERROR(VLOOKUP(B387,Absen!$A$1:$C$501,2,FALSE),"No")</f>
        <v>No</v>
      </c>
      <c r="M387" s="44">
        <f t="shared" si="17"/>
        <v>6</v>
      </c>
      <c r="N387" s="35">
        <f t="shared" si="18"/>
        <v>73.075000000000003</v>
      </c>
      <c r="O387" t="str">
        <f>VLOOKUP(N387,Helper!$B$30:$C$35,2,TRUE)</f>
        <v>B</v>
      </c>
      <c r="P387" s="26">
        <f>INDEX(Detail!$A$1:$A$1001,MATCH(B387,Detail!$G$1:$G$1001,0))</f>
        <v>37449</v>
      </c>
      <c r="Q387" s="3" t="str">
        <f>INDEX(Detail!$F$1:$F$1001,MATCH(Main!B387,Detail!$G$1:$G$1001,0))</f>
        <v>Palembang</v>
      </c>
      <c r="R387" s="7">
        <f>INDEX(Detail!$C$1:$C$1001,MATCH(B387,Detail!$G$1:$G$1001,0),1)</f>
        <v>173</v>
      </c>
      <c r="S387" s="7">
        <f>INDEX(Detail!$D$1:$D$1001,MATCH(B387,Detail!$G$1:$G$1001,0),1)</f>
        <v>62</v>
      </c>
      <c r="T387" s="7" t="str">
        <f>INDEX(Detail!$E$1:$E$1001,MATCH(Main!B387,Detail!$G$1:$G$1001,0))</f>
        <v>Jl. Rajiman No. 19</v>
      </c>
      <c r="U387" s="7" t="str">
        <f>INDEX(Detail!$B$1:$B$1001,MATCH(B387,Detail!$G$1:$G$1001,0),1)</f>
        <v>A-</v>
      </c>
    </row>
    <row r="388" spans="1:21" ht="15.75" x14ac:dyDescent="0.25">
      <c r="A388">
        <v>397</v>
      </c>
      <c r="B388" s="3" t="str">
        <f t="shared" si="16"/>
        <v>C0397</v>
      </c>
      <c r="C388" t="s">
        <v>1012</v>
      </c>
      <c r="D388" s="3" t="str">
        <f>VLOOKUP(B388,Detail!$G$1:$H$1001,2,FALSE)</f>
        <v>Farhunnisa Putri</v>
      </c>
      <c r="E388">
        <v>66</v>
      </c>
      <c r="F388">
        <v>44</v>
      </c>
      <c r="G388" s="35">
        <v>48</v>
      </c>
      <c r="H388">
        <v>72</v>
      </c>
      <c r="I388">
        <v>82</v>
      </c>
      <c r="J388">
        <v>96</v>
      </c>
      <c r="K388">
        <v>77</v>
      </c>
      <c r="L388" s="26">
        <f>IFERROR(VLOOKUP(B388,Absen!$A$1:$C$501,2,FALSE),"No")</f>
        <v>44783</v>
      </c>
      <c r="M388" s="44">
        <f t="shared" si="17"/>
        <v>6.7</v>
      </c>
      <c r="N388" s="35">
        <f t="shared" si="18"/>
        <v>68.5</v>
      </c>
      <c r="O388" t="str">
        <f>VLOOKUP(N388,Helper!$B$30:$C$35,2,TRUE)</f>
        <v>C</v>
      </c>
      <c r="P388" s="26">
        <f>INDEX(Detail!$A$1:$A$1001,MATCH(B388,Detail!$G$1:$G$1001,0))</f>
        <v>37771</v>
      </c>
      <c r="Q388" s="3" t="str">
        <f>INDEX(Detail!$F$1:$F$1001,MATCH(Main!B388,Detail!$G$1:$G$1001,0))</f>
        <v>Tanjungbalai</v>
      </c>
      <c r="R388" s="7">
        <f>INDEX(Detail!$C$1:$C$1001,MATCH(B388,Detail!$G$1:$G$1001,0),1)</f>
        <v>176</v>
      </c>
      <c r="S388" s="7">
        <f>INDEX(Detail!$D$1:$D$1001,MATCH(B388,Detail!$G$1:$G$1001,0),1)</f>
        <v>87</v>
      </c>
      <c r="T388" s="7" t="str">
        <f>INDEX(Detail!$E$1:$E$1001,MATCH(Main!B388,Detail!$G$1:$G$1001,0))</f>
        <v>Jalan Cikapayang No. 41</v>
      </c>
      <c r="U388" s="7" t="str">
        <f>INDEX(Detail!$B$1:$B$1001,MATCH(B388,Detail!$G$1:$G$1001,0),1)</f>
        <v>AB-</v>
      </c>
    </row>
    <row r="389" spans="1:21" ht="15.75" x14ac:dyDescent="0.25">
      <c r="A389">
        <v>398</v>
      </c>
      <c r="B389" s="3" t="str">
        <f t="shared" si="16"/>
        <v>C0398</v>
      </c>
      <c r="C389" t="s">
        <v>1012</v>
      </c>
      <c r="D389" s="3" t="str">
        <f>VLOOKUP(B389,Detail!$G$1:$H$1001,2,FALSE)</f>
        <v>Gamblang Mayasari</v>
      </c>
      <c r="E389">
        <v>94</v>
      </c>
      <c r="F389">
        <v>68</v>
      </c>
      <c r="G389" s="35">
        <v>73</v>
      </c>
      <c r="H389">
        <v>52</v>
      </c>
      <c r="I389">
        <v>68</v>
      </c>
      <c r="J389">
        <v>64</v>
      </c>
      <c r="K389">
        <v>68</v>
      </c>
      <c r="L389" s="26">
        <f>IFERROR(VLOOKUP(B389,Absen!$A$1:$C$501,2,FALSE),"No")</f>
        <v>44832</v>
      </c>
      <c r="M389" s="44">
        <f t="shared" si="17"/>
        <v>5.8000000000000007</v>
      </c>
      <c r="N389" s="35">
        <f t="shared" si="18"/>
        <v>68.45</v>
      </c>
      <c r="O389" t="str">
        <f>VLOOKUP(N389,Helper!$B$30:$C$35,2,TRUE)</f>
        <v>C</v>
      </c>
      <c r="P389" s="26">
        <f>INDEX(Detail!$A$1:$A$1001,MATCH(B389,Detail!$G$1:$G$1001,0))</f>
        <v>38412</v>
      </c>
      <c r="Q389" s="3" t="str">
        <f>INDEX(Detail!$F$1:$F$1001,MATCH(Main!B389,Detail!$G$1:$G$1001,0))</f>
        <v>Banjarmasin</v>
      </c>
      <c r="R389" s="7">
        <f>INDEX(Detail!$C$1:$C$1001,MATCH(B389,Detail!$G$1:$G$1001,0),1)</f>
        <v>173</v>
      </c>
      <c r="S389" s="7">
        <f>INDEX(Detail!$D$1:$D$1001,MATCH(B389,Detail!$G$1:$G$1001,0),1)</f>
        <v>57</v>
      </c>
      <c r="T389" s="7" t="str">
        <f>INDEX(Detail!$E$1:$E$1001,MATCH(Main!B389,Detail!$G$1:$G$1001,0))</f>
        <v>Jalan Pacuan Kuda No. 81</v>
      </c>
      <c r="U389" s="7" t="str">
        <f>INDEX(Detail!$B$1:$B$1001,MATCH(B389,Detail!$G$1:$G$1001,0),1)</f>
        <v>B-</v>
      </c>
    </row>
    <row r="390" spans="1:21" ht="15.75" x14ac:dyDescent="0.25">
      <c r="A390">
        <v>401</v>
      </c>
      <c r="B390" s="3" t="str">
        <f t="shared" si="16"/>
        <v>C0401</v>
      </c>
      <c r="C390" t="s">
        <v>1012</v>
      </c>
      <c r="D390" s="3" t="str">
        <f>VLOOKUP(B390,Detail!$G$1:$H$1001,2,FALSE)</f>
        <v>Maya Simanjuntak</v>
      </c>
      <c r="E390">
        <v>91</v>
      </c>
      <c r="F390">
        <v>47</v>
      </c>
      <c r="G390" s="35">
        <v>66</v>
      </c>
      <c r="H390">
        <v>57</v>
      </c>
      <c r="I390">
        <v>87</v>
      </c>
      <c r="J390">
        <v>67</v>
      </c>
      <c r="K390">
        <v>84</v>
      </c>
      <c r="L390" s="26">
        <f>IFERROR(VLOOKUP(B390,Absen!$A$1:$C$501,2,FALSE),"No")</f>
        <v>44804</v>
      </c>
      <c r="M390" s="44">
        <f t="shared" si="17"/>
        <v>7.4</v>
      </c>
      <c r="N390" s="35">
        <f t="shared" si="18"/>
        <v>69.25</v>
      </c>
      <c r="O390" t="str">
        <f>VLOOKUP(N390,Helper!$B$30:$C$35,2,TRUE)</f>
        <v>C</v>
      </c>
      <c r="P390" s="26">
        <f>INDEX(Detail!$A$1:$A$1001,MATCH(B390,Detail!$G$1:$G$1001,0))</f>
        <v>37122</v>
      </c>
      <c r="Q390" s="3" t="str">
        <f>INDEX(Detail!$F$1:$F$1001,MATCH(Main!B390,Detail!$G$1:$G$1001,0))</f>
        <v>Mataram</v>
      </c>
      <c r="R390" s="7">
        <f>INDEX(Detail!$C$1:$C$1001,MATCH(B390,Detail!$G$1:$G$1001,0),1)</f>
        <v>169</v>
      </c>
      <c r="S390" s="7">
        <f>INDEX(Detail!$D$1:$D$1001,MATCH(B390,Detail!$G$1:$G$1001,0),1)</f>
        <v>70</v>
      </c>
      <c r="T390" s="7" t="str">
        <f>INDEX(Detail!$E$1:$E$1001,MATCH(Main!B390,Detail!$G$1:$G$1001,0))</f>
        <v>Jl. Rungkut Industri No. 93</v>
      </c>
      <c r="U390" s="7" t="str">
        <f>INDEX(Detail!$B$1:$B$1001,MATCH(B390,Detail!$G$1:$G$1001,0),1)</f>
        <v>B+</v>
      </c>
    </row>
    <row r="391" spans="1:21" ht="15.75" x14ac:dyDescent="0.25">
      <c r="A391">
        <v>404</v>
      </c>
      <c r="B391" s="3" t="str">
        <f t="shared" si="16"/>
        <v>C0404</v>
      </c>
      <c r="C391" t="s">
        <v>1012</v>
      </c>
      <c r="D391" s="3" t="str">
        <f>VLOOKUP(B391,Detail!$G$1:$H$1001,2,FALSE)</f>
        <v>Asirwanda Natsir</v>
      </c>
      <c r="E391">
        <v>75</v>
      </c>
      <c r="F391">
        <v>50</v>
      </c>
      <c r="G391" s="35">
        <v>57</v>
      </c>
      <c r="H391">
        <v>57</v>
      </c>
      <c r="I391">
        <v>62</v>
      </c>
      <c r="J391">
        <v>80</v>
      </c>
      <c r="K391">
        <v>68</v>
      </c>
      <c r="L391" s="26" t="str">
        <f>IFERROR(VLOOKUP(B391,Absen!$A$1:$C$501,2,FALSE),"No")</f>
        <v>No</v>
      </c>
      <c r="M391" s="44">
        <f t="shared" si="17"/>
        <v>6.8000000000000007</v>
      </c>
      <c r="N391" s="35">
        <f t="shared" si="18"/>
        <v>64.7</v>
      </c>
      <c r="O391" t="str">
        <f>VLOOKUP(N391,Helper!$B$30:$C$35,2,TRUE)</f>
        <v>C</v>
      </c>
      <c r="P391" s="26">
        <f>INDEX(Detail!$A$1:$A$1001,MATCH(B391,Detail!$G$1:$G$1001,0))</f>
        <v>37023</v>
      </c>
      <c r="Q391" s="3" t="str">
        <f>INDEX(Detail!$F$1:$F$1001,MATCH(Main!B391,Detail!$G$1:$G$1001,0))</f>
        <v>Makassar</v>
      </c>
      <c r="R391" s="7">
        <f>INDEX(Detail!$C$1:$C$1001,MATCH(B391,Detail!$G$1:$G$1001,0),1)</f>
        <v>165</v>
      </c>
      <c r="S391" s="7">
        <f>INDEX(Detail!$D$1:$D$1001,MATCH(B391,Detail!$G$1:$G$1001,0),1)</f>
        <v>56</v>
      </c>
      <c r="T391" s="7" t="str">
        <f>INDEX(Detail!$E$1:$E$1001,MATCH(Main!B391,Detail!$G$1:$G$1001,0))</f>
        <v>Jl. Rawamangun No. 56</v>
      </c>
      <c r="U391" s="7" t="str">
        <f>INDEX(Detail!$B$1:$B$1001,MATCH(B391,Detail!$G$1:$G$1001,0),1)</f>
        <v>B+</v>
      </c>
    </row>
    <row r="392" spans="1:21" ht="15.75" x14ac:dyDescent="0.25">
      <c r="A392">
        <v>406</v>
      </c>
      <c r="B392" s="3" t="str">
        <f t="shared" si="16"/>
        <v>C0406</v>
      </c>
      <c r="C392" t="s">
        <v>1012</v>
      </c>
      <c r="D392" s="3" t="str">
        <f>VLOOKUP(B392,Detail!$G$1:$H$1001,2,FALSE)</f>
        <v>Elon Irawan</v>
      </c>
      <c r="E392">
        <v>86</v>
      </c>
      <c r="F392">
        <v>49</v>
      </c>
      <c r="G392" s="35">
        <v>67</v>
      </c>
      <c r="H392">
        <v>56</v>
      </c>
      <c r="I392">
        <v>94</v>
      </c>
      <c r="J392">
        <v>93</v>
      </c>
      <c r="K392">
        <v>60</v>
      </c>
      <c r="L392" s="26" t="str">
        <f>IFERROR(VLOOKUP(B392,Absen!$A$1:$C$501,2,FALSE),"No")</f>
        <v>No</v>
      </c>
      <c r="M392" s="44">
        <f t="shared" si="17"/>
        <v>6</v>
      </c>
      <c r="N392" s="35">
        <f t="shared" si="18"/>
        <v>73.625</v>
      </c>
      <c r="O392" t="str">
        <f>VLOOKUP(N392,Helper!$B$30:$C$35,2,TRUE)</f>
        <v>B</v>
      </c>
      <c r="P392" s="26">
        <f>INDEX(Detail!$A$1:$A$1001,MATCH(B392,Detail!$G$1:$G$1001,0))</f>
        <v>37324</v>
      </c>
      <c r="Q392" s="3" t="str">
        <f>INDEX(Detail!$F$1:$F$1001,MATCH(Main!B392,Detail!$G$1:$G$1001,0))</f>
        <v>Tanjungbalai</v>
      </c>
      <c r="R392" s="7">
        <f>INDEX(Detail!$C$1:$C$1001,MATCH(B392,Detail!$G$1:$G$1001,0),1)</f>
        <v>167</v>
      </c>
      <c r="S392" s="7">
        <f>INDEX(Detail!$D$1:$D$1001,MATCH(B392,Detail!$G$1:$G$1001,0),1)</f>
        <v>66</v>
      </c>
      <c r="T392" s="7" t="str">
        <f>INDEX(Detail!$E$1:$E$1001,MATCH(Main!B392,Detail!$G$1:$G$1001,0))</f>
        <v>Gang Moch. Ramdan No. 25</v>
      </c>
      <c r="U392" s="7" t="str">
        <f>INDEX(Detail!$B$1:$B$1001,MATCH(B392,Detail!$G$1:$G$1001,0),1)</f>
        <v>O+</v>
      </c>
    </row>
    <row r="393" spans="1:21" ht="15.75" x14ac:dyDescent="0.25">
      <c r="A393">
        <v>413</v>
      </c>
      <c r="B393" s="3" t="str">
        <f t="shared" si="16"/>
        <v>C0413</v>
      </c>
      <c r="C393" t="s">
        <v>1012</v>
      </c>
      <c r="D393" s="3" t="str">
        <f>VLOOKUP(B393,Detail!$G$1:$H$1001,2,FALSE)</f>
        <v>Warji Permadi</v>
      </c>
      <c r="E393">
        <v>59</v>
      </c>
      <c r="F393">
        <v>58</v>
      </c>
      <c r="G393" s="35">
        <v>42</v>
      </c>
      <c r="H393">
        <v>70</v>
      </c>
      <c r="I393">
        <v>84</v>
      </c>
      <c r="J393">
        <v>77</v>
      </c>
      <c r="K393">
        <v>76</v>
      </c>
      <c r="L393" s="26" t="str">
        <f>IFERROR(VLOOKUP(B393,Absen!$A$1:$C$501,2,FALSE),"No")</f>
        <v>No</v>
      </c>
      <c r="M393" s="44">
        <f t="shared" si="17"/>
        <v>7.6000000000000005</v>
      </c>
      <c r="N393" s="35">
        <f t="shared" si="18"/>
        <v>65.274999999999991</v>
      </c>
      <c r="O393" t="str">
        <f>VLOOKUP(N393,Helper!$B$30:$C$35,2,TRUE)</f>
        <v>C</v>
      </c>
      <c r="P393" s="26">
        <f>INDEX(Detail!$A$1:$A$1001,MATCH(B393,Detail!$G$1:$G$1001,0))</f>
        <v>37646</v>
      </c>
      <c r="Q393" s="3" t="str">
        <f>INDEX(Detail!$F$1:$F$1001,MATCH(Main!B393,Detail!$G$1:$G$1001,0))</f>
        <v>Cirebon</v>
      </c>
      <c r="R393" s="7">
        <f>INDEX(Detail!$C$1:$C$1001,MATCH(B393,Detail!$G$1:$G$1001,0),1)</f>
        <v>167</v>
      </c>
      <c r="S393" s="7">
        <f>INDEX(Detail!$D$1:$D$1001,MATCH(B393,Detail!$G$1:$G$1001,0),1)</f>
        <v>95</v>
      </c>
      <c r="T393" s="7" t="str">
        <f>INDEX(Detail!$E$1:$E$1001,MATCH(Main!B393,Detail!$G$1:$G$1001,0))</f>
        <v xml:space="preserve">Gang Erlangga No. 8
</v>
      </c>
      <c r="U393" s="7" t="str">
        <f>INDEX(Detail!$B$1:$B$1001,MATCH(B393,Detail!$G$1:$G$1001,0),1)</f>
        <v>B+</v>
      </c>
    </row>
    <row r="394" spans="1:21" ht="15.75" x14ac:dyDescent="0.25">
      <c r="A394">
        <v>414</v>
      </c>
      <c r="B394" s="3" t="str">
        <f t="shared" si="16"/>
        <v>C0414</v>
      </c>
      <c r="C394" t="s">
        <v>1012</v>
      </c>
      <c r="D394" s="3" t="str">
        <f>VLOOKUP(B394,Detail!$G$1:$H$1001,2,FALSE)</f>
        <v>Taufan Permata</v>
      </c>
      <c r="E394">
        <v>53</v>
      </c>
      <c r="F394">
        <v>62</v>
      </c>
      <c r="G394" s="35">
        <v>67</v>
      </c>
      <c r="H394">
        <v>52</v>
      </c>
      <c r="I394">
        <v>69</v>
      </c>
      <c r="J394">
        <v>45</v>
      </c>
      <c r="K394">
        <v>98</v>
      </c>
      <c r="L394" s="26" t="str">
        <f>IFERROR(VLOOKUP(B394,Absen!$A$1:$C$501,2,FALSE),"No")</f>
        <v>No</v>
      </c>
      <c r="M394" s="44">
        <f t="shared" si="17"/>
        <v>9.8000000000000007</v>
      </c>
      <c r="N394" s="35">
        <f t="shared" si="18"/>
        <v>61.7</v>
      </c>
      <c r="O394" t="str">
        <f>VLOOKUP(N394,Helper!$B$30:$C$35,2,TRUE)</f>
        <v>C</v>
      </c>
      <c r="P394" s="26">
        <f>INDEX(Detail!$A$1:$A$1001,MATCH(B394,Detail!$G$1:$G$1001,0))</f>
        <v>37398</v>
      </c>
      <c r="Q394" s="3" t="str">
        <f>INDEX(Detail!$F$1:$F$1001,MATCH(Main!B394,Detail!$G$1:$G$1001,0))</f>
        <v>Sorong</v>
      </c>
      <c r="R394" s="7">
        <f>INDEX(Detail!$C$1:$C$1001,MATCH(B394,Detail!$G$1:$G$1001,0),1)</f>
        <v>178</v>
      </c>
      <c r="S394" s="7">
        <f>INDEX(Detail!$D$1:$D$1001,MATCH(B394,Detail!$G$1:$G$1001,0),1)</f>
        <v>49</v>
      </c>
      <c r="T394" s="7" t="str">
        <f>INDEX(Detail!$E$1:$E$1001,MATCH(Main!B394,Detail!$G$1:$G$1001,0))</f>
        <v>Gg. Pasteur No. 26</v>
      </c>
      <c r="U394" s="7" t="str">
        <f>INDEX(Detail!$B$1:$B$1001,MATCH(B394,Detail!$G$1:$G$1001,0),1)</f>
        <v>O-</v>
      </c>
    </row>
    <row r="395" spans="1:21" ht="15.75" x14ac:dyDescent="0.25">
      <c r="A395">
        <v>423</v>
      </c>
      <c r="B395" s="3" t="str">
        <f t="shared" si="16"/>
        <v>C0423</v>
      </c>
      <c r="C395" t="s">
        <v>1012</v>
      </c>
      <c r="D395" s="3" t="str">
        <f>VLOOKUP(B395,Detail!$G$1:$H$1001,2,FALSE)</f>
        <v>Irfan Melani</v>
      </c>
      <c r="E395">
        <v>64</v>
      </c>
      <c r="F395">
        <v>48</v>
      </c>
      <c r="G395" s="35">
        <v>72</v>
      </c>
      <c r="H395">
        <v>59</v>
      </c>
      <c r="I395">
        <v>67</v>
      </c>
      <c r="J395">
        <v>83</v>
      </c>
      <c r="K395">
        <v>73</v>
      </c>
      <c r="L395" s="26" t="str">
        <f>IFERROR(VLOOKUP(B395,Absen!$A$1:$C$501,2,FALSE),"No")</f>
        <v>No</v>
      </c>
      <c r="M395" s="44">
        <f t="shared" si="17"/>
        <v>7.3000000000000007</v>
      </c>
      <c r="N395" s="35">
        <f t="shared" si="18"/>
        <v>68.05</v>
      </c>
      <c r="O395" t="str">
        <f>VLOOKUP(N395,Helper!$B$30:$C$35,2,TRUE)</f>
        <v>C</v>
      </c>
      <c r="P395" s="26">
        <f>INDEX(Detail!$A$1:$A$1001,MATCH(B395,Detail!$G$1:$G$1001,0))</f>
        <v>37925</v>
      </c>
      <c r="Q395" s="3" t="str">
        <f>INDEX(Detail!$F$1:$F$1001,MATCH(Main!B395,Detail!$G$1:$G$1001,0))</f>
        <v>Bengkulu</v>
      </c>
      <c r="R395" s="7">
        <f>INDEX(Detail!$C$1:$C$1001,MATCH(B395,Detail!$G$1:$G$1001,0),1)</f>
        <v>174</v>
      </c>
      <c r="S395" s="7">
        <f>INDEX(Detail!$D$1:$D$1001,MATCH(B395,Detail!$G$1:$G$1001,0),1)</f>
        <v>66</v>
      </c>
      <c r="T395" s="7" t="str">
        <f>INDEX(Detail!$E$1:$E$1001,MATCH(Main!B395,Detail!$G$1:$G$1001,0))</f>
        <v>Gg. Indragiri No. 23</v>
      </c>
      <c r="U395" s="7" t="str">
        <f>INDEX(Detail!$B$1:$B$1001,MATCH(B395,Detail!$G$1:$G$1001,0),1)</f>
        <v>B+</v>
      </c>
    </row>
    <row r="396" spans="1:21" ht="15.75" x14ac:dyDescent="0.25">
      <c r="A396">
        <v>426</v>
      </c>
      <c r="B396" s="3" t="str">
        <f t="shared" si="16"/>
        <v>C0426</v>
      </c>
      <c r="C396" t="s">
        <v>1012</v>
      </c>
      <c r="D396" s="3" t="str">
        <f>VLOOKUP(B396,Detail!$G$1:$H$1001,2,FALSE)</f>
        <v>Rahmat Purwanti</v>
      </c>
      <c r="E396">
        <v>55</v>
      </c>
      <c r="F396">
        <v>73</v>
      </c>
      <c r="G396" s="35">
        <v>81</v>
      </c>
      <c r="H396">
        <v>61</v>
      </c>
      <c r="I396">
        <v>57</v>
      </c>
      <c r="J396">
        <v>69</v>
      </c>
      <c r="K396">
        <v>85</v>
      </c>
      <c r="L396" s="26">
        <f>IFERROR(VLOOKUP(B396,Absen!$A$1:$C$501,2,FALSE),"No")</f>
        <v>44899</v>
      </c>
      <c r="M396" s="44">
        <f t="shared" si="17"/>
        <v>7.5</v>
      </c>
      <c r="N396" s="35">
        <f t="shared" si="18"/>
        <v>68.25</v>
      </c>
      <c r="O396" t="str">
        <f>VLOOKUP(N396,Helper!$B$30:$C$35,2,TRUE)</f>
        <v>C</v>
      </c>
      <c r="P396" s="26">
        <f>INDEX(Detail!$A$1:$A$1001,MATCH(B396,Detail!$G$1:$G$1001,0))</f>
        <v>37967</v>
      </c>
      <c r="Q396" s="3" t="str">
        <f>INDEX(Detail!$F$1:$F$1001,MATCH(Main!B396,Detail!$G$1:$G$1001,0))</f>
        <v>Palembang</v>
      </c>
      <c r="R396" s="7">
        <f>INDEX(Detail!$C$1:$C$1001,MATCH(B396,Detail!$G$1:$G$1001,0),1)</f>
        <v>175</v>
      </c>
      <c r="S396" s="7">
        <f>INDEX(Detail!$D$1:$D$1001,MATCH(B396,Detail!$G$1:$G$1001,0),1)</f>
        <v>47</v>
      </c>
      <c r="T396" s="7" t="str">
        <f>INDEX(Detail!$E$1:$E$1001,MATCH(Main!B396,Detail!$G$1:$G$1001,0))</f>
        <v>Jl. Stasiun Wonokromo No. 77</v>
      </c>
      <c r="U396" s="7" t="str">
        <f>INDEX(Detail!$B$1:$B$1001,MATCH(B396,Detail!$G$1:$G$1001,0),1)</f>
        <v>AB-</v>
      </c>
    </row>
    <row r="397" spans="1:21" ht="15.75" x14ac:dyDescent="0.25">
      <c r="A397">
        <v>430</v>
      </c>
      <c r="B397" s="3" t="str">
        <f t="shared" si="16"/>
        <v>C0430</v>
      </c>
      <c r="C397" t="s">
        <v>1012</v>
      </c>
      <c r="D397" s="3" t="str">
        <f>VLOOKUP(B397,Detail!$G$1:$H$1001,2,FALSE)</f>
        <v>Talia Saefullah</v>
      </c>
      <c r="E397">
        <v>53</v>
      </c>
      <c r="F397">
        <v>63</v>
      </c>
      <c r="G397" s="35">
        <v>76</v>
      </c>
      <c r="H397">
        <v>63</v>
      </c>
      <c r="I397">
        <v>52</v>
      </c>
      <c r="J397">
        <v>68</v>
      </c>
      <c r="K397">
        <v>85</v>
      </c>
      <c r="L397" s="26" t="str">
        <f>IFERROR(VLOOKUP(B397,Absen!$A$1:$C$501,2,FALSE),"No")</f>
        <v>No</v>
      </c>
      <c r="M397" s="44">
        <f t="shared" si="17"/>
        <v>8.5</v>
      </c>
      <c r="N397" s="35">
        <f t="shared" si="18"/>
        <v>66.175000000000011</v>
      </c>
      <c r="O397" t="str">
        <f>VLOOKUP(N397,Helper!$B$30:$C$35,2,TRUE)</f>
        <v>C</v>
      </c>
      <c r="P397" s="26">
        <f>INDEX(Detail!$A$1:$A$1001,MATCH(B397,Detail!$G$1:$G$1001,0))</f>
        <v>38330</v>
      </c>
      <c r="Q397" s="3" t="str">
        <f>INDEX(Detail!$F$1:$F$1001,MATCH(Main!B397,Detail!$G$1:$G$1001,0))</f>
        <v>Palembang</v>
      </c>
      <c r="R397" s="7">
        <f>INDEX(Detail!$C$1:$C$1001,MATCH(B397,Detail!$G$1:$G$1001,0),1)</f>
        <v>174</v>
      </c>
      <c r="S397" s="7">
        <f>INDEX(Detail!$D$1:$D$1001,MATCH(B397,Detail!$G$1:$G$1001,0),1)</f>
        <v>76</v>
      </c>
      <c r="T397" s="7" t="str">
        <f>INDEX(Detail!$E$1:$E$1001,MATCH(Main!B397,Detail!$G$1:$G$1001,0))</f>
        <v xml:space="preserve">Jl. Abdul Muis No. 9
</v>
      </c>
      <c r="U397" s="7" t="str">
        <f>INDEX(Detail!$B$1:$B$1001,MATCH(B397,Detail!$G$1:$G$1001,0),1)</f>
        <v>A+</v>
      </c>
    </row>
    <row r="398" spans="1:21" ht="15.75" x14ac:dyDescent="0.25">
      <c r="A398">
        <v>434</v>
      </c>
      <c r="B398" s="3" t="str">
        <f t="shared" si="16"/>
        <v>C0434</v>
      </c>
      <c r="C398" t="s">
        <v>1012</v>
      </c>
      <c r="D398" s="3" t="str">
        <f>VLOOKUP(B398,Detail!$G$1:$H$1001,2,FALSE)</f>
        <v>Mahfud Pertiwi</v>
      </c>
      <c r="E398">
        <v>81</v>
      </c>
      <c r="F398">
        <v>68</v>
      </c>
      <c r="G398" s="35">
        <v>51</v>
      </c>
      <c r="H398">
        <v>61</v>
      </c>
      <c r="I398">
        <v>66</v>
      </c>
      <c r="J398">
        <v>57</v>
      </c>
      <c r="K398">
        <v>73</v>
      </c>
      <c r="L398" s="26">
        <f>IFERROR(VLOOKUP(B398,Absen!$A$1:$C$501,2,FALSE),"No")</f>
        <v>44831</v>
      </c>
      <c r="M398" s="44">
        <f t="shared" si="17"/>
        <v>6.3000000000000007</v>
      </c>
      <c r="N398" s="35">
        <f t="shared" si="18"/>
        <v>62.400000000000006</v>
      </c>
      <c r="O398" t="str">
        <f>VLOOKUP(N398,Helper!$B$30:$C$35,2,TRUE)</f>
        <v>C</v>
      </c>
      <c r="P398" s="26">
        <f>INDEX(Detail!$A$1:$A$1001,MATCH(B398,Detail!$G$1:$G$1001,0))</f>
        <v>37686</v>
      </c>
      <c r="Q398" s="3" t="str">
        <f>INDEX(Detail!$F$1:$F$1001,MATCH(Main!B398,Detail!$G$1:$G$1001,0))</f>
        <v>Lhokseumawe</v>
      </c>
      <c r="R398" s="7">
        <f>INDEX(Detail!$C$1:$C$1001,MATCH(B398,Detail!$G$1:$G$1001,0),1)</f>
        <v>159</v>
      </c>
      <c r="S398" s="7">
        <f>INDEX(Detail!$D$1:$D$1001,MATCH(B398,Detail!$G$1:$G$1001,0),1)</f>
        <v>62</v>
      </c>
      <c r="T398" s="7" t="str">
        <f>INDEX(Detail!$E$1:$E$1001,MATCH(Main!B398,Detail!$G$1:$G$1001,0))</f>
        <v xml:space="preserve">Gg. Surapati No. 5
</v>
      </c>
      <c r="U398" s="7" t="str">
        <f>INDEX(Detail!$B$1:$B$1001,MATCH(B398,Detail!$G$1:$G$1001,0),1)</f>
        <v>B+</v>
      </c>
    </row>
    <row r="399" spans="1:21" ht="15.75" x14ac:dyDescent="0.25">
      <c r="A399">
        <v>436</v>
      </c>
      <c r="B399" s="3" t="str">
        <f t="shared" si="16"/>
        <v>C0436</v>
      </c>
      <c r="C399" t="s">
        <v>1012</v>
      </c>
      <c r="D399" s="3" t="str">
        <f>VLOOKUP(B399,Detail!$G$1:$H$1001,2,FALSE)</f>
        <v>Wahyu Firmansyah</v>
      </c>
      <c r="E399">
        <v>78</v>
      </c>
      <c r="F399">
        <v>43</v>
      </c>
      <c r="G399" s="35">
        <v>85</v>
      </c>
      <c r="H399">
        <v>67</v>
      </c>
      <c r="I399">
        <v>69</v>
      </c>
      <c r="J399">
        <v>73</v>
      </c>
      <c r="K399">
        <v>78</v>
      </c>
      <c r="L399" s="26">
        <f>IFERROR(VLOOKUP(B399,Absen!$A$1:$C$501,2,FALSE),"No")</f>
        <v>44835</v>
      </c>
      <c r="M399" s="44">
        <f t="shared" si="17"/>
        <v>6.8000000000000007</v>
      </c>
      <c r="N399" s="35">
        <f t="shared" si="18"/>
        <v>70.525000000000006</v>
      </c>
      <c r="O399" t="str">
        <f>VLOOKUP(N399,Helper!$B$30:$C$35,2,TRUE)</f>
        <v>B</v>
      </c>
      <c r="P399" s="26">
        <f>INDEX(Detail!$A$1:$A$1001,MATCH(B399,Detail!$G$1:$G$1001,0))</f>
        <v>38002</v>
      </c>
      <c r="Q399" s="3" t="str">
        <f>INDEX(Detail!$F$1:$F$1001,MATCH(Main!B399,Detail!$G$1:$G$1001,0))</f>
        <v>Salatiga</v>
      </c>
      <c r="R399" s="7">
        <f>INDEX(Detail!$C$1:$C$1001,MATCH(B399,Detail!$G$1:$G$1001,0),1)</f>
        <v>156</v>
      </c>
      <c r="S399" s="7">
        <f>INDEX(Detail!$D$1:$D$1001,MATCH(B399,Detail!$G$1:$G$1001,0),1)</f>
        <v>74</v>
      </c>
      <c r="T399" s="7" t="str">
        <f>INDEX(Detail!$E$1:$E$1001,MATCH(Main!B399,Detail!$G$1:$G$1001,0))</f>
        <v>Jalan Raya Setiabudhi No. 63</v>
      </c>
      <c r="U399" s="7" t="str">
        <f>INDEX(Detail!$B$1:$B$1001,MATCH(B399,Detail!$G$1:$G$1001,0),1)</f>
        <v>AB-</v>
      </c>
    </row>
    <row r="400" spans="1:21" ht="15.75" x14ac:dyDescent="0.25">
      <c r="A400">
        <v>448</v>
      </c>
      <c r="B400" s="3" t="str">
        <f t="shared" si="16"/>
        <v>C0448</v>
      </c>
      <c r="C400" t="s">
        <v>1012</v>
      </c>
      <c r="D400" s="3" t="str">
        <f>VLOOKUP(B400,Detail!$G$1:$H$1001,2,FALSE)</f>
        <v>Opung Maulana</v>
      </c>
      <c r="E400">
        <v>51</v>
      </c>
      <c r="F400">
        <v>68</v>
      </c>
      <c r="G400" s="35">
        <v>85</v>
      </c>
      <c r="H400">
        <v>57</v>
      </c>
      <c r="I400">
        <v>60</v>
      </c>
      <c r="J400">
        <v>90</v>
      </c>
      <c r="K400">
        <v>70</v>
      </c>
      <c r="L400" s="26">
        <f>IFERROR(VLOOKUP(B400,Absen!$A$1:$C$501,2,FALSE),"No")</f>
        <v>44874</v>
      </c>
      <c r="M400" s="44">
        <f t="shared" si="17"/>
        <v>6</v>
      </c>
      <c r="N400" s="35">
        <f t="shared" si="18"/>
        <v>70.5</v>
      </c>
      <c r="O400" t="str">
        <f>VLOOKUP(N400,Helper!$B$30:$C$35,2,TRUE)</f>
        <v>B</v>
      </c>
      <c r="P400" s="26">
        <f>INDEX(Detail!$A$1:$A$1001,MATCH(B400,Detail!$G$1:$G$1001,0))</f>
        <v>38268</v>
      </c>
      <c r="Q400" s="3" t="str">
        <f>INDEX(Detail!$F$1:$F$1001,MATCH(Main!B400,Detail!$G$1:$G$1001,0))</f>
        <v>Pematangsiantar</v>
      </c>
      <c r="R400" s="7">
        <f>INDEX(Detail!$C$1:$C$1001,MATCH(B400,Detail!$G$1:$G$1001,0),1)</f>
        <v>178</v>
      </c>
      <c r="S400" s="7">
        <f>INDEX(Detail!$D$1:$D$1001,MATCH(B400,Detail!$G$1:$G$1001,0),1)</f>
        <v>57</v>
      </c>
      <c r="T400" s="7" t="str">
        <f>INDEX(Detail!$E$1:$E$1001,MATCH(Main!B400,Detail!$G$1:$G$1001,0))</f>
        <v xml:space="preserve">Gang Waringin No. 2
</v>
      </c>
      <c r="U400" s="7" t="str">
        <f>INDEX(Detail!$B$1:$B$1001,MATCH(B400,Detail!$G$1:$G$1001,0),1)</f>
        <v>B+</v>
      </c>
    </row>
    <row r="401" spans="1:21" ht="15.75" x14ac:dyDescent="0.25">
      <c r="A401">
        <v>449</v>
      </c>
      <c r="B401" s="3" t="str">
        <f t="shared" si="16"/>
        <v>C0449</v>
      </c>
      <c r="C401" t="s">
        <v>1012</v>
      </c>
      <c r="D401" s="3" t="str">
        <f>VLOOKUP(B401,Detail!$G$1:$H$1001,2,FALSE)</f>
        <v>Samsul Firmansyah</v>
      </c>
      <c r="E401">
        <v>50</v>
      </c>
      <c r="F401">
        <v>40</v>
      </c>
      <c r="G401" s="35">
        <v>65</v>
      </c>
      <c r="H401">
        <v>71</v>
      </c>
      <c r="I401">
        <v>71</v>
      </c>
      <c r="J401">
        <v>63</v>
      </c>
      <c r="K401">
        <v>100</v>
      </c>
      <c r="L401" s="26">
        <f>IFERROR(VLOOKUP(B401,Absen!$A$1:$C$501,2,FALSE),"No")</f>
        <v>44830</v>
      </c>
      <c r="M401" s="44">
        <f t="shared" si="17"/>
        <v>9</v>
      </c>
      <c r="N401" s="35">
        <f t="shared" si="18"/>
        <v>63.6</v>
      </c>
      <c r="O401" t="str">
        <f>VLOOKUP(N401,Helper!$B$30:$C$35,2,TRUE)</f>
        <v>C</v>
      </c>
      <c r="P401" s="26">
        <f>INDEX(Detail!$A$1:$A$1001,MATCH(B401,Detail!$G$1:$G$1001,0))</f>
        <v>37759</v>
      </c>
      <c r="Q401" s="3" t="str">
        <f>INDEX(Detail!$F$1:$F$1001,MATCH(Main!B401,Detail!$G$1:$G$1001,0))</f>
        <v>Cimahi</v>
      </c>
      <c r="R401" s="7">
        <f>INDEX(Detail!$C$1:$C$1001,MATCH(B401,Detail!$G$1:$G$1001,0),1)</f>
        <v>172</v>
      </c>
      <c r="S401" s="7">
        <f>INDEX(Detail!$D$1:$D$1001,MATCH(B401,Detail!$G$1:$G$1001,0),1)</f>
        <v>91</v>
      </c>
      <c r="T401" s="7" t="str">
        <f>INDEX(Detail!$E$1:$E$1001,MATCH(Main!B401,Detail!$G$1:$G$1001,0))</f>
        <v>Jalan Ahmad Dahlan No. 88</v>
      </c>
      <c r="U401" s="7" t="str">
        <f>INDEX(Detail!$B$1:$B$1001,MATCH(B401,Detail!$G$1:$G$1001,0),1)</f>
        <v>A-</v>
      </c>
    </row>
    <row r="402" spans="1:21" ht="15.75" x14ac:dyDescent="0.25">
      <c r="A402">
        <v>451</v>
      </c>
      <c r="B402" s="3" t="str">
        <f t="shared" si="16"/>
        <v>C0451</v>
      </c>
      <c r="C402" t="s">
        <v>1012</v>
      </c>
      <c r="D402" s="3" t="str">
        <f>VLOOKUP(B402,Detail!$G$1:$H$1001,2,FALSE)</f>
        <v>Dadap Manullang</v>
      </c>
      <c r="E402">
        <v>70</v>
      </c>
      <c r="F402">
        <v>69</v>
      </c>
      <c r="G402" s="35">
        <v>91</v>
      </c>
      <c r="H402">
        <v>74</v>
      </c>
      <c r="I402">
        <v>64</v>
      </c>
      <c r="J402">
        <v>45</v>
      </c>
      <c r="K402">
        <v>89</v>
      </c>
      <c r="L402" s="26">
        <f>IFERROR(VLOOKUP(B402,Absen!$A$1:$C$501,2,FALSE),"No")</f>
        <v>44750</v>
      </c>
      <c r="M402" s="44">
        <f t="shared" si="17"/>
        <v>7.9</v>
      </c>
      <c r="N402" s="35">
        <f t="shared" si="18"/>
        <v>69.725000000000009</v>
      </c>
      <c r="O402" t="str">
        <f>VLOOKUP(N402,Helper!$B$30:$C$35,2,TRUE)</f>
        <v>C</v>
      </c>
      <c r="P402" s="26">
        <f>INDEX(Detail!$A$1:$A$1001,MATCH(B402,Detail!$G$1:$G$1001,0))</f>
        <v>38336</v>
      </c>
      <c r="Q402" s="3" t="str">
        <f>INDEX(Detail!$F$1:$F$1001,MATCH(Main!B402,Detail!$G$1:$G$1001,0))</f>
        <v>Tebingtinggi</v>
      </c>
      <c r="R402" s="7">
        <f>INDEX(Detail!$C$1:$C$1001,MATCH(B402,Detail!$G$1:$G$1001,0),1)</f>
        <v>160</v>
      </c>
      <c r="S402" s="7">
        <f>INDEX(Detail!$D$1:$D$1001,MATCH(B402,Detail!$G$1:$G$1001,0),1)</f>
        <v>78</v>
      </c>
      <c r="T402" s="7" t="str">
        <f>INDEX(Detail!$E$1:$E$1001,MATCH(Main!B402,Detail!$G$1:$G$1001,0))</f>
        <v>Jalan Jend. A. Yani No. 73</v>
      </c>
      <c r="U402" s="7" t="str">
        <f>INDEX(Detail!$B$1:$B$1001,MATCH(B402,Detail!$G$1:$G$1001,0),1)</f>
        <v>AB+</v>
      </c>
    </row>
    <row r="403" spans="1:21" ht="15.75" x14ac:dyDescent="0.25">
      <c r="A403">
        <v>453</v>
      </c>
      <c r="B403" s="3" t="str">
        <f t="shared" si="16"/>
        <v>C0453</v>
      </c>
      <c r="C403" t="s">
        <v>1012</v>
      </c>
      <c r="D403" s="3" t="str">
        <f>VLOOKUP(B403,Detail!$G$1:$H$1001,2,FALSE)</f>
        <v>Bala Wibowo</v>
      </c>
      <c r="E403">
        <v>67</v>
      </c>
      <c r="F403">
        <v>48</v>
      </c>
      <c r="G403" s="35">
        <v>55</v>
      </c>
      <c r="H403">
        <v>50</v>
      </c>
      <c r="I403">
        <v>88</v>
      </c>
      <c r="J403">
        <v>44</v>
      </c>
      <c r="K403">
        <v>79</v>
      </c>
      <c r="L403" s="26" t="str">
        <f>IFERROR(VLOOKUP(B403,Absen!$A$1:$C$501,2,FALSE),"No")</f>
        <v>No</v>
      </c>
      <c r="M403" s="44">
        <f t="shared" si="17"/>
        <v>7.9</v>
      </c>
      <c r="N403" s="35">
        <f t="shared" si="18"/>
        <v>59.324999999999996</v>
      </c>
      <c r="O403" t="str">
        <f>VLOOKUP(N403,Helper!$B$30:$C$35,2,TRUE)</f>
        <v>D</v>
      </c>
      <c r="P403" s="26">
        <f>INDEX(Detail!$A$1:$A$1001,MATCH(B403,Detail!$G$1:$G$1001,0))</f>
        <v>37192</v>
      </c>
      <c r="Q403" s="3" t="str">
        <f>INDEX(Detail!$F$1:$F$1001,MATCH(Main!B403,Detail!$G$1:$G$1001,0))</f>
        <v>Pekanbaru</v>
      </c>
      <c r="R403" s="7">
        <f>INDEX(Detail!$C$1:$C$1001,MATCH(B403,Detail!$G$1:$G$1001,0),1)</f>
        <v>162</v>
      </c>
      <c r="S403" s="7">
        <f>INDEX(Detail!$D$1:$D$1001,MATCH(B403,Detail!$G$1:$G$1001,0),1)</f>
        <v>46</v>
      </c>
      <c r="T403" s="7" t="str">
        <f>INDEX(Detail!$E$1:$E$1001,MATCH(Main!B403,Detail!$G$1:$G$1001,0))</f>
        <v xml:space="preserve">Gg. Pasirkoja No. 8
</v>
      </c>
      <c r="U403" s="7" t="str">
        <f>INDEX(Detail!$B$1:$B$1001,MATCH(B403,Detail!$G$1:$G$1001,0),1)</f>
        <v>B-</v>
      </c>
    </row>
    <row r="404" spans="1:21" ht="15.75" x14ac:dyDescent="0.25">
      <c r="A404">
        <v>455</v>
      </c>
      <c r="B404" s="3" t="str">
        <f t="shared" si="16"/>
        <v>C0455</v>
      </c>
      <c r="C404" t="s">
        <v>1012</v>
      </c>
      <c r="D404" s="3" t="str">
        <f>VLOOKUP(B404,Detail!$G$1:$H$1001,2,FALSE)</f>
        <v>Lanjar Hakim</v>
      </c>
      <c r="E404">
        <v>79</v>
      </c>
      <c r="F404">
        <v>49</v>
      </c>
      <c r="G404" s="35">
        <v>91</v>
      </c>
      <c r="H404">
        <v>65</v>
      </c>
      <c r="I404">
        <v>53</v>
      </c>
      <c r="J404">
        <v>61</v>
      </c>
      <c r="K404">
        <v>75</v>
      </c>
      <c r="L404" s="26">
        <f>IFERROR(VLOOKUP(B404,Absen!$A$1:$C$501,2,FALSE),"No")</f>
        <v>44910</v>
      </c>
      <c r="M404" s="44">
        <f t="shared" si="17"/>
        <v>6.5</v>
      </c>
      <c r="N404" s="35">
        <f t="shared" si="18"/>
        <v>67.650000000000006</v>
      </c>
      <c r="O404" t="str">
        <f>VLOOKUP(N404,Helper!$B$30:$C$35,2,TRUE)</f>
        <v>C</v>
      </c>
      <c r="P404" s="26">
        <f>INDEX(Detail!$A$1:$A$1001,MATCH(B404,Detail!$G$1:$G$1001,0))</f>
        <v>37034</v>
      </c>
      <c r="Q404" s="3" t="str">
        <f>INDEX(Detail!$F$1:$F$1001,MATCH(Main!B404,Detail!$G$1:$G$1001,0))</f>
        <v>Palembang</v>
      </c>
      <c r="R404" s="7">
        <f>INDEX(Detail!$C$1:$C$1001,MATCH(B404,Detail!$G$1:$G$1001,0),1)</f>
        <v>156</v>
      </c>
      <c r="S404" s="7">
        <f>INDEX(Detail!$D$1:$D$1001,MATCH(B404,Detail!$G$1:$G$1001,0),1)</f>
        <v>50</v>
      </c>
      <c r="T404" s="7" t="str">
        <f>INDEX(Detail!$E$1:$E$1001,MATCH(Main!B404,Detail!$G$1:$G$1001,0))</f>
        <v xml:space="preserve">Jalan Dipatiukur No. 0
</v>
      </c>
      <c r="U404" s="7" t="str">
        <f>INDEX(Detail!$B$1:$B$1001,MATCH(B404,Detail!$G$1:$G$1001,0),1)</f>
        <v>A-</v>
      </c>
    </row>
    <row r="405" spans="1:21" ht="15.75" x14ac:dyDescent="0.25">
      <c r="A405">
        <v>460</v>
      </c>
      <c r="B405" s="3" t="str">
        <f t="shared" si="16"/>
        <v>C0460</v>
      </c>
      <c r="C405" t="s">
        <v>1012</v>
      </c>
      <c r="D405" s="3" t="str">
        <f>VLOOKUP(B405,Detail!$G$1:$H$1001,2,FALSE)</f>
        <v>Daryani Adriansyah</v>
      </c>
      <c r="E405">
        <v>57</v>
      </c>
      <c r="F405">
        <v>75</v>
      </c>
      <c r="G405" s="35">
        <v>85</v>
      </c>
      <c r="H405">
        <v>73</v>
      </c>
      <c r="I405">
        <v>72</v>
      </c>
      <c r="J405">
        <v>86</v>
      </c>
      <c r="K405">
        <v>98</v>
      </c>
      <c r="L405" s="26" t="str">
        <f>IFERROR(VLOOKUP(B405,Absen!$A$1:$C$501,2,FALSE),"No")</f>
        <v>No</v>
      </c>
      <c r="M405" s="44">
        <f t="shared" si="17"/>
        <v>9.8000000000000007</v>
      </c>
      <c r="N405" s="35">
        <f t="shared" si="18"/>
        <v>78.625</v>
      </c>
      <c r="O405" t="str">
        <f>VLOOKUP(N405,Helper!$B$30:$C$35,2,TRUE)</f>
        <v>B</v>
      </c>
      <c r="P405" s="26">
        <f>INDEX(Detail!$A$1:$A$1001,MATCH(B405,Detail!$G$1:$G$1001,0))</f>
        <v>38419</v>
      </c>
      <c r="Q405" s="3" t="str">
        <f>INDEX(Detail!$F$1:$F$1001,MATCH(Main!B405,Detail!$G$1:$G$1001,0))</f>
        <v>Bitung</v>
      </c>
      <c r="R405" s="7">
        <f>INDEX(Detail!$C$1:$C$1001,MATCH(B405,Detail!$G$1:$G$1001,0),1)</f>
        <v>155</v>
      </c>
      <c r="S405" s="7">
        <f>INDEX(Detail!$D$1:$D$1001,MATCH(B405,Detail!$G$1:$G$1001,0),1)</f>
        <v>93</v>
      </c>
      <c r="T405" s="7" t="str">
        <f>INDEX(Detail!$E$1:$E$1001,MATCH(Main!B405,Detail!$G$1:$G$1001,0))</f>
        <v xml:space="preserve">Jalan W.R. Supratman No. 2
</v>
      </c>
      <c r="U405" s="7" t="str">
        <f>INDEX(Detail!$B$1:$B$1001,MATCH(B405,Detail!$G$1:$G$1001,0),1)</f>
        <v>B-</v>
      </c>
    </row>
    <row r="406" spans="1:21" ht="15.75" x14ac:dyDescent="0.25">
      <c r="A406">
        <v>461</v>
      </c>
      <c r="B406" s="3" t="str">
        <f t="shared" si="16"/>
        <v>C0461</v>
      </c>
      <c r="C406" t="s">
        <v>1012</v>
      </c>
      <c r="D406" s="3" t="str">
        <f>VLOOKUP(B406,Detail!$G$1:$H$1001,2,FALSE)</f>
        <v>Malika Tamba</v>
      </c>
      <c r="E406">
        <v>83</v>
      </c>
      <c r="F406">
        <v>63</v>
      </c>
      <c r="G406" s="35">
        <v>45</v>
      </c>
      <c r="H406">
        <v>59</v>
      </c>
      <c r="I406">
        <v>80</v>
      </c>
      <c r="J406">
        <v>98</v>
      </c>
      <c r="K406">
        <v>67</v>
      </c>
      <c r="L406" s="26" t="str">
        <f>IFERROR(VLOOKUP(B406,Absen!$A$1:$C$501,2,FALSE),"No")</f>
        <v>No</v>
      </c>
      <c r="M406" s="44">
        <f t="shared" si="17"/>
        <v>6.7</v>
      </c>
      <c r="N406" s="35">
        <f t="shared" si="18"/>
        <v>70.924999999999997</v>
      </c>
      <c r="O406" t="str">
        <f>VLOOKUP(N406,Helper!$B$30:$C$35,2,TRUE)</f>
        <v>B</v>
      </c>
      <c r="P406" s="26">
        <f>INDEX(Detail!$A$1:$A$1001,MATCH(B406,Detail!$G$1:$G$1001,0))</f>
        <v>38134</v>
      </c>
      <c r="Q406" s="3" t="str">
        <f>INDEX(Detail!$F$1:$F$1001,MATCH(Main!B406,Detail!$G$1:$G$1001,0))</f>
        <v>Bima</v>
      </c>
      <c r="R406" s="7">
        <f>INDEX(Detail!$C$1:$C$1001,MATCH(B406,Detail!$G$1:$G$1001,0),1)</f>
        <v>153</v>
      </c>
      <c r="S406" s="7">
        <f>INDEX(Detail!$D$1:$D$1001,MATCH(B406,Detail!$G$1:$G$1001,0),1)</f>
        <v>66</v>
      </c>
      <c r="T406" s="7" t="str">
        <f>INDEX(Detail!$E$1:$E$1001,MATCH(Main!B406,Detail!$G$1:$G$1001,0))</f>
        <v xml:space="preserve">Jl. Kendalsari No. 4
</v>
      </c>
      <c r="U406" s="7" t="str">
        <f>INDEX(Detail!$B$1:$B$1001,MATCH(B406,Detail!$G$1:$G$1001,0),1)</f>
        <v>B-</v>
      </c>
    </row>
    <row r="407" spans="1:21" ht="15.75" x14ac:dyDescent="0.25">
      <c r="A407">
        <v>474</v>
      </c>
      <c r="B407" s="3" t="str">
        <f t="shared" si="16"/>
        <v>C0474</v>
      </c>
      <c r="C407" t="s">
        <v>1012</v>
      </c>
      <c r="D407" s="3" t="str">
        <f>VLOOKUP(B407,Detail!$G$1:$H$1001,2,FALSE)</f>
        <v>Balijan Winarsih</v>
      </c>
      <c r="E407">
        <v>89</v>
      </c>
      <c r="F407">
        <v>43</v>
      </c>
      <c r="G407" s="35">
        <v>79</v>
      </c>
      <c r="H407">
        <v>50</v>
      </c>
      <c r="I407">
        <v>70</v>
      </c>
      <c r="J407">
        <v>84</v>
      </c>
      <c r="K407">
        <v>65</v>
      </c>
      <c r="L407" s="26">
        <f>IFERROR(VLOOKUP(B407,Absen!$A$1:$C$501,2,FALSE),"No")</f>
        <v>44775</v>
      </c>
      <c r="M407" s="44">
        <f t="shared" si="17"/>
        <v>5.5</v>
      </c>
      <c r="N407" s="35">
        <f t="shared" si="18"/>
        <v>69.599999999999994</v>
      </c>
      <c r="O407" t="str">
        <f>VLOOKUP(N407,Helper!$B$30:$C$35,2,TRUE)</f>
        <v>C</v>
      </c>
      <c r="P407" s="26">
        <f>INDEX(Detail!$A$1:$A$1001,MATCH(B407,Detail!$G$1:$G$1001,0))</f>
        <v>38383</v>
      </c>
      <c r="Q407" s="3" t="str">
        <f>INDEX(Detail!$F$1:$F$1001,MATCH(Main!B407,Detail!$G$1:$G$1001,0))</f>
        <v>Bontang</v>
      </c>
      <c r="R407" s="7">
        <f>INDEX(Detail!$C$1:$C$1001,MATCH(B407,Detail!$G$1:$G$1001,0),1)</f>
        <v>176</v>
      </c>
      <c r="S407" s="7">
        <f>INDEX(Detail!$D$1:$D$1001,MATCH(B407,Detail!$G$1:$G$1001,0),1)</f>
        <v>77</v>
      </c>
      <c r="T407" s="7" t="str">
        <f>INDEX(Detail!$E$1:$E$1001,MATCH(Main!B407,Detail!$G$1:$G$1001,0))</f>
        <v>Gang Laswi No. 60</v>
      </c>
      <c r="U407" s="7" t="str">
        <f>INDEX(Detail!$B$1:$B$1001,MATCH(B407,Detail!$G$1:$G$1001,0),1)</f>
        <v>AB+</v>
      </c>
    </row>
    <row r="408" spans="1:21" ht="15.75" x14ac:dyDescent="0.25">
      <c r="A408">
        <v>481</v>
      </c>
      <c r="B408" s="3" t="str">
        <f t="shared" si="16"/>
        <v>C0481</v>
      </c>
      <c r="C408" t="s">
        <v>1012</v>
      </c>
      <c r="D408" s="3" t="str">
        <f>VLOOKUP(B408,Detail!$G$1:$H$1001,2,FALSE)</f>
        <v>Galih Prastuti</v>
      </c>
      <c r="E408">
        <v>66</v>
      </c>
      <c r="F408">
        <v>43</v>
      </c>
      <c r="G408" s="35">
        <v>75</v>
      </c>
      <c r="H408">
        <v>75</v>
      </c>
      <c r="I408">
        <v>79</v>
      </c>
      <c r="J408">
        <v>77</v>
      </c>
      <c r="K408">
        <v>85</v>
      </c>
      <c r="L408" s="26">
        <f>IFERROR(VLOOKUP(B408,Absen!$A$1:$C$501,2,FALSE),"No")</f>
        <v>44857</v>
      </c>
      <c r="M408" s="44">
        <f t="shared" si="17"/>
        <v>7.5</v>
      </c>
      <c r="N408" s="35">
        <f t="shared" si="18"/>
        <v>70.775000000000006</v>
      </c>
      <c r="O408" t="str">
        <f>VLOOKUP(N408,Helper!$B$30:$C$35,2,TRUE)</f>
        <v>B</v>
      </c>
      <c r="P408" s="26">
        <f>INDEX(Detail!$A$1:$A$1001,MATCH(B408,Detail!$G$1:$G$1001,0))</f>
        <v>37565</v>
      </c>
      <c r="Q408" s="3" t="str">
        <f>INDEX(Detail!$F$1:$F$1001,MATCH(Main!B408,Detail!$G$1:$G$1001,0))</f>
        <v>Bandung</v>
      </c>
      <c r="R408" s="7">
        <f>INDEX(Detail!$C$1:$C$1001,MATCH(B408,Detail!$G$1:$G$1001,0),1)</f>
        <v>167</v>
      </c>
      <c r="S408" s="7">
        <f>INDEX(Detail!$D$1:$D$1001,MATCH(B408,Detail!$G$1:$G$1001,0),1)</f>
        <v>79</v>
      </c>
      <c r="T408" s="7" t="str">
        <f>INDEX(Detail!$E$1:$E$1001,MATCH(Main!B408,Detail!$G$1:$G$1001,0))</f>
        <v xml:space="preserve">Gang W.R. Supratman No. 0
</v>
      </c>
      <c r="U408" s="7" t="str">
        <f>INDEX(Detail!$B$1:$B$1001,MATCH(B408,Detail!$G$1:$G$1001,0),1)</f>
        <v>AB+</v>
      </c>
    </row>
    <row r="409" spans="1:21" ht="15.75" x14ac:dyDescent="0.25">
      <c r="A409">
        <v>487</v>
      </c>
      <c r="B409" s="3" t="str">
        <f t="shared" si="16"/>
        <v>C0487</v>
      </c>
      <c r="C409" t="s">
        <v>1012</v>
      </c>
      <c r="D409" s="3" t="str">
        <f>VLOOKUP(B409,Detail!$G$1:$H$1001,2,FALSE)</f>
        <v>Talia Nainggolan</v>
      </c>
      <c r="E409">
        <v>72</v>
      </c>
      <c r="F409">
        <v>53</v>
      </c>
      <c r="G409" s="35">
        <v>92</v>
      </c>
      <c r="H409">
        <v>75</v>
      </c>
      <c r="I409">
        <v>81</v>
      </c>
      <c r="J409">
        <v>87</v>
      </c>
      <c r="K409">
        <v>98</v>
      </c>
      <c r="L409" s="26">
        <f>IFERROR(VLOOKUP(B409,Absen!$A$1:$C$501,2,FALSE),"No")</f>
        <v>44888</v>
      </c>
      <c r="M409" s="44">
        <f t="shared" si="17"/>
        <v>8.8000000000000007</v>
      </c>
      <c r="N409" s="35">
        <f t="shared" si="18"/>
        <v>79.725000000000009</v>
      </c>
      <c r="O409" t="str">
        <f>VLOOKUP(N409,Helper!$B$30:$C$35,2,TRUE)</f>
        <v>B</v>
      </c>
      <c r="P409" s="26">
        <f>INDEX(Detail!$A$1:$A$1001,MATCH(B409,Detail!$G$1:$G$1001,0))</f>
        <v>37015</v>
      </c>
      <c r="Q409" s="3" t="str">
        <f>INDEX(Detail!$F$1:$F$1001,MATCH(Main!B409,Detail!$G$1:$G$1001,0))</f>
        <v>Kota Administrasi Jakarta Selatan</v>
      </c>
      <c r="R409" s="7">
        <f>INDEX(Detail!$C$1:$C$1001,MATCH(B409,Detail!$G$1:$G$1001,0),1)</f>
        <v>167</v>
      </c>
      <c r="S409" s="7">
        <f>INDEX(Detail!$D$1:$D$1001,MATCH(B409,Detail!$G$1:$G$1001,0),1)</f>
        <v>50</v>
      </c>
      <c r="T409" s="7" t="str">
        <f>INDEX(Detail!$E$1:$E$1001,MATCH(Main!B409,Detail!$G$1:$G$1001,0))</f>
        <v xml:space="preserve">Jalan Pasteur No. 6
</v>
      </c>
      <c r="U409" s="7" t="str">
        <f>INDEX(Detail!$B$1:$B$1001,MATCH(B409,Detail!$G$1:$G$1001,0),1)</f>
        <v>O+</v>
      </c>
    </row>
    <row r="410" spans="1:21" ht="15.75" x14ac:dyDescent="0.25">
      <c r="A410">
        <v>490</v>
      </c>
      <c r="B410" s="3" t="str">
        <f t="shared" si="16"/>
        <v>C0490</v>
      </c>
      <c r="C410" t="s">
        <v>1012</v>
      </c>
      <c r="D410" s="3" t="str">
        <f>VLOOKUP(B410,Detail!$G$1:$H$1001,2,FALSE)</f>
        <v>Lega Habibi</v>
      </c>
      <c r="E410">
        <v>89</v>
      </c>
      <c r="F410">
        <v>62</v>
      </c>
      <c r="G410" s="35">
        <v>36</v>
      </c>
      <c r="H410">
        <v>75</v>
      </c>
      <c r="I410">
        <v>88</v>
      </c>
      <c r="J410">
        <v>45</v>
      </c>
      <c r="K410">
        <v>60</v>
      </c>
      <c r="L410" s="26">
        <f>IFERROR(VLOOKUP(B410,Absen!$A$1:$C$501,2,FALSE),"No")</f>
        <v>44815</v>
      </c>
      <c r="M410" s="44">
        <f t="shared" si="17"/>
        <v>5</v>
      </c>
      <c r="N410" s="35">
        <f t="shared" si="18"/>
        <v>60.45</v>
      </c>
      <c r="O410" t="str">
        <f>VLOOKUP(N410,Helper!$B$30:$C$35,2,TRUE)</f>
        <v>C</v>
      </c>
      <c r="P410" s="26">
        <f>INDEX(Detail!$A$1:$A$1001,MATCH(B410,Detail!$G$1:$G$1001,0))</f>
        <v>38104</v>
      </c>
      <c r="Q410" s="3" t="str">
        <f>INDEX(Detail!$F$1:$F$1001,MATCH(Main!B410,Detail!$G$1:$G$1001,0))</f>
        <v>Ambon</v>
      </c>
      <c r="R410" s="7">
        <f>INDEX(Detail!$C$1:$C$1001,MATCH(B410,Detail!$G$1:$G$1001,0),1)</f>
        <v>158</v>
      </c>
      <c r="S410" s="7">
        <f>INDEX(Detail!$D$1:$D$1001,MATCH(B410,Detail!$G$1:$G$1001,0),1)</f>
        <v>58</v>
      </c>
      <c r="T410" s="7" t="str">
        <f>INDEX(Detail!$E$1:$E$1001,MATCH(Main!B410,Detail!$G$1:$G$1001,0))</f>
        <v>Gg. Antapani Lama No. 96</v>
      </c>
      <c r="U410" s="7" t="str">
        <f>INDEX(Detail!$B$1:$B$1001,MATCH(B410,Detail!$G$1:$G$1001,0),1)</f>
        <v>B-</v>
      </c>
    </row>
    <row r="411" spans="1:21" ht="15.75" x14ac:dyDescent="0.25">
      <c r="A411">
        <v>494</v>
      </c>
      <c r="B411" s="3" t="str">
        <f t="shared" si="16"/>
        <v>C0494</v>
      </c>
      <c r="C411" t="s">
        <v>1012</v>
      </c>
      <c r="D411" s="3" t="str">
        <f>VLOOKUP(B411,Detail!$G$1:$H$1001,2,FALSE)</f>
        <v>Enteng Wacana</v>
      </c>
      <c r="E411">
        <v>80</v>
      </c>
      <c r="F411">
        <v>72</v>
      </c>
      <c r="G411" s="35">
        <v>53</v>
      </c>
      <c r="H411">
        <v>65</v>
      </c>
      <c r="I411">
        <v>61</v>
      </c>
      <c r="J411">
        <v>76</v>
      </c>
      <c r="K411">
        <v>88</v>
      </c>
      <c r="L411" s="26" t="str">
        <f>IFERROR(VLOOKUP(B411,Absen!$A$1:$C$501,2,FALSE),"No")</f>
        <v>No</v>
      </c>
      <c r="M411" s="44">
        <f t="shared" si="17"/>
        <v>8.8000000000000007</v>
      </c>
      <c r="N411" s="35">
        <f t="shared" si="18"/>
        <v>69.350000000000009</v>
      </c>
      <c r="O411" t="str">
        <f>VLOOKUP(N411,Helper!$B$30:$C$35,2,TRUE)</f>
        <v>C</v>
      </c>
      <c r="P411" s="26">
        <f>INDEX(Detail!$A$1:$A$1001,MATCH(B411,Detail!$G$1:$G$1001,0))</f>
        <v>38265</v>
      </c>
      <c r="Q411" s="3" t="str">
        <f>INDEX(Detail!$F$1:$F$1001,MATCH(Main!B411,Detail!$G$1:$G$1001,0))</f>
        <v>Tual</v>
      </c>
      <c r="R411" s="7">
        <f>INDEX(Detail!$C$1:$C$1001,MATCH(B411,Detail!$G$1:$G$1001,0),1)</f>
        <v>164</v>
      </c>
      <c r="S411" s="7">
        <f>INDEX(Detail!$D$1:$D$1001,MATCH(B411,Detail!$G$1:$G$1001,0),1)</f>
        <v>65</v>
      </c>
      <c r="T411" s="7" t="str">
        <f>INDEX(Detail!$E$1:$E$1001,MATCH(Main!B411,Detail!$G$1:$G$1001,0))</f>
        <v>Gang Rajawali Barat No. 56</v>
      </c>
      <c r="U411" s="7" t="str">
        <f>INDEX(Detail!$B$1:$B$1001,MATCH(B411,Detail!$G$1:$G$1001,0),1)</f>
        <v>A-</v>
      </c>
    </row>
    <row r="412" spans="1:21" ht="15.75" x14ac:dyDescent="0.25">
      <c r="A412">
        <v>501</v>
      </c>
      <c r="B412" s="3" t="str">
        <f t="shared" si="16"/>
        <v>C0501</v>
      </c>
      <c r="C412" t="s">
        <v>1012</v>
      </c>
      <c r="D412" s="3" t="str">
        <f>VLOOKUP(B412,Detail!$G$1:$H$1001,2,FALSE)</f>
        <v>Raden Simbolon</v>
      </c>
      <c r="E412">
        <v>63</v>
      </c>
      <c r="F412">
        <v>40</v>
      </c>
      <c r="G412" s="35">
        <v>66</v>
      </c>
      <c r="H412">
        <v>63</v>
      </c>
      <c r="I412">
        <v>88</v>
      </c>
      <c r="J412">
        <v>45</v>
      </c>
      <c r="K412">
        <v>81</v>
      </c>
      <c r="L412" s="26" t="str">
        <f>IFERROR(VLOOKUP(B412,Absen!$A$1:$C$501,2,FALSE),"No")</f>
        <v>No</v>
      </c>
      <c r="M412" s="44">
        <f t="shared" si="17"/>
        <v>8.1</v>
      </c>
      <c r="N412" s="35">
        <f t="shared" si="18"/>
        <v>62.050000000000004</v>
      </c>
      <c r="O412" t="str">
        <f>VLOOKUP(N412,Helper!$B$30:$C$35,2,TRUE)</f>
        <v>C</v>
      </c>
      <c r="P412" s="26">
        <f>INDEX(Detail!$A$1:$A$1001,MATCH(B412,Detail!$G$1:$G$1001,0))</f>
        <v>37866</v>
      </c>
      <c r="Q412" s="3" t="str">
        <f>INDEX(Detail!$F$1:$F$1001,MATCH(Main!B412,Detail!$G$1:$G$1001,0))</f>
        <v>Bekasi</v>
      </c>
      <c r="R412" s="7">
        <f>INDEX(Detail!$C$1:$C$1001,MATCH(B412,Detail!$G$1:$G$1001,0),1)</f>
        <v>175</v>
      </c>
      <c r="S412" s="7">
        <f>INDEX(Detail!$D$1:$D$1001,MATCH(B412,Detail!$G$1:$G$1001,0),1)</f>
        <v>58</v>
      </c>
      <c r="T412" s="7" t="str">
        <f>INDEX(Detail!$E$1:$E$1001,MATCH(Main!B412,Detail!$G$1:$G$1001,0))</f>
        <v>Gg. Gardujati No. 90</v>
      </c>
      <c r="U412" s="7" t="str">
        <f>INDEX(Detail!$B$1:$B$1001,MATCH(B412,Detail!$G$1:$G$1001,0),1)</f>
        <v>O+</v>
      </c>
    </row>
    <row r="413" spans="1:21" ht="15.75" x14ac:dyDescent="0.25">
      <c r="A413">
        <v>516</v>
      </c>
      <c r="B413" s="3" t="str">
        <f t="shared" si="16"/>
        <v>C0516</v>
      </c>
      <c r="C413" t="s">
        <v>1012</v>
      </c>
      <c r="D413" s="3" t="str">
        <f>VLOOKUP(B413,Detail!$G$1:$H$1001,2,FALSE)</f>
        <v>Lembah Waskita</v>
      </c>
      <c r="E413">
        <v>75</v>
      </c>
      <c r="F413">
        <v>72</v>
      </c>
      <c r="G413" s="35">
        <v>45</v>
      </c>
      <c r="H413">
        <v>56</v>
      </c>
      <c r="I413">
        <v>91</v>
      </c>
      <c r="J413">
        <v>46</v>
      </c>
      <c r="K413">
        <v>80</v>
      </c>
      <c r="L413" s="26">
        <f>IFERROR(VLOOKUP(B413,Absen!$A$1:$C$501,2,FALSE),"No")</f>
        <v>44896</v>
      </c>
      <c r="M413" s="44">
        <f t="shared" si="17"/>
        <v>7</v>
      </c>
      <c r="N413" s="35">
        <f t="shared" si="18"/>
        <v>61.95</v>
      </c>
      <c r="O413" t="str">
        <f>VLOOKUP(N413,Helper!$B$30:$C$35,2,TRUE)</f>
        <v>C</v>
      </c>
      <c r="P413" s="26">
        <f>INDEX(Detail!$A$1:$A$1001,MATCH(B413,Detail!$G$1:$G$1001,0))</f>
        <v>38337</v>
      </c>
      <c r="Q413" s="3" t="str">
        <f>INDEX(Detail!$F$1:$F$1001,MATCH(Main!B413,Detail!$G$1:$G$1001,0))</f>
        <v>Padang Sidempuan</v>
      </c>
      <c r="R413" s="7">
        <f>INDEX(Detail!$C$1:$C$1001,MATCH(B413,Detail!$G$1:$G$1001,0),1)</f>
        <v>173</v>
      </c>
      <c r="S413" s="7">
        <f>INDEX(Detail!$D$1:$D$1001,MATCH(B413,Detail!$G$1:$G$1001,0),1)</f>
        <v>50</v>
      </c>
      <c r="T413" s="7" t="str">
        <f>INDEX(Detail!$E$1:$E$1001,MATCH(Main!B413,Detail!$G$1:$G$1001,0))</f>
        <v xml:space="preserve">Jalan KH Amin Jasuta No. 6
</v>
      </c>
      <c r="U413" s="7" t="str">
        <f>INDEX(Detail!$B$1:$B$1001,MATCH(B413,Detail!$G$1:$G$1001,0),1)</f>
        <v>A-</v>
      </c>
    </row>
    <row r="414" spans="1:21" ht="15.75" x14ac:dyDescent="0.25">
      <c r="A414">
        <v>517</v>
      </c>
      <c r="B414" s="3" t="str">
        <f t="shared" si="16"/>
        <v>C0517</v>
      </c>
      <c r="C414" t="s">
        <v>1012</v>
      </c>
      <c r="D414" s="3" t="str">
        <f>VLOOKUP(B414,Detail!$G$1:$H$1001,2,FALSE)</f>
        <v>Marsudi Yuniar</v>
      </c>
      <c r="E414">
        <v>69</v>
      </c>
      <c r="F414">
        <v>42</v>
      </c>
      <c r="G414" s="35">
        <v>41</v>
      </c>
      <c r="H414">
        <v>55</v>
      </c>
      <c r="I414">
        <v>70</v>
      </c>
      <c r="J414">
        <v>73</v>
      </c>
      <c r="K414">
        <v>97</v>
      </c>
      <c r="L414" s="26">
        <f>IFERROR(VLOOKUP(B414,Absen!$A$1:$C$501,2,FALSE),"No")</f>
        <v>44761</v>
      </c>
      <c r="M414" s="44">
        <f t="shared" si="17"/>
        <v>8.7000000000000011</v>
      </c>
      <c r="N414" s="35">
        <f t="shared" si="18"/>
        <v>61.000000000000007</v>
      </c>
      <c r="O414" t="str">
        <f>VLOOKUP(N414,Helper!$B$30:$C$35,2,TRUE)</f>
        <v>C</v>
      </c>
      <c r="P414" s="26">
        <f>INDEX(Detail!$A$1:$A$1001,MATCH(B414,Detail!$G$1:$G$1001,0))</f>
        <v>37288</v>
      </c>
      <c r="Q414" s="3" t="str">
        <f>INDEX(Detail!$F$1:$F$1001,MATCH(Main!B414,Detail!$G$1:$G$1001,0))</f>
        <v>Manado</v>
      </c>
      <c r="R414" s="7">
        <f>INDEX(Detail!$C$1:$C$1001,MATCH(B414,Detail!$G$1:$G$1001,0),1)</f>
        <v>158</v>
      </c>
      <c r="S414" s="7">
        <f>INDEX(Detail!$D$1:$D$1001,MATCH(B414,Detail!$G$1:$G$1001,0),1)</f>
        <v>71</v>
      </c>
      <c r="T414" s="7" t="str">
        <f>INDEX(Detail!$E$1:$E$1001,MATCH(Main!B414,Detail!$G$1:$G$1001,0))</f>
        <v xml:space="preserve">Gang Peta No. 1
</v>
      </c>
      <c r="U414" s="7" t="str">
        <f>INDEX(Detail!$B$1:$B$1001,MATCH(B414,Detail!$G$1:$G$1001,0),1)</f>
        <v>B+</v>
      </c>
    </row>
    <row r="415" spans="1:21" ht="15.75" x14ac:dyDescent="0.25">
      <c r="A415">
        <v>528</v>
      </c>
      <c r="B415" s="3" t="str">
        <f t="shared" si="16"/>
        <v>C0528</v>
      </c>
      <c r="C415" t="s">
        <v>1012</v>
      </c>
      <c r="D415" s="3" t="str">
        <f>VLOOKUP(B415,Detail!$G$1:$H$1001,2,FALSE)</f>
        <v>Zizi Simanjuntak</v>
      </c>
      <c r="E415">
        <v>82</v>
      </c>
      <c r="F415">
        <v>61</v>
      </c>
      <c r="G415" s="35">
        <v>76</v>
      </c>
      <c r="H415">
        <v>71</v>
      </c>
      <c r="I415">
        <v>53</v>
      </c>
      <c r="J415">
        <v>45</v>
      </c>
      <c r="K415">
        <v>97</v>
      </c>
      <c r="L415" s="26" t="str">
        <f>IFERROR(VLOOKUP(B415,Absen!$A$1:$C$501,2,FALSE),"No")</f>
        <v>No</v>
      </c>
      <c r="M415" s="44">
        <f t="shared" si="17"/>
        <v>9.7000000000000011</v>
      </c>
      <c r="N415" s="35">
        <f t="shared" si="18"/>
        <v>67.275000000000006</v>
      </c>
      <c r="O415" t="str">
        <f>VLOOKUP(N415,Helper!$B$30:$C$35,2,TRUE)</f>
        <v>C</v>
      </c>
      <c r="P415" s="26">
        <f>INDEX(Detail!$A$1:$A$1001,MATCH(B415,Detail!$G$1:$G$1001,0))</f>
        <v>37970</v>
      </c>
      <c r="Q415" s="3" t="str">
        <f>INDEX(Detail!$F$1:$F$1001,MATCH(Main!B415,Detail!$G$1:$G$1001,0))</f>
        <v>Palembang</v>
      </c>
      <c r="R415" s="7">
        <f>INDEX(Detail!$C$1:$C$1001,MATCH(B415,Detail!$G$1:$G$1001,0),1)</f>
        <v>172</v>
      </c>
      <c r="S415" s="7">
        <f>INDEX(Detail!$D$1:$D$1001,MATCH(B415,Detail!$G$1:$G$1001,0),1)</f>
        <v>49</v>
      </c>
      <c r="T415" s="7" t="str">
        <f>INDEX(Detail!$E$1:$E$1001,MATCH(Main!B415,Detail!$G$1:$G$1001,0))</f>
        <v xml:space="preserve">Gg. Tebet Barat Dalam No. 9
</v>
      </c>
      <c r="U415" s="7" t="str">
        <f>INDEX(Detail!$B$1:$B$1001,MATCH(B415,Detail!$G$1:$G$1001,0),1)</f>
        <v>O-</v>
      </c>
    </row>
    <row r="416" spans="1:21" ht="15.75" x14ac:dyDescent="0.25">
      <c r="A416">
        <v>533</v>
      </c>
      <c r="B416" s="3" t="str">
        <f t="shared" si="16"/>
        <v>C0533</v>
      </c>
      <c r="C416" t="s">
        <v>1012</v>
      </c>
      <c r="D416" s="3" t="str">
        <f>VLOOKUP(B416,Detail!$G$1:$H$1001,2,FALSE)</f>
        <v>Rusman Nugroho</v>
      </c>
      <c r="E416">
        <v>91</v>
      </c>
      <c r="F416">
        <v>69</v>
      </c>
      <c r="G416" s="35">
        <v>94</v>
      </c>
      <c r="H416">
        <v>72</v>
      </c>
      <c r="I416">
        <v>90</v>
      </c>
      <c r="J416">
        <v>58</v>
      </c>
      <c r="K416">
        <v>74</v>
      </c>
      <c r="L416" s="26">
        <f>IFERROR(VLOOKUP(B416,Absen!$A$1:$C$501,2,FALSE),"No")</f>
        <v>44897</v>
      </c>
      <c r="M416" s="44">
        <f t="shared" si="17"/>
        <v>6.4</v>
      </c>
      <c r="N416" s="35">
        <f t="shared" si="18"/>
        <v>77.050000000000011</v>
      </c>
      <c r="O416" t="str">
        <f>VLOOKUP(N416,Helper!$B$30:$C$35,2,TRUE)</f>
        <v>B</v>
      </c>
      <c r="P416" s="26">
        <f>INDEX(Detail!$A$1:$A$1001,MATCH(B416,Detail!$G$1:$G$1001,0))</f>
        <v>37349</v>
      </c>
      <c r="Q416" s="3" t="str">
        <f>INDEX(Detail!$F$1:$F$1001,MATCH(Main!B416,Detail!$G$1:$G$1001,0))</f>
        <v>Banjarmasin</v>
      </c>
      <c r="R416" s="7">
        <f>INDEX(Detail!$C$1:$C$1001,MATCH(B416,Detail!$G$1:$G$1001,0),1)</f>
        <v>157</v>
      </c>
      <c r="S416" s="7">
        <f>INDEX(Detail!$D$1:$D$1001,MATCH(B416,Detail!$G$1:$G$1001,0),1)</f>
        <v>76</v>
      </c>
      <c r="T416" s="7" t="str">
        <f>INDEX(Detail!$E$1:$E$1001,MATCH(Main!B416,Detail!$G$1:$G$1001,0))</f>
        <v>Jalan Ahmad Dahlan No. 74</v>
      </c>
      <c r="U416" s="7" t="str">
        <f>INDEX(Detail!$B$1:$B$1001,MATCH(B416,Detail!$G$1:$G$1001,0),1)</f>
        <v>A-</v>
      </c>
    </row>
    <row r="417" spans="1:21" ht="15.75" x14ac:dyDescent="0.25">
      <c r="A417">
        <v>535</v>
      </c>
      <c r="B417" s="3" t="str">
        <f t="shared" si="16"/>
        <v>C0535</v>
      </c>
      <c r="C417" t="s">
        <v>1012</v>
      </c>
      <c r="D417" s="3" t="str">
        <f>VLOOKUP(B417,Detail!$G$1:$H$1001,2,FALSE)</f>
        <v>Gara Puspita</v>
      </c>
      <c r="E417">
        <v>91</v>
      </c>
      <c r="F417">
        <v>67</v>
      </c>
      <c r="G417" s="35">
        <v>90</v>
      </c>
      <c r="H417">
        <v>72</v>
      </c>
      <c r="I417">
        <v>80</v>
      </c>
      <c r="J417">
        <v>93</v>
      </c>
      <c r="K417">
        <v>94</v>
      </c>
      <c r="L417" s="26">
        <f>IFERROR(VLOOKUP(B417,Absen!$A$1:$C$501,2,FALSE),"No")</f>
        <v>44897</v>
      </c>
      <c r="M417" s="44">
        <f t="shared" si="17"/>
        <v>8.4</v>
      </c>
      <c r="N417" s="35">
        <f t="shared" si="18"/>
        <v>83.75</v>
      </c>
      <c r="O417" t="str">
        <f>VLOOKUP(N417,Helper!$B$30:$C$35,2,TRUE)</f>
        <v>A</v>
      </c>
      <c r="P417" s="26">
        <f>INDEX(Detail!$A$1:$A$1001,MATCH(B417,Detail!$G$1:$G$1001,0))</f>
        <v>37958</v>
      </c>
      <c r="Q417" s="3" t="str">
        <f>INDEX(Detail!$F$1:$F$1001,MATCH(Main!B417,Detail!$G$1:$G$1001,0))</f>
        <v>Sukabumi</v>
      </c>
      <c r="R417" s="7">
        <f>INDEX(Detail!$C$1:$C$1001,MATCH(B417,Detail!$G$1:$G$1001,0),1)</f>
        <v>156</v>
      </c>
      <c r="S417" s="7">
        <f>INDEX(Detail!$D$1:$D$1001,MATCH(B417,Detail!$G$1:$G$1001,0),1)</f>
        <v>68</v>
      </c>
      <c r="T417" s="7" t="str">
        <f>INDEX(Detail!$E$1:$E$1001,MATCH(Main!B417,Detail!$G$1:$G$1001,0))</f>
        <v xml:space="preserve">Jl. Rajawali Timur No. 4
</v>
      </c>
      <c r="U417" s="7" t="str">
        <f>INDEX(Detail!$B$1:$B$1001,MATCH(B417,Detail!$G$1:$G$1001,0),1)</f>
        <v>AB+</v>
      </c>
    </row>
    <row r="418" spans="1:21" ht="15.75" x14ac:dyDescent="0.25">
      <c r="A418">
        <v>541</v>
      </c>
      <c r="B418" s="3" t="str">
        <f t="shared" si="16"/>
        <v>C0541</v>
      </c>
      <c r="C418" t="s">
        <v>1012</v>
      </c>
      <c r="D418" s="3" t="str">
        <f>VLOOKUP(B418,Detail!$G$1:$H$1001,2,FALSE)</f>
        <v>Jasmin Prasetya</v>
      </c>
      <c r="E418">
        <v>71</v>
      </c>
      <c r="F418">
        <v>65</v>
      </c>
      <c r="G418" s="35">
        <v>74</v>
      </c>
      <c r="H418">
        <v>66</v>
      </c>
      <c r="I418">
        <v>72</v>
      </c>
      <c r="J418">
        <v>53</v>
      </c>
      <c r="K418">
        <v>62</v>
      </c>
      <c r="L418" s="26">
        <f>IFERROR(VLOOKUP(B418,Absen!$A$1:$C$501,2,FALSE),"No")</f>
        <v>44806</v>
      </c>
      <c r="M418" s="44">
        <f t="shared" si="17"/>
        <v>5.2</v>
      </c>
      <c r="N418" s="35">
        <f t="shared" si="18"/>
        <v>64.849999999999994</v>
      </c>
      <c r="O418" t="str">
        <f>VLOOKUP(N418,Helper!$B$30:$C$35,2,TRUE)</f>
        <v>C</v>
      </c>
      <c r="P418" s="26">
        <f>INDEX(Detail!$A$1:$A$1001,MATCH(B418,Detail!$G$1:$G$1001,0))</f>
        <v>37223</v>
      </c>
      <c r="Q418" s="3" t="str">
        <f>INDEX(Detail!$F$1:$F$1001,MATCH(Main!B418,Detail!$G$1:$G$1001,0))</f>
        <v>Cimahi</v>
      </c>
      <c r="R418" s="7">
        <f>INDEX(Detail!$C$1:$C$1001,MATCH(B418,Detail!$G$1:$G$1001,0),1)</f>
        <v>169</v>
      </c>
      <c r="S418" s="7">
        <f>INDEX(Detail!$D$1:$D$1001,MATCH(B418,Detail!$G$1:$G$1001,0),1)</f>
        <v>54</v>
      </c>
      <c r="T418" s="7" t="str">
        <f>INDEX(Detail!$E$1:$E$1001,MATCH(Main!B418,Detail!$G$1:$G$1001,0))</f>
        <v xml:space="preserve">Gg. Antapani Lama No. 4
</v>
      </c>
      <c r="U418" s="7" t="str">
        <f>INDEX(Detail!$B$1:$B$1001,MATCH(B418,Detail!$G$1:$G$1001,0),1)</f>
        <v>AB+</v>
      </c>
    </row>
    <row r="419" spans="1:21" ht="15.75" x14ac:dyDescent="0.25">
      <c r="A419">
        <v>545</v>
      </c>
      <c r="B419" s="3" t="str">
        <f t="shared" si="16"/>
        <v>C0545</v>
      </c>
      <c r="C419" t="s">
        <v>1012</v>
      </c>
      <c r="D419" s="3" t="str">
        <f>VLOOKUP(B419,Detail!$G$1:$H$1001,2,FALSE)</f>
        <v>Zulaikha Kuswoyo</v>
      </c>
      <c r="E419">
        <v>70</v>
      </c>
      <c r="F419">
        <v>52</v>
      </c>
      <c r="G419" s="35">
        <v>47</v>
      </c>
      <c r="H419">
        <v>51</v>
      </c>
      <c r="I419">
        <v>77</v>
      </c>
      <c r="J419">
        <v>54</v>
      </c>
      <c r="K419">
        <v>87</v>
      </c>
      <c r="L419" s="26">
        <f>IFERROR(VLOOKUP(B419,Absen!$A$1:$C$501,2,FALSE),"No")</f>
        <v>44904</v>
      </c>
      <c r="M419" s="44">
        <f t="shared" si="17"/>
        <v>7.7</v>
      </c>
      <c r="N419" s="35">
        <f t="shared" si="18"/>
        <v>59.150000000000006</v>
      </c>
      <c r="O419" t="str">
        <f>VLOOKUP(N419,Helper!$B$30:$C$35,2,TRUE)</f>
        <v>D</v>
      </c>
      <c r="P419" s="26">
        <f>INDEX(Detail!$A$1:$A$1001,MATCH(B419,Detail!$G$1:$G$1001,0))</f>
        <v>38331</v>
      </c>
      <c r="Q419" s="3" t="str">
        <f>INDEX(Detail!$F$1:$F$1001,MATCH(Main!B419,Detail!$G$1:$G$1001,0))</f>
        <v>Denpasar</v>
      </c>
      <c r="R419" s="7">
        <f>INDEX(Detail!$C$1:$C$1001,MATCH(B419,Detail!$G$1:$G$1001,0),1)</f>
        <v>159</v>
      </c>
      <c r="S419" s="7">
        <f>INDEX(Detail!$D$1:$D$1001,MATCH(B419,Detail!$G$1:$G$1001,0),1)</f>
        <v>76</v>
      </c>
      <c r="T419" s="7" t="str">
        <f>INDEX(Detail!$E$1:$E$1001,MATCH(Main!B419,Detail!$G$1:$G$1001,0))</f>
        <v>Jalan Joyoboyo No. 04</v>
      </c>
      <c r="U419" s="7" t="str">
        <f>INDEX(Detail!$B$1:$B$1001,MATCH(B419,Detail!$G$1:$G$1001,0),1)</f>
        <v>A+</v>
      </c>
    </row>
    <row r="420" spans="1:21" ht="15.75" x14ac:dyDescent="0.25">
      <c r="A420">
        <v>548</v>
      </c>
      <c r="B420" s="3" t="str">
        <f t="shared" si="16"/>
        <v>C0548</v>
      </c>
      <c r="C420" t="s">
        <v>1012</v>
      </c>
      <c r="D420" s="3" t="str">
        <f>VLOOKUP(B420,Detail!$G$1:$H$1001,2,FALSE)</f>
        <v>Diana Rajasa</v>
      </c>
      <c r="E420">
        <v>64</v>
      </c>
      <c r="F420">
        <v>66</v>
      </c>
      <c r="G420" s="35">
        <v>66</v>
      </c>
      <c r="H420">
        <v>73</v>
      </c>
      <c r="I420">
        <v>78</v>
      </c>
      <c r="J420">
        <v>43</v>
      </c>
      <c r="K420">
        <v>100</v>
      </c>
      <c r="L420" s="26" t="str">
        <f>IFERROR(VLOOKUP(B420,Absen!$A$1:$C$501,2,FALSE),"No")</f>
        <v>No</v>
      </c>
      <c r="M420" s="44">
        <f t="shared" si="17"/>
        <v>10</v>
      </c>
      <c r="N420" s="35">
        <f t="shared" si="18"/>
        <v>66.925000000000011</v>
      </c>
      <c r="O420" t="str">
        <f>VLOOKUP(N420,Helper!$B$30:$C$35,2,TRUE)</f>
        <v>C</v>
      </c>
      <c r="P420" s="26">
        <f>INDEX(Detail!$A$1:$A$1001,MATCH(B420,Detail!$G$1:$G$1001,0))</f>
        <v>37342</v>
      </c>
      <c r="Q420" s="3" t="str">
        <f>INDEX(Detail!$F$1:$F$1001,MATCH(Main!B420,Detail!$G$1:$G$1001,0))</f>
        <v>Langsa</v>
      </c>
      <c r="R420" s="7">
        <f>INDEX(Detail!$C$1:$C$1001,MATCH(B420,Detail!$G$1:$G$1001,0),1)</f>
        <v>162</v>
      </c>
      <c r="S420" s="7">
        <f>INDEX(Detail!$D$1:$D$1001,MATCH(B420,Detail!$G$1:$G$1001,0),1)</f>
        <v>94</v>
      </c>
      <c r="T420" s="7" t="str">
        <f>INDEX(Detail!$E$1:$E$1001,MATCH(Main!B420,Detail!$G$1:$G$1001,0))</f>
        <v xml:space="preserve">Jl. Rajawali Barat No. 3
</v>
      </c>
      <c r="U420" s="7" t="str">
        <f>INDEX(Detail!$B$1:$B$1001,MATCH(B420,Detail!$G$1:$G$1001,0),1)</f>
        <v>A-</v>
      </c>
    </row>
    <row r="421" spans="1:21" ht="15.75" x14ac:dyDescent="0.25">
      <c r="A421">
        <v>551</v>
      </c>
      <c r="B421" s="3" t="str">
        <f t="shared" si="16"/>
        <v>C0551</v>
      </c>
      <c r="C421" t="s">
        <v>1012</v>
      </c>
      <c r="D421" s="3" t="str">
        <f>VLOOKUP(B421,Detail!$G$1:$H$1001,2,FALSE)</f>
        <v>Cayadi Hidayanto</v>
      </c>
      <c r="E421">
        <v>89</v>
      </c>
      <c r="F421">
        <v>67</v>
      </c>
      <c r="G421" s="35">
        <v>41</v>
      </c>
      <c r="H421">
        <v>68</v>
      </c>
      <c r="I421">
        <v>60</v>
      </c>
      <c r="J421">
        <v>59</v>
      </c>
      <c r="K421">
        <v>74</v>
      </c>
      <c r="L421" s="26">
        <f>IFERROR(VLOOKUP(B421,Absen!$A$1:$C$501,2,FALSE),"No")</f>
        <v>44889</v>
      </c>
      <c r="M421" s="44">
        <f t="shared" si="17"/>
        <v>6.4</v>
      </c>
      <c r="N421" s="35">
        <f t="shared" si="18"/>
        <v>61.9</v>
      </c>
      <c r="O421" t="str">
        <f>VLOOKUP(N421,Helper!$B$30:$C$35,2,TRUE)</f>
        <v>C</v>
      </c>
      <c r="P421" s="26">
        <f>INDEX(Detail!$A$1:$A$1001,MATCH(B421,Detail!$G$1:$G$1001,0))</f>
        <v>37064</v>
      </c>
      <c r="Q421" s="3" t="str">
        <f>INDEX(Detail!$F$1:$F$1001,MATCH(Main!B421,Detail!$G$1:$G$1001,0))</f>
        <v>Bogor</v>
      </c>
      <c r="R421" s="7">
        <f>INDEX(Detail!$C$1:$C$1001,MATCH(B421,Detail!$G$1:$G$1001,0),1)</f>
        <v>180</v>
      </c>
      <c r="S421" s="7">
        <f>INDEX(Detail!$D$1:$D$1001,MATCH(B421,Detail!$G$1:$G$1001,0),1)</f>
        <v>49</v>
      </c>
      <c r="T421" s="7" t="str">
        <f>INDEX(Detail!$E$1:$E$1001,MATCH(Main!B421,Detail!$G$1:$G$1001,0))</f>
        <v xml:space="preserve">Gg. Otto Iskandardinata No. 8
</v>
      </c>
      <c r="U421" s="7" t="str">
        <f>INDEX(Detail!$B$1:$B$1001,MATCH(B421,Detail!$G$1:$G$1001,0),1)</f>
        <v>A+</v>
      </c>
    </row>
    <row r="422" spans="1:21" ht="15.75" x14ac:dyDescent="0.25">
      <c r="A422">
        <v>557</v>
      </c>
      <c r="B422" s="3" t="str">
        <f t="shared" si="16"/>
        <v>C0557</v>
      </c>
      <c r="C422" t="s">
        <v>1012</v>
      </c>
      <c r="D422" s="3" t="str">
        <f>VLOOKUP(B422,Detail!$G$1:$H$1001,2,FALSE)</f>
        <v>Nyoman Mahendra</v>
      </c>
      <c r="E422">
        <v>72</v>
      </c>
      <c r="F422">
        <v>55</v>
      </c>
      <c r="G422" s="35">
        <v>91</v>
      </c>
      <c r="H422">
        <v>54</v>
      </c>
      <c r="I422">
        <v>74</v>
      </c>
      <c r="J422">
        <v>49</v>
      </c>
      <c r="K422">
        <v>67</v>
      </c>
      <c r="L422" s="26" t="str">
        <f>IFERROR(VLOOKUP(B422,Absen!$A$1:$C$501,2,FALSE),"No")</f>
        <v>No</v>
      </c>
      <c r="M422" s="44">
        <f t="shared" si="17"/>
        <v>6.7</v>
      </c>
      <c r="N422" s="35">
        <f t="shared" si="18"/>
        <v>66.575000000000003</v>
      </c>
      <c r="O422" t="str">
        <f>VLOOKUP(N422,Helper!$B$30:$C$35,2,TRUE)</f>
        <v>C</v>
      </c>
      <c r="P422" s="26">
        <f>INDEX(Detail!$A$1:$A$1001,MATCH(B422,Detail!$G$1:$G$1001,0))</f>
        <v>37045</v>
      </c>
      <c r="Q422" s="3" t="str">
        <f>INDEX(Detail!$F$1:$F$1001,MATCH(Main!B422,Detail!$G$1:$G$1001,0))</f>
        <v>Palu</v>
      </c>
      <c r="R422" s="7">
        <f>INDEX(Detail!$C$1:$C$1001,MATCH(B422,Detail!$G$1:$G$1001,0),1)</f>
        <v>152</v>
      </c>
      <c r="S422" s="7">
        <f>INDEX(Detail!$D$1:$D$1001,MATCH(B422,Detail!$G$1:$G$1001,0),1)</f>
        <v>63</v>
      </c>
      <c r="T422" s="7" t="str">
        <f>INDEX(Detail!$E$1:$E$1001,MATCH(Main!B422,Detail!$G$1:$G$1001,0))</f>
        <v xml:space="preserve">Jl. M.T Haryono No. 0
</v>
      </c>
      <c r="U422" s="7" t="str">
        <f>INDEX(Detail!$B$1:$B$1001,MATCH(B422,Detail!$G$1:$G$1001,0),1)</f>
        <v>A+</v>
      </c>
    </row>
    <row r="423" spans="1:21" ht="15.75" x14ac:dyDescent="0.25">
      <c r="A423">
        <v>562</v>
      </c>
      <c r="B423" s="3" t="str">
        <f t="shared" si="16"/>
        <v>C0562</v>
      </c>
      <c r="C423" t="s">
        <v>1012</v>
      </c>
      <c r="D423" s="3" t="str">
        <f>VLOOKUP(B423,Detail!$G$1:$H$1001,2,FALSE)</f>
        <v>Martaka Pangestu</v>
      </c>
      <c r="E423">
        <v>70</v>
      </c>
      <c r="F423">
        <v>49</v>
      </c>
      <c r="G423" s="35">
        <v>65</v>
      </c>
      <c r="H423">
        <v>73</v>
      </c>
      <c r="I423">
        <v>51</v>
      </c>
      <c r="J423">
        <v>52</v>
      </c>
      <c r="K423">
        <v>91</v>
      </c>
      <c r="L423" s="26" t="str">
        <f>IFERROR(VLOOKUP(B423,Absen!$A$1:$C$501,2,FALSE),"No")</f>
        <v>No</v>
      </c>
      <c r="M423" s="44">
        <f t="shared" si="17"/>
        <v>9.1</v>
      </c>
      <c r="N423" s="35">
        <f t="shared" si="18"/>
        <v>62.875</v>
      </c>
      <c r="O423" t="str">
        <f>VLOOKUP(N423,Helper!$B$30:$C$35,2,TRUE)</f>
        <v>C</v>
      </c>
      <c r="P423" s="26">
        <f>INDEX(Detail!$A$1:$A$1001,MATCH(B423,Detail!$G$1:$G$1001,0))</f>
        <v>38121</v>
      </c>
      <c r="Q423" s="3" t="str">
        <f>INDEX(Detail!$F$1:$F$1001,MATCH(Main!B423,Detail!$G$1:$G$1001,0))</f>
        <v>Tarakan</v>
      </c>
      <c r="R423" s="7">
        <f>INDEX(Detail!$C$1:$C$1001,MATCH(B423,Detail!$G$1:$G$1001,0),1)</f>
        <v>157</v>
      </c>
      <c r="S423" s="7">
        <f>INDEX(Detail!$D$1:$D$1001,MATCH(B423,Detail!$G$1:$G$1001,0),1)</f>
        <v>47</v>
      </c>
      <c r="T423" s="7" t="str">
        <f>INDEX(Detail!$E$1:$E$1001,MATCH(Main!B423,Detail!$G$1:$G$1001,0))</f>
        <v>Gg. Indragiri No. 16</v>
      </c>
      <c r="U423" s="7" t="str">
        <f>INDEX(Detail!$B$1:$B$1001,MATCH(B423,Detail!$G$1:$G$1001,0),1)</f>
        <v>A+</v>
      </c>
    </row>
    <row r="424" spans="1:21" ht="15.75" x14ac:dyDescent="0.25">
      <c r="A424">
        <v>565</v>
      </c>
      <c r="B424" s="3" t="str">
        <f t="shared" si="16"/>
        <v>C0565</v>
      </c>
      <c r="C424" t="s">
        <v>1012</v>
      </c>
      <c r="D424" s="3" t="str">
        <f>VLOOKUP(B424,Detail!$G$1:$H$1001,2,FALSE)</f>
        <v>Karna Winarsih</v>
      </c>
      <c r="E424">
        <v>66</v>
      </c>
      <c r="F424">
        <v>72</v>
      </c>
      <c r="G424" s="35">
        <v>55</v>
      </c>
      <c r="H424">
        <v>53</v>
      </c>
      <c r="I424">
        <v>81</v>
      </c>
      <c r="J424">
        <v>46</v>
      </c>
      <c r="K424">
        <v>100</v>
      </c>
      <c r="L424" s="26" t="str">
        <f>IFERROR(VLOOKUP(B424,Absen!$A$1:$C$501,2,FALSE),"No")</f>
        <v>No</v>
      </c>
      <c r="M424" s="44">
        <f t="shared" si="17"/>
        <v>10</v>
      </c>
      <c r="N424" s="35">
        <f t="shared" si="18"/>
        <v>64.2</v>
      </c>
      <c r="O424" t="str">
        <f>VLOOKUP(N424,Helper!$B$30:$C$35,2,TRUE)</f>
        <v>C</v>
      </c>
      <c r="P424" s="26">
        <f>INDEX(Detail!$A$1:$A$1001,MATCH(B424,Detail!$G$1:$G$1001,0))</f>
        <v>37637</v>
      </c>
      <c r="Q424" s="3" t="str">
        <f>INDEX(Detail!$F$1:$F$1001,MATCH(Main!B424,Detail!$G$1:$G$1001,0))</f>
        <v>Tanjungbalai</v>
      </c>
      <c r="R424" s="7">
        <f>INDEX(Detail!$C$1:$C$1001,MATCH(B424,Detail!$G$1:$G$1001,0),1)</f>
        <v>175</v>
      </c>
      <c r="S424" s="7">
        <f>INDEX(Detail!$D$1:$D$1001,MATCH(B424,Detail!$G$1:$G$1001,0),1)</f>
        <v>76</v>
      </c>
      <c r="T424" s="7" t="str">
        <f>INDEX(Detail!$E$1:$E$1001,MATCH(Main!B424,Detail!$G$1:$G$1001,0))</f>
        <v>Jalan Ciwastra No. 18</v>
      </c>
      <c r="U424" s="7" t="str">
        <f>INDEX(Detail!$B$1:$B$1001,MATCH(B424,Detail!$G$1:$G$1001,0),1)</f>
        <v>O-</v>
      </c>
    </row>
    <row r="425" spans="1:21" ht="15.75" x14ac:dyDescent="0.25">
      <c r="A425">
        <v>573</v>
      </c>
      <c r="B425" s="3" t="str">
        <f t="shared" si="16"/>
        <v>C0573</v>
      </c>
      <c r="C425" t="s">
        <v>1012</v>
      </c>
      <c r="D425" s="3" t="str">
        <f>VLOOKUP(B425,Detail!$G$1:$H$1001,2,FALSE)</f>
        <v>Adinata Gunawan</v>
      </c>
      <c r="E425">
        <v>90</v>
      </c>
      <c r="F425">
        <v>75</v>
      </c>
      <c r="G425" s="35">
        <v>62</v>
      </c>
      <c r="H425">
        <v>52</v>
      </c>
      <c r="I425">
        <v>91</v>
      </c>
      <c r="J425">
        <v>93</v>
      </c>
      <c r="K425">
        <v>96</v>
      </c>
      <c r="L425" s="26">
        <f>IFERROR(VLOOKUP(B425,Absen!$A$1:$C$501,2,FALSE),"No")</f>
        <v>44882</v>
      </c>
      <c r="M425" s="44">
        <f t="shared" si="17"/>
        <v>8.6</v>
      </c>
      <c r="N425" s="35">
        <f t="shared" si="18"/>
        <v>78.099999999999994</v>
      </c>
      <c r="O425" t="str">
        <f>VLOOKUP(N425,Helper!$B$30:$C$35,2,TRUE)</f>
        <v>B</v>
      </c>
      <c r="P425" s="26">
        <f>INDEX(Detail!$A$1:$A$1001,MATCH(B425,Detail!$G$1:$G$1001,0))</f>
        <v>37549</v>
      </c>
      <c r="Q425" s="3" t="str">
        <f>INDEX(Detail!$F$1:$F$1001,MATCH(Main!B425,Detail!$G$1:$G$1001,0))</f>
        <v>Pangkalpinang</v>
      </c>
      <c r="R425" s="7">
        <f>INDEX(Detail!$C$1:$C$1001,MATCH(B425,Detail!$G$1:$G$1001,0),1)</f>
        <v>177</v>
      </c>
      <c r="S425" s="7">
        <f>INDEX(Detail!$D$1:$D$1001,MATCH(B425,Detail!$G$1:$G$1001,0),1)</f>
        <v>57</v>
      </c>
      <c r="T425" s="7" t="str">
        <f>INDEX(Detail!$E$1:$E$1001,MATCH(Main!B425,Detail!$G$1:$G$1001,0))</f>
        <v xml:space="preserve">Jl. Sentot Alibasa No. 0
</v>
      </c>
      <c r="U425" s="7" t="str">
        <f>INDEX(Detail!$B$1:$B$1001,MATCH(B425,Detail!$G$1:$G$1001,0),1)</f>
        <v>B-</v>
      </c>
    </row>
    <row r="426" spans="1:21" ht="15.75" x14ac:dyDescent="0.25">
      <c r="A426">
        <v>575</v>
      </c>
      <c r="B426" s="3" t="str">
        <f t="shared" si="16"/>
        <v>C0575</v>
      </c>
      <c r="C426" t="s">
        <v>1012</v>
      </c>
      <c r="D426" s="3" t="str">
        <f>VLOOKUP(B426,Detail!$G$1:$H$1001,2,FALSE)</f>
        <v>Lantar Susanti</v>
      </c>
      <c r="E426">
        <v>90</v>
      </c>
      <c r="F426">
        <v>65</v>
      </c>
      <c r="G426" s="35">
        <v>36</v>
      </c>
      <c r="H426">
        <v>73</v>
      </c>
      <c r="I426">
        <v>60</v>
      </c>
      <c r="J426">
        <v>84</v>
      </c>
      <c r="K426">
        <v>93</v>
      </c>
      <c r="L426" s="26" t="str">
        <f>IFERROR(VLOOKUP(B426,Absen!$A$1:$C$501,2,FALSE),"No")</f>
        <v>No</v>
      </c>
      <c r="M426" s="44">
        <f t="shared" si="17"/>
        <v>9.3000000000000007</v>
      </c>
      <c r="N426" s="35">
        <f t="shared" si="18"/>
        <v>69.3</v>
      </c>
      <c r="O426" t="str">
        <f>VLOOKUP(N426,Helper!$B$30:$C$35,2,TRUE)</f>
        <v>C</v>
      </c>
      <c r="P426" s="26">
        <f>INDEX(Detail!$A$1:$A$1001,MATCH(B426,Detail!$G$1:$G$1001,0))</f>
        <v>37251</v>
      </c>
      <c r="Q426" s="3" t="str">
        <f>INDEX(Detail!$F$1:$F$1001,MATCH(Main!B426,Detail!$G$1:$G$1001,0))</f>
        <v>Palangkaraya</v>
      </c>
      <c r="R426" s="7">
        <f>INDEX(Detail!$C$1:$C$1001,MATCH(B426,Detail!$G$1:$G$1001,0),1)</f>
        <v>164</v>
      </c>
      <c r="S426" s="7">
        <f>INDEX(Detail!$D$1:$D$1001,MATCH(B426,Detail!$G$1:$G$1001,0),1)</f>
        <v>92</v>
      </c>
      <c r="T426" s="7" t="str">
        <f>INDEX(Detail!$E$1:$E$1001,MATCH(Main!B426,Detail!$G$1:$G$1001,0))</f>
        <v>Gang Suryakencana No. 71</v>
      </c>
      <c r="U426" s="7" t="str">
        <f>INDEX(Detail!$B$1:$B$1001,MATCH(B426,Detail!$G$1:$G$1001,0),1)</f>
        <v>B+</v>
      </c>
    </row>
    <row r="427" spans="1:21" ht="15.75" x14ac:dyDescent="0.25">
      <c r="A427">
        <v>577</v>
      </c>
      <c r="B427" s="3" t="str">
        <f t="shared" si="16"/>
        <v>C0577</v>
      </c>
      <c r="C427" t="s">
        <v>1012</v>
      </c>
      <c r="D427" s="3" t="str">
        <f>VLOOKUP(B427,Detail!$G$1:$H$1001,2,FALSE)</f>
        <v>Warji Tampubolon</v>
      </c>
      <c r="E427">
        <v>67</v>
      </c>
      <c r="F427">
        <v>46</v>
      </c>
      <c r="G427" s="35">
        <v>62</v>
      </c>
      <c r="H427">
        <v>62</v>
      </c>
      <c r="I427">
        <v>66</v>
      </c>
      <c r="J427">
        <v>46</v>
      </c>
      <c r="K427">
        <v>86</v>
      </c>
      <c r="L427" s="26">
        <f>IFERROR(VLOOKUP(B427,Absen!$A$1:$C$501,2,FALSE),"No")</f>
        <v>44898</v>
      </c>
      <c r="M427" s="44">
        <f t="shared" si="17"/>
        <v>7.6000000000000005</v>
      </c>
      <c r="N427" s="35">
        <f t="shared" si="18"/>
        <v>59.325000000000003</v>
      </c>
      <c r="O427" t="str">
        <f>VLOOKUP(N427,Helper!$B$30:$C$35,2,TRUE)</f>
        <v>D</v>
      </c>
      <c r="P427" s="26">
        <f>INDEX(Detail!$A$1:$A$1001,MATCH(B427,Detail!$G$1:$G$1001,0))</f>
        <v>37423</v>
      </c>
      <c r="Q427" s="3" t="str">
        <f>INDEX(Detail!$F$1:$F$1001,MATCH(Main!B427,Detail!$G$1:$G$1001,0))</f>
        <v>Tanjungpinang</v>
      </c>
      <c r="R427" s="7">
        <f>INDEX(Detail!$C$1:$C$1001,MATCH(B427,Detail!$G$1:$G$1001,0),1)</f>
        <v>170</v>
      </c>
      <c r="S427" s="7">
        <f>INDEX(Detail!$D$1:$D$1001,MATCH(B427,Detail!$G$1:$G$1001,0),1)</f>
        <v>64</v>
      </c>
      <c r="T427" s="7" t="str">
        <f>INDEX(Detail!$E$1:$E$1001,MATCH(Main!B427,Detail!$G$1:$G$1001,0))</f>
        <v xml:space="preserve">Jalan Dr. Djunjunan No. 8
</v>
      </c>
      <c r="U427" s="7" t="str">
        <f>INDEX(Detail!$B$1:$B$1001,MATCH(B427,Detail!$G$1:$G$1001,0),1)</f>
        <v>O+</v>
      </c>
    </row>
    <row r="428" spans="1:21" ht="15.75" x14ac:dyDescent="0.25">
      <c r="A428">
        <v>580</v>
      </c>
      <c r="B428" s="3" t="str">
        <f t="shared" si="16"/>
        <v>C0580</v>
      </c>
      <c r="C428" t="s">
        <v>1012</v>
      </c>
      <c r="D428" s="3" t="str">
        <f>VLOOKUP(B428,Detail!$G$1:$H$1001,2,FALSE)</f>
        <v>Kawaya Pradana</v>
      </c>
      <c r="E428">
        <v>74</v>
      </c>
      <c r="F428">
        <v>63</v>
      </c>
      <c r="G428" s="35">
        <v>72</v>
      </c>
      <c r="H428">
        <v>58</v>
      </c>
      <c r="I428">
        <v>82</v>
      </c>
      <c r="J428">
        <v>51</v>
      </c>
      <c r="K428">
        <v>76</v>
      </c>
      <c r="L428" s="26" t="str">
        <f>IFERROR(VLOOKUP(B428,Absen!$A$1:$C$501,2,FALSE),"No")</f>
        <v>No</v>
      </c>
      <c r="M428" s="44">
        <f t="shared" si="17"/>
        <v>7.6000000000000005</v>
      </c>
      <c r="N428" s="35">
        <f t="shared" si="18"/>
        <v>66.825000000000003</v>
      </c>
      <c r="O428" t="str">
        <f>VLOOKUP(N428,Helper!$B$30:$C$35,2,TRUE)</f>
        <v>C</v>
      </c>
      <c r="P428" s="26">
        <f>INDEX(Detail!$A$1:$A$1001,MATCH(B428,Detail!$G$1:$G$1001,0))</f>
        <v>37514</v>
      </c>
      <c r="Q428" s="3" t="str">
        <f>INDEX(Detail!$F$1:$F$1001,MATCH(Main!B428,Detail!$G$1:$G$1001,0))</f>
        <v>Langsa</v>
      </c>
      <c r="R428" s="7">
        <f>INDEX(Detail!$C$1:$C$1001,MATCH(B428,Detail!$G$1:$G$1001,0),1)</f>
        <v>157</v>
      </c>
      <c r="S428" s="7">
        <f>INDEX(Detail!$D$1:$D$1001,MATCH(B428,Detail!$G$1:$G$1001,0),1)</f>
        <v>62</v>
      </c>
      <c r="T428" s="7" t="str">
        <f>INDEX(Detail!$E$1:$E$1001,MATCH(Main!B428,Detail!$G$1:$G$1001,0))</f>
        <v xml:space="preserve">Gang Kutai No. 8
</v>
      </c>
      <c r="U428" s="7" t="str">
        <f>INDEX(Detail!$B$1:$B$1001,MATCH(B428,Detail!$G$1:$G$1001,0),1)</f>
        <v>A-</v>
      </c>
    </row>
    <row r="429" spans="1:21" ht="15.75" x14ac:dyDescent="0.25">
      <c r="A429">
        <v>583</v>
      </c>
      <c r="B429" s="3" t="str">
        <f t="shared" si="16"/>
        <v>C0583</v>
      </c>
      <c r="C429" t="s">
        <v>1012</v>
      </c>
      <c r="D429" s="3" t="str">
        <f>VLOOKUP(B429,Detail!$G$1:$H$1001,2,FALSE)</f>
        <v>Ajiman Ardianto</v>
      </c>
      <c r="E429">
        <v>95</v>
      </c>
      <c r="F429">
        <v>75</v>
      </c>
      <c r="G429" s="35">
        <v>55</v>
      </c>
      <c r="H429">
        <v>67</v>
      </c>
      <c r="I429">
        <v>83</v>
      </c>
      <c r="J429">
        <v>96</v>
      </c>
      <c r="K429">
        <v>86</v>
      </c>
      <c r="L429" s="26" t="str">
        <f>IFERROR(VLOOKUP(B429,Absen!$A$1:$C$501,2,FALSE),"No")</f>
        <v>No</v>
      </c>
      <c r="M429" s="44">
        <f t="shared" si="17"/>
        <v>8.6</v>
      </c>
      <c r="N429" s="35">
        <f t="shared" si="18"/>
        <v>78.8</v>
      </c>
      <c r="O429" t="str">
        <f>VLOOKUP(N429,Helper!$B$30:$C$35,2,TRUE)</f>
        <v>B</v>
      </c>
      <c r="P429" s="26">
        <f>INDEX(Detail!$A$1:$A$1001,MATCH(B429,Detail!$G$1:$G$1001,0))</f>
        <v>37408</v>
      </c>
      <c r="Q429" s="3" t="str">
        <f>INDEX(Detail!$F$1:$F$1001,MATCH(Main!B429,Detail!$G$1:$G$1001,0))</f>
        <v>Balikpapan</v>
      </c>
      <c r="R429" s="7">
        <f>INDEX(Detail!$C$1:$C$1001,MATCH(B429,Detail!$G$1:$G$1001,0),1)</f>
        <v>176</v>
      </c>
      <c r="S429" s="7">
        <f>INDEX(Detail!$D$1:$D$1001,MATCH(B429,Detail!$G$1:$G$1001,0),1)</f>
        <v>80</v>
      </c>
      <c r="T429" s="7" t="str">
        <f>INDEX(Detail!$E$1:$E$1001,MATCH(Main!B429,Detail!$G$1:$G$1001,0))</f>
        <v xml:space="preserve">Gg. M.T Haryono No. 2
</v>
      </c>
      <c r="U429" s="7" t="str">
        <f>INDEX(Detail!$B$1:$B$1001,MATCH(B429,Detail!$G$1:$G$1001,0),1)</f>
        <v>O-</v>
      </c>
    </row>
    <row r="430" spans="1:21" ht="15.75" x14ac:dyDescent="0.25">
      <c r="A430">
        <v>587</v>
      </c>
      <c r="B430" s="3" t="str">
        <f t="shared" si="16"/>
        <v>C0587</v>
      </c>
      <c r="C430" t="s">
        <v>1012</v>
      </c>
      <c r="D430" s="3" t="str">
        <f>VLOOKUP(B430,Detail!$G$1:$H$1001,2,FALSE)</f>
        <v>Timbul Riyanti</v>
      </c>
      <c r="E430">
        <v>57</v>
      </c>
      <c r="F430">
        <v>63</v>
      </c>
      <c r="G430" s="35">
        <v>36</v>
      </c>
      <c r="H430">
        <v>70</v>
      </c>
      <c r="I430">
        <v>57</v>
      </c>
      <c r="J430">
        <v>92</v>
      </c>
      <c r="K430">
        <v>68</v>
      </c>
      <c r="L430" s="26">
        <f>IFERROR(VLOOKUP(B430,Absen!$A$1:$C$501,2,FALSE),"No")</f>
        <v>44747</v>
      </c>
      <c r="M430" s="44">
        <f t="shared" si="17"/>
        <v>5.8000000000000007</v>
      </c>
      <c r="N430" s="35">
        <f t="shared" si="18"/>
        <v>62.275000000000006</v>
      </c>
      <c r="O430" t="str">
        <f>VLOOKUP(N430,Helper!$B$30:$C$35,2,TRUE)</f>
        <v>C</v>
      </c>
      <c r="P430" s="26">
        <f>INDEX(Detail!$A$1:$A$1001,MATCH(B430,Detail!$G$1:$G$1001,0))</f>
        <v>38450</v>
      </c>
      <c r="Q430" s="3" t="str">
        <f>INDEX(Detail!$F$1:$F$1001,MATCH(Main!B430,Detail!$G$1:$G$1001,0))</f>
        <v>Bogor</v>
      </c>
      <c r="R430" s="7">
        <f>INDEX(Detail!$C$1:$C$1001,MATCH(B430,Detail!$G$1:$G$1001,0),1)</f>
        <v>163</v>
      </c>
      <c r="S430" s="7">
        <f>INDEX(Detail!$D$1:$D$1001,MATCH(B430,Detail!$G$1:$G$1001,0),1)</f>
        <v>72</v>
      </c>
      <c r="T430" s="7" t="str">
        <f>INDEX(Detail!$E$1:$E$1001,MATCH(Main!B430,Detail!$G$1:$G$1001,0))</f>
        <v>Jalan Stasiun Wonokromo No. 38</v>
      </c>
      <c r="U430" s="7" t="str">
        <f>INDEX(Detail!$B$1:$B$1001,MATCH(B430,Detail!$G$1:$G$1001,0),1)</f>
        <v>A+</v>
      </c>
    </row>
    <row r="431" spans="1:21" ht="15.75" x14ac:dyDescent="0.25">
      <c r="A431">
        <v>590</v>
      </c>
      <c r="B431" s="3" t="str">
        <f t="shared" si="16"/>
        <v>C0590</v>
      </c>
      <c r="C431" t="s">
        <v>1012</v>
      </c>
      <c r="D431" s="3" t="str">
        <f>VLOOKUP(B431,Detail!$G$1:$H$1001,2,FALSE)</f>
        <v>Jinawi Hardiansyah</v>
      </c>
      <c r="E431">
        <v>54</v>
      </c>
      <c r="F431">
        <v>61</v>
      </c>
      <c r="G431" s="35">
        <v>60</v>
      </c>
      <c r="H431">
        <v>73</v>
      </c>
      <c r="I431">
        <v>73</v>
      </c>
      <c r="J431">
        <v>84</v>
      </c>
      <c r="K431">
        <v>97</v>
      </c>
      <c r="L431" s="26">
        <f>IFERROR(VLOOKUP(B431,Absen!$A$1:$C$501,2,FALSE),"No")</f>
        <v>44913</v>
      </c>
      <c r="M431" s="44">
        <f t="shared" si="17"/>
        <v>8.7000000000000011</v>
      </c>
      <c r="N431" s="35">
        <f t="shared" si="18"/>
        <v>70.125</v>
      </c>
      <c r="O431" t="str">
        <f>VLOOKUP(N431,Helper!$B$30:$C$35,2,TRUE)</f>
        <v>B</v>
      </c>
      <c r="P431" s="26">
        <f>INDEX(Detail!$A$1:$A$1001,MATCH(B431,Detail!$G$1:$G$1001,0))</f>
        <v>37656</v>
      </c>
      <c r="Q431" s="3" t="str">
        <f>INDEX(Detail!$F$1:$F$1001,MATCH(Main!B431,Detail!$G$1:$G$1001,0))</f>
        <v>Tual</v>
      </c>
      <c r="R431" s="7">
        <f>INDEX(Detail!$C$1:$C$1001,MATCH(B431,Detail!$G$1:$G$1001,0),1)</f>
        <v>151</v>
      </c>
      <c r="S431" s="7">
        <f>INDEX(Detail!$D$1:$D$1001,MATCH(B431,Detail!$G$1:$G$1001,0),1)</f>
        <v>88</v>
      </c>
      <c r="T431" s="7" t="str">
        <f>INDEX(Detail!$E$1:$E$1001,MATCH(Main!B431,Detail!$G$1:$G$1001,0))</f>
        <v>Gg. Pasirkoja No. 95</v>
      </c>
      <c r="U431" s="7" t="str">
        <f>INDEX(Detail!$B$1:$B$1001,MATCH(B431,Detail!$G$1:$G$1001,0),1)</f>
        <v>B+</v>
      </c>
    </row>
    <row r="432" spans="1:21" ht="15.75" x14ac:dyDescent="0.25">
      <c r="A432">
        <v>602</v>
      </c>
      <c r="B432" s="3" t="str">
        <f t="shared" si="16"/>
        <v>C0602</v>
      </c>
      <c r="C432" t="s">
        <v>1012</v>
      </c>
      <c r="D432" s="3" t="str">
        <f>VLOOKUP(B432,Detail!$G$1:$H$1001,2,FALSE)</f>
        <v>Elma Prastuti</v>
      </c>
      <c r="E432">
        <v>92</v>
      </c>
      <c r="F432">
        <v>56</v>
      </c>
      <c r="G432" s="35">
        <v>35</v>
      </c>
      <c r="H432">
        <v>53</v>
      </c>
      <c r="I432">
        <v>75</v>
      </c>
      <c r="J432">
        <v>40</v>
      </c>
      <c r="K432">
        <v>82</v>
      </c>
      <c r="L432" s="26">
        <f>IFERROR(VLOOKUP(B432,Absen!$A$1:$C$501,2,FALSE),"No")</f>
        <v>44766</v>
      </c>
      <c r="M432" s="44">
        <f t="shared" si="17"/>
        <v>7.2</v>
      </c>
      <c r="N432" s="35">
        <f t="shared" si="18"/>
        <v>56.7</v>
      </c>
      <c r="O432" t="str">
        <f>VLOOKUP(N432,Helper!$B$30:$C$35,2,TRUE)</f>
        <v>D</v>
      </c>
      <c r="P432" s="26">
        <f>INDEX(Detail!$A$1:$A$1001,MATCH(B432,Detail!$G$1:$G$1001,0))</f>
        <v>37162</v>
      </c>
      <c r="Q432" s="3" t="str">
        <f>INDEX(Detail!$F$1:$F$1001,MATCH(Main!B432,Detail!$G$1:$G$1001,0))</f>
        <v>Palembang</v>
      </c>
      <c r="R432" s="7">
        <f>INDEX(Detail!$C$1:$C$1001,MATCH(B432,Detail!$G$1:$G$1001,0),1)</f>
        <v>150</v>
      </c>
      <c r="S432" s="7">
        <f>INDEX(Detail!$D$1:$D$1001,MATCH(B432,Detail!$G$1:$G$1001,0),1)</f>
        <v>50</v>
      </c>
      <c r="T432" s="7" t="str">
        <f>INDEX(Detail!$E$1:$E$1001,MATCH(Main!B432,Detail!$G$1:$G$1001,0))</f>
        <v xml:space="preserve">Jl. Rumah Sakit No. 8
</v>
      </c>
      <c r="U432" s="7" t="str">
        <f>INDEX(Detail!$B$1:$B$1001,MATCH(B432,Detail!$G$1:$G$1001,0),1)</f>
        <v>AB+</v>
      </c>
    </row>
    <row r="433" spans="1:21" ht="15.75" x14ac:dyDescent="0.25">
      <c r="A433">
        <v>603</v>
      </c>
      <c r="B433" s="3" t="str">
        <f t="shared" si="16"/>
        <v>C0603</v>
      </c>
      <c r="C433" t="s">
        <v>1012</v>
      </c>
      <c r="D433" s="3" t="str">
        <f>VLOOKUP(B433,Detail!$G$1:$H$1001,2,FALSE)</f>
        <v>Karta Wahyudin</v>
      </c>
      <c r="E433">
        <v>53</v>
      </c>
      <c r="F433">
        <v>69</v>
      </c>
      <c r="G433" s="35">
        <v>56</v>
      </c>
      <c r="H433">
        <v>57</v>
      </c>
      <c r="I433">
        <v>71</v>
      </c>
      <c r="J433">
        <v>48</v>
      </c>
      <c r="K433">
        <v>62</v>
      </c>
      <c r="L433" s="26" t="str">
        <f>IFERROR(VLOOKUP(B433,Absen!$A$1:$C$501,2,FALSE),"No")</f>
        <v>No</v>
      </c>
      <c r="M433" s="44">
        <f t="shared" si="17"/>
        <v>6.2</v>
      </c>
      <c r="N433" s="35">
        <f t="shared" si="18"/>
        <v>58.250000000000007</v>
      </c>
      <c r="O433" t="str">
        <f>VLOOKUP(N433,Helper!$B$30:$C$35,2,TRUE)</f>
        <v>D</v>
      </c>
      <c r="P433" s="26">
        <f>INDEX(Detail!$A$1:$A$1001,MATCH(B433,Detail!$G$1:$G$1001,0))</f>
        <v>37396</v>
      </c>
      <c r="Q433" s="3" t="str">
        <f>INDEX(Detail!$F$1:$F$1001,MATCH(Main!B433,Detail!$G$1:$G$1001,0))</f>
        <v>Gorontalo</v>
      </c>
      <c r="R433" s="7">
        <f>INDEX(Detail!$C$1:$C$1001,MATCH(B433,Detail!$G$1:$G$1001,0),1)</f>
        <v>163</v>
      </c>
      <c r="S433" s="7">
        <f>INDEX(Detail!$D$1:$D$1001,MATCH(B433,Detail!$G$1:$G$1001,0),1)</f>
        <v>49</v>
      </c>
      <c r="T433" s="7" t="str">
        <f>INDEX(Detail!$E$1:$E$1001,MATCH(Main!B433,Detail!$G$1:$G$1001,0))</f>
        <v xml:space="preserve">Gang Raya Ujungberung No. 6
</v>
      </c>
      <c r="U433" s="7" t="str">
        <f>INDEX(Detail!$B$1:$B$1001,MATCH(B433,Detail!$G$1:$G$1001,0),1)</f>
        <v>AB-</v>
      </c>
    </row>
    <row r="434" spans="1:21" ht="15.75" x14ac:dyDescent="0.25">
      <c r="A434">
        <v>614</v>
      </c>
      <c r="B434" s="3" t="str">
        <f t="shared" si="16"/>
        <v>C0614</v>
      </c>
      <c r="C434" t="s">
        <v>1012</v>
      </c>
      <c r="D434" s="3" t="str">
        <f>VLOOKUP(B434,Detail!$G$1:$H$1001,2,FALSE)</f>
        <v>Tania Andriani</v>
      </c>
      <c r="E434">
        <v>54</v>
      </c>
      <c r="F434">
        <v>46</v>
      </c>
      <c r="G434" s="35">
        <v>94</v>
      </c>
      <c r="H434">
        <v>58</v>
      </c>
      <c r="I434">
        <v>62</v>
      </c>
      <c r="J434">
        <v>46</v>
      </c>
      <c r="K434">
        <v>69</v>
      </c>
      <c r="L434" s="26">
        <f>IFERROR(VLOOKUP(B434,Absen!$A$1:$C$501,2,FALSE),"No")</f>
        <v>44843</v>
      </c>
      <c r="M434" s="44">
        <f t="shared" si="17"/>
        <v>5.9</v>
      </c>
      <c r="N434" s="35">
        <f t="shared" si="18"/>
        <v>61.4</v>
      </c>
      <c r="O434" t="str">
        <f>VLOOKUP(N434,Helper!$B$30:$C$35,2,TRUE)</f>
        <v>C</v>
      </c>
      <c r="P434" s="26">
        <f>INDEX(Detail!$A$1:$A$1001,MATCH(B434,Detail!$G$1:$G$1001,0))</f>
        <v>38119</v>
      </c>
      <c r="Q434" s="3" t="str">
        <f>INDEX(Detail!$F$1:$F$1001,MATCH(Main!B434,Detail!$G$1:$G$1001,0))</f>
        <v>Banjarmasin</v>
      </c>
      <c r="R434" s="7">
        <f>INDEX(Detail!$C$1:$C$1001,MATCH(B434,Detail!$G$1:$G$1001,0),1)</f>
        <v>180</v>
      </c>
      <c r="S434" s="7">
        <f>INDEX(Detail!$D$1:$D$1001,MATCH(B434,Detail!$G$1:$G$1001,0),1)</f>
        <v>90</v>
      </c>
      <c r="T434" s="7" t="str">
        <f>INDEX(Detail!$E$1:$E$1001,MATCH(Main!B434,Detail!$G$1:$G$1001,0))</f>
        <v xml:space="preserve">Gang Abdul Muis No. 2
</v>
      </c>
      <c r="U434" s="7" t="str">
        <f>INDEX(Detail!$B$1:$B$1001,MATCH(B434,Detail!$G$1:$G$1001,0),1)</f>
        <v>A+</v>
      </c>
    </row>
    <row r="435" spans="1:21" ht="15.75" x14ac:dyDescent="0.25">
      <c r="A435">
        <v>616</v>
      </c>
      <c r="B435" s="3" t="str">
        <f t="shared" si="16"/>
        <v>C0616</v>
      </c>
      <c r="C435" t="s">
        <v>1012</v>
      </c>
      <c r="D435" s="3" t="str">
        <f>VLOOKUP(B435,Detail!$G$1:$H$1001,2,FALSE)</f>
        <v>Balangga Kusuma</v>
      </c>
      <c r="E435">
        <v>58</v>
      </c>
      <c r="F435">
        <v>61</v>
      </c>
      <c r="G435" s="35">
        <v>64</v>
      </c>
      <c r="H435">
        <v>58</v>
      </c>
      <c r="I435">
        <v>59</v>
      </c>
      <c r="J435">
        <v>88</v>
      </c>
      <c r="K435">
        <v>93</v>
      </c>
      <c r="L435" s="26">
        <f>IFERROR(VLOOKUP(B435,Absen!$A$1:$C$501,2,FALSE),"No")</f>
        <v>44914</v>
      </c>
      <c r="M435" s="44">
        <f t="shared" si="17"/>
        <v>8.3000000000000007</v>
      </c>
      <c r="N435" s="35">
        <f t="shared" si="18"/>
        <v>68.2</v>
      </c>
      <c r="O435" t="str">
        <f>VLOOKUP(N435,Helper!$B$30:$C$35,2,TRUE)</f>
        <v>C</v>
      </c>
      <c r="P435" s="26">
        <f>INDEX(Detail!$A$1:$A$1001,MATCH(B435,Detail!$G$1:$G$1001,0))</f>
        <v>37927</v>
      </c>
      <c r="Q435" s="3" t="str">
        <f>INDEX(Detail!$F$1:$F$1001,MATCH(Main!B435,Detail!$G$1:$G$1001,0))</f>
        <v>Pangkalpinang</v>
      </c>
      <c r="R435" s="7">
        <f>INDEX(Detail!$C$1:$C$1001,MATCH(B435,Detail!$G$1:$G$1001,0),1)</f>
        <v>178</v>
      </c>
      <c r="S435" s="7">
        <f>INDEX(Detail!$D$1:$D$1001,MATCH(B435,Detail!$G$1:$G$1001,0),1)</f>
        <v>86</v>
      </c>
      <c r="T435" s="7" t="str">
        <f>INDEX(Detail!$E$1:$E$1001,MATCH(Main!B435,Detail!$G$1:$G$1001,0))</f>
        <v>Jl. Waringin No. 03</v>
      </c>
      <c r="U435" s="7" t="str">
        <f>INDEX(Detail!$B$1:$B$1001,MATCH(B435,Detail!$G$1:$G$1001,0),1)</f>
        <v>O-</v>
      </c>
    </row>
    <row r="436" spans="1:21" ht="15.75" x14ac:dyDescent="0.25">
      <c r="A436">
        <v>620</v>
      </c>
      <c r="B436" s="3" t="str">
        <f t="shared" si="16"/>
        <v>C0620</v>
      </c>
      <c r="C436" t="s">
        <v>1012</v>
      </c>
      <c r="D436" s="3" t="str">
        <f>VLOOKUP(B436,Detail!$G$1:$H$1001,2,FALSE)</f>
        <v>Dimas Megantara</v>
      </c>
      <c r="E436">
        <v>76</v>
      </c>
      <c r="F436">
        <v>47</v>
      </c>
      <c r="G436" s="35">
        <v>66</v>
      </c>
      <c r="H436">
        <v>50</v>
      </c>
      <c r="I436">
        <v>64</v>
      </c>
      <c r="J436">
        <v>58</v>
      </c>
      <c r="K436">
        <v>99</v>
      </c>
      <c r="L436" s="26">
        <f>IFERROR(VLOOKUP(B436,Absen!$A$1:$C$501,2,FALSE),"No")</f>
        <v>44785</v>
      </c>
      <c r="M436" s="44">
        <f t="shared" si="17"/>
        <v>8.9</v>
      </c>
      <c r="N436" s="35">
        <f t="shared" si="18"/>
        <v>63.325000000000003</v>
      </c>
      <c r="O436" t="str">
        <f>VLOOKUP(N436,Helper!$B$30:$C$35,2,TRUE)</f>
        <v>C</v>
      </c>
      <c r="P436" s="26">
        <f>INDEX(Detail!$A$1:$A$1001,MATCH(B436,Detail!$G$1:$G$1001,0))</f>
        <v>37547</v>
      </c>
      <c r="Q436" s="3" t="str">
        <f>INDEX(Detail!$F$1:$F$1001,MATCH(Main!B436,Detail!$G$1:$G$1001,0))</f>
        <v>Tarakan</v>
      </c>
      <c r="R436" s="7">
        <f>INDEX(Detail!$C$1:$C$1001,MATCH(B436,Detail!$G$1:$G$1001,0),1)</f>
        <v>163</v>
      </c>
      <c r="S436" s="7">
        <f>INDEX(Detail!$D$1:$D$1001,MATCH(B436,Detail!$G$1:$G$1001,0),1)</f>
        <v>91</v>
      </c>
      <c r="T436" s="7" t="str">
        <f>INDEX(Detail!$E$1:$E$1001,MATCH(Main!B436,Detail!$G$1:$G$1001,0))</f>
        <v>Jalan Kendalsari No. 20</v>
      </c>
      <c r="U436" s="7" t="str">
        <f>INDEX(Detail!$B$1:$B$1001,MATCH(B436,Detail!$G$1:$G$1001,0),1)</f>
        <v>A+</v>
      </c>
    </row>
    <row r="437" spans="1:21" ht="15.75" x14ac:dyDescent="0.25">
      <c r="A437">
        <v>623</v>
      </c>
      <c r="B437" s="3" t="str">
        <f t="shared" si="16"/>
        <v>C0623</v>
      </c>
      <c r="C437" t="s">
        <v>1012</v>
      </c>
      <c r="D437" s="3" t="str">
        <f>VLOOKUP(B437,Detail!$G$1:$H$1001,2,FALSE)</f>
        <v>Dwi Wibowo</v>
      </c>
      <c r="E437">
        <v>52</v>
      </c>
      <c r="F437">
        <v>65</v>
      </c>
      <c r="G437" s="35">
        <v>72</v>
      </c>
      <c r="H437">
        <v>64</v>
      </c>
      <c r="I437">
        <v>86</v>
      </c>
      <c r="J437">
        <v>62</v>
      </c>
      <c r="K437">
        <v>99</v>
      </c>
      <c r="L437" s="26">
        <f>IFERROR(VLOOKUP(B437,Absen!$A$1:$C$501,2,FALSE),"No")</f>
        <v>44897</v>
      </c>
      <c r="M437" s="44">
        <f t="shared" si="17"/>
        <v>8.9</v>
      </c>
      <c r="N437" s="35">
        <f t="shared" si="18"/>
        <v>69.075000000000003</v>
      </c>
      <c r="O437" t="str">
        <f>VLOOKUP(N437,Helper!$B$30:$C$35,2,TRUE)</f>
        <v>C</v>
      </c>
      <c r="P437" s="26">
        <f>INDEX(Detail!$A$1:$A$1001,MATCH(B437,Detail!$G$1:$G$1001,0))</f>
        <v>38439</v>
      </c>
      <c r="Q437" s="3" t="str">
        <f>INDEX(Detail!$F$1:$F$1001,MATCH(Main!B437,Detail!$G$1:$G$1001,0))</f>
        <v>Kediri</v>
      </c>
      <c r="R437" s="7">
        <f>INDEX(Detail!$C$1:$C$1001,MATCH(B437,Detail!$G$1:$G$1001,0),1)</f>
        <v>171</v>
      </c>
      <c r="S437" s="7">
        <f>INDEX(Detail!$D$1:$D$1001,MATCH(B437,Detail!$G$1:$G$1001,0),1)</f>
        <v>85</v>
      </c>
      <c r="T437" s="7" t="str">
        <f>INDEX(Detail!$E$1:$E$1001,MATCH(Main!B437,Detail!$G$1:$G$1001,0))</f>
        <v xml:space="preserve">Gg. Kutai No. 0
</v>
      </c>
      <c r="U437" s="7" t="str">
        <f>INDEX(Detail!$B$1:$B$1001,MATCH(B437,Detail!$G$1:$G$1001,0),1)</f>
        <v>A-</v>
      </c>
    </row>
    <row r="438" spans="1:21" ht="15.75" x14ac:dyDescent="0.25">
      <c r="A438">
        <v>626</v>
      </c>
      <c r="B438" s="3" t="str">
        <f t="shared" si="16"/>
        <v>C0626</v>
      </c>
      <c r="C438" t="s">
        <v>1012</v>
      </c>
      <c r="D438" s="3" t="str">
        <f>VLOOKUP(B438,Detail!$G$1:$H$1001,2,FALSE)</f>
        <v>Embuh Prayoga</v>
      </c>
      <c r="E438">
        <v>74</v>
      </c>
      <c r="F438">
        <v>43</v>
      </c>
      <c r="G438" s="35">
        <v>83</v>
      </c>
      <c r="H438">
        <v>53</v>
      </c>
      <c r="I438">
        <v>74</v>
      </c>
      <c r="J438">
        <v>89</v>
      </c>
      <c r="K438">
        <v>100</v>
      </c>
      <c r="L438" s="26" t="str">
        <f>IFERROR(VLOOKUP(B438,Absen!$A$1:$C$501,2,FALSE),"No")</f>
        <v>No</v>
      </c>
      <c r="M438" s="44">
        <f t="shared" si="17"/>
        <v>10</v>
      </c>
      <c r="N438" s="35">
        <f t="shared" si="18"/>
        <v>74.900000000000006</v>
      </c>
      <c r="O438" t="str">
        <f>VLOOKUP(N438,Helper!$B$30:$C$35,2,TRUE)</f>
        <v>B</v>
      </c>
      <c r="P438" s="26">
        <f>INDEX(Detail!$A$1:$A$1001,MATCH(B438,Detail!$G$1:$G$1001,0))</f>
        <v>38176</v>
      </c>
      <c r="Q438" s="3" t="str">
        <f>INDEX(Detail!$F$1:$F$1001,MATCH(Main!B438,Detail!$G$1:$G$1001,0))</f>
        <v>Pontianak</v>
      </c>
      <c r="R438" s="7">
        <f>INDEX(Detail!$C$1:$C$1001,MATCH(B438,Detail!$G$1:$G$1001,0),1)</f>
        <v>171</v>
      </c>
      <c r="S438" s="7">
        <f>INDEX(Detail!$D$1:$D$1001,MATCH(B438,Detail!$G$1:$G$1001,0),1)</f>
        <v>88</v>
      </c>
      <c r="T438" s="7" t="str">
        <f>INDEX(Detail!$E$1:$E$1001,MATCH(Main!B438,Detail!$G$1:$G$1001,0))</f>
        <v>Gang Antapani Lama No. 00</v>
      </c>
      <c r="U438" s="7" t="str">
        <f>INDEX(Detail!$B$1:$B$1001,MATCH(B438,Detail!$G$1:$G$1001,0),1)</f>
        <v>AB-</v>
      </c>
    </row>
    <row r="439" spans="1:21" ht="15.75" x14ac:dyDescent="0.25">
      <c r="A439">
        <v>631</v>
      </c>
      <c r="B439" s="3" t="str">
        <f t="shared" si="16"/>
        <v>C0631</v>
      </c>
      <c r="C439" t="s">
        <v>1012</v>
      </c>
      <c r="D439" s="3" t="str">
        <f>VLOOKUP(B439,Detail!$G$1:$H$1001,2,FALSE)</f>
        <v>Devi Maryadi</v>
      </c>
      <c r="E439">
        <v>93</v>
      </c>
      <c r="F439">
        <v>61</v>
      </c>
      <c r="G439" s="35">
        <v>48</v>
      </c>
      <c r="H439">
        <v>54</v>
      </c>
      <c r="I439">
        <v>77</v>
      </c>
      <c r="J439">
        <v>84</v>
      </c>
      <c r="K439">
        <v>63</v>
      </c>
      <c r="L439" s="26" t="str">
        <f>IFERROR(VLOOKUP(B439,Absen!$A$1:$C$501,2,FALSE),"No")</f>
        <v>No</v>
      </c>
      <c r="M439" s="44">
        <f t="shared" si="17"/>
        <v>6.3000000000000007</v>
      </c>
      <c r="N439" s="35">
        <f t="shared" si="18"/>
        <v>68.325000000000003</v>
      </c>
      <c r="O439" t="str">
        <f>VLOOKUP(N439,Helper!$B$30:$C$35,2,TRUE)</f>
        <v>C</v>
      </c>
      <c r="P439" s="26">
        <f>INDEX(Detail!$A$1:$A$1001,MATCH(B439,Detail!$G$1:$G$1001,0))</f>
        <v>37618</v>
      </c>
      <c r="Q439" s="3" t="str">
        <f>INDEX(Detail!$F$1:$F$1001,MATCH(Main!B439,Detail!$G$1:$G$1001,0))</f>
        <v>Binjai</v>
      </c>
      <c r="R439" s="7">
        <f>INDEX(Detail!$C$1:$C$1001,MATCH(B439,Detail!$G$1:$G$1001,0),1)</f>
        <v>159</v>
      </c>
      <c r="S439" s="7">
        <f>INDEX(Detail!$D$1:$D$1001,MATCH(B439,Detail!$G$1:$G$1001,0),1)</f>
        <v>84</v>
      </c>
      <c r="T439" s="7" t="str">
        <f>INDEX(Detail!$E$1:$E$1001,MATCH(Main!B439,Detail!$G$1:$G$1001,0))</f>
        <v>Gg. Dipenogoro No. 50</v>
      </c>
      <c r="U439" s="7" t="str">
        <f>INDEX(Detail!$B$1:$B$1001,MATCH(B439,Detail!$G$1:$G$1001,0),1)</f>
        <v>B-</v>
      </c>
    </row>
    <row r="440" spans="1:21" ht="15.75" x14ac:dyDescent="0.25">
      <c r="A440">
        <v>632</v>
      </c>
      <c r="B440" s="3" t="str">
        <f t="shared" si="16"/>
        <v>C0632</v>
      </c>
      <c r="C440" t="s">
        <v>1012</v>
      </c>
      <c r="D440" s="3" t="str">
        <f>VLOOKUP(B440,Detail!$G$1:$H$1001,2,FALSE)</f>
        <v>Yahya Kusumo</v>
      </c>
      <c r="E440">
        <v>55</v>
      </c>
      <c r="F440">
        <v>40</v>
      </c>
      <c r="G440" s="35">
        <v>63</v>
      </c>
      <c r="H440">
        <v>74</v>
      </c>
      <c r="I440">
        <v>60</v>
      </c>
      <c r="J440">
        <v>75</v>
      </c>
      <c r="K440">
        <v>80</v>
      </c>
      <c r="L440" s="26" t="str">
        <f>IFERROR(VLOOKUP(B440,Absen!$A$1:$C$501,2,FALSE),"No")</f>
        <v>No</v>
      </c>
      <c r="M440" s="44">
        <f t="shared" si="17"/>
        <v>8</v>
      </c>
      <c r="N440" s="35">
        <f t="shared" si="18"/>
        <v>64.224999999999994</v>
      </c>
      <c r="O440" t="str">
        <f>VLOOKUP(N440,Helper!$B$30:$C$35,2,TRUE)</f>
        <v>C</v>
      </c>
      <c r="P440" s="26">
        <f>INDEX(Detail!$A$1:$A$1001,MATCH(B440,Detail!$G$1:$G$1001,0))</f>
        <v>37859</v>
      </c>
      <c r="Q440" s="3" t="str">
        <f>INDEX(Detail!$F$1:$F$1001,MATCH(Main!B440,Detail!$G$1:$G$1001,0))</f>
        <v>Bandung</v>
      </c>
      <c r="R440" s="7">
        <f>INDEX(Detail!$C$1:$C$1001,MATCH(B440,Detail!$G$1:$G$1001,0),1)</f>
        <v>173</v>
      </c>
      <c r="S440" s="7">
        <f>INDEX(Detail!$D$1:$D$1001,MATCH(B440,Detail!$G$1:$G$1001,0),1)</f>
        <v>68</v>
      </c>
      <c r="T440" s="7" t="str">
        <f>INDEX(Detail!$E$1:$E$1001,MATCH(Main!B440,Detail!$G$1:$G$1001,0))</f>
        <v xml:space="preserve">Jl. Kebonjati No. 5
</v>
      </c>
      <c r="U440" s="7" t="str">
        <f>INDEX(Detail!$B$1:$B$1001,MATCH(B440,Detail!$G$1:$G$1001,0),1)</f>
        <v>A-</v>
      </c>
    </row>
    <row r="441" spans="1:21" ht="15.75" x14ac:dyDescent="0.25">
      <c r="A441">
        <v>646</v>
      </c>
      <c r="B441" s="3" t="str">
        <f t="shared" si="16"/>
        <v>C0646</v>
      </c>
      <c r="C441" t="s">
        <v>1012</v>
      </c>
      <c r="D441" s="3" t="str">
        <f>VLOOKUP(B441,Detail!$G$1:$H$1001,2,FALSE)</f>
        <v>Eva Waluyo</v>
      </c>
      <c r="E441">
        <v>79</v>
      </c>
      <c r="F441">
        <v>58</v>
      </c>
      <c r="G441" s="35">
        <v>34</v>
      </c>
      <c r="H441">
        <v>58</v>
      </c>
      <c r="I441">
        <v>63</v>
      </c>
      <c r="J441">
        <v>76</v>
      </c>
      <c r="K441">
        <v>84</v>
      </c>
      <c r="L441" s="26">
        <f>IFERROR(VLOOKUP(B441,Absen!$A$1:$C$501,2,FALSE),"No")</f>
        <v>44912</v>
      </c>
      <c r="M441" s="44">
        <f t="shared" si="17"/>
        <v>7.4</v>
      </c>
      <c r="N441" s="35">
        <f t="shared" si="18"/>
        <v>61.65</v>
      </c>
      <c r="O441" t="str">
        <f>VLOOKUP(N441,Helper!$B$30:$C$35,2,TRUE)</f>
        <v>C</v>
      </c>
      <c r="P441" s="26">
        <f>INDEX(Detail!$A$1:$A$1001,MATCH(B441,Detail!$G$1:$G$1001,0))</f>
        <v>38291</v>
      </c>
      <c r="Q441" s="3" t="str">
        <f>INDEX(Detail!$F$1:$F$1001,MATCH(Main!B441,Detail!$G$1:$G$1001,0))</f>
        <v>Padangpanjang</v>
      </c>
      <c r="R441" s="7">
        <f>INDEX(Detail!$C$1:$C$1001,MATCH(B441,Detail!$G$1:$G$1001,0),1)</f>
        <v>167</v>
      </c>
      <c r="S441" s="7">
        <f>INDEX(Detail!$D$1:$D$1001,MATCH(B441,Detail!$G$1:$G$1001,0),1)</f>
        <v>60</v>
      </c>
      <c r="T441" s="7" t="str">
        <f>INDEX(Detail!$E$1:$E$1001,MATCH(Main!B441,Detail!$G$1:$G$1001,0))</f>
        <v xml:space="preserve">Jl. Jakarta No. 2
</v>
      </c>
      <c r="U441" s="7" t="str">
        <f>INDEX(Detail!$B$1:$B$1001,MATCH(B441,Detail!$G$1:$G$1001,0),1)</f>
        <v>AB-</v>
      </c>
    </row>
    <row r="442" spans="1:21" ht="15.75" x14ac:dyDescent="0.25">
      <c r="A442">
        <v>647</v>
      </c>
      <c r="B442" s="3" t="str">
        <f t="shared" si="16"/>
        <v>C0647</v>
      </c>
      <c r="C442" t="s">
        <v>1012</v>
      </c>
      <c r="D442" s="3" t="str">
        <f>VLOOKUP(B442,Detail!$G$1:$H$1001,2,FALSE)</f>
        <v>Gandi Nugroho</v>
      </c>
      <c r="E442">
        <v>73</v>
      </c>
      <c r="F442">
        <v>71</v>
      </c>
      <c r="G442" s="35">
        <v>55</v>
      </c>
      <c r="H442">
        <v>57</v>
      </c>
      <c r="I442">
        <v>91</v>
      </c>
      <c r="J442">
        <v>98</v>
      </c>
      <c r="K442">
        <v>60</v>
      </c>
      <c r="L442" s="26" t="str">
        <f>IFERROR(VLOOKUP(B442,Absen!$A$1:$C$501,2,FALSE),"No")</f>
        <v>No</v>
      </c>
      <c r="M442" s="44">
        <f t="shared" si="17"/>
        <v>6</v>
      </c>
      <c r="N442" s="35">
        <f t="shared" si="18"/>
        <v>73.099999999999994</v>
      </c>
      <c r="O442" t="str">
        <f>VLOOKUP(N442,Helper!$B$30:$C$35,2,TRUE)</f>
        <v>B</v>
      </c>
      <c r="P442" s="26">
        <f>INDEX(Detail!$A$1:$A$1001,MATCH(B442,Detail!$G$1:$G$1001,0))</f>
        <v>38010</v>
      </c>
      <c r="Q442" s="3" t="str">
        <f>INDEX(Detail!$F$1:$F$1001,MATCH(Main!B442,Detail!$G$1:$G$1001,0))</f>
        <v>Bima</v>
      </c>
      <c r="R442" s="7">
        <f>INDEX(Detail!$C$1:$C$1001,MATCH(B442,Detail!$G$1:$G$1001,0),1)</f>
        <v>153</v>
      </c>
      <c r="S442" s="7">
        <f>INDEX(Detail!$D$1:$D$1001,MATCH(B442,Detail!$G$1:$G$1001,0),1)</f>
        <v>45</v>
      </c>
      <c r="T442" s="7" t="str">
        <f>INDEX(Detail!$E$1:$E$1001,MATCH(Main!B442,Detail!$G$1:$G$1001,0))</f>
        <v xml:space="preserve">Jl. PHH. Mustofa No. 9
</v>
      </c>
      <c r="U442" s="7" t="str">
        <f>INDEX(Detail!$B$1:$B$1001,MATCH(B442,Detail!$G$1:$G$1001,0),1)</f>
        <v>AB-</v>
      </c>
    </row>
    <row r="443" spans="1:21" ht="15.75" x14ac:dyDescent="0.25">
      <c r="A443">
        <v>648</v>
      </c>
      <c r="B443" s="3" t="str">
        <f t="shared" si="16"/>
        <v>C0648</v>
      </c>
      <c r="C443" t="s">
        <v>1012</v>
      </c>
      <c r="D443" s="3" t="str">
        <f>VLOOKUP(B443,Detail!$G$1:$H$1001,2,FALSE)</f>
        <v>Asirwada Suartini</v>
      </c>
      <c r="E443">
        <v>84</v>
      </c>
      <c r="F443">
        <v>51</v>
      </c>
      <c r="G443" s="35">
        <v>45</v>
      </c>
      <c r="H443">
        <v>75</v>
      </c>
      <c r="I443">
        <v>59</v>
      </c>
      <c r="J443">
        <v>90</v>
      </c>
      <c r="K443">
        <v>85</v>
      </c>
      <c r="L443" s="26" t="str">
        <f>IFERROR(VLOOKUP(B443,Absen!$A$1:$C$501,2,FALSE),"No")</f>
        <v>No</v>
      </c>
      <c r="M443" s="44">
        <f t="shared" si="17"/>
        <v>8.5</v>
      </c>
      <c r="N443" s="35">
        <f t="shared" si="18"/>
        <v>69.125</v>
      </c>
      <c r="O443" t="str">
        <f>VLOOKUP(N443,Helper!$B$30:$C$35,2,TRUE)</f>
        <v>C</v>
      </c>
      <c r="P443" s="26">
        <f>INDEX(Detail!$A$1:$A$1001,MATCH(B443,Detail!$G$1:$G$1001,0))</f>
        <v>37331</v>
      </c>
      <c r="Q443" s="3" t="str">
        <f>INDEX(Detail!$F$1:$F$1001,MATCH(Main!B443,Detail!$G$1:$G$1001,0))</f>
        <v>Pematangsiantar</v>
      </c>
      <c r="R443" s="7">
        <f>INDEX(Detail!$C$1:$C$1001,MATCH(B443,Detail!$G$1:$G$1001,0),1)</f>
        <v>180</v>
      </c>
      <c r="S443" s="7">
        <f>INDEX(Detail!$D$1:$D$1001,MATCH(B443,Detail!$G$1:$G$1001,0),1)</f>
        <v>90</v>
      </c>
      <c r="T443" s="7" t="str">
        <f>INDEX(Detail!$E$1:$E$1001,MATCH(Main!B443,Detail!$G$1:$G$1001,0))</f>
        <v>Gang Cikapayang No. 65</v>
      </c>
      <c r="U443" s="7" t="str">
        <f>INDEX(Detail!$B$1:$B$1001,MATCH(B443,Detail!$G$1:$G$1001,0),1)</f>
        <v>B-</v>
      </c>
    </row>
    <row r="444" spans="1:21" ht="15.75" x14ac:dyDescent="0.25">
      <c r="A444">
        <v>654</v>
      </c>
      <c r="B444" s="3" t="str">
        <f t="shared" si="16"/>
        <v>C0654</v>
      </c>
      <c r="C444" t="s">
        <v>1012</v>
      </c>
      <c r="D444" s="3" t="str">
        <f>VLOOKUP(B444,Detail!$G$1:$H$1001,2,FALSE)</f>
        <v>Wasis Melani</v>
      </c>
      <c r="E444">
        <v>75</v>
      </c>
      <c r="F444">
        <v>72</v>
      </c>
      <c r="G444" s="35">
        <v>33</v>
      </c>
      <c r="H444">
        <v>74</v>
      </c>
      <c r="I444">
        <v>55</v>
      </c>
      <c r="J444">
        <v>63</v>
      </c>
      <c r="K444">
        <v>95</v>
      </c>
      <c r="L444" s="26">
        <f>IFERROR(VLOOKUP(B444,Absen!$A$1:$C$501,2,FALSE),"No")</f>
        <v>44808</v>
      </c>
      <c r="M444" s="44">
        <f t="shared" si="17"/>
        <v>8.5</v>
      </c>
      <c r="N444" s="35">
        <f t="shared" si="18"/>
        <v>62.2</v>
      </c>
      <c r="O444" t="str">
        <f>VLOOKUP(N444,Helper!$B$30:$C$35,2,TRUE)</f>
        <v>C</v>
      </c>
      <c r="P444" s="26">
        <f>INDEX(Detail!$A$1:$A$1001,MATCH(B444,Detail!$G$1:$G$1001,0))</f>
        <v>37443</v>
      </c>
      <c r="Q444" s="3" t="str">
        <f>INDEX(Detail!$F$1:$F$1001,MATCH(Main!B444,Detail!$G$1:$G$1001,0))</f>
        <v>Bengkulu</v>
      </c>
      <c r="R444" s="7">
        <f>INDEX(Detail!$C$1:$C$1001,MATCH(B444,Detail!$G$1:$G$1001,0),1)</f>
        <v>160</v>
      </c>
      <c r="S444" s="7">
        <f>INDEX(Detail!$D$1:$D$1001,MATCH(B444,Detail!$G$1:$G$1001,0),1)</f>
        <v>93</v>
      </c>
      <c r="T444" s="7" t="str">
        <f>INDEX(Detail!$E$1:$E$1001,MATCH(Main!B444,Detail!$G$1:$G$1001,0))</f>
        <v xml:space="preserve">Gang PHH. Mustofa No. 2
</v>
      </c>
      <c r="U444" s="7" t="str">
        <f>INDEX(Detail!$B$1:$B$1001,MATCH(B444,Detail!$G$1:$G$1001,0),1)</f>
        <v>AB+</v>
      </c>
    </row>
    <row r="445" spans="1:21" ht="15.75" x14ac:dyDescent="0.25">
      <c r="A445">
        <v>655</v>
      </c>
      <c r="B445" s="3" t="str">
        <f t="shared" si="16"/>
        <v>C0655</v>
      </c>
      <c r="C445" t="s">
        <v>1012</v>
      </c>
      <c r="D445" s="3" t="str">
        <f>VLOOKUP(B445,Detail!$G$1:$H$1001,2,FALSE)</f>
        <v>Daliman Sitorus</v>
      </c>
      <c r="E445">
        <v>92</v>
      </c>
      <c r="F445">
        <v>68</v>
      </c>
      <c r="G445" s="35">
        <v>30</v>
      </c>
      <c r="H445">
        <v>53</v>
      </c>
      <c r="I445">
        <v>91</v>
      </c>
      <c r="J445">
        <v>61</v>
      </c>
      <c r="K445">
        <v>100</v>
      </c>
      <c r="L445" s="26">
        <f>IFERROR(VLOOKUP(B445,Absen!$A$1:$C$501,2,FALSE),"No")</f>
        <v>44839</v>
      </c>
      <c r="M445" s="44">
        <f t="shared" si="17"/>
        <v>9</v>
      </c>
      <c r="N445" s="35">
        <f t="shared" si="18"/>
        <v>65.2</v>
      </c>
      <c r="O445" t="str">
        <f>VLOOKUP(N445,Helper!$B$30:$C$35,2,TRUE)</f>
        <v>C</v>
      </c>
      <c r="P445" s="26">
        <f>INDEX(Detail!$A$1:$A$1001,MATCH(B445,Detail!$G$1:$G$1001,0))</f>
        <v>38226</v>
      </c>
      <c r="Q445" s="3" t="str">
        <f>INDEX(Detail!$F$1:$F$1001,MATCH(Main!B445,Detail!$G$1:$G$1001,0))</f>
        <v>Magelang</v>
      </c>
      <c r="R445" s="7">
        <f>INDEX(Detail!$C$1:$C$1001,MATCH(B445,Detail!$G$1:$G$1001,0),1)</f>
        <v>158</v>
      </c>
      <c r="S445" s="7">
        <f>INDEX(Detail!$D$1:$D$1001,MATCH(B445,Detail!$G$1:$G$1001,0),1)</f>
        <v>65</v>
      </c>
      <c r="T445" s="7" t="str">
        <f>INDEX(Detail!$E$1:$E$1001,MATCH(Main!B445,Detail!$G$1:$G$1001,0))</f>
        <v>Jl. Jend. A. Yani No. 08</v>
      </c>
      <c r="U445" s="7" t="str">
        <f>INDEX(Detail!$B$1:$B$1001,MATCH(B445,Detail!$G$1:$G$1001,0),1)</f>
        <v>B-</v>
      </c>
    </row>
    <row r="446" spans="1:21" ht="15.75" x14ac:dyDescent="0.25">
      <c r="A446">
        <v>658</v>
      </c>
      <c r="B446" s="3" t="str">
        <f t="shared" si="16"/>
        <v>C0658</v>
      </c>
      <c r="C446" t="s">
        <v>1012</v>
      </c>
      <c r="D446" s="3" t="str">
        <f>VLOOKUP(B446,Detail!$G$1:$H$1001,2,FALSE)</f>
        <v>Cengkal Wastuti</v>
      </c>
      <c r="E446">
        <v>93</v>
      </c>
      <c r="F446">
        <v>73</v>
      </c>
      <c r="G446" s="35">
        <v>79</v>
      </c>
      <c r="H446">
        <v>57</v>
      </c>
      <c r="I446">
        <v>64</v>
      </c>
      <c r="J446">
        <v>54</v>
      </c>
      <c r="K446">
        <v>79</v>
      </c>
      <c r="L446" s="26" t="str">
        <f>IFERROR(VLOOKUP(B446,Absen!$A$1:$C$501,2,FALSE),"No")</f>
        <v>No</v>
      </c>
      <c r="M446" s="44">
        <f t="shared" si="17"/>
        <v>7.9</v>
      </c>
      <c r="N446" s="35">
        <f t="shared" si="18"/>
        <v>70.375</v>
      </c>
      <c r="O446" t="str">
        <f>VLOOKUP(N446,Helper!$B$30:$C$35,2,TRUE)</f>
        <v>B</v>
      </c>
      <c r="P446" s="26">
        <f>INDEX(Detail!$A$1:$A$1001,MATCH(B446,Detail!$G$1:$G$1001,0))</f>
        <v>37950</v>
      </c>
      <c r="Q446" s="3" t="str">
        <f>INDEX(Detail!$F$1:$F$1001,MATCH(Main!B446,Detail!$G$1:$G$1001,0))</f>
        <v>Pariaman</v>
      </c>
      <c r="R446" s="7">
        <f>INDEX(Detail!$C$1:$C$1001,MATCH(B446,Detail!$G$1:$G$1001,0),1)</f>
        <v>161</v>
      </c>
      <c r="S446" s="7">
        <f>INDEX(Detail!$D$1:$D$1001,MATCH(B446,Detail!$G$1:$G$1001,0),1)</f>
        <v>72</v>
      </c>
      <c r="T446" s="7" t="str">
        <f>INDEX(Detail!$E$1:$E$1001,MATCH(Main!B446,Detail!$G$1:$G$1001,0))</f>
        <v>Gang Bangka Raya No. 72</v>
      </c>
      <c r="U446" s="7" t="str">
        <f>INDEX(Detail!$B$1:$B$1001,MATCH(B446,Detail!$G$1:$G$1001,0),1)</f>
        <v>O+</v>
      </c>
    </row>
    <row r="447" spans="1:21" ht="15.75" x14ac:dyDescent="0.25">
      <c r="A447">
        <v>661</v>
      </c>
      <c r="B447" s="3" t="str">
        <f t="shared" si="16"/>
        <v>C0661</v>
      </c>
      <c r="C447" t="s">
        <v>1012</v>
      </c>
      <c r="D447" s="3" t="str">
        <f>VLOOKUP(B447,Detail!$G$1:$H$1001,2,FALSE)</f>
        <v>Teguh Astuti</v>
      </c>
      <c r="E447">
        <v>94</v>
      </c>
      <c r="F447">
        <v>53</v>
      </c>
      <c r="G447" s="35">
        <v>36</v>
      </c>
      <c r="H447">
        <v>66</v>
      </c>
      <c r="I447">
        <v>74</v>
      </c>
      <c r="J447">
        <v>93</v>
      </c>
      <c r="K447">
        <v>78</v>
      </c>
      <c r="L447" s="26">
        <f>IFERROR(VLOOKUP(B447,Absen!$A$1:$C$501,2,FALSE),"No")</f>
        <v>44778</v>
      </c>
      <c r="M447" s="44">
        <f t="shared" si="17"/>
        <v>6.8000000000000007</v>
      </c>
      <c r="N447" s="35">
        <f t="shared" si="18"/>
        <v>68.475000000000009</v>
      </c>
      <c r="O447" t="str">
        <f>VLOOKUP(N447,Helper!$B$30:$C$35,2,TRUE)</f>
        <v>C</v>
      </c>
      <c r="P447" s="26">
        <f>INDEX(Detail!$A$1:$A$1001,MATCH(B447,Detail!$G$1:$G$1001,0))</f>
        <v>38416</v>
      </c>
      <c r="Q447" s="3" t="str">
        <f>INDEX(Detail!$F$1:$F$1001,MATCH(Main!B447,Detail!$G$1:$G$1001,0))</f>
        <v>Lhokseumawe</v>
      </c>
      <c r="R447" s="7">
        <f>INDEX(Detail!$C$1:$C$1001,MATCH(B447,Detail!$G$1:$G$1001,0),1)</f>
        <v>155</v>
      </c>
      <c r="S447" s="7">
        <f>INDEX(Detail!$D$1:$D$1001,MATCH(B447,Detail!$G$1:$G$1001,0),1)</f>
        <v>71</v>
      </c>
      <c r="T447" s="7" t="str">
        <f>INDEX(Detail!$E$1:$E$1001,MATCH(Main!B447,Detail!$G$1:$G$1001,0))</f>
        <v>Jalan Pasir Koja No. 85</v>
      </c>
      <c r="U447" s="7" t="str">
        <f>INDEX(Detail!$B$1:$B$1001,MATCH(B447,Detail!$G$1:$G$1001,0),1)</f>
        <v>B+</v>
      </c>
    </row>
    <row r="448" spans="1:21" ht="15.75" x14ac:dyDescent="0.25">
      <c r="A448">
        <v>663</v>
      </c>
      <c r="B448" s="3" t="str">
        <f t="shared" si="16"/>
        <v>C0663</v>
      </c>
      <c r="C448" t="s">
        <v>1012</v>
      </c>
      <c r="D448" s="3" t="str">
        <f>VLOOKUP(B448,Detail!$G$1:$H$1001,2,FALSE)</f>
        <v>Bakda Sihotang</v>
      </c>
      <c r="E448">
        <v>60</v>
      </c>
      <c r="F448">
        <v>51</v>
      </c>
      <c r="G448" s="35">
        <v>40</v>
      </c>
      <c r="H448">
        <v>70</v>
      </c>
      <c r="I448">
        <v>55</v>
      </c>
      <c r="J448">
        <v>88</v>
      </c>
      <c r="K448">
        <v>68</v>
      </c>
      <c r="L448" s="26">
        <f>IFERROR(VLOOKUP(B448,Absen!$A$1:$C$501,2,FALSE),"No")</f>
        <v>44859</v>
      </c>
      <c r="M448" s="44">
        <f t="shared" si="17"/>
        <v>5.8000000000000007</v>
      </c>
      <c r="N448" s="35">
        <f t="shared" si="18"/>
        <v>60.900000000000006</v>
      </c>
      <c r="O448" t="str">
        <f>VLOOKUP(N448,Helper!$B$30:$C$35,2,TRUE)</f>
        <v>C</v>
      </c>
      <c r="P448" s="26">
        <f>INDEX(Detail!$A$1:$A$1001,MATCH(B448,Detail!$G$1:$G$1001,0))</f>
        <v>37064</v>
      </c>
      <c r="Q448" s="3" t="str">
        <f>INDEX(Detail!$F$1:$F$1001,MATCH(Main!B448,Detail!$G$1:$G$1001,0))</f>
        <v>Bitung</v>
      </c>
      <c r="R448" s="7">
        <f>INDEX(Detail!$C$1:$C$1001,MATCH(B448,Detail!$G$1:$G$1001,0),1)</f>
        <v>172</v>
      </c>
      <c r="S448" s="7">
        <f>INDEX(Detail!$D$1:$D$1001,MATCH(B448,Detail!$G$1:$G$1001,0),1)</f>
        <v>72</v>
      </c>
      <c r="T448" s="7" t="str">
        <f>INDEX(Detail!$E$1:$E$1001,MATCH(Main!B448,Detail!$G$1:$G$1001,0))</f>
        <v xml:space="preserve">Gang Indragiri No. 8
</v>
      </c>
      <c r="U448" s="7" t="str">
        <f>INDEX(Detail!$B$1:$B$1001,MATCH(B448,Detail!$G$1:$G$1001,0),1)</f>
        <v>A+</v>
      </c>
    </row>
    <row r="449" spans="1:21" ht="15.75" x14ac:dyDescent="0.25">
      <c r="A449">
        <v>665</v>
      </c>
      <c r="B449" s="3" t="str">
        <f t="shared" ref="B449:B492" si="19">CONCATENATE("C",TEXT(A449,"0000"))</f>
        <v>C0665</v>
      </c>
      <c r="C449" t="s">
        <v>1012</v>
      </c>
      <c r="D449" s="3" t="str">
        <f>VLOOKUP(B449,Detail!$G$1:$H$1001,2,FALSE)</f>
        <v>Talia Purnawati</v>
      </c>
      <c r="E449">
        <v>57</v>
      </c>
      <c r="F449">
        <v>49</v>
      </c>
      <c r="G449" s="35">
        <v>32</v>
      </c>
      <c r="H449">
        <v>60</v>
      </c>
      <c r="I449">
        <v>51</v>
      </c>
      <c r="J449">
        <v>50</v>
      </c>
      <c r="K449">
        <v>98</v>
      </c>
      <c r="L449" s="26">
        <f>IFERROR(VLOOKUP(B449,Absen!$A$1:$C$501,2,FALSE),"No")</f>
        <v>44855</v>
      </c>
      <c r="M449" s="44">
        <f t="shared" si="17"/>
        <v>8.8000000000000007</v>
      </c>
      <c r="N449" s="35">
        <f t="shared" si="18"/>
        <v>52.325000000000003</v>
      </c>
      <c r="O449" t="str">
        <f>VLOOKUP(N449,Helper!$B$30:$C$35,2,TRUE)</f>
        <v>D</v>
      </c>
      <c r="P449" s="26">
        <f>INDEX(Detail!$A$1:$A$1001,MATCH(B449,Detail!$G$1:$G$1001,0))</f>
        <v>37542</v>
      </c>
      <c r="Q449" s="3" t="str">
        <f>INDEX(Detail!$F$1:$F$1001,MATCH(Main!B449,Detail!$G$1:$G$1001,0))</f>
        <v>Meulaboh</v>
      </c>
      <c r="R449" s="7">
        <f>INDEX(Detail!$C$1:$C$1001,MATCH(B449,Detail!$G$1:$G$1001,0),1)</f>
        <v>167</v>
      </c>
      <c r="S449" s="7">
        <f>INDEX(Detail!$D$1:$D$1001,MATCH(B449,Detail!$G$1:$G$1001,0),1)</f>
        <v>72</v>
      </c>
      <c r="T449" s="7" t="str">
        <f>INDEX(Detail!$E$1:$E$1001,MATCH(Main!B449,Detail!$G$1:$G$1001,0))</f>
        <v>Jl. Peta No. 31</v>
      </c>
      <c r="U449" s="7" t="str">
        <f>INDEX(Detail!$B$1:$B$1001,MATCH(B449,Detail!$G$1:$G$1001,0),1)</f>
        <v>B-</v>
      </c>
    </row>
    <row r="450" spans="1:21" ht="15.75" x14ac:dyDescent="0.25">
      <c r="A450">
        <v>683</v>
      </c>
      <c r="B450" s="3" t="str">
        <f t="shared" si="19"/>
        <v>C0683</v>
      </c>
      <c r="C450" t="s">
        <v>1012</v>
      </c>
      <c r="D450" s="3" t="str">
        <f>VLOOKUP(B450,Detail!$G$1:$H$1001,2,FALSE)</f>
        <v>Bala Sitorus</v>
      </c>
      <c r="E450">
        <v>94</v>
      </c>
      <c r="F450">
        <v>49</v>
      </c>
      <c r="G450" s="35">
        <v>76</v>
      </c>
      <c r="H450">
        <v>58</v>
      </c>
      <c r="I450">
        <v>93</v>
      </c>
      <c r="J450">
        <v>63</v>
      </c>
      <c r="K450">
        <v>100</v>
      </c>
      <c r="L450" s="26">
        <f>IFERROR(VLOOKUP(B450,Absen!$A$1:$C$501,2,FALSE),"No")</f>
        <v>44876</v>
      </c>
      <c r="M450" s="44">
        <f t="shared" ref="M450:M513" si="20">IF(L450="no",K450,K450-10)*10%</f>
        <v>9</v>
      </c>
      <c r="N450" s="35">
        <f t="shared" ref="N450:N513" si="21">SUM(E450*12.5%,F450*12.5%,H450*12.5%,I450*12.5%,G450*20%,J450*20%,M450)</f>
        <v>73.550000000000011</v>
      </c>
      <c r="O450" t="str">
        <f>VLOOKUP(N450,Helper!$B$30:$C$35,2,TRUE)</f>
        <v>B</v>
      </c>
      <c r="P450" s="26">
        <f>INDEX(Detail!$A$1:$A$1001,MATCH(B450,Detail!$G$1:$G$1001,0))</f>
        <v>37147</v>
      </c>
      <c r="Q450" s="3" t="str">
        <f>INDEX(Detail!$F$1:$F$1001,MATCH(Main!B450,Detail!$G$1:$G$1001,0))</f>
        <v>Bontang</v>
      </c>
      <c r="R450" s="7">
        <f>INDEX(Detail!$C$1:$C$1001,MATCH(B450,Detail!$G$1:$G$1001,0),1)</f>
        <v>178</v>
      </c>
      <c r="S450" s="7">
        <f>INDEX(Detail!$D$1:$D$1001,MATCH(B450,Detail!$G$1:$G$1001,0),1)</f>
        <v>59</v>
      </c>
      <c r="T450" s="7" t="str">
        <f>INDEX(Detail!$E$1:$E$1001,MATCH(Main!B450,Detail!$G$1:$G$1001,0))</f>
        <v xml:space="preserve">Jl. Ahmad Yani No. 7
</v>
      </c>
      <c r="U450" s="7" t="str">
        <f>INDEX(Detail!$B$1:$B$1001,MATCH(B450,Detail!$G$1:$G$1001,0),1)</f>
        <v>O-</v>
      </c>
    </row>
    <row r="451" spans="1:21" ht="15.75" x14ac:dyDescent="0.25">
      <c r="A451">
        <v>687</v>
      </c>
      <c r="B451" s="3" t="str">
        <f t="shared" si="19"/>
        <v>C0687</v>
      </c>
      <c r="C451" t="s">
        <v>1012</v>
      </c>
      <c r="D451" s="3" t="str">
        <f>VLOOKUP(B451,Detail!$G$1:$H$1001,2,FALSE)</f>
        <v>Jasmin Padmasari</v>
      </c>
      <c r="E451">
        <v>83</v>
      </c>
      <c r="F451">
        <v>69</v>
      </c>
      <c r="G451" s="35">
        <v>76</v>
      </c>
      <c r="H451">
        <v>70</v>
      </c>
      <c r="I451">
        <v>94</v>
      </c>
      <c r="J451">
        <v>88</v>
      </c>
      <c r="K451">
        <v>74</v>
      </c>
      <c r="L451" s="26" t="str">
        <f>IFERROR(VLOOKUP(B451,Absen!$A$1:$C$501,2,FALSE),"No")</f>
        <v>No</v>
      </c>
      <c r="M451" s="44">
        <f t="shared" si="20"/>
        <v>7.4</v>
      </c>
      <c r="N451" s="35">
        <f t="shared" si="21"/>
        <v>79.700000000000017</v>
      </c>
      <c r="O451" t="str">
        <f>VLOOKUP(N451,Helper!$B$30:$C$35,2,TRUE)</f>
        <v>B</v>
      </c>
      <c r="P451" s="26">
        <f>INDEX(Detail!$A$1:$A$1001,MATCH(B451,Detail!$G$1:$G$1001,0))</f>
        <v>37865</v>
      </c>
      <c r="Q451" s="3" t="str">
        <f>INDEX(Detail!$F$1:$F$1001,MATCH(Main!B451,Detail!$G$1:$G$1001,0))</f>
        <v>Tangerang</v>
      </c>
      <c r="R451" s="7">
        <f>INDEX(Detail!$C$1:$C$1001,MATCH(B451,Detail!$G$1:$G$1001,0),1)</f>
        <v>178</v>
      </c>
      <c r="S451" s="7">
        <f>INDEX(Detail!$D$1:$D$1001,MATCH(B451,Detail!$G$1:$G$1001,0),1)</f>
        <v>55</v>
      </c>
      <c r="T451" s="7" t="str">
        <f>INDEX(Detail!$E$1:$E$1001,MATCH(Main!B451,Detail!$G$1:$G$1001,0))</f>
        <v>Jl. Peta No. 41</v>
      </c>
      <c r="U451" s="7" t="str">
        <f>INDEX(Detail!$B$1:$B$1001,MATCH(B451,Detail!$G$1:$G$1001,0),1)</f>
        <v>B-</v>
      </c>
    </row>
    <row r="452" spans="1:21" ht="15.75" x14ac:dyDescent="0.25">
      <c r="A452">
        <v>698</v>
      </c>
      <c r="B452" s="3" t="str">
        <f t="shared" si="19"/>
        <v>C0698</v>
      </c>
      <c r="C452" t="s">
        <v>1012</v>
      </c>
      <c r="D452" s="3" t="str">
        <f>VLOOKUP(B452,Detail!$G$1:$H$1001,2,FALSE)</f>
        <v>Viman Uyainah</v>
      </c>
      <c r="E452">
        <v>53</v>
      </c>
      <c r="F452">
        <v>71</v>
      </c>
      <c r="G452" s="35">
        <v>53</v>
      </c>
      <c r="H452">
        <v>70</v>
      </c>
      <c r="I452">
        <v>65</v>
      </c>
      <c r="J452">
        <v>91</v>
      </c>
      <c r="K452">
        <v>81</v>
      </c>
      <c r="L452" s="26" t="str">
        <f>IFERROR(VLOOKUP(B452,Absen!$A$1:$C$501,2,FALSE),"No")</f>
        <v>No</v>
      </c>
      <c r="M452" s="44">
        <f t="shared" si="20"/>
        <v>8.1</v>
      </c>
      <c r="N452" s="35">
        <f t="shared" si="21"/>
        <v>69.274999999999991</v>
      </c>
      <c r="O452" t="str">
        <f>VLOOKUP(N452,Helper!$B$30:$C$35,2,TRUE)</f>
        <v>C</v>
      </c>
      <c r="P452" s="26">
        <f>INDEX(Detail!$A$1:$A$1001,MATCH(B452,Detail!$G$1:$G$1001,0))</f>
        <v>37699</v>
      </c>
      <c r="Q452" s="3" t="str">
        <f>INDEX(Detail!$F$1:$F$1001,MATCH(Main!B452,Detail!$G$1:$G$1001,0))</f>
        <v>Bima</v>
      </c>
      <c r="R452" s="7">
        <f>INDEX(Detail!$C$1:$C$1001,MATCH(B452,Detail!$G$1:$G$1001,0),1)</f>
        <v>164</v>
      </c>
      <c r="S452" s="7">
        <f>INDEX(Detail!$D$1:$D$1001,MATCH(B452,Detail!$G$1:$G$1001,0),1)</f>
        <v>52</v>
      </c>
      <c r="T452" s="7" t="str">
        <f>INDEX(Detail!$E$1:$E$1001,MATCH(Main!B452,Detail!$G$1:$G$1001,0))</f>
        <v xml:space="preserve">Gang Dipenogoro No. 0
</v>
      </c>
      <c r="U452" s="7" t="str">
        <f>INDEX(Detail!$B$1:$B$1001,MATCH(B452,Detail!$G$1:$G$1001,0),1)</f>
        <v>O-</v>
      </c>
    </row>
    <row r="453" spans="1:21" ht="15.75" x14ac:dyDescent="0.25">
      <c r="A453">
        <v>706</v>
      </c>
      <c r="B453" s="3" t="str">
        <f t="shared" si="19"/>
        <v>C0706</v>
      </c>
      <c r="C453" t="s">
        <v>1012</v>
      </c>
      <c r="D453" s="3" t="str">
        <f>VLOOKUP(B453,Detail!$G$1:$H$1001,2,FALSE)</f>
        <v>Olga Handayani</v>
      </c>
      <c r="E453">
        <v>63</v>
      </c>
      <c r="F453">
        <v>72</v>
      </c>
      <c r="G453" s="35">
        <v>56</v>
      </c>
      <c r="H453">
        <v>62</v>
      </c>
      <c r="I453">
        <v>82</v>
      </c>
      <c r="J453">
        <v>95</v>
      </c>
      <c r="K453">
        <v>82</v>
      </c>
      <c r="L453" s="26">
        <f>IFERROR(VLOOKUP(B453,Absen!$A$1:$C$501,2,FALSE),"No")</f>
        <v>44782</v>
      </c>
      <c r="M453" s="44">
        <f t="shared" si="20"/>
        <v>7.2</v>
      </c>
      <c r="N453" s="35">
        <f t="shared" si="21"/>
        <v>72.275000000000006</v>
      </c>
      <c r="O453" t="str">
        <f>VLOOKUP(N453,Helper!$B$30:$C$35,2,TRUE)</f>
        <v>B</v>
      </c>
      <c r="P453" s="26">
        <f>INDEX(Detail!$A$1:$A$1001,MATCH(B453,Detail!$G$1:$G$1001,0))</f>
        <v>37288</v>
      </c>
      <c r="Q453" s="3" t="str">
        <f>INDEX(Detail!$F$1:$F$1001,MATCH(Main!B453,Detail!$G$1:$G$1001,0))</f>
        <v>Kendari</v>
      </c>
      <c r="R453" s="7">
        <f>INDEX(Detail!$C$1:$C$1001,MATCH(B453,Detail!$G$1:$G$1001,0),1)</f>
        <v>166</v>
      </c>
      <c r="S453" s="7">
        <f>INDEX(Detail!$D$1:$D$1001,MATCH(B453,Detail!$G$1:$G$1001,0),1)</f>
        <v>69</v>
      </c>
      <c r="T453" s="7" t="str">
        <f>INDEX(Detail!$E$1:$E$1001,MATCH(Main!B453,Detail!$G$1:$G$1001,0))</f>
        <v xml:space="preserve">Jl. Veteran No. 9
</v>
      </c>
      <c r="U453" s="7" t="str">
        <f>INDEX(Detail!$B$1:$B$1001,MATCH(B453,Detail!$G$1:$G$1001,0),1)</f>
        <v>A+</v>
      </c>
    </row>
    <row r="454" spans="1:21" ht="15.75" x14ac:dyDescent="0.25">
      <c r="A454">
        <v>752</v>
      </c>
      <c r="B454" s="3" t="str">
        <f t="shared" si="19"/>
        <v>C0752</v>
      </c>
      <c r="C454" t="s">
        <v>1012</v>
      </c>
      <c r="D454" s="3" t="str">
        <f>VLOOKUP(B454,Detail!$G$1:$H$1001,2,FALSE)</f>
        <v>Galang Firgantoro</v>
      </c>
      <c r="E454">
        <v>85</v>
      </c>
      <c r="F454">
        <v>51</v>
      </c>
      <c r="G454" s="35">
        <v>53</v>
      </c>
      <c r="H454">
        <v>62</v>
      </c>
      <c r="I454">
        <v>90</v>
      </c>
      <c r="J454">
        <v>73</v>
      </c>
      <c r="K454">
        <v>92</v>
      </c>
      <c r="L454" s="26">
        <f>IFERROR(VLOOKUP(B454,Absen!$A$1:$C$501,2,FALSE),"No")</f>
        <v>44815</v>
      </c>
      <c r="M454" s="44">
        <f t="shared" si="20"/>
        <v>8.2000000000000011</v>
      </c>
      <c r="N454" s="35">
        <f t="shared" si="21"/>
        <v>69.400000000000006</v>
      </c>
      <c r="O454" t="str">
        <f>VLOOKUP(N454,Helper!$B$30:$C$35,2,TRUE)</f>
        <v>C</v>
      </c>
      <c r="P454" s="26">
        <f>INDEX(Detail!$A$1:$A$1001,MATCH(B454,Detail!$G$1:$G$1001,0))</f>
        <v>38159</v>
      </c>
      <c r="Q454" s="3" t="str">
        <f>INDEX(Detail!$F$1:$F$1001,MATCH(Main!B454,Detail!$G$1:$G$1001,0))</f>
        <v>Kupang</v>
      </c>
      <c r="R454" s="7">
        <f>INDEX(Detail!$C$1:$C$1001,MATCH(B454,Detail!$G$1:$G$1001,0),1)</f>
        <v>164</v>
      </c>
      <c r="S454" s="7">
        <f>INDEX(Detail!$D$1:$D$1001,MATCH(B454,Detail!$G$1:$G$1001,0),1)</f>
        <v>45</v>
      </c>
      <c r="T454" s="7" t="str">
        <f>INDEX(Detail!$E$1:$E$1001,MATCH(Main!B454,Detail!$G$1:$G$1001,0))</f>
        <v>Gang Cihampelas No. 05</v>
      </c>
      <c r="U454" s="7" t="str">
        <f>INDEX(Detail!$B$1:$B$1001,MATCH(B454,Detail!$G$1:$G$1001,0),1)</f>
        <v>AB-</v>
      </c>
    </row>
    <row r="455" spans="1:21" ht="15.75" x14ac:dyDescent="0.25">
      <c r="A455">
        <v>764</v>
      </c>
      <c r="B455" s="3" t="str">
        <f t="shared" si="19"/>
        <v>C0764</v>
      </c>
      <c r="C455" t="s">
        <v>1012</v>
      </c>
      <c r="D455" s="3" t="str">
        <f>VLOOKUP(B455,Detail!$G$1:$H$1001,2,FALSE)</f>
        <v>Timbul Hassanah</v>
      </c>
      <c r="E455">
        <v>56</v>
      </c>
      <c r="F455">
        <v>46</v>
      </c>
      <c r="G455" s="35">
        <v>38</v>
      </c>
      <c r="H455">
        <v>61</v>
      </c>
      <c r="I455">
        <v>58</v>
      </c>
      <c r="J455">
        <v>71</v>
      </c>
      <c r="K455">
        <v>71</v>
      </c>
      <c r="L455" s="26">
        <f>IFERROR(VLOOKUP(B455,Absen!$A$1:$C$501,2,FALSE),"No")</f>
        <v>44881</v>
      </c>
      <c r="M455" s="44">
        <f t="shared" si="20"/>
        <v>6.1000000000000005</v>
      </c>
      <c r="N455" s="35">
        <f t="shared" si="21"/>
        <v>55.525000000000006</v>
      </c>
      <c r="O455" t="str">
        <f>VLOOKUP(N455,Helper!$B$30:$C$35,2,TRUE)</f>
        <v>D</v>
      </c>
      <c r="P455" s="26">
        <f>INDEX(Detail!$A$1:$A$1001,MATCH(B455,Detail!$G$1:$G$1001,0))</f>
        <v>38425</v>
      </c>
      <c r="Q455" s="3" t="str">
        <f>INDEX(Detail!$F$1:$F$1001,MATCH(Main!B455,Detail!$G$1:$G$1001,0))</f>
        <v>Sawahlunto</v>
      </c>
      <c r="R455" s="7">
        <f>INDEX(Detail!$C$1:$C$1001,MATCH(B455,Detail!$G$1:$G$1001,0),1)</f>
        <v>167</v>
      </c>
      <c r="S455" s="7">
        <f>INDEX(Detail!$D$1:$D$1001,MATCH(B455,Detail!$G$1:$G$1001,0),1)</f>
        <v>94</v>
      </c>
      <c r="T455" s="7" t="str">
        <f>INDEX(Detail!$E$1:$E$1001,MATCH(Main!B455,Detail!$G$1:$G$1001,0))</f>
        <v xml:space="preserve">Jl. Cikutra Barat No. 2
</v>
      </c>
      <c r="U455" s="7" t="str">
        <f>INDEX(Detail!$B$1:$B$1001,MATCH(B455,Detail!$G$1:$G$1001,0),1)</f>
        <v>A+</v>
      </c>
    </row>
    <row r="456" spans="1:21" ht="15.75" x14ac:dyDescent="0.25">
      <c r="A456">
        <v>776</v>
      </c>
      <c r="B456" s="3" t="str">
        <f t="shared" si="19"/>
        <v>C0776</v>
      </c>
      <c r="C456" t="s">
        <v>1012</v>
      </c>
      <c r="D456" s="3" t="str">
        <f>VLOOKUP(B456,Detail!$G$1:$H$1001,2,FALSE)</f>
        <v>Ana Nugroho</v>
      </c>
      <c r="E456">
        <v>69</v>
      </c>
      <c r="F456">
        <v>58</v>
      </c>
      <c r="G456" s="35">
        <v>58</v>
      </c>
      <c r="H456">
        <v>50</v>
      </c>
      <c r="I456">
        <v>91</v>
      </c>
      <c r="J456">
        <v>46</v>
      </c>
      <c r="K456">
        <v>64</v>
      </c>
      <c r="L456" s="26">
        <f>IFERROR(VLOOKUP(B456,Absen!$A$1:$C$501,2,FALSE),"No")</f>
        <v>44917</v>
      </c>
      <c r="M456" s="44">
        <f t="shared" si="20"/>
        <v>5.4</v>
      </c>
      <c r="N456" s="35">
        <f t="shared" si="21"/>
        <v>59.7</v>
      </c>
      <c r="O456" t="str">
        <f>VLOOKUP(N456,Helper!$B$30:$C$35,2,TRUE)</f>
        <v>D</v>
      </c>
      <c r="P456" s="26">
        <f>INDEX(Detail!$A$1:$A$1001,MATCH(B456,Detail!$G$1:$G$1001,0))</f>
        <v>37991</v>
      </c>
      <c r="Q456" s="3" t="str">
        <f>INDEX(Detail!$F$1:$F$1001,MATCH(Main!B456,Detail!$G$1:$G$1001,0))</f>
        <v>Sibolga</v>
      </c>
      <c r="R456" s="7">
        <f>INDEX(Detail!$C$1:$C$1001,MATCH(B456,Detail!$G$1:$G$1001,0),1)</f>
        <v>175</v>
      </c>
      <c r="S456" s="7">
        <f>INDEX(Detail!$D$1:$D$1001,MATCH(B456,Detail!$G$1:$G$1001,0),1)</f>
        <v>49</v>
      </c>
      <c r="T456" s="7" t="str">
        <f>INDEX(Detail!$E$1:$E$1001,MATCH(Main!B456,Detail!$G$1:$G$1001,0))</f>
        <v>Gg. Kapten Muslihat No. 53</v>
      </c>
      <c r="U456" s="7" t="str">
        <f>INDEX(Detail!$B$1:$B$1001,MATCH(B456,Detail!$G$1:$G$1001,0),1)</f>
        <v>AB+</v>
      </c>
    </row>
    <row r="457" spans="1:21" ht="15.75" x14ac:dyDescent="0.25">
      <c r="A457">
        <v>788</v>
      </c>
      <c r="B457" s="3" t="str">
        <f t="shared" si="19"/>
        <v>C0788</v>
      </c>
      <c r="C457" t="s">
        <v>1012</v>
      </c>
      <c r="D457" s="3" t="str">
        <f>VLOOKUP(B457,Detail!$G$1:$H$1001,2,FALSE)</f>
        <v>Gangsa Mulyani</v>
      </c>
      <c r="E457">
        <v>90</v>
      </c>
      <c r="F457">
        <v>74</v>
      </c>
      <c r="G457" s="35">
        <v>61</v>
      </c>
      <c r="H457">
        <v>53</v>
      </c>
      <c r="I457">
        <v>51</v>
      </c>
      <c r="J457">
        <v>91</v>
      </c>
      <c r="K457">
        <v>67</v>
      </c>
      <c r="L457" s="26">
        <f>IFERROR(VLOOKUP(B457,Absen!$A$1:$C$501,2,FALSE),"No")</f>
        <v>44861</v>
      </c>
      <c r="M457" s="44">
        <f t="shared" si="20"/>
        <v>5.7</v>
      </c>
      <c r="N457" s="35">
        <f t="shared" si="21"/>
        <v>69.600000000000009</v>
      </c>
      <c r="O457" t="str">
        <f>VLOOKUP(N457,Helper!$B$30:$C$35,2,TRUE)</f>
        <v>C</v>
      </c>
      <c r="P457" s="26">
        <f>INDEX(Detail!$A$1:$A$1001,MATCH(B457,Detail!$G$1:$G$1001,0))</f>
        <v>38078</v>
      </c>
      <c r="Q457" s="3" t="str">
        <f>INDEX(Detail!$F$1:$F$1001,MATCH(Main!B457,Detail!$G$1:$G$1001,0))</f>
        <v>Surakarta</v>
      </c>
      <c r="R457" s="7">
        <f>INDEX(Detail!$C$1:$C$1001,MATCH(B457,Detail!$G$1:$G$1001,0),1)</f>
        <v>174</v>
      </c>
      <c r="S457" s="7">
        <f>INDEX(Detail!$D$1:$D$1001,MATCH(B457,Detail!$G$1:$G$1001,0),1)</f>
        <v>87</v>
      </c>
      <c r="T457" s="7" t="str">
        <f>INDEX(Detail!$E$1:$E$1001,MATCH(Main!B457,Detail!$G$1:$G$1001,0))</f>
        <v xml:space="preserve">Gg. Ahmad Yani No. 0
</v>
      </c>
      <c r="U457" s="7" t="str">
        <f>INDEX(Detail!$B$1:$B$1001,MATCH(B457,Detail!$G$1:$G$1001,0),1)</f>
        <v>B+</v>
      </c>
    </row>
    <row r="458" spans="1:21" ht="15.75" x14ac:dyDescent="0.25">
      <c r="A458">
        <v>793</v>
      </c>
      <c r="B458" s="3" t="str">
        <f t="shared" si="19"/>
        <v>C0793</v>
      </c>
      <c r="C458" t="s">
        <v>1012</v>
      </c>
      <c r="D458" s="3" t="str">
        <f>VLOOKUP(B458,Detail!$G$1:$H$1001,2,FALSE)</f>
        <v>Dadap Farida</v>
      </c>
      <c r="E458">
        <v>80</v>
      </c>
      <c r="F458">
        <v>63</v>
      </c>
      <c r="G458" s="35">
        <v>67</v>
      </c>
      <c r="H458">
        <v>59</v>
      </c>
      <c r="I458">
        <v>56</v>
      </c>
      <c r="J458">
        <v>91</v>
      </c>
      <c r="K458">
        <v>61</v>
      </c>
      <c r="L458" s="26">
        <f>IFERROR(VLOOKUP(B458,Absen!$A$1:$C$501,2,FALSE),"No")</f>
        <v>44900</v>
      </c>
      <c r="M458" s="44">
        <f t="shared" si="20"/>
        <v>5.1000000000000005</v>
      </c>
      <c r="N458" s="35">
        <f t="shared" si="21"/>
        <v>68.949999999999989</v>
      </c>
      <c r="O458" t="str">
        <f>VLOOKUP(N458,Helper!$B$30:$C$35,2,TRUE)</f>
        <v>C</v>
      </c>
      <c r="P458" s="26">
        <f>INDEX(Detail!$A$1:$A$1001,MATCH(B458,Detail!$G$1:$G$1001,0))</f>
        <v>37573</v>
      </c>
      <c r="Q458" s="3" t="str">
        <f>INDEX(Detail!$F$1:$F$1001,MATCH(Main!B458,Detail!$G$1:$G$1001,0))</f>
        <v>Bitung</v>
      </c>
      <c r="R458" s="7">
        <f>INDEX(Detail!$C$1:$C$1001,MATCH(B458,Detail!$G$1:$G$1001,0),1)</f>
        <v>179</v>
      </c>
      <c r="S458" s="7">
        <f>INDEX(Detail!$D$1:$D$1001,MATCH(B458,Detail!$G$1:$G$1001,0),1)</f>
        <v>48</v>
      </c>
      <c r="T458" s="7" t="str">
        <f>INDEX(Detail!$E$1:$E$1001,MATCH(Main!B458,Detail!$G$1:$G$1001,0))</f>
        <v xml:space="preserve">Jalan Ronggowarsito No. 2
</v>
      </c>
      <c r="U458" s="7" t="str">
        <f>INDEX(Detail!$B$1:$B$1001,MATCH(B458,Detail!$G$1:$G$1001,0),1)</f>
        <v>AB+</v>
      </c>
    </row>
    <row r="459" spans="1:21" ht="15.75" x14ac:dyDescent="0.25">
      <c r="A459">
        <v>794</v>
      </c>
      <c r="B459" s="3" t="str">
        <f t="shared" si="19"/>
        <v>C0794</v>
      </c>
      <c r="C459" t="s">
        <v>1012</v>
      </c>
      <c r="D459" s="3" t="str">
        <f>VLOOKUP(B459,Detail!$G$1:$H$1001,2,FALSE)</f>
        <v>Dartono Thamrin</v>
      </c>
      <c r="E459">
        <v>66</v>
      </c>
      <c r="F459">
        <v>48</v>
      </c>
      <c r="G459" s="35">
        <v>90</v>
      </c>
      <c r="H459">
        <v>56</v>
      </c>
      <c r="I459">
        <v>74</v>
      </c>
      <c r="J459">
        <v>93</v>
      </c>
      <c r="K459">
        <v>96</v>
      </c>
      <c r="L459" s="26">
        <f>IFERROR(VLOOKUP(B459,Absen!$A$1:$C$501,2,FALSE),"No")</f>
        <v>44763</v>
      </c>
      <c r="M459" s="44">
        <f t="shared" si="20"/>
        <v>8.6</v>
      </c>
      <c r="N459" s="35">
        <f t="shared" si="21"/>
        <v>75.699999999999989</v>
      </c>
      <c r="O459" t="str">
        <f>VLOOKUP(N459,Helper!$B$30:$C$35,2,TRUE)</f>
        <v>B</v>
      </c>
      <c r="P459" s="26">
        <f>INDEX(Detail!$A$1:$A$1001,MATCH(B459,Detail!$G$1:$G$1001,0))</f>
        <v>38121</v>
      </c>
      <c r="Q459" s="3" t="str">
        <f>INDEX(Detail!$F$1:$F$1001,MATCH(Main!B459,Detail!$G$1:$G$1001,0))</f>
        <v>Surabaya</v>
      </c>
      <c r="R459" s="7">
        <f>INDEX(Detail!$C$1:$C$1001,MATCH(B459,Detail!$G$1:$G$1001,0),1)</f>
        <v>151</v>
      </c>
      <c r="S459" s="7">
        <f>INDEX(Detail!$D$1:$D$1001,MATCH(B459,Detail!$G$1:$G$1001,0),1)</f>
        <v>61</v>
      </c>
      <c r="T459" s="7" t="str">
        <f>INDEX(Detail!$E$1:$E$1001,MATCH(Main!B459,Detail!$G$1:$G$1001,0))</f>
        <v>Gang Siliwangi No. 07</v>
      </c>
      <c r="U459" s="7" t="str">
        <f>INDEX(Detail!$B$1:$B$1001,MATCH(B459,Detail!$G$1:$G$1001,0),1)</f>
        <v>B+</v>
      </c>
    </row>
    <row r="460" spans="1:21" ht="15.75" x14ac:dyDescent="0.25">
      <c r="A460">
        <v>800</v>
      </c>
      <c r="B460" s="3" t="str">
        <f t="shared" si="19"/>
        <v>C0800</v>
      </c>
      <c r="C460" t="s">
        <v>1012</v>
      </c>
      <c r="D460" s="3" t="str">
        <f>VLOOKUP(B460,Detail!$G$1:$H$1001,2,FALSE)</f>
        <v>Enteng Hariyah</v>
      </c>
      <c r="E460">
        <v>84</v>
      </c>
      <c r="F460">
        <v>42</v>
      </c>
      <c r="G460" s="35">
        <v>68</v>
      </c>
      <c r="H460">
        <v>62</v>
      </c>
      <c r="I460">
        <v>63</v>
      </c>
      <c r="J460">
        <v>48</v>
      </c>
      <c r="K460">
        <v>86</v>
      </c>
      <c r="L460" s="26" t="str">
        <f>IFERROR(VLOOKUP(B460,Absen!$A$1:$C$501,2,FALSE),"No")</f>
        <v>No</v>
      </c>
      <c r="M460" s="44">
        <f t="shared" si="20"/>
        <v>8.6</v>
      </c>
      <c r="N460" s="35">
        <f t="shared" si="21"/>
        <v>63.175000000000004</v>
      </c>
      <c r="O460" t="str">
        <f>VLOOKUP(N460,Helper!$B$30:$C$35,2,TRUE)</f>
        <v>C</v>
      </c>
      <c r="P460" s="26">
        <f>INDEX(Detail!$A$1:$A$1001,MATCH(B460,Detail!$G$1:$G$1001,0))</f>
        <v>38222</v>
      </c>
      <c r="Q460" s="3" t="str">
        <f>INDEX(Detail!$F$1:$F$1001,MATCH(Main!B460,Detail!$G$1:$G$1001,0))</f>
        <v>Bukittinggi</v>
      </c>
      <c r="R460" s="7">
        <f>INDEX(Detail!$C$1:$C$1001,MATCH(B460,Detail!$G$1:$G$1001,0),1)</f>
        <v>170</v>
      </c>
      <c r="S460" s="7">
        <f>INDEX(Detail!$D$1:$D$1001,MATCH(B460,Detail!$G$1:$G$1001,0),1)</f>
        <v>64</v>
      </c>
      <c r="T460" s="7" t="str">
        <f>INDEX(Detail!$E$1:$E$1001,MATCH(Main!B460,Detail!$G$1:$G$1001,0))</f>
        <v xml:space="preserve">Gang Lembong No. 8
</v>
      </c>
      <c r="U460" s="7" t="str">
        <f>INDEX(Detail!$B$1:$B$1001,MATCH(B460,Detail!$G$1:$G$1001,0),1)</f>
        <v>AB-</v>
      </c>
    </row>
    <row r="461" spans="1:21" ht="15.75" x14ac:dyDescent="0.25">
      <c r="A461">
        <v>804</v>
      </c>
      <c r="B461" s="3" t="str">
        <f t="shared" si="19"/>
        <v>C0804</v>
      </c>
      <c r="C461" t="s">
        <v>1012</v>
      </c>
      <c r="D461" s="3" t="str">
        <f>VLOOKUP(B461,Detail!$G$1:$H$1001,2,FALSE)</f>
        <v>Diana Mangunsong</v>
      </c>
      <c r="E461">
        <v>81</v>
      </c>
      <c r="F461">
        <v>74</v>
      </c>
      <c r="G461" s="35">
        <v>71</v>
      </c>
      <c r="H461">
        <v>69</v>
      </c>
      <c r="I461">
        <v>68</v>
      </c>
      <c r="J461">
        <v>97</v>
      </c>
      <c r="K461">
        <v>70</v>
      </c>
      <c r="L461" s="26">
        <f>IFERROR(VLOOKUP(B461,Absen!$A$1:$C$501,2,FALSE),"No")</f>
        <v>44827</v>
      </c>
      <c r="M461" s="44">
        <f t="shared" si="20"/>
        <v>6</v>
      </c>
      <c r="N461" s="35">
        <f t="shared" si="21"/>
        <v>76.100000000000009</v>
      </c>
      <c r="O461" t="str">
        <f>VLOOKUP(N461,Helper!$B$30:$C$35,2,TRUE)</f>
        <v>B</v>
      </c>
      <c r="P461" s="26">
        <f>INDEX(Detail!$A$1:$A$1001,MATCH(B461,Detail!$G$1:$G$1001,0))</f>
        <v>38079</v>
      </c>
      <c r="Q461" s="3" t="str">
        <f>INDEX(Detail!$F$1:$F$1001,MATCH(Main!B461,Detail!$G$1:$G$1001,0))</f>
        <v>Bukittinggi</v>
      </c>
      <c r="R461" s="7">
        <f>INDEX(Detail!$C$1:$C$1001,MATCH(B461,Detail!$G$1:$G$1001,0),1)</f>
        <v>180</v>
      </c>
      <c r="S461" s="7">
        <f>INDEX(Detail!$D$1:$D$1001,MATCH(B461,Detail!$G$1:$G$1001,0),1)</f>
        <v>80</v>
      </c>
      <c r="T461" s="7" t="str">
        <f>INDEX(Detail!$E$1:$E$1001,MATCH(Main!B461,Detail!$G$1:$G$1001,0))</f>
        <v>Gg. M.T Haryono No. 96</v>
      </c>
      <c r="U461" s="7" t="str">
        <f>INDEX(Detail!$B$1:$B$1001,MATCH(B461,Detail!$G$1:$G$1001,0),1)</f>
        <v>O+</v>
      </c>
    </row>
    <row r="462" spans="1:21" ht="15.75" x14ac:dyDescent="0.25">
      <c r="A462">
        <v>835</v>
      </c>
      <c r="B462" s="3" t="str">
        <f t="shared" si="19"/>
        <v>C0835</v>
      </c>
      <c r="C462" t="s">
        <v>1012</v>
      </c>
      <c r="D462" s="3" t="str">
        <f>VLOOKUP(B462,Detail!$G$1:$H$1001,2,FALSE)</f>
        <v>Ghaliyati Yulianti</v>
      </c>
      <c r="E462">
        <v>81</v>
      </c>
      <c r="F462">
        <v>41</v>
      </c>
      <c r="G462" s="35">
        <v>95</v>
      </c>
      <c r="H462">
        <v>50</v>
      </c>
      <c r="I462">
        <v>79</v>
      </c>
      <c r="J462">
        <v>97</v>
      </c>
      <c r="K462">
        <v>97</v>
      </c>
      <c r="L462" s="26" t="str">
        <f>IFERROR(VLOOKUP(B462,Absen!$A$1:$C$501,2,FALSE),"No")</f>
        <v>No</v>
      </c>
      <c r="M462" s="44">
        <f t="shared" si="20"/>
        <v>9.7000000000000011</v>
      </c>
      <c r="N462" s="35">
        <f t="shared" si="21"/>
        <v>79.475000000000009</v>
      </c>
      <c r="O462" t="str">
        <f>VLOOKUP(N462,Helper!$B$30:$C$35,2,TRUE)</f>
        <v>B</v>
      </c>
      <c r="P462" s="26">
        <f>INDEX(Detail!$A$1:$A$1001,MATCH(B462,Detail!$G$1:$G$1001,0))</f>
        <v>37964</v>
      </c>
      <c r="Q462" s="3" t="str">
        <f>INDEX(Detail!$F$1:$F$1001,MATCH(Main!B462,Detail!$G$1:$G$1001,0))</f>
        <v>Mataram</v>
      </c>
      <c r="R462" s="7">
        <f>INDEX(Detail!$C$1:$C$1001,MATCH(B462,Detail!$G$1:$G$1001,0),1)</f>
        <v>163</v>
      </c>
      <c r="S462" s="7">
        <f>INDEX(Detail!$D$1:$D$1001,MATCH(B462,Detail!$G$1:$G$1001,0),1)</f>
        <v>81</v>
      </c>
      <c r="T462" s="7" t="str">
        <f>INDEX(Detail!$E$1:$E$1001,MATCH(Main!B462,Detail!$G$1:$G$1001,0))</f>
        <v>Jl. Tebet Barat Dalam No. 01</v>
      </c>
      <c r="U462" s="7" t="str">
        <f>INDEX(Detail!$B$1:$B$1001,MATCH(B462,Detail!$G$1:$G$1001,0),1)</f>
        <v>A+</v>
      </c>
    </row>
    <row r="463" spans="1:21" ht="15.75" x14ac:dyDescent="0.25">
      <c r="A463">
        <v>836</v>
      </c>
      <c r="B463" s="3" t="str">
        <f t="shared" si="19"/>
        <v>C0836</v>
      </c>
      <c r="C463" t="s">
        <v>1012</v>
      </c>
      <c r="D463" s="3" t="str">
        <f>VLOOKUP(B463,Detail!$G$1:$H$1001,2,FALSE)</f>
        <v>Nrima Prabowo</v>
      </c>
      <c r="E463">
        <v>89</v>
      </c>
      <c r="F463">
        <v>45</v>
      </c>
      <c r="G463" s="35">
        <v>33</v>
      </c>
      <c r="H463">
        <v>70</v>
      </c>
      <c r="I463">
        <v>75</v>
      </c>
      <c r="J463">
        <v>72</v>
      </c>
      <c r="K463">
        <v>67</v>
      </c>
      <c r="L463" s="26" t="str">
        <f>IFERROR(VLOOKUP(B463,Absen!$A$1:$C$501,2,FALSE),"No")</f>
        <v>No</v>
      </c>
      <c r="M463" s="44">
        <f t="shared" si="20"/>
        <v>6.7</v>
      </c>
      <c r="N463" s="35">
        <f t="shared" si="21"/>
        <v>62.575000000000003</v>
      </c>
      <c r="O463" t="str">
        <f>VLOOKUP(N463,Helper!$B$30:$C$35,2,TRUE)</f>
        <v>C</v>
      </c>
      <c r="P463" s="26">
        <f>INDEX(Detail!$A$1:$A$1001,MATCH(B463,Detail!$G$1:$G$1001,0))</f>
        <v>38404</v>
      </c>
      <c r="Q463" s="3" t="str">
        <f>INDEX(Detail!$F$1:$F$1001,MATCH(Main!B463,Detail!$G$1:$G$1001,0))</f>
        <v>Mataram</v>
      </c>
      <c r="R463" s="7">
        <f>INDEX(Detail!$C$1:$C$1001,MATCH(B463,Detail!$G$1:$G$1001,0),1)</f>
        <v>163</v>
      </c>
      <c r="S463" s="7">
        <f>INDEX(Detail!$D$1:$D$1001,MATCH(B463,Detail!$G$1:$G$1001,0),1)</f>
        <v>92</v>
      </c>
      <c r="T463" s="7" t="str">
        <f>INDEX(Detail!$E$1:$E$1001,MATCH(Main!B463,Detail!$G$1:$G$1001,0))</f>
        <v>Jalan PHH. Mustofa No. 25</v>
      </c>
      <c r="U463" s="7" t="str">
        <f>INDEX(Detail!$B$1:$B$1001,MATCH(B463,Detail!$G$1:$G$1001,0),1)</f>
        <v>B-</v>
      </c>
    </row>
    <row r="464" spans="1:21" ht="15.75" x14ac:dyDescent="0.25">
      <c r="A464">
        <v>837</v>
      </c>
      <c r="B464" s="3" t="str">
        <f t="shared" si="19"/>
        <v>C0837</v>
      </c>
      <c r="C464" t="s">
        <v>1012</v>
      </c>
      <c r="D464" s="3" t="str">
        <f>VLOOKUP(B464,Detail!$G$1:$H$1001,2,FALSE)</f>
        <v>Mahdi Kuswandari</v>
      </c>
      <c r="E464">
        <v>89</v>
      </c>
      <c r="F464">
        <v>41</v>
      </c>
      <c r="G464" s="35">
        <v>54</v>
      </c>
      <c r="H464">
        <v>75</v>
      </c>
      <c r="I464">
        <v>50</v>
      </c>
      <c r="J464">
        <v>71</v>
      </c>
      <c r="K464">
        <v>96</v>
      </c>
      <c r="L464" s="26">
        <f>IFERROR(VLOOKUP(B464,Absen!$A$1:$C$501,2,FALSE),"No")</f>
        <v>44754</v>
      </c>
      <c r="M464" s="44">
        <f t="shared" si="20"/>
        <v>8.6</v>
      </c>
      <c r="N464" s="35">
        <f t="shared" si="21"/>
        <v>65.474999999999994</v>
      </c>
      <c r="O464" t="str">
        <f>VLOOKUP(N464,Helper!$B$30:$C$35,2,TRUE)</f>
        <v>C</v>
      </c>
      <c r="P464" s="26">
        <f>INDEX(Detail!$A$1:$A$1001,MATCH(B464,Detail!$G$1:$G$1001,0))</f>
        <v>37271</v>
      </c>
      <c r="Q464" s="3" t="str">
        <f>INDEX(Detail!$F$1:$F$1001,MATCH(Main!B464,Detail!$G$1:$G$1001,0))</f>
        <v>Tebingtinggi</v>
      </c>
      <c r="R464" s="7">
        <f>INDEX(Detail!$C$1:$C$1001,MATCH(B464,Detail!$G$1:$G$1001,0),1)</f>
        <v>164</v>
      </c>
      <c r="S464" s="7">
        <f>INDEX(Detail!$D$1:$D$1001,MATCH(B464,Detail!$G$1:$G$1001,0),1)</f>
        <v>94</v>
      </c>
      <c r="T464" s="7" t="str">
        <f>INDEX(Detail!$E$1:$E$1001,MATCH(Main!B464,Detail!$G$1:$G$1001,0))</f>
        <v>Jalan Cikutra Barat No. 09</v>
      </c>
      <c r="U464" s="7" t="str">
        <f>INDEX(Detail!$B$1:$B$1001,MATCH(B464,Detail!$G$1:$G$1001,0),1)</f>
        <v>A+</v>
      </c>
    </row>
    <row r="465" spans="1:21" ht="15.75" x14ac:dyDescent="0.25">
      <c r="A465">
        <v>839</v>
      </c>
      <c r="B465" s="3" t="str">
        <f t="shared" si="19"/>
        <v>C0839</v>
      </c>
      <c r="C465" t="s">
        <v>1012</v>
      </c>
      <c r="D465" s="3" t="str">
        <f>VLOOKUP(B465,Detail!$G$1:$H$1001,2,FALSE)</f>
        <v>Uchita Haryanto</v>
      </c>
      <c r="E465">
        <v>67</v>
      </c>
      <c r="F465">
        <v>60</v>
      </c>
      <c r="G465" s="35">
        <v>30</v>
      </c>
      <c r="H465">
        <v>66</v>
      </c>
      <c r="I465">
        <v>85</v>
      </c>
      <c r="J465">
        <v>40</v>
      </c>
      <c r="K465">
        <v>83</v>
      </c>
      <c r="L465" s="26" t="str">
        <f>IFERROR(VLOOKUP(B465,Absen!$A$1:$C$501,2,FALSE),"No")</f>
        <v>No</v>
      </c>
      <c r="M465" s="44">
        <f t="shared" si="20"/>
        <v>8.3000000000000007</v>
      </c>
      <c r="N465" s="35">
        <f t="shared" si="21"/>
        <v>57.05</v>
      </c>
      <c r="O465" t="str">
        <f>VLOOKUP(N465,Helper!$B$30:$C$35,2,TRUE)</f>
        <v>D</v>
      </c>
      <c r="P465" s="26">
        <f>INDEX(Detail!$A$1:$A$1001,MATCH(B465,Detail!$G$1:$G$1001,0))</f>
        <v>38331</v>
      </c>
      <c r="Q465" s="3" t="str">
        <f>INDEX(Detail!$F$1:$F$1001,MATCH(Main!B465,Detail!$G$1:$G$1001,0))</f>
        <v>Kendari</v>
      </c>
      <c r="R465" s="7">
        <f>INDEX(Detail!$C$1:$C$1001,MATCH(B465,Detail!$G$1:$G$1001,0),1)</f>
        <v>161</v>
      </c>
      <c r="S465" s="7">
        <f>INDEX(Detail!$D$1:$D$1001,MATCH(B465,Detail!$G$1:$G$1001,0),1)</f>
        <v>55</v>
      </c>
      <c r="T465" s="7" t="str">
        <f>INDEX(Detail!$E$1:$E$1001,MATCH(Main!B465,Detail!$G$1:$G$1001,0))</f>
        <v>Jl. Rajawali Timur No. 82</v>
      </c>
      <c r="U465" s="7" t="str">
        <f>INDEX(Detail!$B$1:$B$1001,MATCH(B465,Detail!$G$1:$G$1001,0),1)</f>
        <v>O-</v>
      </c>
    </row>
    <row r="466" spans="1:21" ht="15.75" x14ac:dyDescent="0.25">
      <c r="A466">
        <v>842</v>
      </c>
      <c r="B466" s="3" t="str">
        <f t="shared" si="19"/>
        <v>C0842</v>
      </c>
      <c r="C466" t="s">
        <v>1012</v>
      </c>
      <c r="D466" s="3" t="str">
        <f>VLOOKUP(B466,Detail!$G$1:$H$1001,2,FALSE)</f>
        <v>Gaiman Irawan</v>
      </c>
      <c r="E466">
        <v>72</v>
      </c>
      <c r="F466">
        <v>74</v>
      </c>
      <c r="G466" s="35">
        <v>49</v>
      </c>
      <c r="H466">
        <v>70</v>
      </c>
      <c r="I466">
        <v>76</v>
      </c>
      <c r="J466">
        <v>78</v>
      </c>
      <c r="K466">
        <v>61</v>
      </c>
      <c r="L466" s="26" t="str">
        <f>IFERROR(VLOOKUP(B466,Absen!$A$1:$C$501,2,FALSE),"No")</f>
        <v>No</v>
      </c>
      <c r="M466" s="44">
        <f t="shared" si="20"/>
        <v>6.1000000000000005</v>
      </c>
      <c r="N466" s="35">
        <f t="shared" si="21"/>
        <v>68</v>
      </c>
      <c r="O466" t="str">
        <f>VLOOKUP(N466,Helper!$B$30:$C$35,2,TRUE)</f>
        <v>C</v>
      </c>
      <c r="P466" s="26">
        <f>INDEX(Detail!$A$1:$A$1001,MATCH(B466,Detail!$G$1:$G$1001,0))</f>
        <v>38079</v>
      </c>
      <c r="Q466" s="3" t="str">
        <f>INDEX(Detail!$F$1:$F$1001,MATCH(Main!B466,Detail!$G$1:$G$1001,0))</f>
        <v>Samarinda</v>
      </c>
      <c r="R466" s="7">
        <f>INDEX(Detail!$C$1:$C$1001,MATCH(B466,Detail!$G$1:$G$1001,0),1)</f>
        <v>161</v>
      </c>
      <c r="S466" s="7">
        <f>INDEX(Detail!$D$1:$D$1001,MATCH(B466,Detail!$G$1:$G$1001,0),1)</f>
        <v>65</v>
      </c>
      <c r="T466" s="7" t="str">
        <f>INDEX(Detail!$E$1:$E$1001,MATCH(Main!B466,Detail!$G$1:$G$1001,0))</f>
        <v xml:space="preserve">Jl. Suryakencana No. 7
</v>
      </c>
      <c r="U466" s="7" t="str">
        <f>INDEX(Detail!$B$1:$B$1001,MATCH(B466,Detail!$G$1:$G$1001,0),1)</f>
        <v>A+</v>
      </c>
    </row>
    <row r="467" spans="1:21" ht="15.75" x14ac:dyDescent="0.25">
      <c r="A467">
        <v>858</v>
      </c>
      <c r="B467" s="3" t="str">
        <f t="shared" si="19"/>
        <v>C0858</v>
      </c>
      <c r="C467" t="s">
        <v>1012</v>
      </c>
      <c r="D467" s="3" t="str">
        <f>VLOOKUP(B467,Detail!$G$1:$H$1001,2,FALSE)</f>
        <v>Yance Winarno</v>
      </c>
      <c r="E467">
        <v>78</v>
      </c>
      <c r="F467">
        <v>74</v>
      </c>
      <c r="G467" s="35">
        <v>41</v>
      </c>
      <c r="H467">
        <v>53</v>
      </c>
      <c r="I467">
        <v>92</v>
      </c>
      <c r="J467">
        <v>72</v>
      </c>
      <c r="K467">
        <v>63</v>
      </c>
      <c r="L467" s="26">
        <f>IFERROR(VLOOKUP(B467,Absen!$A$1:$C$501,2,FALSE),"No")</f>
        <v>44842</v>
      </c>
      <c r="M467" s="44">
        <f t="shared" si="20"/>
        <v>5.3000000000000007</v>
      </c>
      <c r="N467" s="35">
        <f t="shared" si="21"/>
        <v>65.025000000000006</v>
      </c>
      <c r="O467" t="str">
        <f>VLOOKUP(N467,Helper!$B$30:$C$35,2,TRUE)</f>
        <v>C</v>
      </c>
      <c r="P467" s="26">
        <f>INDEX(Detail!$A$1:$A$1001,MATCH(B467,Detail!$G$1:$G$1001,0))</f>
        <v>37647</v>
      </c>
      <c r="Q467" s="3" t="str">
        <f>INDEX(Detail!$F$1:$F$1001,MATCH(Main!B467,Detail!$G$1:$G$1001,0))</f>
        <v>Sibolga</v>
      </c>
      <c r="R467" s="7">
        <f>INDEX(Detail!$C$1:$C$1001,MATCH(B467,Detail!$G$1:$G$1001,0),1)</f>
        <v>170</v>
      </c>
      <c r="S467" s="7">
        <f>INDEX(Detail!$D$1:$D$1001,MATCH(B467,Detail!$G$1:$G$1001,0),1)</f>
        <v>81</v>
      </c>
      <c r="T467" s="7" t="str">
        <f>INDEX(Detail!$E$1:$E$1001,MATCH(Main!B467,Detail!$G$1:$G$1001,0))</f>
        <v xml:space="preserve">Jalan Veteran No. 9
</v>
      </c>
      <c r="U467" s="7" t="str">
        <f>INDEX(Detail!$B$1:$B$1001,MATCH(B467,Detail!$G$1:$G$1001,0),1)</f>
        <v>O-</v>
      </c>
    </row>
    <row r="468" spans="1:21" ht="15.75" x14ac:dyDescent="0.25">
      <c r="A468">
        <v>859</v>
      </c>
      <c r="B468" s="3" t="str">
        <f t="shared" si="19"/>
        <v>C0859</v>
      </c>
      <c r="C468" t="s">
        <v>1012</v>
      </c>
      <c r="D468" s="3" t="str">
        <f>VLOOKUP(B468,Detail!$G$1:$H$1001,2,FALSE)</f>
        <v>Soleh Uyainah</v>
      </c>
      <c r="E468">
        <v>57</v>
      </c>
      <c r="F468">
        <v>72</v>
      </c>
      <c r="G468" s="35">
        <v>71</v>
      </c>
      <c r="H468">
        <v>67</v>
      </c>
      <c r="I468">
        <v>78</v>
      </c>
      <c r="J468">
        <v>63</v>
      </c>
      <c r="K468">
        <v>94</v>
      </c>
      <c r="L468" s="26">
        <f>IFERROR(VLOOKUP(B468,Absen!$A$1:$C$501,2,FALSE),"No")</f>
        <v>44908</v>
      </c>
      <c r="M468" s="44">
        <f t="shared" si="20"/>
        <v>8.4</v>
      </c>
      <c r="N468" s="35">
        <f t="shared" si="21"/>
        <v>69.45</v>
      </c>
      <c r="O468" t="str">
        <f>VLOOKUP(N468,Helper!$B$30:$C$35,2,TRUE)</f>
        <v>C</v>
      </c>
      <c r="P468" s="26">
        <f>INDEX(Detail!$A$1:$A$1001,MATCH(B468,Detail!$G$1:$G$1001,0))</f>
        <v>37222</v>
      </c>
      <c r="Q468" s="3" t="str">
        <f>INDEX(Detail!$F$1:$F$1001,MATCH(Main!B468,Detail!$G$1:$G$1001,0))</f>
        <v>Tomohon</v>
      </c>
      <c r="R468" s="7">
        <f>INDEX(Detail!$C$1:$C$1001,MATCH(B468,Detail!$G$1:$G$1001,0),1)</f>
        <v>160</v>
      </c>
      <c r="S468" s="7">
        <f>INDEX(Detail!$D$1:$D$1001,MATCH(B468,Detail!$G$1:$G$1001,0),1)</f>
        <v>58</v>
      </c>
      <c r="T468" s="7" t="str">
        <f>INDEX(Detail!$E$1:$E$1001,MATCH(Main!B468,Detail!$G$1:$G$1001,0))</f>
        <v>Jalan KH Amin Jasuta No. 68</v>
      </c>
      <c r="U468" s="7" t="str">
        <f>INDEX(Detail!$B$1:$B$1001,MATCH(B468,Detail!$G$1:$G$1001,0),1)</f>
        <v>O+</v>
      </c>
    </row>
    <row r="469" spans="1:21" ht="15.75" x14ac:dyDescent="0.25">
      <c r="A469">
        <v>860</v>
      </c>
      <c r="B469" s="3" t="str">
        <f t="shared" si="19"/>
        <v>C0860</v>
      </c>
      <c r="C469" t="s">
        <v>1012</v>
      </c>
      <c r="D469" s="3" t="str">
        <f>VLOOKUP(B469,Detail!$G$1:$H$1001,2,FALSE)</f>
        <v>Aswani Maryati</v>
      </c>
      <c r="E469">
        <v>63</v>
      </c>
      <c r="F469">
        <v>48</v>
      </c>
      <c r="G469" s="35">
        <v>46</v>
      </c>
      <c r="H469">
        <v>68</v>
      </c>
      <c r="I469">
        <v>90</v>
      </c>
      <c r="J469">
        <v>72</v>
      </c>
      <c r="K469">
        <v>87</v>
      </c>
      <c r="L469" s="26" t="str">
        <f>IFERROR(VLOOKUP(B469,Absen!$A$1:$C$501,2,FALSE),"No")</f>
        <v>No</v>
      </c>
      <c r="M469" s="44">
        <f t="shared" si="20"/>
        <v>8.7000000000000011</v>
      </c>
      <c r="N469" s="35">
        <f t="shared" si="21"/>
        <v>65.924999999999997</v>
      </c>
      <c r="O469" t="str">
        <f>VLOOKUP(N469,Helper!$B$30:$C$35,2,TRUE)</f>
        <v>C</v>
      </c>
      <c r="P469" s="26">
        <f>INDEX(Detail!$A$1:$A$1001,MATCH(B469,Detail!$G$1:$G$1001,0))</f>
        <v>37836</v>
      </c>
      <c r="Q469" s="3" t="str">
        <f>INDEX(Detail!$F$1:$F$1001,MATCH(Main!B469,Detail!$G$1:$G$1001,0))</f>
        <v>Meulaboh</v>
      </c>
      <c r="R469" s="7">
        <f>INDEX(Detail!$C$1:$C$1001,MATCH(B469,Detail!$G$1:$G$1001,0),1)</f>
        <v>154</v>
      </c>
      <c r="S469" s="7">
        <f>INDEX(Detail!$D$1:$D$1001,MATCH(B469,Detail!$G$1:$G$1001,0),1)</f>
        <v>85</v>
      </c>
      <c r="T469" s="7" t="str">
        <f>INDEX(Detail!$E$1:$E$1001,MATCH(Main!B469,Detail!$G$1:$G$1001,0))</f>
        <v xml:space="preserve">Gg. Raya Setiabudhi No. 7
</v>
      </c>
      <c r="U469" s="7" t="str">
        <f>INDEX(Detail!$B$1:$B$1001,MATCH(B469,Detail!$G$1:$G$1001,0),1)</f>
        <v>O+</v>
      </c>
    </row>
    <row r="470" spans="1:21" ht="15.75" x14ac:dyDescent="0.25">
      <c r="A470">
        <v>863</v>
      </c>
      <c r="B470" s="3" t="str">
        <f t="shared" si="19"/>
        <v>C0863</v>
      </c>
      <c r="C470" t="s">
        <v>1012</v>
      </c>
      <c r="D470" s="3" t="str">
        <f>VLOOKUP(B470,Detail!$G$1:$H$1001,2,FALSE)</f>
        <v>Gina Irawan</v>
      </c>
      <c r="E470">
        <v>65</v>
      </c>
      <c r="F470">
        <v>59</v>
      </c>
      <c r="G470" s="35">
        <v>79</v>
      </c>
      <c r="H470">
        <v>67</v>
      </c>
      <c r="I470">
        <v>58</v>
      </c>
      <c r="J470">
        <v>61</v>
      </c>
      <c r="K470">
        <v>71</v>
      </c>
      <c r="L470" s="26" t="str">
        <f>IFERROR(VLOOKUP(B470,Absen!$A$1:$C$501,2,FALSE),"No")</f>
        <v>No</v>
      </c>
      <c r="M470" s="44">
        <f t="shared" si="20"/>
        <v>7.1000000000000005</v>
      </c>
      <c r="N470" s="35">
        <f t="shared" si="21"/>
        <v>66.224999999999994</v>
      </c>
      <c r="O470" t="str">
        <f>VLOOKUP(N470,Helper!$B$30:$C$35,2,TRUE)</f>
        <v>C</v>
      </c>
      <c r="P470" s="26">
        <f>INDEX(Detail!$A$1:$A$1001,MATCH(B470,Detail!$G$1:$G$1001,0))</f>
        <v>37628</v>
      </c>
      <c r="Q470" s="3" t="str">
        <f>INDEX(Detail!$F$1:$F$1001,MATCH(Main!B470,Detail!$G$1:$G$1001,0))</f>
        <v>Pontianak</v>
      </c>
      <c r="R470" s="7">
        <f>INDEX(Detail!$C$1:$C$1001,MATCH(B470,Detail!$G$1:$G$1001,0),1)</f>
        <v>161</v>
      </c>
      <c r="S470" s="7">
        <f>INDEX(Detail!$D$1:$D$1001,MATCH(B470,Detail!$G$1:$G$1001,0),1)</f>
        <v>86</v>
      </c>
      <c r="T470" s="7" t="str">
        <f>INDEX(Detail!$E$1:$E$1001,MATCH(Main!B470,Detail!$G$1:$G$1001,0))</f>
        <v>Jalan Rajawali Timur No. 33</v>
      </c>
      <c r="U470" s="7" t="str">
        <f>INDEX(Detail!$B$1:$B$1001,MATCH(B470,Detail!$G$1:$G$1001,0),1)</f>
        <v>B-</v>
      </c>
    </row>
    <row r="471" spans="1:21" ht="15.75" x14ac:dyDescent="0.25">
      <c r="A471">
        <v>865</v>
      </c>
      <c r="B471" s="3" t="str">
        <f t="shared" si="19"/>
        <v>C0865</v>
      </c>
      <c r="C471" t="s">
        <v>1012</v>
      </c>
      <c r="D471" s="3" t="str">
        <f>VLOOKUP(B471,Detail!$G$1:$H$1001,2,FALSE)</f>
        <v>Yunita Siregar</v>
      </c>
      <c r="E471">
        <v>80</v>
      </c>
      <c r="F471">
        <v>73</v>
      </c>
      <c r="G471" s="35">
        <v>82</v>
      </c>
      <c r="H471">
        <v>62</v>
      </c>
      <c r="I471">
        <v>93</v>
      </c>
      <c r="J471">
        <v>94</v>
      </c>
      <c r="K471">
        <v>72</v>
      </c>
      <c r="L471" s="26">
        <f>IFERROR(VLOOKUP(B471,Absen!$A$1:$C$501,2,FALSE),"No")</f>
        <v>44848</v>
      </c>
      <c r="M471" s="44">
        <f t="shared" si="20"/>
        <v>6.2</v>
      </c>
      <c r="N471" s="35">
        <f t="shared" si="21"/>
        <v>79.900000000000006</v>
      </c>
      <c r="O471" t="str">
        <f>VLOOKUP(N471,Helper!$B$30:$C$35,2,TRUE)</f>
        <v>B</v>
      </c>
      <c r="P471" s="26">
        <f>INDEX(Detail!$A$1:$A$1001,MATCH(B471,Detail!$G$1:$G$1001,0))</f>
        <v>37597</v>
      </c>
      <c r="Q471" s="3" t="str">
        <f>INDEX(Detail!$F$1:$F$1001,MATCH(Main!B471,Detail!$G$1:$G$1001,0))</f>
        <v>Sibolga</v>
      </c>
      <c r="R471" s="7">
        <f>INDEX(Detail!$C$1:$C$1001,MATCH(B471,Detail!$G$1:$G$1001,0),1)</f>
        <v>151</v>
      </c>
      <c r="S471" s="7">
        <f>INDEX(Detail!$D$1:$D$1001,MATCH(B471,Detail!$G$1:$G$1001,0),1)</f>
        <v>65</v>
      </c>
      <c r="T471" s="7" t="str">
        <f>INDEX(Detail!$E$1:$E$1001,MATCH(Main!B471,Detail!$G$1:$G$1001,0))</f>
        <v>Jl. Kapten Muslihat No. 27</v>
      </c>
      <c r="U471" s="7" t="str">
        <f>INDEX(Detail!$B$1:$B$1001,MATCH(B471,Detail!$G$1:$G$1001,0),1)</f>
        <v>B+</v>
      </c>
    </row>
    <row r="472" spans="1:21" ht="15.75" x14ac:dyDescent="0.25">
      <c r="A472">
        <v>873</v>
      </c>
      <c r="B472" s="3" t="str">
        <f t="shared" si="19"/>
        <v>C0873</v>
      </c>
      <c r="C472" t="s">
        <v>1012</v>
      </c>
      <c r="D472" s="3" t="str">
        <f>VLOOKUP(B472,Detail!$G$1:$H$1001,2,FALSE)</f>
        <v>Balapati Tamba</v>
      </c>
      <c r="E472">
        <v>74</v>
      </c>
      <c r="F472">
        <v>45</v>
      </c>
      <c r="G472" s="35">
        <v>32</v>
      </c>
      <c r="H472">
        <v>68</v>
      </c>
      <c r="I472">
        <v>94</v>
      </c>
      <c r="J472">
        <v>46</v>
      </c>
      <c r="K472">
        <v>82</v>
      </c>
      <c r="L472" s="26">
        <f>IFERROR(VLOOKUP(B472,Absen!$A$1:$C$501,2,FALSE),"No")</f>
        <v>44755</v>
      </c>
      <c r="M472" s="44">
        <f t="shared" si="20"/>
        <v>7.2</v>
      </c>
      <c r="N472" s="35">
        <f t="shared" si="21"/>
        <v>57.925000000000004</v>
      </c>
      <c r="O472" t="str">
        <f>VLOOKUP(N472,Helper!$B$30:$C$35,2,TRUE)</f>
        <v>D</v>
      </c>
      <c r="P472" s="26">
        <f>INDEX(Detail!$A$1:$A$1001,MATCH(B472,Detail!$G$1:$G$1001,0))</f>
        <v>38039</v>
      </c>
      <c r="Q472" s="3" t="str">
        <f>INDEX(Detail!$F$1:$F$1001,MATCH(Main!B472,Detail!$G$1:$G$1001,0))</f>
        <v>Bau-Bau</v>
      </c>
      <c r="R472" s="7">
        <f>INDEX(Detail!$C$1:$C$1001,MATCH(B472,Detail!$G$1:$G$1001,0),1)</f>
        <v>152</v>
      </c>
      <c r="S472" s="7">
        <f>INDEX(Detail!$D$1:$D$1001,MATCH(B472,Detail!$G$1:$G$1001,0),1)</f>
        <v>93</v>
      </c>
      <c r="T472" s="7" t="str">
        <f>INDEX(Detail!$E$1:$E$1001,MATCH(Main!B472,Detail!$G$1:$G$1001,0))</f>
        <v>Jl. Jamika No. 09</v>
      </c>
      <c r="U472" s="7" t="str">
        <f>INDEX(Detail!$B$1:$B$1001,MATCH(B472,Detail!$G$1:$G$1001,0),1)</f>
        <v>B-</v>
      </c>
    </row>
    <row r="473" spans="1:21" ht="15.75" x14ac:dyDescent="0.25">
      <c r="A473">
        <v>877</v>
      </c>
      <c r="B473" s="3" t="str">
        <f t="shared" si="19"/>
        <v>C0877</v>
      </c>
      <c r="C473" t="s">
        <v>1012</v>
      </c>
      <c r="D473" s="3" t="str">
        <f>VLOOKUP(B473,Detail!$G$1:$H$1001,2,FALSE)</f>
        <v>Jail Usada</v>
      </c>
      <c r="E473">
        <v>78</v>
      </c>
      <c r="F473">
        <v>65</v>
      </c>
      <c r="G473" s="35">
        <v>48</v>
      </c>
      <c r="H473">
        <v>68</v>
      </c>
      <c r="I473">
        <v>83</v>
      </c>
      <c r="J473">
        <v>64</v>
      </c>
      <c r="K473">
        <v>100</v>
      </c>
      <c r="L473" s="26">
        <f>IFERROR(VLOOKUP(B473,Absen!$A$1:$C$501,2,FALSE),"No")</f>
        <v>44913</v>
      </c>
      <c r="M473" s="44">
        <f t="shared" si="20"/>
        <v>9</v>
      </c>
      <c r="N473" s="35">
        <f t="shared" si="21"/>
        <v>68.150000000000006</v>
      </c>
      <c r="O473" t="str">
        <f>VLOOKUP(N473,Helper!$B$30:$C$35,2,TRUE)</f>
        <v>C</v>
      </c>
      <c r="P473" s="26">
        <f>INDEX(Detail!$A$1:$A$1001,MATCH(B473,Detail!$G$1:$G$1001,0))</f>
        <v>38436</v>
      </c>
      <c r="Q473" s="3" t="str">
        <f>INDEX(Detail!$F$1:$F$1001,MATCH(Main!B473,Detail!$G$1:$G$1001,0))</f>
        <v>Kota Administrasi Jakarta Utara</v>
      </c>
      <c r="R473" s="7">
        <f>INDEX(Detail!$C$1:$C$1001,MATCH(B473,Detail!$G$1:$G$1001,0),1)</f>
        <v>154</v>
      </c>
      <c r="S473" s="7">
        <f>INDEX(Detail!$D$1:$D$1001,MATCH(B473,Detail!$G$1:$G$1001,0),1)</f>
        <v>83</v>
      </c>
      <c r="T473" s="7" t="str">
        <f>INDEX(Detail!$E$1:$E$1001,MATCH(Main!B473,Detail!$G$1:$G$1001,0))</f>
        <v>Gang Ahmad Dahlan No. 96</v>
      </c>
      <c r="U473" s="7" t="str">
        <f>INDEX(Detail!$B$1:$B$1001,MATCH(B473,Detail!$G$1:$G$1001,0),1)</f>
        <v>A+</v>
      </c>
    </row>
    <row r="474" spans="1:21" ht="15.75" x14ac:dyDescent="0.25">
      <c r="A474">
        <v>882</v>
      </c>
      <c r="B474" s="3" t="str">
        <f t="shared" si="19"/>
        <v>C0882</v>
      </c>
      <c r="C474" t="s">
        <v>1012</v>
      </c>
      <c r="D474" s="3" t="str">
        <f>VLOOKUP(B474,Detail!$G$1:$H$1001,2,FALSE)</f>
        <v>Cawuk Sihotang</v>
      </c>
      <c r="E474">
        <v>85</v>
      </c>
      <c r="F474">
        <v>59</v>
      </c>
      <c r="G474" s="35">
        <v>68</v>
      </c>
      <c r="H474">
        <v>72</v>
      </c>
      <c r="I474">
        <v>81</v>
      </c>
      <c r="J474">
        <v>87</v>
      </c>
      <c r="K474">
        <v>62</v>
      </c>
      <c r="L474" s="26">
        <f>IFERROR(VLOOKUP(B474,Absen!$A$1:$C$501,2,FALSE),"No")</f>
        <v>44845</v>
      </c>
      <c r="M474" s="44">
        <f t="shared" si="20"/>
        <v>5.2</v>
      </c>
      <c r="N474" s="35">
        <f t="shared" si="21"/>
        <v>73.325000000000003</v>
      </c>
      <c r="O474" t="str">
        <f>VLOOKUP(N474,Helper!$B$30:$C$35,2,TRUE)</f>
        <v>B</v>
      </c>
      <c r="P474" s="26">
        <f>INDEX(Detail!$A$1:$A$1001,MATCH(B474,Detail!$G$1:$G$1001,0))</f>
        <v>38445</v>
      </c>
      <c r="Q474" s="3" t="str">
        <f>INDEX(Detail!$F$1:$F$1001,MATCH(Main!B474,Detail!$G$1:$G$1001,0))</f>
        <v>Padangpanjang</v>
      </c>
      <c r="R474" s="7">
        <f>INDEX(Detail!$C$1:$C$1001,MATCH(B474,Detail!$G$1:$G$1001,0),1)</f>
        <v>174</v>
      </c>
      <c r="S474" s="7">
        <f>INDEX(Detail!$D$1:$D$1001,MATCH(B474,Detail!$G$1:$G$1001,0),1)</f>
        <v>69</v>
      </c>
      <c r="T474" s="7" t="str">
        <f>INDEX(Detail!$E$1:$E$1001,MATCH(Main!B474,Detail!$G$1:$G$1001,0))</f>
        <v xml:space="preserve">Gang Moch. Ramdan No. 3
</v>
      </c>
      <c r="U474" s="7" t="str">
        <f>INDEX(Detail!$B$1:$B$1001,MATCH(B474,Detail!$G$1:$G$1001,0),1)</f>
        <v>AB+</v>
      </c>
    </row>
    <row r="475" spans="1:21" ht="15.75" x14ac:dyDescent="0.25">
      <c r="A475">
        <v>883</v>
      </c>
      <c r="B475" s="3" t="str">
        <f t="shared" si="19"/>
        <v>C0883</v>
      </c>
      <c r="C475" t="s">
        <v>1012</v>
      </c>
      <c r="D475" s="3" t="str">
        <f>VLOOKUP(B475,Detail!$G$1:$H$1001,2,FALSE)</f>
        <v>Lanjar Utami</v>
      </c>
      <c r="E475">
        <v>53</v>
      </c>
      <c r="F475">
        <v>73</v>
      </c>
      <c r="G475" s="35">
        <v>70</v>
      </c>
      <c r="H475">
        <v>67</v>
      </c>
      <c r="I475">
        <v>52</v>
      </c>
      <c r="J475">
        <v>87</v>
      </c>
      <c r="K475">
        <v>84</v>
      </c>
      <c r="L475" s="26" t="str">
        <f>IFERROR(VLOOKUP(B475,Absen!$A$1:$C$501,2,FALSE),"No")</f>
        <v>No</v>
      </c>
      <c r="M475" s="44">
        <f t="shared" si="20"/>
        <v>8.4</v>
      </c>
      <c r="N475" s="35">
        <f t="shared" si="21"/>
        <v>70.425000000000011</v>
      </c>
      <c r="O475" t="str">
        <f>VLOOKUP(N475,Helper!$B$30:$C$35,2,TRUE)</f>
        <v>B</v>
      </c>
      <c r="P475" s="26">
        <f>INDEX(Detail!$A$1:$A$1001,MATCH(B475,Detail!$G$1:$G$1001,0))</f>
        <v>37967</v>
      </c>
      <c r="Q475" s="3" t="str">
        <f>INDEX(Detail!$F$1:$F$1001,MATCH(Main!B475,Detail!$G$1:$G$1001,0))</f>
        <v>Lhokseumawe</v>
      </c>
      <c r="R475" s="7">
        <f>INDEX(Detail!$C$1:$C$1001,MATCH(B475,Detail!$G$1:$G$1001,0),1)</f>
        <v>159</v>
      </c>
      <c r="S475" s="7">
        <f>INDEX(Detail!$D$1:$D$1001,MATCH(B475,Detail!$G$1:$G$1001,0),1)</f>
        <v>62</v>
      </c>
      <c r="T475" s="7" t="str">
        <f>INDEX(Detail!$E$1:$E$1001,MATCH(Main!B475,Detail!$G$1:$G$1001,0))</f>
        <v xml:space="preserve">Jl. Erlangga No. 5
</v>
      </c>
      <c r="U475" s="7" t="str">
        <f>INDEX(Detail!$B$1:$B$1001,MATCH(B475,Detail!$G$1:$G$1001,0),1)</f>
        <v>A-</v>
      </c>
    </row>
    <row r="476" spans="1:21" ht="15.75" x14ac:dyDescent="0.25">
      <c r="A476">
        <v>892</v>
      </c>
      <c r="B476" s="3" t="str">
        <f t="shared" si="19"/>
        <v>C0892</v>
      </c>
      <c r="C476" t="s">
        <v>1012</v>
      </c>
      <c r="D476" s="3" t="str">
        <f>VLOOKUP(B476,Detail!$G$1:$H$1001,2,FALSE)</f>
        <v>Mahdi Mangunsong</v>
      </c>
      <c r="E476">
        <v>66</v>
      </c>
      <c r="F476">
        <v>74</v>
      </c>
      <c r="G476" s="35">
        <v>93</v>
      </c>
      <c r="H476">
        <v>50</v>
      </c>
      <c r="I476">
        <v>87</v>
      </c>
      <c r="J476">
        <v>91</v>
      </c>
      <c r="K476">
        <v>100</v>
      </c>
      <c r="L476" s="26" t="str">
        <f>IFERROR(VLOOKUP(B476,Absen!$A$1:$C$501,2,FALSE),"No")</f>
        <v>No</v>
      </c>
      <c r="M476" s="44">
        <f t="shared" si="20"/>
        <v>10</v>
      </c>
      <c r="N476" s="35">
        <f t="shared" si="21"/>
        <v>81.424999999999997</v>
      </c>
      <c r="O476" t="str">
        <f>VLOOKUP(N476,Helper!$B$30:$C$35,2,TRUE)</f>
        <v>A</v>
      </c>
      <c r="P476" s="26">
        <f>INDEX(Detail!$A$1:$A$1001,MATCH(B476,Detail!$G$1:$G$1001,0))</f>
        <v>38237</v>
      </c>
      <c r="Q476" s="3" t="str">
        <f>INDEX(Detail!$F$1:$F$1001,MATCH(Main!B476,Detail!$G$1:$G$1001,0))</f>
        <v>Sibolga</v>
      </c>
      <c r="R476" s="7">
        <f>INDEX(Detail!$C$1:$C$1001,MATCH(B476,Detail!$G$1:$G$1001,0),1)</f>
        <v>176</v>
      </c>
      <c r="S476" s="7">
        <f>INDEX(Detail!$D$1:$D$1001,MATCH(B476,Detail!$G$1:$G$1001,0),1)</f>
        <v>93</v>
      </c>
      <c r="T476" s="7" t="str">
        <f>INDEX(Detail!$E$1:$E$1001,MATCH(Main!B476,Detail!$G$1:$G$1001,0))</f>
        <v xml:space="preserve">Jalan Ahmad Yani No. 3
</v>
      </c>
      <c r="U476" s="7" t="str">
        <f>INDEX(Detail!$B$1:$B$1001,MATCH(B476,Detail!$G$1:$G$1001,0),1)</f>
        <v>A+</v>
      </c>
    </row>
    <row r="477" spans="1:21" ht="15.75" x14ac:dyDescent="0.25">
      <c r="A477">
        <v>896</v>
      </c>
      <c r="B477" s="3" t="str">
        <f t="shared" si="19"/>
        <v>C0896</v>
      </c>
      <c r="C477" t="s">
        <v>1012</v>
      </c>
      <c r="D477" s="3" t="str">
        <f>VLOOKUP(B477,Detail!$G$1:$H$1001,2,FALSE)</f>
        <v>Hana Hutagalung</v>
      </c>
      <c r="E477">
        <v>70</v>
      </c>
      <c r="F477">
        <v>59</v>
      </c>
      <c r="G477" s="35">
        <v>48</v>
      </c>
      <c r="H477">
        <v>63</v>
      </c>
      <c r="I477">
        <v>84</v>
      </c>
      <c r="J477">
        <v>55</v>
      </c>
      <c r="K477">
        <v>61</v>
      </c>
      <c r="L477" s="26" t="str">
        <f>IFERROR(VLOOKUP(B477,Absen!$A$1:$C$501,2,FALSE),"No")</f>
        <v>No</v>
      </c>
      <c r="M477" s="44">
        <f t="shared" si="20"/>
        <v>6.1000000000000005</v>
      </c>
      <c r="N477" s="35">
        <f t="shared" si="21"/>
        <v>61.2</v>
      </c>
      <c r="O477" t="str">
        <f>VLOOKUP(N477,Helper!$B$30:$C$35,2,TRUE)</f>
        <v>C</v>
      </c>
      <c r="P477" s="26">
        <f>INDEX(Detail!$A$1:$A$1001,MATCH(B477,Detail!$G$1:$G$1001,0))</f>
        <v>37712</v>
      </c>
      <c r="Q477" s="3" t="str">
        <f>INDEX(Detail!$F$1:$F$1001,MATCH(Main!B477,Detail!$G$1:$G$1001,0))</f>
        <v>Denpasar</v>
      </c>
      <c r="R477" s="7">
        <f>INDEX(Detail!$C$1:$C$1001,MATCH(B477,Detail!$G$1:$G$1001,0),1)</f>
        <v>168</v>
      </c>
      <c r="S477" s="7">
        <f>INDEX(Detail!$D$1:$D$1001,MATCH(B477,Detail!$G$1:$G$1001,0),1)</f>
        <v>82</v>
      </c>
      <c r="T477" s="7" t="str">
        <f>INDEX(Detail!$E$1:$E$1001,MATCH(Main!B477,Detail!$G$1:$G$1001,0))</f>
        <v xml:space="preserve">Gg. Stasiun Wonokromo No. 6
</v>
      </c>
      <c r="U477" s="7" t="str">
        <f>INDEX(Detail!$B$1:$B$1001,MATCH(B477,Detail!$G$1:$G$1001,0),1)</f>
        <v>B-</v>
      </c>
    </row>
    <row r="478" spans="1:21" ht="15.75" x14ac:dyDescent="0.25">
      <c r="A478">
        <v>899</v>
      </c>
      <c r="B478" s="3" t="str">
        <f t="shared" si="19"/>
        <v>C0899</v>
      </c>
      <c r="C478" t="s">
        <v>1012</v>
      </c>
      <c r="D478" s="3" t="str">
        <f>VLOOKUP(B478,Detail!$G$1:$H$1001,2,FALSE)</f>
        <v>Pranawa Melani</v>
      </c>
      <c r="E478">
        <v>77</v>
      </c>
      <c r="F478">
        <v>59</v>
      </c>
      <c r="G478" s="35">
        <v>31</v>
      </c>
      <c r="H478">
        <v>72</v>
      </c>
      <c r="I478">
        <v>85</v>
      </c>
      <c r="J478">
        <v>92</v>
      </c>
      <c r="K478">
        <v>91</v>
      </c>
      <c r="L478" s="26" t="str">
        <f>IFERROR(VLOOKUP(B478,Absen!$A$1:$C$501,2,FALSE),"No")</f>
        <v>No</v>
      </c>
      <c r="M478" s="44">
        <f t="shared" si="20"/>
        <v>9.1</v>
      </c>
      <c r="N478" s="35">
        <f t="shared" si="21"/>
        <v>70.325000000000003</v>
      </c>
      <c r="O478" t="str">
        <f>VLOOKUP(N478,Helper!$B$30:$C$35,2,TRUE)</f>
        <v>B</v>
      </c>
      <c r="P478" s="26">
        <f>INDEX(Detail!$A$1:$A$1001,MATCH(B478,Detail!$G$1:$G$1001,0))</f>
        <v>37897</v>
      </c>
      <c r="Q478" s="3" t="str">
        <f>INDEX(Detail!$F$1:$F$1001,MATCH(Main!B478,Detail!$G$1:$G$1001,0))</f>
        <v>Bogor</v>
      </c>
      <c r="R478" s="7">
        <f>INDEX(Detail!$C$1:$C$1001,MATCH(B478,Detail!$G$1:$G$1001,0),1)</f>
        <v>180</v>
      </c>
      <c r="S478" s="7">
        <f>INDEX(Detail!$D$1:$D$1001,MATCH(B478,Detail!$G$1:$G$1001,0),1)</f>
        <v>85</v>
      </c>
      <c r="T478" s="7" t="str">
        <f>INDEX(Detail!$E$1:$E$1001,MATCH(Main!B478,Detail!$G$1:$G$1001,0))</f>
        <v xml:space="preserve">Jalan Pasirkoja No. 0
</v>
      </c>
      <c r="U478" s="7" t="str">
        <f>INDEX(Detail!$B$1:$B$1001,MATCH(B478,Detail!$G$1:$G$1001,0),1)</f>
        <v>A+</v>
      </c>
    </row>
    <row r="479" spans="1:21" ht="15.75" x14ac:dyDescent="0.25">
      <c r="A479">
        <v>900</v>
      </c>
      <c r="B479" s="3" t="str">
        <f t="shared" si="19"/>
        <v>C0900</v>
      </c>
      <c r="C479" t="s">
        <v>1012</v>
      </c>
      <c r="D479" s="3" t="str">
        <f>VLOOKUP(B479,Detail!$G$1:$H$1001,2,FALSE)</f>
        <v>Kasim Natsir</v>
      </c>
      <c r="E479">
        <v>83</v>
      </c>
      <c r="F479">
        <v>46</v>
      </c>
      <c r="G479" s="35">
        <v>59</v>
      </c>
      <c r="H479">
        <v>57</v>
      </c>
      <c r="I479">
        <v>56</v>
      </c>
      <c r="J479">
        <v>95</v>
      </c>
      <c r="K479">
        <v>95</v>
      </c>
      <c r="L479" s="26" t="str">
        <f>IFERROR(VLOOKUP(B479,Absen!$A$1:$C$501,2,FALSE),"No")</f>
        <v>No</v>
      </c>
      <c r="M479" s="44">
        <f t="shared" si="20"/>
        <v>9.5</v>
      </c>
      <c r="N479" s="35">
        <f t="shared" si="21"/>
        <v>70.55</v>
      </c>
      <c r="O479" t="str">
        <f>VLOOKUP(N479,Helper!$B$30:$C$35,2,TRUE)</f>
        <v>B</v>
      </c>
      <c r="P479" s="26">
        <f>INDEX(Detail!$A$1:$A$1001,MATCH(B479,Detail!$G$1:$G$1001,0))</f>
        <v>37022</v>
      </c>
      <c r="Q479" s="3" t="str">
        <f>INDEX(Detail!$F$1:$F$1001,MATCH(Main!B479,Detail!$G$1:$G$1001,0))</f>
        <v>Pagaralam</v>
      </c>
      <c r="R479" s="7">
        <f>INDEX(Detail!$C$1:$C$1001,MATCH(B479,Detail!$G$1:$G$1001,0),1)</f>
        <v>161</v>
      </c>
      <c r="S479" s="7">
        <f>INDEX(Detail!$D$1:$D$1001,MATCH(B479,Detail!$G$1:$G$1001,0),1)</f>
        <v>58</v>
      </c>
      <c r="T479" s="7" t="str">
        <f>INDEX(Detail!$E$1:$E$1001,MATCH(Main!B479,Detail!$G$1:$G$1001,0))</f>
        <v xml:space="preserve">Jl. Abdul Muis No. 4
</v>
      </c>
      <c r="U479" s="7" t="str">
        <f>INDEX(Detail!$B$1:$B$1001,MATCH(B479,Detail!$G$1:$G$1001,0),1)</f>
        <v>O-</v>
      </c>
    </row>
    <row r="480" spans="1:21" ht="15.75" x14ac:dyDescent="0.25">
      <c r="A480">
        <v>907</v>
      </c>
      <c r="B480" s="3" t="str">
        <f t="shared" si="19"/>
        <v>C0907</v>
      </c>
      <c r="C480" t="s">
        <v>1012</v>
      </c>
      <c r="D480" s="3" t="str">
        <f>VLOOKUP(B480,Detail!$G$1:$H$1001,2,FALSE)</f>
        <v>Carla Padmasari</v>
      </c>
      <c r="E480">
        <v>56</v>
      </c>
      <c r="F480">
        <v>63</v>
      </c>
      <c r="G480" s="35">
        <v>84</v>
      </c>
      <c r="H480">
        <v>52</v>
      </c>
      <c r="I480">
        <v>58</v>
      </c>
      <c r="J480">
        <v>80</v>
      </c>
      <c r="K480">
        <v>70</v>
      </c>
      <c r="L480" s="26" t="str">
        <f>IFERROR(VLOOKUP(B480,Absen!$A$1:$C$501,2,FALSE),"No")</f>
        <v>No</v>
      </c>
      <c r="M480" s="44">
        <f t="shared" si="20"/>
        <v>7</v>
      </c>
      <c r="N480" s="35">
        <f t="shared" si="21"/>
        <v>68.424999999999997</v>
      </c>
      <c r="O480" t="str">
        <f>VLOOKUP(N480,Helper!$B$30:$C$35,2,TRUE)</f>
        <v>C</v>
      </c>
      <c r="P480" s="26">
        <f>INDEX(Detail!$A$1:$A$1001,MATCH(B480,Detail!$G$1:$G$1001,0))</f>
        <v>37077</v>
      </c>
      <c r="Q480" s="3" t="str">
        <f>INDEX(Detail!$F$1:$F$1001,MATCH(Main!B480,Detail!$G$1:$G$1001,0))</f>
        <v>Bukittinggi</v>
      </c>
      <c r="R480" s="7">
        <f>INDEX(Detail!$C$1:$C$1001,MATCH(B480,Detail!$G$1:$G$1001,0),1)</f>
        <v>159</v>
      </c>
      <c r="S480" s="7">
        <f>INDEX(Detail!$D$1:$D$1001,MATCH(B480,Detail!$G$1:$G$1001,0),1)</f>
        <v>83</v>
      </c>
      <c r="T480" s="7" t="str">
        <f>INDEX(Detail!$E$1:$E$1001,MATCH(Main!B480,Detail!$G$1:$G$1001,0))</f>
        <v>Jl. Ahmad Yani No. 72</v>
      </c>
      <c r="U480" s="7" t="str">
        <f>INDEX(Detail!$B$1:$B$1001,MATCH(B480,Detail!$G$1:$G$1001,0),1)</f>
        <v>A-</v>
      </c>
    </row>
    <row r="481" spans="1:21" ht="15.75" x14ac:dyDescent="0.25">
      <c r="A481">
        <v>908</v>
      </c>
      <c r="B481" s="3" t="str">
        <f t="shared" si="19"/>
        <v>C0908</v>
      </c>
      <c r="C481" t="s">
        <v>1012</v>
      </c>
      <c r="D481" s="3" t="str">
        <f>VLOOKUP(B481,Detail!$G$1:$H$1001,2,FALSE)</f>
        <v>Indra Nasyiah</v>
      </c>
      <c r="E481">
        <v>89</v>
      </c>
      <c r="F481">
        <v>59</v>
      </c>
      <c r="G481" s="35">
        <v>40</v>
      </c>
      <c r="H481">
        <v>57</v>
      </c>
      <c r="I481">
        <v>92</v>
      </c>
      <c r="J481">
        <v>46</v>
      </c>
      <c r="K481">
        <v>66</v>
      </c>
      <c r="L481" s="26">
        <f>IFERROR(VLOOKUP(B481,Absen!$A$1:$C$501,2,FALSE),"No")</f>
        <v>44753</v>
      </c>
      <c r="M481" s="44">
        <f t="shared" si="20"/>
        <v>5.6000000000000005</v>
      </c>
      <c r="N481" s="35">
        <f t="shared" si="21"/>
        <v>59.925000000000004</v>
      </c>
      <c r="O481" t="str">
        <f>VLOOKUP(N481,Helper!$B$30:$C$35,2,TRUE)</f>
        <v>D</v>
      </c>
      <c r="P481" s="26">
        <f>INDEX(Detail!$A$1:$A$1001,MATCH(B481,Detail!$G$1:$G$1001,0))</f>
        <v>37503</v>
      </c>
      <c r="Q481" s="3" t="str">
        <f>INDEX(Detail!$F$1:$F$1001,MATCH(Main!B481,Detail!$G$1:$G$1001,0))</f>
        <v>Bengkulu</v>
      </c>
      <c r="R481" s="7">
        <f>INDEX(Detail!$C$1:$C$1001,MATCH(B481,Detail!$G$1:$G$1001,0),1)</f>
        <v>150</v>
      </c>
      <c r="S481" s="7">
        <f>INDEX(Detail!$D$1:$D$1001,MATCH(B481,Detail!$G$1:$G$1001,0),1)</f>
        <v>81</v>
      </c>
      <c r="T481" s="7" t="str">
        <f>INDEX(Detail!$E$1:$E$1001,MATCH(Main!B481,Detail!$G$1:$G$1001,0))</f>
        <v>Gg. Pacuan Kuda No. 19</v>
      </c>
      <c r="U481" s="7" t="str">
        <f>INDEX(Detail!$B$1:$B$1001,MATCH(B481,Detail!$G$1:$G$1001,0),1)</f>
        <v>A+</v>
      </c>
    </row>
    <row r="482" spans="1:21" ht="15.75" x14ac:dyDescent="0.25">
      <c r="A482">
        <v>927</v>
      </c>
      <c r="B482" s="3" t="str">
        <f t="shared" si="19"/>
        <v>C0927</v>
      </c>
      <c r="C482" t="s">
        <v>1012</v>
      </c>
      <c r="D482" s="3" t="str">
        <f>VLOOKUP(B482,Detail!$G$1:$H$1001,2,FALSE)</f>
        <v>Narji Haryanto</v>
      </c>
      <c r="E482">
        <v>68</v>
      </c>
      <c r="F482">
        <v>57</v>
      </c>
      <c r="G482" s="35">
        <v>65</v>
      </c>
      <c r="H482">
        <v>60</v>
      </c>
      <c r="I482">
        <v>72</v>
      </c>
      <c r="J482">
        <v>58</v>
      </c>
      <c r="K482">
        <v>98</v>
      </c>
      <c r="L482" s="26" t="str">
        <f>IFERROR(VLOOKUP(B482,Absen!$A$1:$C$501,2,FALSE),"No")</f>
        <v>No</v>
      </c>
      <c r="M482" s="44">
        <f t="shared" si="20"/>
        <v>9.8000000000000007</v>
      </c>
      <c r="N482" s="35">
        <f t="shared" si="21"/>
        <v>66.525000000000006</v>
      </c>
      <c r="O482" t="str">
        <f>VLOOKUP(N482,Helper!$B$30:$C$35,2,TRUE)</f>
        <v>C</v>
      </c>
      <c r="P482" s="26">
        <f>INDEX(Detail!$A$1:$A$1001,MATCH(B482,Detail!$G$1:$G$1001,0))</f>
        <v>37053</v>
      </c>
      <c r="Q482" s="3" t="str">
        <f>INDEX(Detail!$F$1:$F$1001,MATCH(Main!B482,Detail!$G$1:$G$1001,0))</f>
        <v>Kotamobagu</v>
      </c>
      <c r="R482" s="7">
        <f>INDEX(Detail!$C$1:$C$1001,MATCH(B482,Detail!$G$1:$G$1001,0),1)</f>
        <v>152</v>
      </c>
      <c r="S482" s="7">
        <f>INDEX(Detail!$D$1:$D$1001,MATCH(B482,Detail!$G$1:$G$1001,0),1)</f>
        <v>58</v>
      </c>
      <c r="T482" s="7" t="str">
        <f>INDEX(Detail!$E$1:$E$1001,MATCH(Main!B482,Detail!$G$1:$G$1001,0))</f>
        <v>Gang Jamika No. 17</v>
      </c>
      <c r="U482" s="7" t="str">
        <f>INDEX(Detail!$B$1:$B$1001,MATCH(B482,Detail!$G$1:$G$1001,0),1)</f>
        <v>B+</v>
      </c>
    </row>
    <row r="483" spans="1:21" ht="15.75" x14ac:dyDescent="0.25">
      <c r="A483">
        <v>929</v>
      </c>
      <c r="B483" s="3" t="str">
        <f t="shared" si="19"/>
        <v>C0929</v>
      </c>
      <c r="C483" t="s">
        <v>1012</v>
      </c>
      <c r="D483" s="3" t="str">
        <f>VLOOKUP(B483,Detail!$G$1:$H$1001,2,FALSE)</f>
        <v>Prayoga Nurdiyanti</v>
      </c>
      <c r="E483">
        <v>56</v>
      </c>
      <c r="F483">
        <v>61</v>
      </c>
      <c r="G483" s="35">
        <v>94</v>
      </c>
      <c r="H483">
        <v>50</v>
      </c>
      <c r="I483">
        <v>83</v>
      </c>
      <c r="J483">
        <v>43</v>
      </c>
      <c r="K483">
        <v>91</v>
      </c>
      <c r="L483" s="26" t="str">
        <f>IFERROR(VLOOKUP(B483,Absen!$A$1:$C$501,2,FALSE),"No")</f>
        <v>No</v>
      </c>
      <c r="M483" s="44">
        <f t="shared" si="20"/>
        <v>9.1</v>
      </c>
      <c r="N483" s="35">
        <f t="shared" si="21"/>
        <v>67.75</v>
      </c>
      <c r="O483" t="str">
        <f>VLOOKUP(N483,Helper!$B$30:$C$35,2,TRUE)</f>
        <v>C</v>
      </c>
      <c r="P483" s="26">
        <f>INDEX(Detail!$A$1:$A$1001,MATCH(B483,Detail!$G$1:$G$1001,0))</f>
        <v>38221</v>
      </c>
      <c r="Q483" s="3" t="str">
        <f>INDEX(Detail!$F$1:$F$1001,MATCH(Main!B483,Detail!$G$1:$G$1001,0))</f>
        <v>Palu</v>
      </c>
      <c r="R483" s="7">
        <f>INDEX(Detail!$C$1:$C$1001,MATCH(B483,Detail!$G$1:$G$1001,0),1)</f>
        <v>160</v>
      </c>
      <c r="S483" s="7">
        <f>INDEX(Detail!$D$1:$D$1001,MATCH(B483,Detail!$G$1:$G$1001,0),1)</f>
        <v>72</v>
      </c>
      <c r="T483" s="7" t="str">
        <f>INDEX(Detail!$E$1:$E$1001,MATCH(Main!B483,Detail!$G$1:$G$1001,0))</f>
        <v xml:space="preserve">Jalan Otto Iskandardinata No. 9
</v>
      </c>
      <c r="U483" s="7" t="str">
        <f>INDEX(Detail!$B$1:$B$1001,MATCH(B483,Detail!$G$1:$G$1001,0),1)</f>
        <v>B+</v>
      </c>
    </row>
    <row r="484" spans="1:21" ht="15.75" x14ac:dyDescent="0.25">
      <c r="A484">
        <v>932</v>
      </c>
      <c r="B484" s="3" t="str">
        <f t="shared" si="19"/>
        <v>C0932</v>
      </c>
      <c r="C484" t="s">
        <v>1012</v>
      </c>
      <c r="D484" s="3" t="str">
        <f>VLOOKUP(B484,Detail!$G$1:$H$1001,2,FALSE)</f>
        <v>Purwadi Palastri</v>
      </c>
      <c r="E484">
        <v>61</v>
      </c>
      <c r="F484">
        <v>74</v>
      </c>
      <c r="G484" s="35">
        <v>63</v>
      </c>
      <c r="H484">
        <v>53</v>
      </c>
      <c r="I484">
        <v>89</v>
      </c>
      <c r="J484">
        <v>98</v>
      </c>
      <c r="K484">
        <v>62</v>
      </c>
      <c r="L484" s="26">
        <f>IFERROR(VLOOKUP(B484,Absen!$A$1:$C$501,2,FALSE),"No")</f>
        <v>44790</v>
      </c>
      <c r="M484" s="44">
        <f t="shared" si="20"/>
        <v>5.2</v>
      </c>
      <c r="N484" s="35">
        <f t="shared" si="21"/>
        <v>72.025000000000006</v>
      </c>
      <c r="O484" t="str">
        <f>VLOOKUP(N484,Helper!$B$30:$C$35,2,TRUE)</f>
        <v>B</v>
      </c>
      <c r="P484" s="26">
        <f>INDEX(Detail!$A$1:$A$1001,MATCH(B484,Detail!$G$1:$G$1001,0))</f>
        <v>37422</v>
      </c>
      <c r="Q484" s="3" t="str">
        <f>INDEX(Detail!$F$1:$F$1001,MATCH(Main!B484,Detail!$G$1:$G$1001,0))</f>
        <v>Mataram</v>
      </c>
      <c r="R484" s="7">
        <f>INDEX(Detail!$C$1:$C$1001,MATCH(B484,Detail!$G$1:$G$1001,0),1)</f>
        <v>150</v>
      </c>
      <c r="S484" s="7">
        <f>INDEX(Detail!$D$1:$D$1001,MATCH(B484,Detail!$G$1:$G$1001,0),1)</f>
        <v>68</v>
      </c>
      <c r="T484" s="7" t="str">
        <f>INDEX(Detail!$E$1:$E$1001,MATCH(Main!B484,Detail!$G$1:$G$1001,0))</f>
        <v>Gg. Siliwangi No. 53</v>
      </c>
      <c r="U484" s="7" t="str">
        <f>INDEX(Detail!$B$1:$B$1001,MATCH(B484,Detail!$G$1:$G$1001,0),1)</f>
        <v>O-</v>
      </c>
    </row>
    <row r="485" spans="1:21" ht="15.75" x14ac:dyDescent="0.25">
      <c r="A485">
        <v>941</v>
      </c>
      <c r="B485" s="3" t="str">
        <f t="shared" si="19"/>
        <v>C0941</v>
      </c>
      <c r="C485" t="s">
        <v>1012</v>
      </c>
      <c r="D485" s="3" t="str">
        <f>VLOOKUP(B485,Detail!$G$1:$H$1001,2,FALSE)</f>
        <v>Kala Hassanah</v>
      </c>
      <c r="E485">
        <v>54</v>
      </c>
      <c r="F485">
        <v>64</v>
      </c>
      <c r="G485" s="35">
        <v>67</v>
      </c>
      <c r="H485">
        <v>66</v>
      </c>
      <c r="I485">
        <v>90</v>
      </c>
      <c r="J485">
        <v>88</v>
      </c>
      <c r="K485">
        <v>98</v>
      </c>
      <c r="L485" s="26" t="str">
        <f>IFERROR(VLOOKUP(B485,Absen!$A$1:$C$501,2,FALSE),"No")</f>
        <v>No</v>
      </c>
      <c r="M485" s="44">
        <f t="shared" si="20"/>
        <v>9.8000000000000007</v>
      </c>
      <c r="N485" s="35">
        <f t="shared" si="21"/>
        <v>75.05</v>
      </c>
      <c r="O485" t="str">
        <f>VLOOKUP(N485,Helper!$B$30:$C$35,2,TRUE)</f>
        <v>B</v>
      </c>
      <c r="P485" s="26">
        <f>INDEX(Detail!$A$1:$A$1001,MATCH(B485,Detail!$G$1:$G$1001,0))</f>
        <v>38279</v>
      </c>
      <c r="Q485" s="3" t="str">
        <f>INDEX(Detail!$F$1:$F$1001,MATCH(Main!B485,Detail!$G$1:$G$1001,0))</f>
        <v>Tangerang Selatan</v>
      </c>
      <c r="R485" s="7">
        <f>INDEX(Detail!$C$1:$C$1001,MATCH(B485,Detail!$G$1:$G$1001,0),1)</f>
        <v>178</v>
      </c>
      <c r="S485" s="7">
        <f>INDEX(Detail!$D$1:$D$1001,MATCH(B485,Detail!$G$1:$G$1001,0),1)</f>
        <v>64</v>
      </c>
      <c r="T485" s="7" t="str">
        <f>INDEX(Detail!$E$1:$E$1001,MATCH(Main!B485,Detail!$G$1:$G$1001,0))</f>
        <v xml:space="preserve">Gg. Rawamangun No. 9
</v>
      </c>
      <c r="U485" s="7" t="str">
        <f>INDEX(Detail!$B$1:$B$1001,MATCH(B485,Detail!$G$1:$G$1001,0),1)</f>
        <v>AB-</v>
      </c>
    </row>
    <row r="486" spans="1:21" ht="15.75" x14ac:dyDescent="0.25">
      <c r="A486">
        <v>951</v>
      </c>
      <c r="B486" s="3" t="str">
        <f t="shared" si="19"/>
        <v>C0951</v>
      </c>
      <c r="C486" t="s">
        <v>1012</v>
      </c>
      <c r="D486" s="3" t="str">
        <f>VLOOKUP(B486,Detail!$G$1:$H$1001,2,FALSE)</f>
        <v>Mahesa Maulana</v>
      </c>
      <c r="E486">
        <v>63</v>
      </c>
      <c r="F486">
        <v>48</v>
      </c>
      <c r="G486" s="35">
        <v>94</v>
      </c>
      <c r="H486">
        <v>54</v>
      </c>
      <c r="I486">
        <v>55</v>
      </c>
      <c r="J486">
        <v>99</v>
      </c>
      <c r="K486">
        <v>93</v>
      </c>
      <c r="L486" s="26">
        <f>IFERROR(VLOOKUP(B486,Absen!$A$1:$C$501,2,FALSE),"No")</f>
        <v>44780</v>
      </c>
      <c r="M486" s="44">
        <f t="shared" si="20"/>
        <v>8.3000000000000007</v>
      </c>
      <c r="N486" s="35">
        <f t="shared" si="21"/>
        <v>74.399999999999991</v>
      </c>
      <c r="O486" t="str">
        <f>VLOOKUP(N486,Helper!$B$30:$C$35,2,TRUE)</f>
        <v>B</v>
      </c>
      <c r="P486" s="26">
        <f>INDEX(Detail!$A$1:$A$1001,MATCH(B486,Detail!$G$1:$G$1001,0))</f>
        <v>38078</v>
      </c>
      <c r="Q486" s="3" t="str">
        <f>INDEX(Detail!$F$1:$F$1001,MATCH(Main!B486,Detail!$G$1:$G$1001,0))</f>
        <v>Tidore Kepulauan</v>
      </c>
      <c r="R486" s="7">
        <f>INDEX(Detail!$C$1:$C$1001,MATCH(B486,Detail!$G$1:$G$1001,0),1)</f>
        <v>161</v>
      </c>
      <c r="S486" s="7">
        <f>INDEX(Detail!$D$1:$D$1001,MATCH(B486,Detail!$G$1:$G$1001,0),1)</f>
        <v>73</v>
      </c>
      <c r="T486" s="7" t="str">
        <f>INDEX(Detail!$E$1:$E$1001,MATCH(Main!B486,Detail!$G$1:$G$1001,0))</f>
        <v xml:space="preserve">Gg. Jend. Sudirman No. 7
</v>
      </c>
      <c r="U486" s="7" t="str">
        <f>INDEX(Detail!$B$1:$B$1001,MATCH(B486,Detail!$G$1:$G$1001,0),1)</f>
        <v>A-</v>
      </c>
    </row>
    <row r="487" spans="1:21" ht="15.75" x14ac:dyDescent="0.25">
      <c r="A487">
        <v>952</v>
      </c>
      <c r="B487" s="3" t="str">
        <f t="shared" si="19"/>
        <v>C0952</v>
      </c>
      <c r="C487" t="s">
        <v>1012</v>
      </c>
      <c r="D487" s="3" t="str">
        <f>VLOOKUP(B487,Detail!$G$1:$H$1001,2,FALSE)</f>
        <v>Gantar Winarsih</v>
      </c>
      <c r="E487">
        <v>51</v>
      </c>
      <c r="F487">
        <v>47</v>
      </c>
      <c r="G487" s="35">
        <v>73</v>
      </c>
      <c r="H487">
        <v>53</v>
      </c>
      <c r="I487">
        <v>93</v>
      </c>
      <c r="J487">
        <v>93</v>
      </c>
      <c r="K487">
        <v>86</v>
      </c>
      <c r="L487" s="26" t="str">
        <f>IFERROR(VLOOKUP(B487,Absen!$A$1:$C$501,2,FALSE),"No")</f>
        <v>No</v>
      </c>
      <c r="M487" s="44">
        <f t="shared" si="20"/>
        <v>8.6</v>
      </c>
      <c r="N487" s="35">
        <f t="shared" si="21"/>
        <v>72.3</v>
      </c>
      <c r="O487" t="str">
        <f>VLOOKUP(N487,Helper!$B$30:$C$35,2,TRUE)</f>
        <v>B</v>
      </c>
      <c r="P487" s="26">
        <f>INDEX(Detail!$A$1:$A$1001,MATCH(B487,Detail!$G$1:$G$1001,0))</f>
        <v>38407</v>
      </c>
      <c r="Q487" s="3" t="str">
        <f>INDEX(Detail!$F$1:$F$1001,MATCH(Main!B487,Detail!$G$1:$G$1001,0))</f>
        <v>Kota Administrasi Jakarta Pusat</v>
      </c>
      <c r="R487" s="7">
        <f>INDEX(Detail!$C$1:$C$1001,MATCH(B487,Detail!$G$1:$G$1001,0),1)</f>
        <v>169</v>
      </c>
      <c r="S487" s="7">
        <f>INDEX(Detail!$D$1:$D$1001,MATCH(B487,Detail!$G$1:$G$1001,0),1)</f>
        <v>92</v>
      </c>
      <c r="T487" s="7" t="str">
        <f>INDEX(Detail!$E$1:$E$1001,MATCH(Main!B487,Detail!$G$1:$G$1001,0))</f>
        <v>Gg. Antapani Lama No. 19</v>
      </c>
      <c r="U487" s="7" t="str">
        <f>INDEX(Detail!$B$1:$B$1001,MATCH(B487,Detail!$G$1:$G$1001,0),1)</f>
        <v>B-</v>
      </c>
    </row>
    <row r="488" spans="1:21" ht="15.75" x14ac:dyDescent="0.25">
      <c r="A488">
        <v>979</v>
      </c>
      <c r="B488" s="3" t="str">
        <f t="shared" si="19"/>
        <v>C0979</v>
      </c>
      <c r="C488" t="s">
        <v>1012</v>
      </c>
      <c r="D488" s="3" t="str">
        <f>VLOOKUP(B488,Detail!$G$1:$H$1001,2,FALSE)</f>
        <v>Kajen Budiman</v>
      </c>
      <c r="E488">
        <v>80</v>
      </c>
      <c r="F488">
        <v>43</v>
      </c>
      <c r="G488" s="35">
        <v>87</v>
      </c>
      <c r="H488">
        <v>67</v>
      </c>
      <c r="I488">
        <v>89</v>
      </c>
      <c r="J488">
        <v>83</v>
      </c>
      <c r="K488">
        <v>84</v>
      </c>
      <c r="L488" s="26">
        <f>IFERROR(VLOOKUP(B488,Absen!$A$1:$C$501,2,FALSE),"No")</f>
        <v>44811</v>
      </c>
      <c r="M488" s="44">
        <f t="shared" si="20"/>
        <v>7.4</v>
      </c>
      <c r="N488" s="35">
        <f t="shared" si="21"/>
        <v>76.275000000000006</v>
      </c>
      <c r="O488" t="str">
        <f>VLOOKUP(N488,Helper!$B$30:$C$35,2,TRUE)</f>
        <v>B</v>
      </c>
      <c r="P488" s="26">
        <f>INDEX(Detail!$A$1:$A$1001,MATCH(B488,Detail!$G$1:$G$1001,0))</f>
        <v>38176</v>
      </c>
      <c r="Q488" s="3" t="str">
        <f>INDEX(Detail!$F$1:$F$1001,MATCH(Main!B488,Detail!$G$1:$G$1001,0))</f>
        <v>Manado</v>
      </c>
      <c r="R488" s="7">
        <f>INDEX(Detail!$C$1:$C$1001,MATCH(B488,Detail!$G$1:$G$1001,0),1)</f>
        <v>153</v>
      </c>
      <c r="S488" s="7">
        <f>INDEX(Detail!$D$1:$D$1001,MATCH(B488,Detail!$G$1:$G$1001,0),1)</f>
        <v>75</v>
      </c>
      <c r="T488" s="7" t="str">
        <f>INDEX(Detail!$E$1:$E$1001,MATCH(Main!B488,Detail!$G$1:$G$1001,0))</f>
        <v>Jl. M.H Thamrin No. 81</v>
      </c>
      <c r="U488" s="7" t="str">
        <f>INDEX(Detail!$B$1:$B$1001,MATCH(B488,Detail!$G$1:$G$1001,0),1)</f>
        <v>A+</v>
      </c>
    </row>
    <row r="489" spans="1:21" ht="15.75" x14ac:dyDescent="0.25">
      <c r="A489">
        <v>985</v>
      </c>
      <c r="B489" s="3" t="str">
        <f t="shared" si="19"/>
        <v>C0985</v>
      </c>
      <c r="C489" t="s">
        <v>1012</v>
      </c>
      <c r="D489" s="3" t="str">
        <f>VLOOKUP(B489,Detail!$G$1:$H$1001,2,FALSE)</f>
        <v>Endra Waskita</v>
      </c>
      <c r="E489">
        <v>55</v>
      </c>
      <c r="F489">
        <v>73</v>
      </c>
      <c r="G489" s="35">
        <v>54</v>
      </c>
      <c r="H489">
        <v>62</v>
      </c>
      <c r="I489">
        <v>63</v>
      </c>
      <c r="J489">
        <v>70</v>
      </c>
      <c r="K489">
        <v>72</v>
      </c>
      <c r="L489" s="26">
        <f>IFERROR(VLOOKUP(B489,Absen!$A$1:$C$501,2,FALSE),"No")</f>
        <v>44754</v>
      </c>
      <c r="M489" s="44">
        <f t="shared" si="20"/>
        <v>6.2</v>
      </c>
      <c r="N489" s="35">
        <f t="shared" si="21"/>
        <v>62.625</v>
      </c>
      <c r="O489" t="str">
        <f>VLOOKUP(N489,Helper!$B$30:$C$35,2,TRUE)</f>
        <v>C</v>
      </c>
      <c r="P489" s="26">
        <f>INDEX(Detail!$A$1:$A$1001,MATCH(B489,Detail!$G$1:$G$1001,0))</f>
        <v>37444</v>
      </c>
      <c r="Q489" s="3" t="str">
        <f>INDEX(Detail!$F$1:$F$1001,MATCH(Main!B489,Detail!$G$1:$G$1001,0))</f>
        <v>Malang</v>
      </c>
      <c r="R489" s="7">
        <f>INDEX(Detail!$C$1:$C$1001,MATCH(B489,Detail!$G$1:$G$1001,0),1)</f>
        <v>171</v>
      </c>
      <c r="S489" s="7">
        <f>INDEX(Detail!$D$1:$D$1001,MATCH(B489,Detail!$G$1:$G$1001,0),1)</f>
        <v>49</v>
      </c>
      <c r="T489" s="7" t="str">
        <f>INDEX(Detail!$E$1:$E$1001,MATCH(Main!B489,Detail!$G$1:$G$1001,0))</f>
        <v>Gg. Stasiun Wonokromo No. 34</v>
      </c>
      <c r="U489" s="7" t="str">
        <f>INDEX(Detail!$B$1:$B$1001,MATCH(B489,Detail!$G$1:$G$1001,0),1)</f>
        <v>A-</v>
      </c>
    </row>
    <row r="490" spans="1:21" ht="15.75" x14ac:dyDescent="0.25">
      <c r="A490">
        <v>989</v>
      </c>
      <c r="B490" s="3" t="str">
        <f t="shared" si="19"/>
        <v>C0989</v>
      </c>
      <c r="C490" t="s">
        <v>1012</v>
      </c>
      <c r="D490" s="3" t="str">
        <f>VLOOKUP(B490,Detail!$G$1:$H$1001,2,FALSE)</f>
        <v>Akarsana Nasyidah</v>
      </c>
      <c r="E490">
        <v>75</v>
      </c>
      <c r="F490">
        <v>64</v>
      </c>
      <c r="G490" s="35">
        <v>43</v>
      </c>
      <c r="H490">
        <v>58</v>
      </c>
      <c r="I490">
        <v>50</v>
      </c>
      <c r="J490">
        <v>77</v>
      </c>
      <c r="K490">
        <v>86</v>
      </c>
      <c r="L490" s="26">
        <f>IFERROR(VLOOKUP(B490,Absen!$A$1:$C$501,2,FALSE),"No")</f>
        <v>44858</v>
      </c>
      <c r="M490" s="44">
        <f t="shared" si="20"/>
        <v>7.6000000000000005</v>
      </c>
      <c r="N490" s="35">
        <f t="shared" si="21"/>
        <v>62.475000000000001</v>
      </c>
      <c r="O490" t="str">
        <f>VLOOKUP(N490,Helper!$B$30:$C$35,2,TRUE)</f>
        <v>C</v>
      </c>
      <c r="P490" s="26">
        <f>INDEX(Detail!$A$1:$A$1001,MATCH(B490,Detail!$G$1:$G$1001,0))</f>
        <v>38394</v>
      </c>
      <c r="Q490" s="3" t="str">
        <f>INDEX(Detail!$F$1:$F$1001,MATCH(Main!B490,Detail!$G$1:$G$1001,0))</f>
        <v>Lubuklinggau</v>
      </c>
      <c r="R490" s="7">
        <f>INDEX(Detail!$C$1:$C$1001,MATCH(B490,Detail!$G$1:$G$1001,0),1)</f>
        <v>176</v>
      </c>
      <c r="S490" s="7">
        <f>INDEX(Detail!$D$1:$D$1001,MATCH(B490,Detail!$G$1:$G$1001,0),1)</f>
        <v>91</v>
      </c>
      <c r="T490" s="7" t="str">
        <f>INDEX(Detail!$E$1:$E$1001,MATCH(Main!B490,Detail!$G$1:$G$1001,0))</f>
        <v>Gg. Ir. H. Djuanda No. 55</v>
      </c>
      <c r="U490" s="7" t="str">
        <f>INDEX(Detail!$B$1:$B$1001,MATCH(B490,Detail!$G$1:$G$1001,0),1)</f>
        <v>O+</v>
      </c>
    </row>
    <row r="491" spans="1:21" ht="15.75" x14ac:dyDescent="0.25">
      <c r="A491">
        <v>994</v>
      </c>
      <c r="B491" s="3" t="str">
        <f t="shared" si="19"/>
        <v>C0994</v>
      </c>
      <c r="C491" t="s">
        <v>1012</v>
      </c>
      <c r="D491" s="3" t="str">
        <f>VLOOKUP(B491,Detail!$G$1:$H$1001,2,FALSE)</f>
        <v>Yance Pranowo</v>
      </c>
      <c r="E491">
        <v>50</v>
      </c>
      <c r="F491">
        <v>50</v>
      </c>
      <c r="G491" s="35">
        <v>43</v>
      </c>
      <c r="H491">
        <v>52</v>
      </c>
      <c r="I491">
        <v>53</v>
      </c>
      <c r="J491">
        <v>93</v>
      </c>
      <c r="K491">
        <v>76</v>
      </c>
      <c r="L491" s="26">
        <f>IFERROR(VLOOKUP(B491,Absen!$A$1:$C$501,2,FALSE),"No")</f>
        <v>44846</v>
      </c>
      <c r="M491" s="44">
        <f t="shared" si="20"/>
        <v>6.6000000000000005</v>
      </c>
      <c r="N491" s="35">
        <f t="shared" si="21"/>
        <v>59.425000000000004</v>
      </c>
      <c r="O491" t="str">
        <f>VLOOKUP(N491,Helper!$B$30:$C$35,2,TRUE)</f>
        <v>D</v>
      </c>
      <c r="P491" s="26">
        <f>INDEX(Detail!$A$1:$A$1001,MATCH(B491,Detail!$G$1:$G$1001,0))</f>
        <v>37931</v>
      </c>
      <c r="Q491" s="3" t="str">
        <f>INDEX(Detail!$F$1:$F$1001,MATCH(Main!B491,Detail!$G$1:$G$1001,0))</f>
        <v>Banjar</v>
      </c>
      <c r="R491" s="7">
        <f>INDEX(Detail!$C$1:$C$1001,MATCH(B491,Detail!$G$1:$G$1001,0),1)</f>
        <v>175</v>
      </c>
      <c r="S491" s="7">
        <f>INDEX(Detail!$D$1:$D$1001,MATCH(B491,Detail!$G$1:$G$1001,0),1)</f>
        <v>73</v>
      </c>
      <c r="T491" s="7" t="str">
        <f>INDEX(Detail!$E$1:$E$1001,MATCH(Main!B491,Detail!$G$1:$G$1001,0))</f>
        <v>Jl. Kutisari Selatan No. 90</v>
      </c>
      <c r="U491" s="7" t="str">
        <f>INDEX(Detail!$B$1:$B$1001,MATCH(B491,Detail!$G$1:$G$1001,0),1)</f>
        <v>B-</v>
      </c>
    </row>
    <row r="492" spans="1:21" ht="15.75" x14ac:dyDescent="0.25">
      <c r="A492">
        <v>997</v>
      </c>
      <c r="B492" s="3" t="str">
        <f t="shared" si="19"/>
        <v>C0997</v>
      </c>
      <c r="C492" t="s">
        <v>1012</v>
      </c>
      <c r="D492" s="3" t="str">
        <f>VLOOKUP(B492,Detail!$G$1:$H$1001,2,FALSE)</f>
        <v>Gawati Melani</v>
      </c>
      <c r="E492">
        <v>80</v>
      </c>
      <c r="F492">
        <v>64</v>
      </c>
      <c r="G492" s="35">
        <v>57</v>
      </c>
      <c r="H492">
        <v>54</v>
      </c>
      <c r="I492">
        <v>68</v>
      </c>
      <c r="J492">
        <v>73</v>
      </c>
      <c r="K492">
        <v>85</v>
      </c>
      <c r="L492" s="26">
        <f>IFERROR(VLOOKUP(B492,Absen!$A$1:$C$501,2,FALSE),"No")</f>
        <v>44829</v>
      </c>
      <c r="M492" s="44">
        <f t="shared" si="20"/>
        <v>7.5</v>
      </c>
      <c r="N492" s="35">
        <f t="shared" si="21"/>
        <v>66.75</v>
      </c>
      <c r="O492" t="str">
        <f>VLOOKUP(N492,Helper!$B$30:$C$35,2,TRUE)</f>
        <v>C</v>
      </c>
      <c r="P492" s="26">
        <f>INDEX(Detail!$A$1:$A$1001,MATCH(B492,Detail!$G$1:$G$1001,0))</f>
        <v>37740</v>
      </c>
      <c r="Q492" s="3" t="str">
        <f>INDEX(Detail!$F$1:$F$1001,MATCH(Main!B492,Detail!$G$1:$G$1001,0))</f>
        <v>Kota Administrasi Jakarta Selatan</v>
      </c>
      <c r="R492" s="7">
        <f>INDEX(Detail!$C$1:$C$1001,MATCH(B492,Detail!$G$1:$G$1001,0),1)</f>
        <v>152</v>
      </c>
      <c r="S492" s="7">
        <f>INDEX(Detail!$D$1:$D$1001,MATCH(B492,Detail!$G$1:$G$1001,0),1)</f>
        <v>54</v>
      </c>
      <c r="T492" s="7" t="str">
        <f>INDEX(Detail!$E$1:$E$1001,MATCH(Main!B492,Detail!$G$1:$G$1001,0))</f>
        <v>Gang R.E Martadinata No. 17</v>
      </c>
      <c r="U492" s="7" t="str">
        <f>INDEX(Detail!$B$1:$B$1001,MATCH(B492,Detail!$G$1:$G$1001,0),1)</f>
        <v>AB-</v>
      </c>
    </row>
    <row r="493" spans="1:21" ht="15.75" x14ac:dyDescent="0.25">
      <c r="A493">
        <v>1</v>
      </c>
      <c r="B493" s="3" t="str">
        <f t="shared" ref="B493:B556" si="22">CONCATENATE("D",TEXT(A493,"0000"))</f>
        <v>D0001</v>
      </c>
      <c r="C493" t="s">
        <v>1013</v>
      </c>
      <c r="D493" s="3" t="str">
        <f>VLOOKUP(B493,Detail!$G$1:$H$1001,2,FALSE)</f>
        <v>Legawa Riyanti</v>
      </c>
      <c r="E493">
        <v>79</v>
      </c>
      <c r="F493">
        <v>49</v>
      </c>
      <c r="G493" s="35">
        <v>66</v>
      </c>
      <c r="H493">
        <v>52</v>
      </c>
      <c r="I493">
        <v>52</v>
      </c>
      <c r="J493">
        <v>98</v>
      </c>
      <c r="K493">
        <v>85</v>
      </c>
      <c r="L493" s="26">
        <f>IFERROR(VLOOKUP(B493,Absen!$A$1:$C$501,2,FALSE),"No")</f>
        <v>44855</v>
      </c>
      <c r="M493" s="44">
        <f t="shared" si="20"/>
        <v>7.5</v>
      </c>
      <c r="N493" s="35">
        <f t="shared" si="21"/>
        <v>69.300000000000011</v>
      </c>
      <c r="O493" t="str">
        <f>VLOOKUP(N493,Helper!$B$30:$C$35,2,TRUE)</f>
        <v>C</v>
      </c>
      <c r="P493" s="26">
        <f>INDEX(Detail!$A$1:$A$1001,MATCH(B493,Detail!$G$1:$G$1001,0))</f>
        <v>37335</v>
      </c>
      <c r="Q493" s="3" t="str">
        <f>INDEX(Detail!$F$1:$F$1001,MATCH(Main!B493,Detail!$G$1:$G$1001,0))</f>
        <v>Probolinggo</v>
      </c>
      <c r="R493" s="7">
        <f>INDEX(Detail!$C$1:$C$1001,MATCH(B493,Detail!$G$1:$G$1001,0),1)</f>
        <v>166</v>
      </c>
      <c r="S493" s="7">
        <f>INDEX(Detail!$D$1:$D$1001,MATCH(B493,Detail!$G$1:$G$1001,0),1)</f>
        <v>95</v>
      </c>
      <c r="T493" s="7" t="str">
        <f>INDEX(Detail!$E$1:$E$1001,MATCH(Main!B493,Detail!$G$1:$G$1001,0))</f>
        <v xml:space="preserve">Jl. M.T Haryono No. 5
</v>
      </c>
      <c r="U493" s="7" t="str">
        <f>INDEX(Detail!$B$1:$B$1001,MATCH(B493,Detail!$G$1:$G$1001,0),1)</f>
        <v>A+</v>
      </c>
    </row>
    <row r="494" spans="1:21" ht="15.75" x14ac:dyDescent="0.25">
      <c r="A494">
        <v>2</v>
      </c>
      <c r="B494" s="3" t="str">
        <f t="shared" si="22"/>
        <v>D0002</v>
      </c>
      <c r="C494" t="s">
        <v>1013</v>
      </c>
      <c r="D494" s="3" t="str">
        <f>VLOOKUP(B494,Detail!$G$1:$H$1001,2,FALSE)</f>
        <v>Kunthara Halimah</v>
      </c>
      <c r="E494">
        <v>65</v>
      </c>
      <c r="F494">
        <v>47</v>
      </c>
      <c r="G494" s="35">
        <v>72</v>
      </c>
      <c r="H494">
        <v>71</v>
      </c>
      <c r="I494">
        <v>70</v>
      </c>
      <c r="J494">
        <v>73</v>
      </c>
      <c r="K494">
        <v>82</v>
      </c>
      <c r="L494" s="26">
        <f>IFERROR(VLOOKUP(B494,Absen!$A$1:$C$501,2,FALSE),"No")</f>
        <v>44816</v>
      </c>
      <c r="M494" s="44">
        <f t="shared" si="20"/>
        <v>7.2</v>
      </c>
      <c r="N494" s="35">
        <f t="shared" si="21"/>
        <v>67.825000000000003</v>
      </c>
      <c r="O494" t="str">
        <f>VLOOKUP(N494,Helper!$B$30:$C$35,2,TRUE)</f>
        <v>C</v>
      </c>
      <c r="P494" s="26">
        <f>INDEX(Detail!$A$1:$A$1001,MATCH(B494,Detail!$G$1:$G$1001,0))</f>
        <v>38428</v>
      </c>
      <c r="Q494" s="3" t="str">
        <f>INDEX(Detail!$F$1:$F$1001,MATCH(Main!B494,Detail!$G$1:$G$1001,0))</f>
        <v>Tangerang Selatan</v>
      </c>
      <c r="R494" s="7">
        <f>INDEX(Detail!$C$1:$C$1001,MATCH(B494,Detail!$G$1:$G$1001,0),1)</f>
        <v>175</v>
      </c>
      <c r="S494" s="7">
        <f>INDEX(Detail!$D$1:$D$1001,MATCH(B494,Detail!$G$1:$G$1001,0),1)</f>
        <v>55</v>
      </c>
      <c r="T494" s="7" t="str">
        <f>INDEX(Detail!$E$1:$E$1001,MATCH(Main!B494,Detail!$G$1:$G$1001,0))</f>
        <v>Gang Setiabudhi No. 17</v>
      </c>
      <c r="U494" s="7" t="str">
        <f>INDEX(Detail!$B$1:$B$1001,MATCH(B494,Detail!$G$1:$G$1001,0),1)</f>
        <v>AB-</v>
      </c>
    </row>
    <row r="495" spans="1:21" ht="15.75" x14ac:dyDescent="0.25">
      <c r="A495">
        <v>3</v>
      </c>
      <c r="B495" s="3" t="str">
        <f t="shared" si="22"/>
        <v>D0003</v>
      </c>
      <c r="C495" t="s">
        <v>1013</v>
      </c>
      <c r="D495" s="3" t="str">
        <f>VLOOKUP(B495,Detail!$G$1:$H$1001,2,FALSE)</f>
        <v>Cakrawangsa Adriansyah</v>
      </c>
      <c r="E495">
        <v>89</v>
      </c>
      <c r="F495">
        <v>48</v>
      </c>
      <c r="G495" s="35">
        <v>36</v>
      </c>
      <c r="H495">
        <v>73</v>
      </c>
      <c r="I495">
        <v>82</v>
      </c>
      <c r="J495">
        <v>67</v>
      </c>
      <c r="K495">
        <v>79</v>
      </c>
      <c r="L495" s="26">
        <f>IFERROR(VLOOKUP(B495,Absen!$A$1:$C$501,2,FALSE),"No")</f>
        <v>44762</v>
      </c>
      <c r="M495" s="44">
        <f t="shared" si="20"/>
        <v>6.9</v>
      </c>
      <c r="N495" s="35">
        <f t="shared" si="21"/>
        <v>64</v>
      </c>
      <c r="O495" t="str">
        <f>VLOOKUP(N495,Helper!$B$30:$C$35,2,TRUE)</f>
        <v>C</v>
      </c>
      <c r="P495" s="26">
        <f>INDEX(Detail!$A$1:$A$1001,MATCH(B495,Detail!$G$1:$G$1001,0))</f>
        <v>37865</v>
      </c>
      <c r="Q495" s="3" t="str">
        <f>INDEX(Detail!$F$1:$F$1001,MATCH(Main!B495,Detail!$G$1:$G$1001,0))</f>
        <v>Malang</v>
      </c>
      <c r="R495" s="7">
        <f>INDEX(Detail!$C$1:$C$1001,MATCH(B495,Detail!$G$1:$G$1001,0),1)</f>
        <v>167</v>
      </c>
      <c r="S495" s="7">
        <f>INDEX(Detail!$D$1:$D$1001,MATCH(B495,Detail!$G$1:$G$1001,0),1)</f>
        <v>56</v>
      </c>
      <c r="T495" s="7" t="str">
        <f>INDEX(Detail!$E$1:$E$1001,MATCH(Main!B495,Detail!$G$1:$G$1001,0))</f>
        <v xml:space="preserve">Jl. Jayawijaya No. 7
</v>
      </c>
      <c r="U495" s="7" t="str">
        <f>INDEX(Detail!$B$1:$B$1001,MATCH(B495,Detail!$G$1:$G$1001,0),1)</f>
        <v>O+</v>
      </c>
    </row>
    <row r="496" spans="1:21" ht="15.75" x14ac:dyDescent="0.25">
      <c r="A496">
        <v>4</v>
      </c>
      <c r="B496" s="3" t="str">
        <f t="shared" si="22"/>
        <v>D0004</v>
      </c>
      <c r="C496" t="s">
        <v>1013</v>
      </c>
      <c r="D496" s="3" t="str">
        <f>VLOOKUP(B496,Detail!$G$1:$H$1001,2,FALSE)</f>
        <v>Daliono Sudiati</v>
      </c>
      <c r="E496">
        <v>78</v>
      </c>
      <c r="F496">
        <v>44</v>
      </c>
      <c r="G496" s="35">
        <v>36</v>
      </c>
      <c r="H496">
        <v>74</v>
      </c>
      <c r="I496">
        <v>59</v>
      </c>
      <c r="J496">
        <v>90</v>
      </c>
      <c r="K496">
        <v>100</v>
      </c>
      <c r="L496" s="26" t="str">
        <f>IFERROR(VLOOKUP(B496,Absen!$A$1:$C$501,2,FALSE),"No")</f>
        <v>No</v>
      </c>
      <c r="M496" s="44">
        <f t="shared" si="20"/>
        <v>10</v>
      </c>
      <c r="N496" s="35">
        <f t="shared" si="21"/>
        <v>67.075000000000003</v>
      </c>
      <c r="O496" t="str">
        <f>VLOOKUP(N496,Helper!$B$30:$C$35,2,TRUE)</f>
        <v>C</v>
      </c>
      <c r="P496" s="26">
        <f>INDEX(Detail!$A$1:$A$1001,MATCH(B496,Detail!$G$1:$G$1001,0))</f>
        <v>37613</v>
      </c>
      <c r="Q496" s="3" t="str">
        <f>INDEX(Detail!$F$1:$F$1001,MATCH(Main!B496,Detail!$G$1:$G$1001,0))</f>
        <v>Padangpanjang</v>
      </c>
      <c r="R496" s="7">
        <f>INDEX(Detail!$C$1:$C$1001,MATCH(B496,Detail!$G$1:$G$1001,0),1)</f>
        <v>176</v>
      </c>
      <c r="S496" s="7">
        <f>INDEX(Detail!$D$1:$D$1001,MATCH(B496,Detail!$G$1:$G$1001,0),1)</f>
        <v>63</v>
      </c>
      <c r="T496" s="7" t="str">
        <f>INDEX(Detail!$E$1:$E$1001,MATCH(Main!B496,Detail!$G$1:$G$1001,0))</f>
        <v xml:space="preserve">Gang Ahmad Dahlan No. 7
</v>
      </c>
      <c r="U496" s="7" t="str">
        <f>INDEX(Detail!$B$1:$B$1001,MATCH(B496,Detail!$G$1:$G$1001,0),1)</f>
        <v>B+</v>
      </c>
    </row>
    <row r="497" spans="1:21" ht="15.75" x14ac:dyDescent="0.25">
      <c r="A497">
        <v>5</v>
      </c>
      <c r="B497" s="3" t="str">
        <f t="shared" si="22"/>
        <v>D0005</v>
      </c>
      <c r="C497" t="s">
        <v>1013</v>
      </c>
      <c r="D497" s="3" t="str">
        <f>VLOOKUP(B497,Detail!$G$1:$H$1001,2,FALSE)</f>
        <v>Ilsa Hakim</v>
      </c>
      <c r="E497">
        <v>73</v>
      </c>
      <c r="F497">
        <v>48</v>
      </c>
      <c r="G497" s="35">
        <v>35</v>
      </c>
      <c r="H497">
        <v>62</v>
      </c>
      <c r="I497">
        <v>72</v>
      </c>
      <c r="J497">
        <v>51</v>
      </c>
      <c r="K497">
        <v>70</v>
      </c>
      <c r="L497" s="26">
        <f>IFERROR(VLOOKUP(B497,Absen!$A$1:$C$501,2,FALSE),"No")</f>
        <v>44771</v>
      </c>
      <c r="M497" s="44">
        <f t="shared" si="20"/>
        <v>6</v>
      </c>
      <c r="N497" s="35">
        <f t="shared" si="21"/>
        <v>55.075000000000003</v>
      </c>
      <c r="O497" t="str">
        <f>VLOOKUP(N497,Helper!$B$30:$C$35,2,TRUE)</f>
        <v>D</v>
      </c>
      <c r="P497" s="26">
        <f>INDEX(Detail!$A$1:$A$1001,MATCH(B497,Detail!$G$1:$G$1001,0))</f>
        <v>37464</v>
      </c>
      <c r="Q497" s="3" t="str">
        <f>INDEX(Detail!$F$1:$F$1001,MATCH(Main!B497,Detail!$G$1:$G$1001,0))</f>
        <v>Langsa</v>
      </c>
      <c r="R497" s="7">
        <f>INDEX(Detail!$C$1:$C$1001,MATCH(B497,Detail!$G$1:$G$1001,0),1)</f>
        <v>165</v>
      </c>
      <c r="S497" s="7">
        <f>INDEX(Detail!$D$1:$D$1001,MATCH(B497,Detail!$G$1:$G$1001,0),1)</f>
        <v>49</v>
      </c>
      <c r="T497" s="7" t="str">
        <f>INDEX(Detail!$E$1:$E$1001,MATCH(Main!B497,Detail!$G$1:$G$1001,0))</f>
        <v>Gg. Pasteur No. 47</v>
      </c>
      <c r="U497" s="7" t="str">
        <f>INDEX(Detail!$B$1:$B$1001,MATCH(B497,Detail!$G$1:$G$1001,0),1)</f>
        <v>A+</v>
      </c>
    </row>
    <row r="498" spans="1:21" ht="15.75" x14ac:dyDescent="0.25">
      <c r="A498">
        <v>6</v>
      </c>
      <c r="B498" s="3" t="str">
        <f t="shared" si="22"/>
        <v>D0006</v>
      </c>
      <c r="C498" t="s">
        <v>1013</v>
      </c>
      <c r="D498" s="3" t="str">
        <f>VLOOKUP(B498,Detail!$G$1:$H$1001,2,FALSE)</f>
        <v>Artawan Lazuardi</v>
      </c>
      <c r="E498">
        <v>77</v>
      </c>
      <c r="F498">
        <v>53</v>
      </c>
      <c r="G498" s="35">
        <v>94</v>
      </c>
      <c r="H498">
        <v>65</v>
      </c>
      <c r="I498">
        <v>70</v>
      </c>
      <c r="J498">
        <v>57</v>
      </c>
      <c r="K498">
        <v>71</v>
      </c>
      <c r="L498" s="26" t="str">
        <f>IFERROR(VLOOKUP(B498,Absen!$A$1:$C$501,2,FALSE),"No")</f>
        <v>No</v>
      </c>
      <c r="M498" s="44">
        <f t="shared" si="20"/>
        <v>7.1000000000000005</v>
      </c>
      <c r="N498" s="35">
        <f t="shared" si="21"/>
        <v>70.424999999999997</v>
      </c>
      <c r="O498" t="str">
        <f>VLOOKUP(N498,Helper!$B$30:$C$35,2,TRUE)</f>
        <v>B</v>
      </c>
      <c r="P498" s="26">
        <f>INDEX(Detail!$A$1:$A$1001,MATCH(B498,Detail!$G$1:$G$1001,0))</f>
        <v>38070</v>
      </c>
      <c r="Q498" s="3" t="str">
        <f>INDEX(Detail!$F$1:$F$1001,MATCH(Main!B498,Detail!$G$1:$G$1001,0))</f>
        <v>Kota Administrasi Jakarta Timur</v>
      </c>
      <c r="R498" s="7">
        <f>INDEX(Detail!$C$1:$C$1001,MATCH(B498,Detail!$G$1:$G$1001,0),1)</f>
        <v>178</v>
      </c>
      <c r="S498" s="7">
        <f>INDEX(Detail!$D$1:$D$1001,MATCH(B498,Detail!$G$1:$G$1001,0),1)</f>
        <v>49</v>
      </c>
      <c r="T498" s="7" t="str">
        <f>INDEX(Detail!$E$1:$E$1001,MATCH(Main!B498,Detail!$G$1:$G$1001,0))</f>
        <v xml:space="preserve">Jalan Wonoayu No. 5
</v>
      </c>
      <c r="U498" s="7" t="str">
        <f>INDEX(Detail!$B$1:$B$1001,MATCH(B498,Detail!$G$1:$G$1001,0),1)</f>
        <v>B-</v>
      </c>
    </row>
    <row r="499" spans="1:21" ht="15.75" x14ac:dyDescent="0.25">
      <c r="A499">
        <v>7</v>
      </c>
      <c r="B499" s="3" t="str">
        <f t="shared" si="22"/>
        <v>D0007</v>
      </c>
      <c r="C499" t="s">
        <v>1013</v>
      </c>
      <c r="D499" s="3" t="str">
        <f>VLOOKUP(B499,Detail!$G$1:$H$1001,2,FALSE)</f>
        <v>Jatmiko Nasyidah</v>
      </c>
      <c r="E499">
        <v>58</v>
      </c>
      <c r="F499">
        <v>61</v>
      </c>
      <c r="G499" s="35">
        <v>95</v>
      </c>
      <c r="H499">
        <v>54</v>
      </c>
      <c r="I499">
        <v>77</v>
      </c>
      <c r="J499">
        <v>65</v>
      </c>
      <c r="K499">
        <v>87</v>
      </c>
      <c r="L499" s="26" t="str">
        <f>IFERROR(VLOOKUP(B499,Absen!$A$1:$C$501,2,FALSE),"No")</f>
        <v>No</v>
      </c>
      <c r="M499" s="44">
        <f t="shared" si="20"/>
        <v>8.7000000000000011</v>
      </c>
      <c r="N499" s="35">
        <f t="shared" si="21"/>
        <v>71.95</v>
      </c>
      <c r="O499" t="str">
        <f>VLOOKUP(N499,Helper!$B$30:$C$35,2,TRUE)</f>
        <v>B</v>
      </c>
      <c r="P499" s="26">
        <f>INDEX(Detail!$A$1:$A$1001,MATCH(B499,Detail!$G$1:$G$1001,0))</f>
        <v>37117</v>
      </c>
      <c r="Q499" s="3" t="str">
        <f>INDEX(Detail!$F$1:$F$1001,MATCH(Main!B499,Detail!$G$1:$G$1001,0))</f>
        <v>Sibolga</v>
      </c>
      <c r="R499" s="7">
        <f>INDEX(Detail!$C$1:$C$1001,MATCH(B499,Detail!$G$1:$G$1001,0),1)</f>
        <v>170</v>
      </c>
      <c r="S499" s="7">
        <f>INDEX(Detail!$D$1:$D$1001,MATCH(B499,Detail!$G$1:$G$1001,0),1)</f>
        <v>48</v>
      </c>
      <c r="T499" s="7" t="str">
        <f>INDEX(Detail!$E$1:$E$1001,MATCH(Main!B499,Detail!$G$1:$G$1001,0))</f>
        <v>Jl. Cikutra Timur No. 25</v>
      </c>
      <c r="U499" s="7" t="str">
        <f>INDEX(Detail!$B$1:$B$1001,MATCH(B499,Detail!$G$1:$G$1001,0),1)</f>
        <v>O-</v>
      </c>
    </row>
    <row r="500" spans="1:21" ht="15.75" x14ac:dyDescent="0.25">
      <c r="A500">
        <v>24</v>
      </c>
      <c r="B500" s="3" t="str">
        <f t="shared" si="22"/>
        <v>D0024</v>
      </c>
      <c r="C500" t="s">
        <v>1013</v>
      </c>
      <c r="D500" s="3" t="str">
        <f>VLOOKUP(B500,Detail!$G$1:$H$1001,2,FALSE)</f>
        <v>Kajen Pudjiastuti</v>
      </c>
      <c r="E500">
        <v>56</v>
      </c>
      <c r="F500">
        <v>57</v>
      </c>
      <c r="G500" s="35">
        <v>59</v>
      </c>
      <c r="H500">
        <v>56</v>
      </c>
      <c r="I500">
        <v>83</v>
      </c>
      <c r="J500">
        <v>48</v>
      </c>
      <c r="K500">
        <v>68</v>
      </c>
      <c r="L500" s="26" t="str">
        <f>IFERROR(VLOOKUP(B500,Absen!$A$1:$C$501,2,FALSE),"No")</f>
        <v>No</v>
      </c>
      <c r="M500" s="44">
        <f t="shared" si="20"/>
        <v>6.8000000000000007</v>
      </c>
      <c r="N500" s="35">
        <f t="shared" si="21"/>
        <v>59.7</v>
      </c>
      <c r="O500" t="str">
        <f>VLOOKUP(N500,Helper!$B$30:$C$35,2,TRUE)</f>
        <v>D</v>
      </c>
      <c r="P500" s="26">
        <f>INDEX(Detail!$A$1:$A$1001,MATCH(B500,Detail!$G$1:$G$1001,0))</f>
        <v>37270</v>
      </c>
      <c r="Q500" s="3" t="str">
        <f>INDEX(Detail!$F$1:$F$1001,MATCH(Main!B500,Detail!$G$1:$G$1001,0))</f>
        <v>Kendari</v>
      </c>
      <c r="R500" s="7">
        <f>INDEX(Detail!$C$1:$C$1001,MATCH(B500,Detail!$G$1:$G$1001,0),1)</f>
        <v>158</v>
      </c>
      <c r="S500" s="7">
        <f>INDEX(Detail!$D$1:$D$1001,MATCH(B500,Detail!$G$1:$G$1001,0),1)</f>
        <v>56</v>
      </c>
      <c r="T500" s="7" t="str">
        <f>INDEX(Detail!$E$1:$E$1001,MATCH(Main!B500,Detail!$G$1:$G$1001,0))</f>
        <v xml:space="preserve">Gg. Erlangga No. 6
</v>
      </c>
      <c r="U500" s="7" t="str">
        <f>INDEX(Detail!$B$1:$B$1001,MATCH(B500,Detail!$G$1:$G$1001,0),1)</f>
        <v>AB+</v>
      </c>
    </row>
    <row r="501" spans="1:21" ht="15.75" x14ac:dyDescent="0.25">
      <c r="A501">
        <v>27</v>
      </c>
      <c r="B501" s="3" t="str">
        <f t="shared" si="22"/>
        <v>D0027</v>
      </c>
      <c r="C501" t="s">
        <v>1013</v>
      </c>
      <c r="D501" s="3" t="str">
        <f>VLOOKUP(B501,Detail!$G$1:$H$1001,2,FALSE)</f>
        <v>Danang Pratiwi</v>
      </c>
      <c r="E501">
        <v>77</v>
      </c>
      <c r="F501">
        <v>54</v>
      </c>
      <c r="G501" s="35">
        <v>72</v>
      </c>
      <c r="H501">
        <v>52</v>
      </c>
      <c r="I501">
        <v>82</v>
      </c>
      <c r="J501">
        <v>73</v>
      </c>
      <c r="K501">
        <v>89</v>
      </c>
      <c r="L501" s="26">
        <f>IFERROR(VLOOKUP(B501,Absen!$A$1:$C$501,2,FALSE),"No")</f>
        <v>44824</v>
      </c>
      <c r="M501" s="44">
        <f t="shared" si="20"/>
        <v>7.9</v>
      </c>
      <c r="N501" s="35">
        <f t="shared" si="21"/>
        <v>70.025000000000006</v>
      </c>
      <c r="O501" t="str">
        <f>VLOOKUP(N501,Helper!$B$30:$C$35,2,TRUE)</f>
        <v>B</v>
      </c>
      <c r="P501" s="26">
        <f>INDEX(Detail!$A$1:$A$1001,MATCH(B501,Detail!$G$1:$G$1001,0))</f>
        <v>37067</v>
      </c>
      <c r="Q501" s="3" t="str">
        <f>INDEX(Detail!$F$1:$F$1001,MATCH(Main!B501,Detail!$G$1:$G$1001,0))</f>
        <v>Tarakan</v>
      </c>
      <c r="R501" s="7">
        <f>INDEX(Detail!$C$1:$C$1001,MATCH(B501,Detail!$G$1:$G$1001,0),1)</f>
        <v>153</v>
      </c>
      <c r="S501" s="7">
        <f>INDEX(Detail!$D$1:$D$1001,MATCH(B501,Detail!$G$1:$G$1001,0),1)</f>
        <v>84</v>
      </c>
      <c r="T501" s="7" t="str">
        <f>INDEX(Detail!$E$1:$E$1001,MATCH(Main!B501,Detail!$G$1:$G$1001,0))</f>
        <v>Gang Pelajar Pejuang No. 49</v>
      </c>
      <c r="U501" s="7" t="str">
        <f>INDEX(Detail!$B$1:$B$1001,MATCH(B501,Detail!$G$1:$G$1001,0),1)</f>
        <v>AB-</v>
      </c>
    </row>
    <row r="502" spans="1:21" ht="15.75" x14ac:dyDescent="0.25">
      <c r="A502">
        <v>39</v>
      </c>
      <c r="B502" s="3" t="str">
        <f t="shared" si="22"/>
        <v>D0039</v>
      </c>
      <c r="C502" t="s">
        <v>1013</v>
      </c>
      <c r="D502" s="3" t="str">
        <f>VLOOKUP(B502,Detail!$G$1:$H$1001,2,FALSE)</f>
        <v>Dinda Pranowo</v>
      </c>
      <c r="E502">
        <v>72</v>
      </c>
      <c r="F502">
        <v>48</v>
      </c>
      <c r="G502" s="35">
        <v>71</v>
      </c>
      <c r="H502">
        <v>71</v>
      </c>
      <c r="I502">
        <v>81</v>
      </c>
      <c r="J502">
        <v>44</v>
      </c>
      <c r="K502">
        <v>68</v>
      </c>
      <c r="L502" s="26">
        <f>IFERROR(VLOOKUP(B502,Absen!$A$1:$C$501,2,FALSE),"No")</f>
        <v>44764</v>
      </c>
      <c r="M502" s="44">
        <f t="shared" si="20"/>
        <v>5.8000000000000007</v>
      </c>
      <c r="N502" s="35">
        <f t="shared" si="21"/>
        <v>62.8</v>
      </c>
      <c r="O502" t="str">
        <f>VLOOKUP(N502,Helper!$B$30:$C$35,2,TRUE)</f>
        <v>C</v>
      </c>
      <c r="P502" s="26">
        <f>INDEX(Detail!$A$1:$A$1001,MATCH(B502,Detail!$G$1:$G$1001,0))</f>
        <v>38232</v>
      </c>
      <c r="Q502" s="3" t="str">
        <f>INDEX(Detail!$F$1:$F$1001,MATCH(Main!B502,Detail!$G$1:$G$1001,0))</f>
        <v>Tangerang</v>
      </c>
      <c r="R502" s="7">
        <f>INDEX(Detail!$C$1:$C$1001,MATCH(B502,Detail!$G$1:$G$1001,0),1)</f>
        <v>171</v>
      </c>
      <c r="S502" s="7">
        <f>INDEX(Detail!$D$1:$D$1001,MATCH(B502,Detail!$G$1:$G$1001,0),1)</f>
        <v>68</v>
      </c>
      <c r="T502" s="7" t="str">
        <f>INDEX(Detail!$E$1:$E$1001,MATCH(Main!B502,Detail!$G$1:$G$1001,0))</f>
        <v>Gg. Dipatiukur No. 10</v>
      </c>
      <c r="U502" s="7" t="str">
        <f>INDEX(Detail!$B$1:$B$1001,MATCH(B502,Detail!$G$1:$G$1001,0),1)</f>
        <v>B+</v>
      </c>
    </row>
    <row r="503" spans="1:21" ht="15.75" x14ac:dyDescent="0.25">
      <c r="A503">
        <v>44</v>
      </c>
      <c r="B503" s="3" t="str">
        <f t="shared" si="22"/>
        <v>D0044</v>
      </c>
      <c r="C503" t="s">
        <v>1013</v>
      </c>
      <c r="D503" s="3" t="str">
        <f>VLOOKUP(B503,Detail!$G$1:$H$1001,2,FALSE)</f>
        <v>Restu Wibisono</v>
      </c>
      <c r="E503">
        <v>90</v>
      </c>
      <c r="F503">
        <v>43</v>
      </c>
      <c r="G503" s="35">
        <v>52</v>
      </c>
      <c r="H503">
        <v>71</v>
      </c>
      <c r="I503">
        <v>63</v>
      </c>
      <c r="J503">
        <v>83</v>
      </c>
      <c r="K503">
        <v>100</v>
      </c>
      <c r="L503" s="26">
        <f>IFERROR(VLOOKUP(B503,Absen!$A$1:$C$501,2,FALSE),"No")</f>
        <v>44888</v>
      </c>
      <c r="M503" s="44">
        <f t="shared" si="20"/>
        <v>9</v>
      </c>
      <c r="N503" s="35">
        <f t="shared" si="21"/>
        <v>69.375</v>
      </c>
      <c r="O503" t="str">
        <f>VLOOKUP(N503,Helper!$B$30:$C$35,2,TRUE)</f>
        <v>C</v>
      </c>
      <c r="P503" s="26">
        <f>INDEX(Detail!$A$1:$A$1001,MATCH(B503,Detail!$G$1:$G$1001,0))</f>
        <v>37202</v>
      </c>
      <c r="Q503" s="3" t="str">
        <f>INDEX(Detail!$F$1:$F$1001,MATCH(Main!B503,Detail!$G$1:$G$1001,0))</f>
        <v>Bengkulu</v>
      </c>
      <c r="R503" s="7">
        <f>INDEX(Detail!$C$1:$C$1001,MATCH(B503,Detail!$G$1:$G$1001,0),1)</f>
        <v>163</v>
      </c>
      <c r="S503" s="7">
        <f>INDEX(Detail!$D$1:$D$1001,MATCH(B503,Detail!$G$1:$G$1001,0),1)</f>
        <v>51</v>
      </c>
      <c r="T503" s="7" t="str">
        <f>INDEX(Detail!$E$1:$E$1001,MATCH(Main!B503,Detail!$G$1:$G$1001,0))</f>
        <v>Gang BKR No. 08</v>
      </c>
      <c r="U503" s="7" t="str">
        <f>INDEX(Detail!$B$1:$B$1001,MATCH(B503,Detail!$G$1:$G$1001,0),1)</f>
        <v>A+</v>
      </c>
    </row>
    <row r="504" spans="1:21" ht="15.75" x14ac:dyDescent="0.25">
      <c r="A504">
        <v>52</v>
      </c>
      <c r="B504" s="3" t="str">
        <f t="shared" si="22"/>
        <v>D0052</v>
      </c>
      <c r="C504" t="s">
        <v>1013</v>
      </c>
      <c r="D504" s="3" t="str">
        <f>VLOOKUP(B504,Detail!$G$1:$H$1001,2,FALSE)</f>
        <v>Muhammad Suryatmi</v>
      </c>
      <c r="E504">
        <v>63</v>
      </c>
      <c r="F504">
        <v>73</v>
      </c>
      <c r="G504" s="35">
        <v>37</v>
      </c>
      <c r="H504">
        <v>69</v>
      </c>
      <c r="I504">
        <v>82</v>
      </c>
      <c r="J504">
        <v>70</v>
      </c>
      <c r="K504">
        <v>94</v>
      </c>
      <c r="L504" s="26" t="str">
        <f>IFERROR(VLOOKUP(B504,Absen!$A$1:$C$501,2,FALSE),"No")</f>
        <v>No</v>
      </c>
      <c r="M504" s="44">
        <f t="shared" si="20"/>
        <v>9.4</v>
      </c>
      <c r="N504" s="35">
        <f t="shared" si="21"/>
        <v>66.674999999999997</v>
      </c>
      <c r="O504" t="str">
        <f>VLOOKUP(N504,Helper!$B$30:$C$35,2,TRUE)</f>
        <v>C</v>
      </c>
      <c r="P504" s="26">
        <f>INDEX(Detail!$A$1:$A$1001,MATCH(B504,Detail!$G$1:$G$1001,0))</f>
        <v>38077</v>
      </c>
      <c r="Q504" s="3" t="str">
        <f>INDEX(Detail!$F$1:$F$1001,MATCH(Main!B504,Detail!$G$1:$G$1001,0))</f>
        <v>Pontianak</v>
      </c>
      <c r="R504" s="7">
        <f>INDEX(Detail!$C$1:$C$1001,MATCH(B504,Detail!$G$1:$G$1001,0),1)</f>
        <v>164</v>
      </c>
      <c r="S504" s="7">
        <f>INDEX(Detail!$D$1:$D$1001,MATCH(B504,Detail!$G$1:$G$1001,0),1)</f>
        <v>78</v>
      </c>
      <c r="T504" s="7" t="str">
        <f>INDEX(Detail!$E$1:$E$1001,MATCH(Main!B504,Detail!$G$1:$G$1001,0))</f>
        <v>Gg. Kendalsari No. 59</v>
      </c>
      <c r="U504" s="7" t="str">
        <f>INDEX(Detail!$B$1:$B$1001,MATCH(B504,Detail!$G$1:$G$1001,0),1)</f>
        <v>O-</v>
      </c>
    </row>
    <row r="505" spans="1:21" ht="15.75" x14ac:dyDescent="0.25">
      <c r="A505">
        <v>57</v>
      </c>
      <c r="B505" s="3" t="str">
        <f t="shared" si="22"/>
        <v>D0057</v>
      </c>
      <c r="C505" t="s">
        <v>1013</v>
      </c>
      <c r="D505" s="3" t="str">
        <f>VLOOKUP(B505,Detail!$G$1:$H$1001,2,FALSE)</f>
        <v>Hari Aryani</v>
      </c>
      <c r="E505">
        <v>86</v>
      </c>
      <c r="F505">
        <v>64</v>
      </c>
      <c r="G505" s="35">
        <v>44</v>
      </c>
      <c r="H505">
        <v>61</v>
      </c>
      <c r="I505">
        <v>55</v>
      </c>
      <c r="J505">
        <v>56</v>
      </c>
      <c r="K505">
        <v>93</v>
      </c>
      <c r="L505" s="26" t="str">
        <f>IFERROR(VLOOKUP(B505,Absen!$A$1:$C$501,2,FALSE),"No")</f>
        <v>No</v>
      </c>
      <c r="M505" s="44">
        <f t="shared" si="20"/>
        <v>9.3000000000000007</v>
      </c>
      <c r="N505" s="35">
        <f t="shared" si="21"/>
        <v>62.55</v>
      </c>
      <c r="O505" t="str">
        <f>VLOOKUP(N505,Helper!$B$30:$C$35,2,TRUE)</f>
        <v>C</v>
      </c>
      <c r="P505" s="26">
        <f>INDEX(Detail!$A$1:$A$1001,MATCH(B505,Detail!$G$1:$G$1001,0))</f>
        <v>37256</v>
      </c>
      <c r="Q505" s="3" t="str">
        <f>INDEX(Detail!$F$1:$F$1001,MATCH(Main!B505,Detail!$G$1:$G$1001,0))</f>
        <v>Dumai</v>
      </c>
      <c r="R505" s="7">
        <f>INDEX(Detail!$C$1:$C$1001,MATCH(B505,Detail!$G$1:$G$1001,0),1)</f>
        <v>172</v>
      </c>
      <c r="S505" s="7">
        <f>INDEX(Detail!$D$1:$D$1001,MATCH(B505,Detail!$G$1:$G$1001,0),1)</f>
        <v>48</v>
      </c>
      <c r="T505" s="7" t="str">
        <f>INDEX(Detail!$E$1:$E$1001,MATCH(Main!B505,Detail!$G$1:$G$1001,0))</f>
        <v xml:space="preserve">Gg. Raya Ujungberung No. 7
</v>
      </c>
      <c r="U505" s="7" t="str">
        <f>INDEX(Detail!$B$1:$B$1001,MATCH(B505,Detail!$G$1:$G$1001,0),1)</f>
        <v>B+</v>
      </c>
    </row>
    <row r="506" spans="1:21" ht="15.75" x14ac:dyDescent="0.25">
      <c r="A506">
        <v>61</v>
      </c>
      <c r="B506" s="3" t="str">
        <f t="shared" si="22"/>
        <v>D0061</v>
      </c>
      <c r="C506" t="s">
        <v>1013</v>
      </c>
      <c r="D506" s="3" t="str">
        <f>VLOOKUP(B506,Detail!$G$1:$H$1001,2,FALSE)</f>
        <v>Bakti Sirait</v>
      </c>
      <c r="E506">
        <v>50</v>
      </c>
      <c r="F506">
        <v>69</v>
      </c>
      <c r="G506" s="35">
        <v>94</v>
      </c>
      <c r="H506">
        <v>53</v>
      </c>
      <c r="I506">
        <v>51</v>
      </c>
      <c r="J506">
        <v>48</v>
      </c>
      <c r="K506">
        <v>89</v>
      </c>
      <c r="L506" s="26" t="str">
        <f>IFERROR(VLOOKUP(B506,Absen!$A$1:$C$501,2,FALSE),"No")</f>
        <v>No</v>
      </c>
      <c r="M506" s="44">
        <f t="shared" si="20"/>
        <v>8.9</v>
      </c>
      <c r="N506" s="35">
        <f t="shared" si="21"/>
        <v>65.174999999999997</v>
      </c>
      <c r="O506" t="str">
        <f>VLOOKUP(N506,Helper!$B$30:$C$35,2,TRUE)</f>
        <v>C</v>
      </c>
      <c r="P506" s="26">
        <f>INDEX(Detail!$A$1:$A$1001,MATCH(B506,Detail!$G$1:$G$1001,0))</f>
        <v>37754</v>
      </c>
      <c r="Q506" s="3" t="str">
        <f>INDEX(Detail!$F$1:$F$1001,MATCH(Main!B506,Detail!$G$1:$G$1001,0))</f>
        <v>Kediri</v>
      </c>
      <c r="R506" s="7">
        <f>INDEX(Detail!$C$1:$C$1001,MATCH(B506,Detail!$G$1:$G$1001,0),1)</f>
        <v>172</v>
      </c>
      <c r="S506" s="7">
        <f>INDEX(Detail!$D$1:$D$1001,MATCH(B506,Detail!$G$1:$G$1001,0),1)</f>
        <v>63</v>
      </c>
      <c r="T506" s="7" t="str">
        <f>INDEX(Detail!$E$1:$E$1001,MATCH(Main!B506,Detail!$G$1:$G$1001,0))</f>
        <v>Jalan Gedebage Selatan No. 07</v>
      </c>
      <c r="U506" s="7" t="str">
        <f>INDEX(Detail!$B$1:$B$1001,MATCH(B506,Detail!$G$1:$G$1001,0),1)</f>
        <v>O-</v>
      </c>
    </row>
    <row r="507" spans="1:21" ht="15.75" x14ac:dyDescent="0.25">
      <c r="A507">
        <v>62</v>
      </c>
      <c r="B507" s="3" t="str">
        <f t="shared" si="22"/>
        <v>D0062</v>
      </c>
      <c r="C507" t="s">
        <v>1013</v>
      </c>
      <c r="D507" s="3" t="str">
        <f>VLOOKUP(B507,Detail!$G$1:$H$1001,2,FALSE)</f>
        <v>Mulya Waluyo</v>
      </c>
      <c r="E507">
        <v>67</v>
      </c>
      <c r="F507">
        <v>45</v>
      </c>
      <c r="G507" s="35">
        <v>83</v>
      </c>
      <c r="H507">
        <v>64</v>
      </c>
      <c r="I507">
        <v>53</v>
      </c>
      <c r="J507">
        <v>52</v>
      </c>
      <c r="K507">
        <v>100</v>
      </c>
      <c r="L507" s="26" t="str">
        <f>IFERROR(VLOOKUP(B507,Absen!$A$1:$C$501,2,FALSE),"No")</f>
        <v>No</v>
      </c>
      <c r="M507" s="44">
        <f t="shared" si="20"/>
        <v>10</v>
      </c>
      <c r="N507" s="35">
        <f t="shared" si="21"/>
        <v>65.625</v>
      </c>
      <c r="O507" t="str">
        <f>VLOOKUP(N507,Helper!$B$30:$C$35,2,TRUE)</f>
        <v>C</v>
      </c>
      <c r="P507" s="26">
        <f>INDEX(Detail!$A$1:$A$1001,MATCH(B507,Detail!$G$1:$G$1001,0))</f>
        <v>37235</v>
      </c>
      <c r="Q507" s="3" t="str">
        <f>INDEX(Detail!$F$1:$F$1001,MATCH(Main!B507,Detail!$G$1:$G$1001,0))</f>
        <v>Kupang</v>
      </c>
      <c r="R507" s="7">
        <f>INDEX(Detail!$C$1:$C$1001,MATCH(B507,Detail!$G$1:$G$1001,0),1)</f>
        <v>154</v>
      </c>
      <c r="S507" s="7">
        <f>INDEX(Detail!$D$1:$D$1001,MATCH(B507,Detail!$G$1:$G$1001,0),1)</f>
        <v>71</v>
      </c>
      <c r="T507" s="7" t="str">
        <f>INDEX(Detail!$E$1:$E$1001,MATCH(Main!B507,Detail!$G$1:$G$1001,0))</f>
        <v>Jl. Sukabumi No. 61</v>
      </c>
      <c r="U507" s="7" t="str">
        <f>INDEX(Detail!$B$1:$B$1001,MATCH(B507,Detail!$G$1:$G$1001,0),1)</f>
        <v>O-</v>
      </c>
    </row>
    <row r="508" spans="1:21" ht="15.75" x14ac:dyDescent="0.25">
      <c r="A508">
        <v>68</v>
      </c>
      <c r="B508" s="3" t="str">
        <f t="shared" si="22"/>
        <v>D0068</v>
      </c>
      <c r="C508" t="s">
        <v>1013</v>
      </c>
      <c r="D508" s="3" t="str">
        <f>VLOOKUP(B508,Detail!$G$1:$H$1001,2,FALSE)</f>
        <v>Cengkir Dongoran</v>
      </c>
      <c r="E508">
        <v>53</v>
      </c>
      <c r="F508">
        <v>57</v>
      </c>
      <c r="G508" s="35">
        <v>48</v>
      </c>
      <c r="H508">
        <v>63</v>
      </c>
      <c r="I508">
        <v>84</v>
      </c>
      <c r="J508">
        <v>74</v>
      </c>
      <c r="K508">
        <v>78</v>
      </c>
      <c r="L508" s="26">
        <f>IFERROR(VLOOKUP(B508,Absen!$A$1:$C$501,2,FALSE),"No")</f>
        <v>44855</v>
      </c>
      <c r="M508" s="44">
        <f t="shared" si="20"/>
        <v>6.8000000000000007</v>
      </c>
      <c r="N508" s="35">
        <f t="shared" si="21"/>
        <v>63.325000000000003</v>
      </c>
      <c r="O508" t="str">
        <f>VLOOKUP(N508,Helper!$B$30:$C$35,2,TRUE)</f>
        <v>C</v>
      </c>
      <c r="P508" s="26">
        <f>INDEX(Detail!$A$1:$A$1001,MATCH(B508,Detail!$G$1:$G$1001,0))</f>
        <v>37953</v>
      </c>
      <c r="Q508" s="3" t="str">
        <f>INDEX(Detail!$F$1:$F$1001,MATCH(Main!B508,Detail!$G$1:$G$1001,0))</f>
        <v>Surabaya</v>
      </c>
      <c r="R508" s="7">
        <f>INDEX(Detail!$C$1:$C$1001,MATCH(B508,Detail!$G$1:$G$1001,0),1)</f>
        <v>162</v>
      </c>
      <c r="S508" s="7">
        <f>INDEX(Detail!$D$1:$D$1001,MATCH(B508,Detail!$G$1:$G$1001,0),1)</f>
        <v>78</v>
      </c>
      <c r="T508" s="7" t="str">
        <f>INDEX(Detail!$E$1:$E$1001,MATCH(Main!B508,Detail!$G$1:$G$1001,0))</f>
        <v>Gang Sukabumi No. 57</v>
      </c>
      <c r="U508" s="7" t="str">
        <f>INDEX(Detail!$B$1:$B$1001,MATCH(B508,Detail!$G$1:$G$1001,0),1)</f>
        <v>B+</v>
      </c>
    </row>
    <row r="509" spans="1:21" ht="15.75" x14ac:dyDescent="0.25">
      <c r="A509">
        <v>70</v>
      </c>
      <c r="B509" s="3" t="str">
        <f t="shared" si="22"/>
        <v>D0070</v>
      </c>
      <c r="C509" t="s">
        <v>1013</v>
      </c>
      <c r="D509" s="3" t="str">
        <f>VLOOKUP(B509,Detail!$G$1:$H$1001,2,FALSE)</f>
        <v>Rafid Latupono</v>
      </c>
      <c r="E509">
        <v>62</v>
      </c>
      <c r="F509">
        <v>69</v>
      </c>
      <c r="G509" s="35">
        <v>92</v>
      </c>
      <c r="H509">
        <v>63</v>
      </c>
      <c r="I509">
        <v>55</v>
      </c>
      <c r="J509">
        <v>50</v>
      </c>
      <c r="K509">
        <v>65</v>
      </c>
      <c r="L509" s="26">
        <f>IFERROR(VLOOKUP(B509,Absen!$A$1:$C$501,2,FALSE),"No")</f>
        <v>44858</v>
      </c>
      <c r="M509" s="44">
        <f t="shared" si="20"/>
        <v>5.5</v>
      </c>
      <c r="N509" s="35">
        <f t="shared" si="21"/>
        <v>65.025000000000006</v>
      </c>
      <c r="O509" t="str">
        <f>VLOOKUP(N509,Helper!$B$30:$C$35,2,TRUE)</f>
        <v>C</v>
      </c>
      <c r="P509" s="26">
        <f>INDEX(Detail!$A$1:$A$1001,MATCH(B509,Detail!$G$1:$G$1001,0))</f>
        <v>37408</v>
      </c>
      <c r="Q509" s="3" t="str">
        <f>INDEX(Detail!$F$1:$F$1001,MATCH(Main!B509,Detail!$G$1:$G$1001,0))</f>
        <v>Padang</v>
      </c>
      <c r="R509" s="7">
        <f>INDEX(Detail!$C$1:$C$1001,MATCH(B509,Detail!$G$1:$G$1001,0),1)</f>
        <v>167</v>
      </c>
      <c r="S509" s="7">
        <f>INDEX(Detail!$D$1:$D$1001,MATCH(B509,Detail!$G$1:$G$1001,0),1)</f>
        <v>91</v>
      </c>
      <c r="T509" s="7" t="str">
        <f>INDEX(Detail!$E$1:$E$1001,MATCH(Main!B509,Detail!$G$1:$G$1001,0))</f>
        <v>Jl. Ronggowarsito No. 59</v>
      </c>
      <c r="U509" s="7" t="str">
        <f>INDEX(Detail!$B$1:$B$1001,MATCH(B509,Detail!$G$1:$G$1001,0),1)</f>
        <v>A-</v>
      </c>
    </row>
    <row r="510" spans="1:21" ht="15.75" x14ac:dyDescent="0.25">
      <c r="A510">
        <v>72</v>
      </c>
      <c r="B510" s="3" t="str">
        <f t="shared" si="22"/>
        <v>D0072</v>
      </c>
      <c r="C510" t="s">
        <v>1013</v>
      </c>
      <c r="D510" s="3" t="str">
        <f>VLOOKUP(B510,Detail!$G$1:$H$1001,2,FALSE)</f>
        <v>Wisnu Nashiruddin</v>
      </c>
      <c r="E510">
        <v>77</v>
      </c>
      <c r="F510">
        <v>72</v>
      </c>
      <c r="G510" s="35">
        <v>93</v>
      </c>
      <c r="H510">
        <v>66</v>
      </c>
      <c r="I510">
        <v>55</v>
      </c>
      <c r="J510">
        <v>63</v>
      </c>
      <c r="K510">
        <v>97</v>
      </c>
      <c r="L510" s="26" t="str">
        <f>IFERROR(VLOOKUP(B510,Absen!$A$1:$C$501,2,FALSE),"No")</f>
        <v>No</v>
      </c>
      <c r="M510" s="44">
        <f t="shared" si="20"/>
        <v>9.7000000000000011</v>
      </c>
      <c r="N510" s="35">
        <f t="shared" si="21"/>
        <v>74.650000000000006</v>
      </c>
      <c r="O510" t="str">
        <f>VLOOKUP(N510,Helper!$B$30:$C$35,2,TRUE)</f>
        <v>B</v>
      </c>
      <c r="P510" s="26">
        <f>INDEX(Detail!$A$1:$A$1001,MATCH(B510,Detail!$G$1:$G$1001,0))</f>
        <v>37543</v>
      </c>
      <c r="Q510" s="3" t="str">
        <f>INDEX(Detail!$F$1:$F$1001,MATCH(Main!B510,Detail!$G$1:$G$1001,0))</f>
        <v>Kota Administrasi Jakarta Timur</v>
      </c>
      <c r="R510" s="7">
        <f>INDEX(Detail!$C$1:$C$1001,MATCH(B510,Detail!$G$1:$G$1001,0),1)</f>
        <v>154</v>
      </c>
      <c r="S510" s="7">
        <f>INDEX(Detail!$D$1:$D$1001,MATCH(B510,Detail!$G$1:$G$1001,0),1)</f>
        <v>60</v>
      </c>
      <c r="T510" s="7" t="str">
        <f>INDEX(Detail!$E$1:$E$1001,MATCH(Main!B510,Detail!$G$1:$G$1001,0))</f>
        <v>Jl. Raya Ujungberung No. 69</v>
      </c>
      <c r="U510" s="7" t="str">
        <f>INDEX(Detail!$B$1:$B$1001,MATCH(B510,Detail!$G$1:$G$1001,0),1)</f>
        <v>O+</v>
      </c>
    </row>
    <row r="511" spans="1:21" ht="15.75" x14ac:dyDescent="0.25">
      <c r="A511">
        <v>90</v>
      </c>
      <c r="B511" s="3" t="str">
        <f t="shared" si="22"/>
        <v>D0090</v>
      </c>
      <c r="C511" t="s">
        <v>1013</v>
      </c>
      <c r="D511" s="3" t="str">
        <f>VLOOKUP(B511,Detail!$G$1:$H$1001,2,FALSE)</f>
        <v>Adinata Samosir</v>
      </c>
      <c r="E511">
        <v>69</v>
      </c>
      <c r="F511">
        <v>44</v>
      </c>
      <c r="G511" s="35">
        <v>81</v>
      </c>
      <c r="H511">
        <v>50</v>
      </c>
      <c r="I511">
        <v>57</v>
      </c>
      <c r="J511">
        <v>54</v>
      </c>
      <c r="K511">
        <v>88</v>
      </c>
      <c r="L511" s="26" t="str">
        <f>IFERROR(VLOOKUP(B511,Absen!$A$1:$C$501,2,FALSE),"No")</f>
        <v>No</v>
      </c>
      <c r="M511" s="44">
        <f t="shared" si="20"/>
        <v>8.8000000000000007</v>
      </c>
      <c r="N511" s="35">
        <f t="shared" si="21"/>
        <v>63.3</v>
      </c>
      <c r="O511" t="str">
        <f>VLOOKUP(N511,Helper!$B$30:$C$35,2,TRUE)</f>
        <v>C</v>
      </c>
      <c r="P511" s="26">
        <f>INDEX(Detail!$A$1:$A$1001,MATCH(B511,Detail!$G$1:$G$1001,0))</f>
        <v>38004</v>
      </c>
      <c r="Q511" s="3" t="str">
        <f>INDEX(Detail!$F$1:$F$1001,MATCH(Main!B511,Detail!$G$1:$G$1001,0))</f>
        <v>Bandar Lampung</v>
      </c>
      <c r="R511" s="7">
        <f>INDEX(Detail!$C$1:$C$1001,MATCH(B511,Detail!$G$1:$G$1001,0),1)</f>
        <v>150</v>
      </c>
      <c r="S511" s="7">
        <f>INDEX(Detail!$D$1:$D$1001,MATCH(B511,Detail!$G$1:$G$1001,0),1)</f>
        <v>64</v>
      </c>
      <c r="T511" s="7" t="str">
        <f>INDEX(Detail!$E$1:$E$1001,MATCH(Main!B511,Detail!$G$1:$G$1001,0))</f>
        <v>Jl. Yos Sudarso No. 91</v>
      </c>
      <c r="U511" s="7" t="str">
        <f>INDEX(Detail!$B$1:$B$1001,MATCH(B511,Detail!$G$1:$G$1001,0),1)</f>
        <v>AB+</v>
      </c>
    </row>
    <row r="512" spans="1:21" ht="15.75" x14ac:dyDescent="0.25">
      <c r="A512">
        <v>96</v>
      </c>
      <c r="B512" s="3" t="str">
        <f t="shared" si="22"/>
        <v>D0096</v>
      </c>
      <c r="C512" t="s">
        <v>1013</v>
      </c>
      <c r="D512" s="3" t="str">
        <f>VLOOKUP(B512,Detail!$G$1:$H$1001,2,FALSE)</f>
        <v>Umi Nainggolan</v>
      </c>
      <c r="E512">
        <v>69</v>
      </c>
      <c r="F512">
        <v>52</v>
      </c>
      <c r="G512" s="35">
        <v>57</v>
      </c>
      <c r="H512">
        <v>57</v>
      </c>
      <c r="I512">
        <v>76</v>
      </c>
      <c r="J512">
        <v>56</v>
      </c>
      <c r="K512">
        <v>65</v>
      </c>
      <c r="L512" s="26">
        <f>IFERROR(VLOOKUP(B512,Absen!$A$1:$C$501,2,FALSE),"No")</f>
        <v>44804</v>
      </c>
      <c r="M512" s="44">
        <f t="shared" si="20"/>
        <v>5.5</v>
      </c>
      <c r="N512" s="35">
        <f t="shared" si="21"/>
        <v>59.85</v>
      </c>
      <c r="O512" t="str">
        <f>VLOOKUP(N512,Helper!$B$30:$C$35,2,TRUE)</f>
        <v>D</v>
      </c>
      <c r="P512" s="26">
        <f>INDEX(Detail!$A$1:$A$1001,MATCH(B512,Detail!$G$1:$G$1001,0))</f>
        <v>37891</v>
      </c>
      <c r="Q512" s="3" t="str">
        <f>INDEX(Detail!$F$1:$F$1001,MATCH(Main!B512,Detail!$G$1:$G$1001,0))</f>
        <v>Binjai</v>
      </c>
      <c r="R512" s="7">
        <f>INDEX(Detail!$C$1:$C$1001,MATCH(B512,Detail!$G$1:$G$1001,0),1)</f>
        <v>156</v>
      </c>
      <c r="S512" s="7">
        <f>INDEX(Detail!$D$1:$D$1001,MATCH(B512,Detail!$G$1:$G$1001,0),1)</f>
        <v>63</v>
      </c>
      <c r="T512" s="7" t="str">
        <f>INDEX(Detail!$E$1:$E$1001,MATCH(Main!B512,Detail!$G$1:$G$1001,0))</f>
        <v>Jl. Sukajadi No. 95</v>
      </c>
      <c r="U512" s="7" t="str">
        <f>INDEX(Detail!$B$1:$B$1001,MATCH(B512,Detail!$G$1:$G$1001,0),1)</f>
        <v>B-</v>
      </c>
    </row>
    <row r="513" spans="1:21" ht="15.75" x14ac:dyDescent="0.25">
      <c r="A513">
        <v>97</v>
      </c>
      <c r="B513" s="3" t="str">
        <f t="shared" si="22"/>
        <v>D0097</v>
      </c>
      <c r="C513" t="s">
        <v>1013</v>
      </c>
      <c r="D513" s="3" t="str">
        <f>VLOOKUP(B513,Detail!$G$1:$H$1001,2,FALSE)</f>
        <v>Oliva Lailasari</v>
      </c>
      <c r="E513">
        <v>93</v>
      </c>
      <c r="F513">
        <v>52</v>
      </c>
      <c r="G513" s="35">
        <v>93</v>
      </c>
      <c r="H513">
        <v>56</v>
      </c>
      <c r="I513">
        <v>84</v>
      </c>
      <c r="J513">
        <v>97</v>
      </c>
      <c r="K513">
        <v>64</v>
      </c>
      <c r="L513" s="26">
        <f>IFERROR(VLOOKUP(B513,Absen!$A$1:$C$501,2,FALSE),"No")</f>
        <v>44800</v>
      </c>
      <c r="M513" s="44">
        <f t="shared" si="20"/>
        <v>5.4</v>
      </c>
      <c r="N513" s="35">
        <f t="shared" si="21"/>
        <v>79.025000000000006</v>
      </c>
      <c r="O513" t="str">
        <f>VLOOKUP(N513,Helper!$B$30:$C$35,2,TRUE)</f>
        <v>B</v>
      </c>
      <c r="P513" s="26">
        <f>INDEX(Detail!$A$1:$A$1001,MATCH(B513,Detail!$G$1:$G$1001,0))</f>
        <v>38042</v>
      </c>
      <c r="Q513" s="3" t="str">
        <f>INDEX(Detail!$F$1:$F$1001,MATCH(Main!B513,Detail!$G$1:$G$1001,0))</f>
        <v>Kota Administrasi Jakarta Barat</v>
      </c>
      <c r="R513" s="7">
        <f>INDEX(Detail!$C$1:$C$1001,MATCH(B513,Detail!$G$1:$G$1001,0),1)</f>
        <v>168</v>
      </c>
      <c r="S513" s="7">
        <f>INDEX(Detail!$D$1:$D$1001,MATCH(B513,Detail!$G$1:$G$1001,0),1)</f>
        <v>45</v>
      </c>
      <c r="T513" s="7" t="str">
        <f>INDEX(Detail!$E$1:$E$1001,MATCH(Main!B513,Detail!$G$1:$G$1001,0))</f>
        <v>Jl. Antapani Lama No. 52</v>
      </c>
      <c r="U513" s="7" t="str">
        <f>INDEX(Detail!$B$1:$B$1001,MATCH(B513,Detail!$G$1:$G$1001,0),1)</f>
        <v>B+</v>
      </c>
    </row>
    <row r="514" spans="1:21" ht="15.75" x14ac:dyDescent="0.25">
      <c r="A514">
        <v>102</v>
      </c>
      <c r="B514" s="3" t="str">
        <f t="shared" si="22"/>
        <v>D0102</v>
      </c>
      <c r="C514" t="s">
        <v>1013</v>
      </c>
      <c r="D514" s="3" t="str">
        <f>VLOOKUP(B514,Detail!$G$1:$H$1001,2,FALSE)</f>
        <v>Edward Wasita</v>
      </c>
      <c r="E514">
        <v>50</v>
      </c>
      <c r="F514">
        <v>42</v>
      </c>
      <c r="G514" s="35">
        <v>89</v>
      </c>
      <c r="H514">
        <v>59</v>
      </c>
      <c r="I514">
        <v>85</v>
      </c>
      <c r="J514">
        <v>66</v>
      </c>
      <c r="K514">
        <v>60</v>
      </c>
      <c r="L514" s="26">
        <f>IFERROR(VLOOKUP(B514,Absen!$A$1:$C$501,2,FALSE),"No")</f>
        <v>44825</v>
      </c>
      <c r="M514" s="44">
        <f t="shared" ref="M514:M577" si="23">IF(L514="no",K514,K514-10)*10%</f>
        <v>5</v>
      </c>
      <c r="N514" s="35">
        <f t="shared" ref="N514:N577" si="24">SUM(E514*12.5%,F514*12.5%,H514*12.5%,I514*12.5%,G514*20%,J514*20%,M514)</f>
        <v>65.5</v>
      </c>
      <c r="O514" t="str">
        <f>VLOOKUP(N514,Helper!$B$30:$C$35,2,TRUE)</f>
        <v>C</v>
      </c>
      <c r="P514" s="26">
        <f>INDEX(Detail!$A$1:$A$1001,MATCH(B514,Detail!$G$1:$G$1001,0))</f>
        <v>37757</v>
      </c>
      <c r="Q514" s="3" t="str">
        <f>INDEX(Detail!$F$1:$F$1001,MATCH(Main!B514,Detail!$G$1:$G$1001,0))</f>
        <v>Surabaya</v>
      </c>
      <c r="R514" s="7">
        <f>INDEX(Detail!$C$1:$C$1001,MATCH(B514,Detail!$G$1:$G$1001,0),1)</f>
        <v>150</v>
      </c>
      <c r="S514" s="7">
        <f>INDEX(Detail!$D$1:$D$1001,MATCH(B514,Detail!$G$1:$G$1001,0),1)</f>
        <v>91</v>
      </c>
      <c r="T514" s="7" t="str">
        <f>INDEX(Detail!$E$1:$E$1001,MATCH(Main!B514,Detail!$G$1:$G$1001,0))</f>
        <v xml:space="preserve">Jalan Gegerkalong Hilir No. 0
</v>
      </c>
      <c r="U514" s="7" t="str">
        <f>INDEX(Detail!$B$1:$B$1001,MATCH(B514,Detail!$G$1:$G$1001,0),1)</f>
        <v>AB-</v>
      </c>
    </row>
    <row r="515" spans="1:21" ht="15.75" x14ac:dyDescent="0.25">
      <c r="A515">
        <v>103</v>
      </c>
      <c r="B515" s="3" t="str">
        <f t="shared" si="22"/>
        <v>D0103</v>
      </c>
      <c r="C515" t="s">
        <v>1013</v>
      </c>
      <c r="D515" s="3" t="str">
        <f>VLOOKUP(B515,Detail!$G$1:$H$1001,2,FALSE)</f>
        <v>Kartika Napitupulu</v>
      </c>
      <c r="E515">
        <v>69</v>
      </c>
      <c r="F515">
        <v>72</v>
      </c>
      <c r="G515" s="35">
        <v>42</v>
      </c>
      <c r="H515">
        <v>71</v>
      </c>
      <c r="I515">
        <v>87</v>
      </c>
      <c r="J515">
        <v>67</v>
      </c>
      <c r="K515">
        <v>69</v>
      </c>
      <c r="L515" s="26" t="str">
        <f>IFERROR(VLOOKUP(B515,Absen!$A$1:$C$501,2,FALSE),"No")</f>
        <v>No</v>
      </c>
      <c r="M515" s="44">
        <f t="shared" si="23"/>
        <v>6.9</v>
      </c>
      <c r="N515" s="35">
        <f t="shared" si="24"/>
        <v>66.075000000000003</v>
      </c>
      <c r="O515" t="str">
        <f>VLOOKUP(N515,Helper!$B$30:$C$35,2,TRUE)</f>
        <v>C</v>
      </c>
      <c r="P515" s="26">
        <f>INDEX(Detail!$A$1:$A$1001,MATCH(B515,Detail!$G$1:$G$1001,0))</f>
        <v>37705</v>
      </c>
      <c r="Q515" s="3" t="str">
        <f>INDEX(Detail!$F$1:$F$1001,MATCH(Main!B515,Detail!$G$1:$G$1001,0))</f>
        <v>Kota Administrasi Jakarta Utara</v>
      </c>
      <c r="R515" s="7">
        <f>INDEX(Detail!$C$1:$C$1001,MATCH(B515,Detail!$G$1:$G$1001,0),1)</f>
        <v>155</v>
      </c>
      <c r="S515" s="7">
        <f>INDEX(Detail!$D$1:$D$1001,MATCH(B515,Detail!$G$1:$G$1001,0),1)</f>
        <v>87</v>
      </c>
      <c r="T515" s="7" t="str">
        <f>INDEX(Detail!$E$1:$E$1001,MATCH(Main!B515,Detail!$G$1:$G$1001,0))</f>
        <v>Gang Gardujati No. 63</v>
      </c>
      <c r="U515" s="7" t="str">
        <f>INDEX(Detail!$B$1:$B$1001,MATCH(B515,Detail!$G$1:$G$1001,0),1)</f>
        <v>O-</v>
      </c>
    </row>
    <row r="516" spans="1:21" ht="15.75" x14ac:dyDescent="0.25">
      <c r="A516">
        <v>105</v>
      </c>
      <c r="B516" s="3" t="str">
        <f t="shared" si="22"/>
        <v>D0105</v>
      </c>
      <c r="C516" t="s">
        <v>1013</v>
      </c>
      <c r="D516" s="3" t="str">
        <f>VLOOKUP(B516,Detail!$G$1:$H$1001,2,FALSE)</f>
        <v>Bakiman Uwais</v>
      </c>
      <c r="E516">
        <v>87</v>
      </c>
      <c r="F516">
        <v>67</v>
      </c>
      <c r="G516" s="35">
        <v>85</v>
      </c>
      <c r="H516">
        <v>56</v>
      </c>
      <c r="I516">
        <v>60</v>
      </c>
      <c r="J516">
        <v>77</v>
      </c>
      <c r="K516">
        <v>83</v>
      </c>
      <c r="L516" s="26" t="str">
        <f>IFERROR(VLOOKUP(B516,Absen!$A$1:$C$501,2,FALSE),"No")</f>
        <v>No</v>
      </c>
      <c r="M516" s="44">
        <f t="shared" si="23"/>
        <v>8.3000000000000007</v>
      </c>
      <c r="N516" s="35">
        <f t="shared" si="24"/>
        <v>74.45</v>
      </c>
      <c r="O516" t="str">
        <f>VLOOKUP(N516,Helper!$B$30:$C$35,2,TRUE)</f>
        <v>B</v>
      </c>
      <c r="P516" s="26">
        <f>INDEX(Detail!$A$1:$A$1001,MATCH(B516,Detail!$G$1:$G$1001,0))</f>
        <v>37182</v>
      </c>
      <c r="Q516" s="3" t="str">
        <f>INDEX(Detail!$F$1:$F$1001,MATCH(Main!B516,Detail!$G$1:$G$1001,0))</f>
        <v>Cilegon</v>
      </c>
      <c r="R516" s="7">
        <f>INDEX(Detail!$C$1:$C$1001,MATCH(B516,Detail!$G$1:$G$1001,0),1)</f>
        <v>171</v>
      </c>
      <c r="S516" s="7">
        <f>INDEX(Detail!$D$1:$D$1001,MATCH(B516,Detail!$G$1:$G$1001,0),1)</f>
        <v>45</v>
      </c>
      <c r="T516" s="7" t="str">
        <f>INDEX(Detail!$E$1:$E$1001,MATCH(Main!B516,Detail!$G$1:$G$1001,0))</f>
        <v>Gang Gedebage Selatan No. 22</v>
      </c>
      <c r="U516" s="7" t="str">
        <f>INDEX(Detail!$B$1:$B$1001,MATCH(B516,Detail!$G$1:$G$1001,0),1)</f>
        <v>O-</v>
      </c>
    </row>
    <row r="517" spans="1:21" ht="15.75" x14ac:dyDescent="0.25">
      <c r="A517">
        <v>114</v>
      </c>
      <c r="B517" s="3" t="str">
        <f t="shared" si="22"/>
        <v>D0114</v>
      </c>
      <c r="C517" t="s">
        <v>1013</v>
      </c>
      <c r="D517" s="3" t="str">
        <f>VLOOKUP(B517,Detail!$G$1:$H$1001,2,FALSE)</f>
        <v>Eluh Siregar</v>
      </c>
      <c r="E517">
        <v>93</v>
      </c>
      <c r="F517">
        <v>72</v>
      </c>
      <c r="G517" s="35">
        <v>48</v>
      </c>
      <c r="H517">
        <v>75</v>
      </c>
      <c r="I517">
        <v>92</v>
      </c>
      <c r="J517">
        <v>55</v>
      </c>
      <c r="K517">
        <v>66</v>
      </c>
      <c r="L517" s="26" t="str">
        <f>IFERROR(VLOOKUP(B517,Absen!$A$1:$C$501,2,FALSE),"No")</f>
        <v>No</v>
      </c>
      <c r="M517" s="44">
        <f t="shared" si="23"/>
        <v>6.6000000000000005</v>
      </c>
      <c r="N517" s="35">
        <f t="shared" si="24"/>
        <v>68.7</v>
      </c>
      <c r="O517" t="str">
        <f>VLOOKUP(N517,Helper!$B$30:$C$35,2,TRUE)</f>
        <v>C</v>
      </c>
      <c r="P517" s="26">
        <f>INDEX(Detail!$A$1:$A$1001,MATCH(B517,Detail!$G$1:$G$1001,0))</f>
        <v>37013</v>
      </c>
      <c r="Q517" s="3" t="str">
        <f>INDEX(Detail!$F$1:$F$1001,MATCH(Main!B517,Detail!$G$1:$G$1001,0))</f>
        <v>Pematangsiantar</v>
      </c>
      <c r="R517" s="7">
        <f>INDEX(Detail!$C$1:$C$1001,MATCH(B517,Detail!$G$1:$G$1001,0),1)</f>
        <v>178</v>
      </c>
      <c r="S517" s="7">
        <f>INDEX(Detail!$D$1:$D$1001,MATCH(B517,Detail!$G$1:$G$1001,0),1)</f>
        <v>81</v>
      </c>
      <c r="T517" s="7" t="str">
        <f>INDEX(Detail!$E$1:$E$1001,MATCH(Main!B517,Detail!$G$1:$G$1001,0))</f>
        <v>Jalan Setiabudhi No. 75</v>
      </c>
      <c r="U517" s="7" t="str">
        <f>INDEX(Detail!$B$1:$B$1001,MATCH(B517,Detail!$G$1:$G$1001,0),1)</f>
        <v>A+</v>
      </c>
    </row>
    <row r="518" spans="1:21" ht="15.75" x14ac:dyDescent="0.25">
      <c r="A518">
        <v>131</v>
      </c>
      <c r="B518" s="3" t="str">
        <f t="shared" si="22"/>
        <v>D0131</v>
      </c>
      <c r="C518" t="s">
        <v>1013</v>
      </c>
      <c r="D518" s="3" t="str">
        <f>VLOOKUP(B518,Detail!$G$1:$H$1001,2,FALSE)</f>
        <v>Tira Sihombing</v>
      </c>
      <c r="E518">
        <v>75</v>
      </c>
      <c r="F518">
        <v>74</v>
      </c>
      <c r="G518" s="35">
        <v>67</v>
      </c>
      <c r="H518">
        <v>68</v>
      </c>
      <c r="I518">
        <v>80</v>
      </c>
      <c r="J518">
        <v>85</v>
      </c>
      <c r="K518">
        <v>94</v>
      </c>
      <c r="L518" s="26">
        <f>IFERROR(VLOOKUP(B518,Absen!$A$1:$C$501,2,FALSE),"No")</f>
        <v>44837</v>
      </c>
      <c r="M518" s="44">
        <f t="shared" si="23"/>
        <v>8.4</v>
      </c>
      <c r="N518" s="35">
        <f t="shared" si="24"/>
        <v>75.925000000000011</v>
      </c>
      <c r="O518" t="str">
        <f>VLOOKUP(N518,Helper!$B$30:$C$35,2,TRUE)</f>
        <v>B</v>
      </c>
      <c r="P518" s="26">
        <f>INDEX(Detail!$A$1:$A$1001,MATCH(B518,Detail!$G$1:$G$1001,0))</f>
        <v>37952</v>
      </c>
      <c r="Q518" s="3" t="str">
        <f>INDEX(Detail!$F$1:$F$1001,MATCH(Main!B518,Detail!$G$1:$G$1001,0))</f>
        <v>Banjarmasin</v>
      </c>
      <c r="R518" s="7">
        <f>INDEX(Detail!$C$1:$C$1001,MATCH(B518,Detail!$G$1:$G$1001,0),1)</f>
        <v>170</v>
      </c>
      <c r="S518" s="7">
        <f>INDEX(Detail!$D$1:$D$1001,MATCH(B518,Detail!$G$1:$G$1001,0),1)</f>
        <v>57</v>
      </c>
      <c r="T518" s="7" t="str">
        <f>INDEX(Detail!$E$1:$E$1001,MATCH(Main!B518,Detail!$G$1:$G$1001,0))</f>
        <v>Gg. Dipatiukur No. 31</v>
      </c>
      <c r="U518" s="7" t="str">
        <f>INDEX(Detail!$B$1:$B$1001,MATCH(B518,Detail!$G$1:$G$1001,0),1)</f>
        <v>AB-</v>
      </c>
    </row>
    <row r="519" spans="1:21" ht="15.75" x14ac:dyDescent="0.25">
      <c r="A519">
        <v>135</v>
      </c>
      <c r="B519" s="3" t="str">
        <f t="shared" si="22"/>
        <v>D0135</v>
      </c>
      <c r="C519" t="s">
        <v>1013</v>
      </c>
      <c r="D519" s="3" t="str">
        <f>VLOOKUP(B519,Detail!$G$1:$H$1001,2,FALSE)</f>
        <v>Yono Wastuti</v>
      </c>
      <c r="E519">
        <v>55</v>
      </c>
      <c r="F519">
        <v>48</v>
      </c>
      <c r="G519" s="35">
        <v>41</v>
      </c>
      <c r="H519">
        <v>66</v>
      </c>
      <c r="I519">
        <v>57</v>
      </c>
      <c r="J519">
        <v>97</v>
      </c>
      <c r="K519">
        <v>86</v>
      </c>
      <c r="L519" s="26" t="str">
        <f>IFERROR(VLOOKUP(B519,Absen!$A$1:$C$501,2,FALSE),"No")</f>
        <v>No</v>
      </c>
      <c r="M519" s="44">
        <f t="shared" si="23"/>
        <v>8.6</v>
      </c>
      <c r="N519" s="35">
        <f t="shared" si="24"/>
        <v>64.45</v>
      </c>
      <c r="O519" t="str">
        <f>VLOOKUP(N519,Helper!$B$30:$C$35,2,TRUE)</f>
        <v>C</v>
      </c>
      <c r="P519" s="26">
        <f>INDEX(Detail!$A$1:$A$1001,MATCH(B519,Detail!$G$1:$G$1001,0))</f>
        <v>37558</v>
      </c>
      <c r="Q519" s="3" t="str">
        <f>INDEX(Detail!$F$1:$F$1001,MATCH(Main!B519,Detail!$G$1:$G$1001,0))</f>
        <v>Madiun</v>
      </c>
      <c r="R519" s="7">
        <f>INDEX(Detail!$C$1:$C$1001,MATCH(B519,Detail!$G$1:$G$1001,0),1)</f>
        <v>179</v>
      </c>
      <c r="S519" s="7">
        <f>INDEX(Detail!$D$1:$D$1001,MATCH(B519,Detail!$G$1:$G$1001,0),1)</f>
        <v>68</v>
      </c>
      <c r="T519" s="7" t="str">
        <f>INDEX(Detail!$E$1:$E$1001,MATCH(Main!B519,Detail!$G$1:$G$1001,0))</f>
        <v>Jl. Surapati No. 64</v>
      </c>
      <c r="U519" s="7" t="str">
        <f>INDEX(Detail!$B$1:$B$1001,MATCH(B519,Detail!$G$1:$G$1001,0),1)</f>
        <v>O-</v>
      </c>
    </row>
    <row r="520" spans="1:21" ht="15.75" x14ac:dyDescent="0.25">
      <c r="A520">
        <v>136</v>
      </c>
      <c r="B520" s="3" t="str">
        <f t="shared" si="22"/>
        <v>D0136</v>
      </c>
      <c r="C520" t="s">
        <v>1013</v>
      </c>
      <c r="D520" s="3" t="str">
        <f>VLOOKUP(B520,Detail!$G$1:$H$1001,2,FALSE)</f>
        <v>Taufan Mandala</v>
      </c>
      <c r="E520">
        <v>65</v>
      </c>
      <c r="F520">
        <v>61</v>
      </c>
      <c r="G520" s="35">
        <v>85</v>
      </c>
      <c r="H520">
        <v>75</v>
      </c>
      <c r="I520">
        <v>53</v>
      </c>
      <c r="J520">
        <v>44</v>
      </c>
      <c r="K520">
        <v>85</v>
      </c>
      <c r="L520" s="26">
        <f>IFERROR(VLOOKUP(B520,Absen!$A$1:$C$501,2,FALSE),"No")</f>
        <v>44830</v>
      </c>
      <c r="M520" s="44">
        <f t="shared" si="23"/>
        <v>7.5</v>
      </c>
      <c r="N520" s="35">
        <f t="shared" si="24"/>
        <v>65.05</v>
      </c>
      <c r="O520" t="str">
        <f>VLOOKUP(N520,Helper!$B$30:$C$35,2,TRUE)</f>
        <v>C</v>
      </c>
      <c r="P520" s="26">
        <f>INDEX(Detail!$A$1:$A$1001,MATCH(B520,Detail!$G$1:$G$1001,0))</f>
        <v>37317</v>
      </c>
      <c r="Q520" s="3" t="str">
        <f>INDEX(Detail!$F$1:$F$1001,MATCH(Main!B520,Detail!$G$1:$G$1001,0))</f>
        <v>Tual</v>
      </c>
      <c r="R520" s="7">
        <f>INDEX(Detail!$C$1:$C$1001,MATCH(B520,Detail!$G$1:$G$1001,0),1)</f>
        <v>179</v>
      </c>
      <c r="S520" s="7">
        <f>INDEX(Detail!$D$1:$D$1001,MATCH(B520,Detail!$G$1:$G$1001,0),1)</f>
        <v>69</v>
      </c>
      <c r="T520" s="7" t="str">
        <f>INDEX(Detail!$E$1:$E$1001,MATCH(Main!B520,Detail!$G$1:$G$1001,0))</f>
        <v>Gg. Gedebage Selatan No. 46</v>
      </c>
      <c r="U520" s="7" t="str">
        <f>INDEX(Detail!$B$1:$B$1001,MATCH(B520,Detail!$G$1:$G$1001,0),1)</f>
        <v>O-</v>
      </c>
    </row>
    <row r="521" spans="1:21" ht="15.75" x14ac:dyDescent="0.25">
      <c r="A521">
        <v>141</v>
      </c>
      <c r="B521" s="3" t="str">
        <f t="shared" si="22"/>
        <v>D0141</v>
      </c>
      <c r="C521" t="s">
        <v>1013</v>
      </c>
      <c r="D521" s="3" t="str">
        <f>VLOOKUP(B521,Detail!$G$1:$H$1001,2,FALSE)</f>
        <v>Virman Irawan</v>
      </c>
      <c r="E521">
        <v>85</v>
      </c>
      <c r="F521">
        <v>74</v>
      </c>
      <c r="G521" s="35">
        <v>54</v>
      </c>
      <c r="H521">
        <v>73</v>
      </c>
      <c r="I521">
        <v>65</v>
      </c>
      <c r="J521">
        <v>91</v>
      </c>
      <c r="K521">
        <v>91</v>
      </c>
      <c r="L521" s="26" t="str">
        <f>IFERROR(VLOOKUP(B521,Absen!$A$1:$C$501,2,FALSE),"No")</f>
        <v>No</v>
      </c>
      <c r="M521" s="44">
        <f t="shared" si="23"/>
        <v>9.1</v>
      </c>
      <c r="N521" s="35">
        <f t="shared" si="24"/>
        <v>75.224999999999994</v>
      </c>
      <c r="O521" t="str">
        <f>VLOOKUP(N521,Helper!$B$30:$C$35,2,TRUE)</f>
        <v>B</v>
      </c>
      <c r="P521" s="26">
        <f>INDEX(Detail!$A$1:$A$1001,MATCH(B521,Detail!$G$1:$G$1001,0))</f>
        <v>37683</v>
      </c>
      <c r="Q521" s="3" t="str">
        <f>INDEX(Detail!$F$1:$F$1001,MATCH(Main!B521,Detail!$G$1:$G$1001,0))</f>
        <v>Meulaboh</v>
      </c>
      <c r="R521" s="7">
        <f>INDEX(Detail!$C$1:$C$1001,MATCH(B521,Detail!$G$1:$G$1001,0),1)</f>
        <v>153</v>
      </c>
      <c r="S521" s="7">
        <f>INDEX(Detail!$D$1:$D$1001,MATCH(B521,Detail!$G$1:$G$1001,0),1)</f>
        <v>69</v>
      </c>
      <c r="T521" s="7" t="str">
        <f>INDEX(Detail!$E$1:$E$1001,MATCH(Main!B521,Detail!$G$1:$G$1001,0))</f>
        <v xml:space="preserve">Jl. S. Parman No. 0
</v>
      </c>
      <c r="U521" s="7" t="str">
        <f>INDEX(Detail!$B$1:$B$1001,MATCH(B521,Detail!$G$1:$G$1001,0),1)</f>
        <v>B-</v>
      </c>
    </row>
    <row r="522" spans="1:21" ht="15.75" x14ac:dyDescent="0.25">
      <c r="A522">
        <v>148</v>
      </c>
      <c r="B522" s="3" t="str">
        <f t="shared" si="22"/>
        <v>D0148</v>
      </c>
      <c r="C522" t="s">
        <v>1013</v>
      </c>
      <c r="D522" s="3" t="str">
        <f>VLOOKUP(B522,Detail!$G$1:$H$1001,2,FALSE)</f>
        <v>Labuh Puspasari</v>
      </c>
      <c r="E522">
        <v>93</v>
      </c>
      <c r="F522">
        <v>42</v>
      </c>
      <c r="G522" s="35">
        <v>60</v>
      </c>
      <c r="H522">
        <v>52</v>
      </c>
      <c r="I522">
        <v>60</v>
      </c>
      <c r="J522">
        <v>68</v>
      </c>
      <c r="K522">
        <v>77</v>
      </c>
      <c r="L522" s="26" t="str">
        <f>IFERROR(VLOOKUP(B522,Absen!$A$1:$C$501,2,FALSE),"No")</f>
        <v>No</v>
      </c>
      <c r="M522" s="44">
        <f t="shared" si="23"/>
        <v>7.7</v>
      </c>
      <c r="N522" s="35">
        <f t="shared" si="24"/>
        <v>64.174999999999997</v>
      </c>
      <c r="O522" t="str">
        <f>VLOOKUP(N522,Helper!$B$30:$C$35,2,TRUE)</f>
        <v>C</v>
      </c>
      <c r="P522" s="26">
        <f>INDEX(Detail!$A$1:$A$1001,MATCH(B522,Detail!$G$1:$G$1001,0))</f>
        <v>37447</v>
      </c>
      <c r="Q522" s="3" t="str">
        <f>INDEX(Detail!$F$1:$F$1001,MATCH(Main!B522,Detail!$G$1:$G$1001,0))</f>
        <v>Tanjungpinang</v>
      </c>
      <c r="R522" s="7">
        <f>INDEX(Detail!$C$1:$C$1001,MATCH(B522,Detail!$G$1:$G$1001,0),1)</f>
        <v>177</v>
      </c>
      <c r="S522" s="7">
        <f>INDEX(Detail!$D$1:$D$1001,MATCH(B522,Detail!$G$1:$G$1001,0),1)</f>
        <v>71</v>
      </c>
      <c r="T522" s="7" t="str">
        <f>INDEX(Detail!$E$1:$E$1001,MATCH(Main!B522,Detail!$G$1:$G$1001,0))</f>
        <v xml:space="preserve">Jalan Dipenogoro No. 9
</v>
      </c>
      <c r="U522" s="7" t="str">
        <f>INDEX(Detail!$B$1:$B$1001,MATCH(B522,Detail!$G$1:$G$1001,0),1)</f>
        <v>B-</v>
      </c>
    </row>
    <row r="523" spans="1:21" ht="15.75" x14ac:dyDescent="0.25">
      <c r="A523">
        <v>153</v>
      </c>
      <c r="B523" s="3" t="str">
        <f t="shared" si="22"/>
        <v>D0153</v>
      </c>
      <c r="C523" t="s">
        <v>1013</v>
      </c>
      <c r="D523" s="3" t="str">
        <f>VLOOKUP(B523,Detail!$G$1:$H$1001,2,FALSE)</f>
        <v>Chandra Mangunsong</v>
      </c>
      <c r="E523">
        <v>89</v>
      </c>
      <c r="F523">
        <v>42</v>
      </c>
      <c r="G523" s="35">
        <v>42</v>
      </c>
      <c r="H523">
        <v>68</v>
      </c>
      <c r="I523">
        <v>93</v>
      </c>
      <c r="J523">
        <v>72</v>
      </c>
      <c r="K523">
        <v>75</v>
      </c>
      <c r="L523" s="26" t="str">
        <f>IFERROR(VLOOKUP(B523,Absen!$A$1:$C$501,2,FALSE),"No")</f>
        <v>No</v>
      </c>
      <c r="M523" s="44">
        <f t="shared" si="23"/>
        <v>7.5</v>
      </c>
      <c r="N523" s="35">
        <f t="shared" si="24"/>
        <v>66.8</v>
      </c>
      <c r="O523" t="str">
        <f>VLOOKUP(N523,Helper!$B$30:$C$35,2,TRUE)</f>
        <v>C</v>
      </c>
      <c r="P523" s="26">
        <f>INDEX(Detail!$A$1:$A$1001,MATCH(B523,Detail!$G$1:$G$1001,0))</f>
        <v>37776</v>
      </c>
      <c r="Q523" s="3" t="str">
        <f>INDEX(Detail!$F$1:$F$1001,MATCH(Main!B523,Detail!$G$1:$G$1001,0))</f>
        <v>Samarinda</v>
      </c>
      <c r="R523" s="7">
        <f>INDEX(Detail!$C$1:$C$1001,MATCH(B523,Detail!$G$1:$G$1001,0),1)</f>
        <v>171</v>
      </c>
      <c r="S523" s="7">
        <f>INDEX(Detail!$D$1:$D$1001,MATCH(B523,Detail!$G$1:$G$1001,0),1)</f>
        <v>57</v>
      </c>
      <c r="T523" s="7" t="str">
        <f>INDEX(Detail!$E$1:$E$1001,MATCH(Main!B523,Detail!$G$1:$G$1001,0))</f>
        <v xml:space="preserve">Jl. Ir. H. Djuanda No. 0
</v>
      </c>
      <c r="U523" s="7" t="str">
        <f>INDEX(Detail!$B$1:$B$1001,MATCH(B523,Detail!$G$1:$G$1001,0),1)</f>
        <v>AB+</v>
      </c>
    </row>
    <row r="524" spans="1:21" ht="15.75" x14ac:dyDescent="0.25">
      <c r="A524">
        <v>157</v>
      </c>
      <c r="B524" s="3" t="str">
        <f t="shared" si="22"/>
        <v>D0157</v>
      </c>
      <c r="C524" t="s">
        <v>1013</v>
      </c>
      <c r="D524" s="3" t="str">
        <f>VLOOKUP(B524,Detail!$G$1:$H$1001,2,FALSE)</f>
        <v>Chelsea Kusumo</v>
      </c>
      <c r="E524">
        <v>65</v>
      </c>
      <c r="F524">
        <v>40</v>
      </c>
      <c r="G524" s="35">
        <v>73</v>
      </c>
      <c r="H524">
        <v>61</v>
      </c>
      <c r="I524">
        <v>53</v>
      </c>
      <c r="J524">
        <v>76</v>
      </c>
      <c r="K524">
        <v>71</v>
      </c>
      <c r="L524" s="26" t="str">
        <f>IFERROR(VLOOKUP(B524,Absen!$A$1:$C$501,2,FALSE),"No")</f>
        <v>No</v>
      </c>
      <c r="M524" s="44">
        <f t="shared" si="23"/>
        <v>7.1000000000000005</v>
      </c>
      <c r="N524" s="35">
        <f t="shared" si="24"/>
        <v>64.275000000000006</v>
      </c>
      <c r="O524" t="str">
        <f>VLOOKUP(N524,Helper!$B$30:$C$35,2,TRUE)</f>
        <v>C</v>
      </c>
      <c r="P524" s="26">
        <f>INDEX(Detail!$A$1:$A$1001,MATCH(B524,Detail!$G$1:$G$1001,0))</f>
        <v>37648</v>
      </c>
      <c r="Q524" s="3" t="str">
        <f>INDEX(Detail!$F$1:$F$1001,MATCH(Main!B524,Detail!$G$1:$G$1001,0))</f>
        <v>Balikpapan</v>
      </c>
      <c r="R524" s="7">
        <f>INDEX(Detail!$C$1:$C$1001,MATCH(B524,Detail!$G$1:$G$1001,0),1)</f>
        <v>175</v>
      </c>
      <c r="S524" s="7">
        <f>INDEX(Detail!$D$1:$D$1001,MATCH(B524,Detail!$G$1:$G$1001,0),1)</f>
        <v>93</v>
      </c>
      <c r="T524" s="7" t="str">
        <f>INDEX(Detail!$E$1:$E$1001,MATCH(Main!B524,Detail!$G$1:$G$1001,0))</f>
        <v>Jalan Rajiman No. 35</v>
      </c>
      <c r="U524" s="7" t="str">
        <f>INDEX(Detail!$B$1:$B$1001,MATCH(B524,Detail!$G$1:$G$1001,0),1)</f>
        <v>A+</v>
      </c>
    </row>
    <row r="525" spans="1:21" ht="15.75" x14ac:dyDescent="0.25">
      <c r="A525">
        <v>158</v>
      </c>
      <c r="B525" s="3" t="str">
        <f t="shared" si="22"/>
        <v>D0158</v>
      </c>
      <c r="C525" t="s">
        <v>1013</v>
      </c>
      <c r="D525" s="3" t="str">
        <f>VLOOKUP(B525,Detail!$G$1:$H$1001,2,FALSE)</f>
        <v>Nova Rahmawati</v>
      </c>
      <c r="E525">
        <v>52</v>
      </c>
      <c r="F525">
        <v>47</v>
      </c>
      <c r="G525" s="35">
        <v>46</v>
      </c>
      <c r="H525">
        <v>53</v>
      </c>
      <c r="I525">
        <v>57</v>
      </c>
      <c r="J525">
        <v>67</v>
      </c>
      <c r="K525">
        <v>93</v>
      </c>
      <c r="L525" s="26" t="str">
        <f>IFERROR(VLOOKUP(B525,Absen!$A$1:$C$501,2,FALSE),"No")</f>
        <v>No</v>
      </c>
      <c r="M525" s="44">
        <f t="shared" si="23"/>
        <v>9.3000000000000007</v>
      </c>
      <c r="N525" s="35">
        <f t="shared" si="24"/>
        <v>58.025000000000006</v>
      </c>
      <c r="O525" t="str">
        <f>VLOOKUP(N525,Helper!$B$30:$C$35,2,TRUE)</f>
        <v>D</v>
      </c>
      <c r="P525" s="26">
        <f>INDEX(Detail!$A$1:$A$1001,MATCH(B525,Detail!$G$1:$G$1001,0))</f>
        <v>37235</v>
      </c>
      <c r="Q525" s="3" t="str">
        <f>INDEX(Detail!$F$1:$F$1001,MATCH(Main!B525,Detail!$G$1:$G$1001,0))</f>
        <v>Tanjungbalai</v>
      </c>
      <c r="R525" s="7">
        <f>INDEX(Detail!$C$1:$C$1001,MATCH(B525,Detail!$G$1:$G$1001,0),1)</f>
        <v>156</v>
      </c>
      <c r="S525" s="7">
        <f>INDEX(Detail!$D$1:$D$1001,MATCH(B525,Detail!$G$1:$G$1001,0),1)</f>
        <v>86</v>
      </c>
      <c r="T525" s="7" t="str">
        <f>INDEX(Detail!$E$1:$E$1001,MATCH(Main!B525,Detail!$G$1:$G$1001,0))</f>
        <v xml:space="preserve">Gg. M.T Haryono No. 5
</v>
      </c>
      <c r="U525" s="7" t="str">
        <f>INDEX(Detail!$B$1:$B$1001,MATCH(B525,Detail!$G$1:$G$1001,0),1)</f>
        <v>A+</v>
      </c>
    </row>
    <row r="526" spans="1:21" ht="15.75" x14ac:dyDescent="0.25">
      <c r="A526">
        <v>160</v>
      </c>
      <c r="B526" s="3" t="str">
        <f t="shared" si="22"/>
        <v>D0160</v>
      </c>
      <c r="C526" t="s">
        <v>1013</v>
      </c>
      <c r="D526" s="3" t="str">
        <f>VLOOKUP(B526,Detail!$G$1:$H$1001,2,FALSE)</f>
        <v>Xanana Lailasari</v>
      </c>
      <c r="E526">
        <v>53</v>
      </c>
      <c r="F526">
        <v>71</v>
      </c>
      <c r="G526" s="35">
        <v>55</v>
      </c>
      <c r="H526">
        <v>53</v>
      </c>
      <c r="I526">
        <v>76</v>
      </c>
      <c r="J526">
        <v>57</v>
      </c>
      <c r="K526">
        <v>76</v>
      </c>
      <c r="L526" s="26">
        <f>IFERROR(VLOOKUP(B526,Absen!$A$1:$C$501,2,FALSE),"No")</f>
        <v>44838</v>
      </c>
      <c r="M526" s="44">
        <f t="shared" si="23"/>
        <v>6.6000000000000005</v>
      </c>
      <c r="N526" s="35">
        <f t="shared" si="24"/>
        <v>60.625</v>
      </c>
      <c r="O526" t="str">
        <f>VLOOKUP(N526,Helper!$B$30:$C$35,2,TRUE)</f>
        <v>C</v>
      </c>
      <c r="P526" s="26">
        <f>INDEX(Detail!$A$1:$A$1001,MATCH(B526,Detail!$G$1:$G$1001,0))</f>
        <v>37736</v>
      </c>
      <c r="Q526" s="3" t="str">
        <f>INDEX(Detail!$F$1:$F$1001,MATCH(Main!B526,Detail!$G$1:$G$1001,0))</f>
        <v>Probolinggo</v>
      </c>
      <c r="R526" s="7">
        <f>INDEX(Detail!$C$1:$C$1001,MATCH(B526,Detail!$G$1:$G$1001,0),1)</f>
        <v>152</v>
      </c>
      <c r="S526" s="7">
        <f>INDEX(Detail!$D$1:$D$1001,MATCH(B526,Detail!$G$1:$G$1001,0),1)</f>
        <v>94</v>
      </c>
      <c r="T526" s="7" t="str">
        <f>INDEX(Detail!$E$1:$E$1001,MATCH(Main!B526,Detail!$G$1:$G$1001,0))</f>
        <v>Jl. Indragiri No. 63</v>
      </c>
      <c r="U526" s="7" t="str">
        <f>INDEX(Detail!$B$1:$B$1001,MATCH(B526,Detail!$G$1:$G$1001,0),1)</f>
        <v>A+</v>
      </c>
    </row>
    <row r="527" spans="1:21" ht="15.75" x14ac:dyDescent="0.25">
      <c r="A527">
        <v>163</v>
      </c>
      <c r="B527" s="3" t="str">
        <f t="shared" si="22"/>
        <v>D0163</v>
      </c>
      <c r="C527" t="s">
        <v>1013</v>
      </c>
      <c r="D527" s="3" t="str">
        <f>VLOOKUP(B527,Detail!$G$1:$H$1001,2,FALSE)</f>
        <v>Ellis Pratiwi</v>
      </c>
      <c r="E527">
        <v>75</v>
      </c>
      <c r="F527">
        <v>60</v>
      </c>
      <c r="G527" s="35">
        <v>33</v>
      </c>
      <c r="H527">
        <v>73</v>
      </c>
      <c r="I527">
        <v>83</v>
      </c>
      <c r="J527">
        <v>74</v>
      </c>
      <c r="K527">
        <v>85</v>
      </c>
      <c r="L527" s="26">
        <f>IFERROR(VLOOKUP(B527,Absen!$A$1:$C$501,2,FALSE),"No")</f>
        <v>44905</v>
      </c>
      <c r="M527" s="44">
        <f t="shared" si="23"/>
        <v>7.5</v>
      </c>
      <c r="N527" s="35">
        <f t="shared" si="24"/>
        <v>65.275000000000006</v>
      </c>
      <c r="O527" t="str">
        <f>VLOOKUP(N527,Helper!$B$30:$C$35,2,TRUE)</f>
        <v>C</v>
      </c>
      <c r="P527" s="26">
        <f>INDEX(Detail!$A$1:$A$1001,MATCH(B527,Detail!$G$1:$G$1001,0))</f>
        <v>38272</v>
      </c>
      <c r="Q527" s="3" t="str">
        <f>INDEX(Detail!$F$1:$F$1001,MATCH(Main!B527,Detail!$G$1:$G$1001,0))</f>
        <v>Tangerang Selatan</v>
      </c>
      <c r="R527" s="7">
        <f>INDEX(Detail!$C$1:$C$1001,MATCH(B527,Detail!$G$1:$G$1001,0),1)</f>
        <v>175</v>
      </c>
      <c r="S527" s="7">
        <f>INDEX(Detail!$D$1:$D$1001,MATCH(B527,Detail!$G$1:$G$1001,0),1)</f>
        <v>57</v>
      </c>
      <c r="T527" s="7" t="str">
        <f>INDEX(Detail!$E$1:$E$1001,MATCH(Main!B527,Detail!$G$1:$G$1001,0))</f>
        <v>Jalan Monginsidi No. 21</v>
      </c>
      <c r="U527" s="7" t="str">
        <f>INDEX(Detail!$B$1:$B$1001,MATCH(B527,Detail!$G$1:$G$1001,0),1)</f>
        <v>B-</v>
      </c>
    </row>
    <row r="528" spans="1:21" ht="15.75" x14ac:dyDescent="0.25">
      <c r="A528">
        <v>165</v>
      </c>
      <c r="B528" s="3" t="str">
        <f t="shared" si="22"/>
        <v>D0165</v>
      </c>
      <c r="C528" t="s">
        <v>1013</v>
      </c>
      <c r="D528" s="3" t="str">
        <f>VLOOKUP(B528,Detail!$G$1:$H$1001,2,FALSE)</f>
        <v>Gading Hakim</v>
      </c>
      <c r="E528">
        <v>58</v>
      </c>
      <c r="F528">
        <v>66</v>
      </c>
      <c r="G528" s="35">
        <v>58</v>
      </c>
      <c r="H528">
        <v>59</v>
      </c>
      <c r="I528">
        <v>85</v>
      </c>
      <c r="J528">
        <v>88</v>
      </c>
      <c r="K528">
        <v>78</v>
      </c>
      <c r="L528" s="26" t="str">
        <f>IFERROR(VLOOKUP(B528,Absen!$A$1:$C$501,2,FALSE),"No")</f>
        <v>No</v>
      </c>
      <c r="M528" s="44">
        <f t="shared" si="23"/>
        <v>7.8000000000000007</v>
      </c>
      <c r="N528" s="35">
        <f t="shared" si="24"/>
        <v>70.5</v>
      </c>
      <c r="O528" t="str">
        <f>VLOOKUP(N528,Helper!$B$30:$C$35,2,TRUE)</f>
        <v>B</v>
      </c>
      <c r="P528" s="26">
        <f>INDEX(Detail!$A$1:$A$1001,MATCH(B528,Detail!$G$1:$G$1001,0))</f>
        <v>37095</v>
      </c>
      <c r="Q528" s="3" t="str">
        <f>INDEX(Detail!$F$1:$F$1001,MATCH(Main!B528,Detail!$G$1:$G$1001,0))</f>
        <v>Gorontalo</v>
      </c>
      <c r="R528" s="7">
        <f>INDEX(Detail!$C$1:$C$1001,MATCH(B528,Detail!$G$1:$G$1001,0),1)</f>
        <v>179</v>
      </c>
      <c r="S528" s="7">
        <f>INDEX(Detail!$D$1:$D$1001,MATCH(B528,Detail!$G$1:$G$1001,0),1)</f>
        <v>76</v>
      </c>
      <c r="T528" s="7" t="str">
        <f>INDEX(Detail!$E$1:$E$1001,MATCH(Main!B528,Detail!$G$1:$G$1001,0))</f>
        <v>Gang Cikapayang No. 76</v>
      </c>
      <c r="U528" s="7" t="str">
        <f>INDEX(Detail!$B$1:$B$1001,MATCH(B528,Detail!$G$1:$G$1001,0),1)</f>
        <v>A-</v>
      </c>
    </row>
    <row r="529" spans="1:21" ht="15.75" x14ac:dyDescent="0.25">
      <c r="A529">
        <v>167</v>
      </c>
      <c r="B529" s="3" t="str">
        <f t="shared" si="22"/>
        <v>D0167</v>
      </c>
      <c r="C529" t="s">
        <v>1013</v>
      </c>
      <c r="D529" s="3" t="str">
        <f>VLOOKUP(B529,Detail!$G$1:$H$1001,2,FALSE)</f>
        <v>Liman Hartati</v>
      </c>
      <c r="E529">
        <v>78</v>
      </c>
      <c r="F529">
        <v>67</v>
      </c>
      <c r="G529" s="35">
        <v>83</v>
      </c>
      <c r="H529">
        <v>64</v>
      </c>
      <c r="I529">
        <v>69</v>
      </c>
      <c r="J529">
        <v>86</v>
      </c>
      <c r="K529">
        <v>92</v>
      </c>
      <c r="L529" s="26">
        <f>IFERROR(VLOOKUP(B529,Absen!$A$1:$C$501,2,FALSE),"No")</f>
        <v>44828</v>
      </c>
      <c r="M529" s="44">
        <f t="shared" si="23"/>
        <v>8.2000000000000011</v>
      </c>
      <c r="N529" s="35">
        <f t="shared" si="24"/>
        <v>76.75</v>
      </c>
      <c r="O529" t="str">
        <f>VLOOKUP(N529,Helper!$B$30:$C$35,2,TRUE)</f>
        <v>B</v>
      </c>
      <c r="P529" s="26">
        <f>INDEX(Detail!$A$1:$A$1001,MATCH(B529,Detail!$G$1:$G$1001,0))</f>
        <v>38272</v>
      </c>
      <c r="Q529" s="3" t="str">
        <f>INDEX(Detail!$F$1:$F$1001,MATCH(Main!B529,Detail!$G$1:$G$1001,0))</f>
        <v>Makassar</v>
      </c>
      <c r="R529" s="7">
        <f>INDEX(Detail!$C$1:$C$1001,MATCH(B529,Detail!$G$1:$G$1001,0),1)</f>
        <v>175</v>
      </c>
      <c r="S529" s="7">
        <f>INDEX(Detail!$D$1:$D$1001,MATCH(B529,Detail!$G$1:$G$1001,0),1)</f>
        <v>93</v>
      </c>
      <c r="T529" s="7" t="str">
        <f>INDEX(Detail!$E$1:$E$1001,MATCH(Main!B529,Detail!$G$1:$G$1001,0))</f>
        <v>Gg. Lembong No. 64</v>
      </c>
      <c r="U529" s="7" t="str">
        <f>INDEX(Detail!$B$1:$B$1001,MATCH(B529,Detail!$G$1:$G$1001,0),1)</f>
        <v>O+</v>
      </c>
    </row>
    <row r="530" spans="1:21" ht="15.75" x14ac:dyDescent="0.25">
      <c r="A530">
        <v>171</v>
      </c>
      <c r="B530" s="3" t="str">
        <f t="shared" si="22"/>
        <v>D0171</v>
      </c>
      <c r="C530" t="s">
        <v>1013</v>
      </c>
      <c r="D530" s="3" t="str">
        <f>VLOOKUP(B530,Detail!$G$1:$H$1001,2,FALSE)</f>
        <v>Digdaya Saptono</v>
      </c>
      <c r="E530">
        <v>67</v>
      </c>
      <c r="F530">
        <v>68</v>
      </c>
      <c r="G530" s="35">
        <v>93</v>
      </c>
      <c r="H530">
        <v>52</v>
      </c>
      <c r="I530">
        <v>83</v>
      </c>
      <c r="J530">
        <v>85</v>
      </c>
      <c r="K530">
        <v>90</v>
      </c>
      <c r="L530" s="26" t="str">
        <f>IFERROR(VLOOKUP(B530,Absen!$A$1:$C$501,2,FALSE),"No")</f>
        <v>No</v>
      </c>
      <c r="M530" s="44">
        <f t="shared" si="23"/>
        <v>9</v>
      </c>
      <c r="N530" s="35">
        <f t="shared" si="24"/>
        <v>78.349999999999994</v>
      </c>
      <c r="O530" t="str">
        <f>VLOOKUP(N530,Helper!$B$30:$C$35,2,TRUE)</f>
        <v>B</v>
      </c>
      <c r="P530" s="26">
        <f>INDEX(Detail!$A$1:$A$1001,MATCH(B530,Detail!$G$1:$G$1001,0))</f>
        <v>38141</v>
      </c>
      <c r="Q530" s="3" t="str">
        <f>INDEX(Detail!$F$1:$F$1001,MATCH(Main!B530,Detail!$G$1:$G$1001,0))</f>
        <v>Tebingtinggi</v>
      </c>
      <c r="R530" s="7">
        <f>INDEX(Detail!$C$1:$C$1001,MATCH(B530,Detail!$G$1:$G$1001,0),1)</f>
        <v>168</v>
      </c>
      <c r="S530" s="7">
        <f>INDEX(Detail!$D$1:$D$1001,MATCH(B530,Detail!$G$1:$G$1001,0),1)</f>
        <v>77</v>
      </c>
      <c r="T530" s="7" t="str">
        <f>INDEX(Detail!$E$1:$E$1001,MATCH(Main!B530,Detail!$G$1:$G$1001,0))</f>
        <v>Jl. Yos Sudarso No. 38</v>
      </c>
      <c r="U530" s="7" t="str">
        <f>INDEX(Detail!$B$1:$B$1001,MATCH(B530,Detail!$G$1:$G$1001,0),1)</f>
        <v>O+</v>
      </c>
    </row>
    <row r="531" spans="1:21" ht="15.75" x14ac:dyDescent="0.25">
      <c r="A531">
        <v>194</v>
      </c>
      <c r="B531" s="3" t="str">
        <f t="shared" si="22"/>
        <v>D0194</v>
      </c>
      <c r="C531" t="s">
        <v>1013</v>
      </c>
      <c r="D531" s="3" t="str">
        <f>VLOOKUP(B531,Detail!$G$1:$H$1001,2,FALSE)</f>
        <v>Okto Hastuti</v>
      </c>
      <c r="E531">
        <v>77</v>
      </c>
      <c r="F531">
        <v>60</v>
      </c>
      <c r="G531" s="35">
        <v>93</v>
      </c>
      <c r="H531">
        <v>51</v>
      </c>
      <c r="I531">
        <v>95</v>
      </c>
      <c r="J531">
        <v>52</v>
      </c>
      <c r="K531">
        <v>63</v>
      </c>
      <c r="L531" s="26">
        <f>IFERROR(VLOOKUP(B531,Absen!$A$1:$C$501,2,FALSE),"No")</f>
        <v>44756</v>
      </c>
      <c r="M531" s="44">
        <f t="shared" si="23"/>
        <v>5.3000000000000007</v>
      </c>
      <c r="N531" s="35">
        <f t="shared" si="24"/>
        <v>69.674999999999997</v>
      </c>
      <c r="O531" t="str">
        <f>VLOOKUP(N531,Helper!$B$30:$C$35,2,TRUE)</f>
        <v>C</v>
      </c>
      <c r="P531" s="26">
        <f>INDEX(Detail!$A$1:$A$1001,MATCH(B531,Detail!$G$1:$G$1001,0))</f>
        <v>38332</v>
      </c>
      <c r="Q531" s="3" t="str">
        <f>INDEX(Detail!$F$1:$F$1001,MATCH(Main!B531,Detail!$G$1:$G$1001,0))</f>
        <v>Metro</v>
      </c>
      <c r="R531" s="7">
        <f>INDEX(Detail!$C$1:$C$1001,MATCH(B531,Detail!$G$1:$G$1001,0),1)</f>
        <v>176</v>
      </c>
      <c r="S531" s="7">
        <f>INDEX(Detail!$D$1:$D$1001,MATCH(B531,Detail!$G$1:$G$1001,0),1)</f>
        <v>64</v>
      </c>
      <c r="T531" s="7" t="str">
        <f>INDEX(Detail!$E$1:$E$1001,MATCH(Main!B531,Detail!$G$1:$G$1001,0))</f>
        <v xml:space="preserve">Jalan Rumah Sakit No. 7
</v>
      </c>
      <c r="U531" s="7" t="str">
        <f>INDEX(Detail!$B$1:$B$1001,MATCH(B531,Detail!$G$1:$G$1001,0),1)</f>
        <v>AB-</v>
      </c>
    </row>
    <row r="532" spans="1:21" ht="15.75" x14ac:dyDescent="0.25">
      <c r="A532">
        <v>199</v>
      </c>
      <c r="B532" s="3" t="str">
        <f t="shared" si="22"/>
        <v>D0199</v>
      </c>
      <c r="C532" t="s">
        <v>1013</v>
      </c>
      <c r="D532" s="3" t="str">
        <f>VLOOKUP(B532,Detail!$G$1:$H$1001,2,FALSE)</f>
        <v>Kusuma Mayasari</v>
      </c>
      <c r="E532">
        <v>93</v>
      </c>
      <c r="F532">
        <v>44</v>
      </c>
      <c r="G532" s="35">
        <v>91</v>
      </c>
      <c r="H532">
        <v>69</v>
      </c>
      <c r="I532">
        <v>83</v>
      </c>
      <c r="J532">
        <v>41</v>
      </c>
      <c r="K532">
        <v>69</v>
      </c>
      <c r="L532" s="26">
        <f>IFERROR(VLOOKUP(B532,Absen!$A$1:$C$501,2,FALSE),"No")</f>
        <v>44746</v>
      </c>
      <c r="M532" s="44">
        <f t="shared" si="23"/>
        <v>5.9</v>
      </c>
      <c r="N532" s="35">
        <f t="shared" si="24"/>
        <v>68.425000000000011</v>
      </c>
      <c r="O532" t="str">
        <f>VLOOKUP(N532,Helper!$B$30:$C$35,2,TRUE)</f>
        <v>C</v>
      </c>
      <c r="P532" s="26">
        <f>INDEX(Detail!$A$1:$A$1001,MATCH(B532,Detail!$G$1:$G$1001,0))</f>
        <v>37037</v>
      </c>
      <c r="Q532" s="3" t="str">
        <f>INDEX(Detail!$F$1:$F$1001,MATCH(Main!B532,Detail!$G$1:$G$1001,0))</f>
        <v>Bima</v>
      </c>
      <c r="R532" s="7">
        <f>INDEX(Detail!$C$1:$C$1001,MATCH(B532,Detail!$G$1:$G$1001,0),1)</f>
        <v>180</v>
      </c>
      <c r="S532" s="7">
        <f>INDEX(Detail!$D$1:$D$1001,MATCH(B532,Detail!$G$1:$G$1001,0),1)</f>
        <v>80</v>
      </c>
      <c r="T532" s="7" t="str">
        <f>INDEX(Detail!$E$1:$E$1001,MATCH(Main!B532,Detail!$G$1:$G$1001,0))</f>
        <v>Jalan Sukajadi No. 78</v>
      </c>
      <c r="U532" s="7" t="str">
        <f>INDEX(Detail!$B$1:$B$1001,MATCH(B532,Detail!$G$1:$G$1001,0),1)</f>
        <v>AB+</v>
      </c>
    </row>
    <row r="533" spans="1:21" ht="15.75" x14ac:dyDescent="0.25">
      <c r="A533">
        <v>220</v>
      </c>
      <c r="B533" s="3" t="str">
        <f t="shared" si="22"/>
        <v>D0220</v>
      </c>
      <c r="C533" t="s">
        <v>1013</v>
      </c>
      <c r="D533" s="3" t="str">
        <f>VLOOKUP(B533,Detail!$G$1:$H$1001,2,FALSE)</f>
        <v>Indah Salahudin</v>
      </c>
      <c r="E533">
        <v>76</v>
      </c>
      <c r="F533">
        <v>65</v>
      </c>
      <c r="G533" s="35">
        <v>49</v>
      </c>
      <c r="H533">
        <v>72</v>
      </c>
      <c r="I533">
        <v>61</v>
      </c>
      <c r="J533">
        <v>41</v>
      </c>
      <c r="K533">
        <v>81</v>
      </c>
      <c r="L533" s="26">
        <f>IFERROR(VLOOKUP(B533,Absen!$A$1:$C$501,2,FALSE),"No")</f>
        <v>44864</v>
      </c>
      <c r="M533" s="44">
        <f t="shared" si="23"/>
        <v>7.1000000000000005</v>
      </c>
      <c r="N533" s="35">
        <f t="shared" si="24"/>
        <v>59.35</v>
      </c>
      <c r="O533" t="str">
        <f>VLOOKUP(N533,Helper!$B$30:$C$35,2,TRUE)</f>
        <v>D</v>
      </c>
      <c r="P533" s="26">
        <f>INDEX(Detail!$A$1:$A$1001,MATCH(B533,Detail!$G$1:$G$1001,0))</f>
        <v>37258</v>
      </c>
      <c r="Q533" s="3" t="str">
        <f>INDEX(Detail!$F$1:$F$1001,MATCH(Main!B533,Detail!$G$1:$G$1001,0))</f>
        <v>Bima</v>
      </c>
      <c r="R533" s="7">
        <f>INDEX(Detail!$C$1:$C$1001,MATCH(B533,Detail!$G$1:$G$1001,0),1)</f>
        <v>174</v>
      </c>
      <c r="S533" s="7">
        <f>INDEX(Detail!$D$1:$D$1001,MATCH(B533,Detail!$G$1:$G$1001,0),1)</f>
        <v>47</v>
      </c>
      <c r="T533" s="7" t="str">
        <f>INDEX(Detail!$E$1:$E$1001,MATCH(Main!B533,Detail!$G$1:$G$1001,0))</f>
        <v>Gg. Lembong No. 31</v>
      </c>
      <c r="U533" s="7" t="str">
        <f>INDEX(Detail!$B$1:$B$1001,MATCH(B533,Detail!$G$1:$G$1001,0),1)</f>
        <v>O-</v>
      </c>
    </row>
    <row r="534" spans="1:21" ht="15.75" x14ac:dyDescent="0.25">
      <c r="A534">
        <v>224</v>
      </c>
      <c r="B534" s="3" t="str">
        <f t="shared" si="22"/>
        <v>D0224</v>
      </c>
      <c r="C534" t="s">
        <v>1013</v>
      </c>
      <c r="D534" s="3" t="str">
        <f>VLOOKUP(B534,Detail!$G$1:$H$1001,2,FALSE)</f>
        <v>Cahyadi Pradana</v>
      </c>
      <c r="E534">
        <v>78</v>
      </c>
      <c r="F534">
        <v>75</v>
      </c>
      <c r="G534" s="35">
        <v>44</v>
      </c>
      <c r="H534">
        <v>56</v>
      </c>
      <c r="I534">
        <v>73</v>
      </c>
      <c r="J534">
        <v>82</v>
      </c>
      <c r="K534">
        <v>87</v>
      </c>
      <c r="L534" s="26" t="str">
        <f>IFERROR(VLOOKUP(B534,Absen!$A$1:$C$501,2,FALSE),"No")</f>
        <v>No</v>
      </c>
      <c r="M534" s="44">
        <f t="shared" si="23"/>
        <v>8.7000000000000011</v>
      </c>
      <c r="N534" s="35">
        <f t="shared" si="24"/>
        <v>69.150000000000006</v>
      </c>
      <c r="O534" t="str">
        <f>VLOOKUP(N534,Helper!$B$30:$C$35,2,TRUE)</f>
        <v>C</v>
      </c>
      <c r="P534" s="26">
        <f>INDEX(Detail!$A$1:$A$1001,MATCH(B534,Detail!$G$1:$G$1001,0))</f>
        <v>37629</v>
      </c>
      <c r="Q534" s="3" t="str">
        <f>INDEX(Detail!$F$1:$F$1001,MATCH(Main!B534,Detail!$G$1:$G$1001,0))</f>
        <v>Sibolga</v>
      </c>
      <c r="R534" s="7">
        <f>INDEX(Detail!$C$1:$C$1001,MATCH(B534,Detail!$G$1:$G$1001,0),1)</f>
        <v>162</v>
      </c>
      <c r="S534" s="7">
        <f>INDEX(Detail!$D$1:$D$1001,MATCH(B534,Detail!$G$1:$G$1001,0),1)</f>
        <v>95</v>
      </c>
      <c r="T534" s="7" t="str">
        <f>INDEX(Detail!$E$1:$E$1001,MATCH(Main!B534,Detail!$G$1:$G$1001,0))</f>
        <v>Jalan PHH. Mustofa No. 42</v>
      </c>
      <c r="U534" s="7" t="str">
        <f>INDEX(Detail!$B$1:$B$1001,MATCH(B534,Detail!$G$1:$G$1001,0),1)</f>
        <v>O+</v>
      </c>
    </row>
    <row r="535" spans="1:21" ht="15.75" x14ac:dyDescent="0.25">
      <c r="A535">
        <v>232</v>
      </c>
      <c r="B535" s="3" t="str">
        <f t="shared" si="22"/>
        <v>D0232</v>
      </c>
      <c r="C535" t="s">
        <v>1013</v>
      </c>
      <c r="D535" s="3" t="str">
        <f>VLOOKUP(B535,Detail!$G$1:$H$1001,2,FALSE)</f>
        <v>Kemal Napitupulu</v>
      </c>
      <c r="E535">
        <v>90</v>
      </c>
      <c r="F535">
        <v>60</v>
      </c>
      <c r="G535" s="35">
        <v>75</v>
      </c>
      <c r="H535">
        <v>65</v>
      </c>
      <c r="I535">
        <v>90</v>
      </c>
      <c r="J535">
        <v>64</v>
      </c>
      <c r="K535">
        <v>77</v>
      </c>
      <c r="L535" s="26" t="str">
        <f>IFERROR(VLOOKUP(B535,Absen!$A$1:$C$501,2,FALSE),"No")</f>
        <v>No</v>
      </c>
      <c r="M535" s="44">
        <f t="shared" si="23"/>
        <v>7.7</v>
      </c>
      <c r="N535" s="35">
        <f t="shared" si="24"/>
        <v>73.625</v>
      </c>
      <c r="O535" t="str">
        <f>VLOOKUP(N535,Helper!$B$30:$C$35,2,TRUE)</f>
        <v>B</v>
      </c>
      <c r="P535" s="26">
        <f>INDEX(Detail!$A$1:$A$1001,MATCH(B535,Detail!$G$1:$G$1001,0))</f>
        <v>38444</v>
      </c>
      <c r="Q535" s="3" t="str">
        <f>INDEX(Detail!$F$1:$F$1001,MATCH(Main!B535,Detail!$G$1:$G$1001,0))</f>
        <v>Sorong</v>
      </c>
      <c r="R535" s="7">
        <f>INDEX(Detail!$C$1:$C$1001,MATCH(B535,Detail!$G$1:$G$1001,0),1)</f>
        <v>179</v>
      </c>
      <c r="S535" s="7">
        <f>INDEX(Detail!$D$1:$D$1001,MATCH(B535,Detail!$G$1:$G$1001,0),1)</f>
        <v>75</v>
      </c>
      <c r="T535" s="7" t="str">
        <f>INDEX(Detail!$E$1:$E$1001,MATCH(Main!B535,Detail!$G$1:$G$1001,0))</f>
        <v>Gang M.H Thamrin No. 30</v>
      </c>
      <c r="U535" s="7" t="str">
        <f>INDEX(Detail!$B$1:$B$1001,MATCH(B535,Detail!$G$1:$G$1001,0),1)</f>
        <v>AB+</v>
      </c>
    </row>
    <row r="536" spans="1:21" ht="15.75" x14ac:dyDescent="0.25">
      <c r="A536">
        <v>236</v>
      </c>
      <c r="B536" s="3" t="str">
        <f t="shared" si="22"/>
        <v>D0236</v>
      </c>
      <c r="C536" t="s">
        <v>1013</v>
      </c>
      <c r="D536" s="3" t="str">
        <f>VLOOKUP(B536,Detail!$G$1:$H$1001,2,FALSE)</f>
        <v>Iriana Maulana</v>
      </c>
      <c r="E536">
        <v>95</v>
      </c>
      <c r="F536">
        <v>43</v>
      </c>
      <c r="G536" s="35">
        <v>54</v>
      </c>
      <c r="H536">
        <v>56</v>
      </c>
      <c r="I536">
        <v>54</v>
      </c>
      <c r="J536">
        <v>58</v>
      </c>
      <c r="K536">
        <v>62</v>
      </c>
      <c r="L536" s="26" t="str">
        <f>IFERROR(VLOOKUP(B536,Absen!$A$1:$C$501,2,FALSE),"No")</f>
        <v>No</v>
      </c>
      <c r="M536" s="44">
        <f t="shared" si="23"/>
        <v>6.2</v>
      </c>
      <c r="N536" s="35">
        <f t="shared" si="24"/>
        <v>59.6</v>
      </c>
      <c r="O536" t="str">
        <f>VLOOKUP(N536,Helper!$B$30:$C$35,2,TRUE)</f>
        <v>D</v>
      </c>
      <c r="P536" s="26">
        <f>INDEX(Detail!$A$1:$A$1001,MATCH(B536,Detail!$G$1:$G$1001,0))</f>
        <v>37613</v>
      </c>
      <c r="Q536" s="3" t="str">
        <f>INDEX(Detail!$F$1:$F$1001,MATCH(Main!B536,Detail!$G$1:$G$1001,0))</f>
        <v>Semarang</v>
      </c>
      <c r="R536" s="7">
        <f>INDEX(Detail!$C$1:$C$1001,MATCH(B536,Detail!$G$1:$G$1001,0),1)</f>
        <v>171</v>
      </c>
      <c r="S536" s="7">
        <f>INDEX(Detail!$D$1:$D$1001,MATCH(B536,Detail!$G$1:$G$1001,0),1)</f>
        <v>72</v>
      </c>
      <c r="T536" s="7" t="str">
        <f>INDEX(Detail!$E$1:$E$1001,MATCH(Main!B536,Detail!$G$1:$G$1001,0))</f>
        <v>Jalan Dr. Djunjunan No. 96</v>
      </c>
      <c r="U536" s="7" t="str">
        <f>INDEX(Detail!$B$1:$B$1001,MATCH(B536,Detail!$G$1:$G$1001,0),1)</f>
        <v>AB-</v>
      </c>
    </row>
    <row r="537" spans="1:21" ht="15.75" x14ac:dyDescent="0.25">
      <c r="A537">
        <v>238</v>
      </c>
      <c r="B537" s="3" t="str">
        <f t="shared" si="22"/>
        <v>D0238</v>
      </c>
      <c r="C537" t="s">
        <v>1013</v>
      </c>
      <c r="D537" s="3" t="str">
        <f>VLOOKUP(B537,Detail!$G$1:$H$1001,2,FALSE)</f>
        <v>Cahyo Mustofa</v>
      </c>
      <c r="E537">
        <v>82</v>
      </c>
      <c r="F537">
        <v>74</v>
      </c>
      <c r="G537" s="35">
        <v>87</v>
      </c>
      <c r="H537">
        <v>62</v>
      </c>
      <c r="I537">
        <v>66</v>
      </c>
      <c r="J537">
        <v>50</v>
      </c>
      <c r="K537">
        <v>78</v>
      </c>
      <c r="L537" s="26">
        <f>IFERROR(VLOOKUP(B537,Absen!$A$1:$C$501,2,FALSE),"No")</f>
        <v>44837</v>
      </c>
      <c r="M537" s="44">
        <f t="shared" si="23"/>
        <v>6.8000000000000007</v>
      </c>
      <c r="N537" s="35">
        <f t="shared" si="24"/>
        <v>69.7</v>
      </c>
      <c r="O537" t="str">
        <f>VLOOKUP(N537,Helper!$B$30:$C$35,2,TRUE)</f>
        <v>C</v>
      </c>
      <c r="P537" s="26">
        <f>INDEX(Detail!$A$1:$A$1001,MATCH(B537,Detail!$G$1:$G$1001,0))</f>
        <v>37329</v>
      </c>
      <c r="Q537" s="3" t="str">
        <f>INDEX(Detail!$F$1:$F$1001,MATCH(Main!B537,Detail!$G$1:$G$1001,0))</f>
        <v>Lhokseumawe</v>
      </c>
      <c r="R537" s="7">
        <f>INDEX(Detail!$C$1:$C$1001,MATCH(B537,Detail!$G$1:$G$1001,0),1)</f>
        <v>156</v>
      </c>
      <c r="S537" s="7">
        <f>INDEX(Detail!$D$1:$D$1001,MATCH(B537,Detail!$G$1:$G$1001,0),1)</f>
        <v>84</v>
      </c>
      <c r="T537" s="7" t="str">
        <f>INDEX(Detail!$E$1:$E$1001,MATCH(Main!B537,Detail!$G$1:$G$1001,0))</f>
        <v xml:space="preserve">Gg. Suryakencana No. 0
</v>
      </c>
      <c r="U537" s="7" t="str">
        <f>INDEX(Detail!$B$1:$B$1001,MATCH(B537,Detail!$G$1:$G$1001,0),1)</f>
        <v>B-</v>
      </c>
    </row>
    <row r="538" spans="1:21" ht="15.75" x14ac:dyDescent="0.25">
      <c r="A538">
        <v>241</v>
      </c>
      <c r="B538" s="3" t="str">
        <f t="shared" si="22"/>
        <v>D0241</v>
      </c>
      <c r="C538" t="s">
        <v>1013</v>
      </c>
      <c r="D538" s="3" t="str">
        <f>VLOOKUP(B538,Detail!$G$1:$H$1001,2,FALSE)</f>
        <v>Prayitna Habibi</v>
      </c>
      <c r="E538">
        <v>74</v>
      </c>
      <c r="F538">
        <v>55</v>
      </c>
      <c r="G538" s="35">
        <v>65</v>
      </c>
      <c r="H538">
        <v>74</v>
      </c>
      <c r="I538">
        <v>89</v>
      </c>
      <c r="J538">
        <v>66</v>
      </c>
      <c r="K538">
        <v>85</v>
      </c>
      <c r="L538" s="26">
        <f>IFERROR(VLOOKUP(B538,Absen!$A$1:$C$501,2,FALSE),"No")</f>
        <v>44875</v>
      </c>
      <c r="M538" s="44">
        <f t="shared" si="23"/>
        <v>7.5</v>
      </c>
      <c r="N538" s="35">
        <f t="shared" si="24"/>
        <v>70.2</v>
      </c>
      <c r="O538" t="str">
        <f>VLOOKUP(N538,Helper!$B$30:$C$35,2,TRUE)</f>
        <v>B</v>
      </c>
      <c r="P538" s="26">
        <f>INDEX(Detail!$A$1:$A$1001,MATCH(B538,Detail!$G$1:$G$1001,0))</f>
        <v>37766</v>
      </c>
      <c r="Q538" s="3" t="str">
        <f>INDEX(Detail!$F$1:$F$1001,MATCH(Main!B538,Detail!$G$1:$G$1001,0))</f>
        <v>Tual</v>
      </c>
      <c r="R538" s="7">
        <f>INDEX(Detail!$C$1:$C$1001,MATCH(B538,Detail!$G$1:$G$1001,0),1)</f>
        <v>151</v>
      </c>
      <c r="S538" s="7">
        <f>INDEX(Detail!$D$1:$D$1001,MATCH(B538,Detail!$G$1:$G$1001,0),1)</f>
        <v>45</v>
      </c>
      <c r="T538" s="7" t="str">
        <f>INDEX(Detail!$E$1:$E$1001,MATCH(Main!B538,Detail!$G$1:$G$1001,0))</f>
        <v xml:space="preserve">Gang PHH. Mustofa No. 8
</v>
      </c>
      <c r="U538" s="7" t="str">
        <f>INDEX(Detail!$B$1:$B$1001,MATCH(B538,Detail!$G$1:$G$1001,0),1)</f>
        <v>AB-</v>
      </c>
    </row>
    <row r="539" spans="1:21" ht="15.75" x14ac:dyDescent="0.25">
      <c r="A539">
        <v>259</v>
      </c>
      <c r="B539" s="3" t="str">
        <f t="shared" si="22"/>
        <v>D0259</v>
      </c>
      <c r="C539" t="s">
        <v>1013</v>
      </c>
      <c r="D539" s="3" t="str">
        <f>VLOOKUP(B539,Detail!$G$1:$H$1001,2,FALSE)</f>
        <v>Luluh Putra</v>
      </c>
      <c r="E539">
        <v>80</v>
      </c>
      <c r="F539">
        <v>51</v>
      </c>
      <c r="G539" s="35">
        <v>70</v>
      </c>
      <c r="H539">
        <v>60</v>
      </c>
      <c r="I539">
        <v>52</v>
      </c>
      <c r="J539">
        <v>97</v>
      </c>
      <c r="K539">
        <v>72</v>
      </c>
      <c r="L539" s="26" t="str">
        <f>IFERROR(VLOOKUP(B539,Absen!$A$1:$C$501,2,FALSE),"No")</f>
        <v>No</v>
      </c>
      <c r="M539" s="44">
        <f t="shared" si="23"/>
        <v>7.2</v>
      </c>
      <c r="N539" s="35">
        <f t="shared" si="24"/>
        <v>70.975000000000009</v>
      </c>
      <c r="O539" t="str">
        <f>VLOOKUP(N539,Helper!$B$30:$C$35,2,TRUE)</f>
        <v>B</v>
      </c>
      <c r="P539" s="26">
        <f>INDEX(Detail!$A$1:$A$1001,MATCH(B539,Detail!$G$1:$G$1001,0))</f>
        <v>37419</v>
      </c>
      <c r="Q539" s="3" t="str">
        <f>INDEX(Detail!$F$1:$F$1001,MATCH(Main!B539,Detail!$G$1:$G$1001,0))</f>
        <v>Mataram</v>
      </c>
      <c r="R539" s="7">
        <f>INDEX(Detail!$C$1:$C$1001,MATCH(B539,Detail!$G$1:$G$1001,0),1)</f>
        <v>161</v>
      </c>
      <c r="S539" s="7">
        <f>INDEX(Detail!$D$1:$D$1001,MATCH(B539,Detail!$G$1:$G$1001,0),1)</f>
        <v>50</v>
      </c>
      <c r="T539" s="7" t="str">
        <f>INDEX(Detail!$E$1:$E$1001,MATCH(Main!B539,Detail!$G$1:$G$1001,0))</f>
        <v>Gang Suryakencana No. 35</v>
      </c>
      <c r="U539" s="7" t="str">
        <f>INDEX(Detail!$B$1:$B$1001,MATCH(B539,Detail!$G$1:$G$1001,0),1)</f>
        <v>A-</v>
      </c>
    </row>
    <row r="540" spans="1:21" ht="15.75" x14ac:dyDescent="0.25">
      <c r="A540">
        <v>262</v>
      </c>
      <c r="B540" s="3" t="str">
        <f t="shared" si="22"/>
        <v>D0262</v>
      </c>
      <c r="C540" t="s">
        <v>1013</v>
      </c>
      <c r="D540" s="3" t="str">
        <f>VLOOKUP(B540,Detail!$G$1:$H$1001,2,FALSE)</f>
        <v>Pangestu Manullang</v>
      </c>
      <c r="E540">
        <v>53</v>
      </c>
      <c r="F540">
        <v>72</v>
      </c>
      <c r="G540" s="35">
        <v>43</v>
      </c>
      <c r="H540">
        <v>66</v>
      </c>
      <c r="I540">
        <v>79</v>
      </c>
      <c r="J540">
        <v>82</v>
      </c>
      <c r="K540">
        <v>86</v>
      </c>
      <c r="L540" s="26">
        <f>IFERROR(VLOOKUP(B540,Absen!$A$1:$C$501,2,FALSE),"No")</f>
        <v>44786</v>
      </c>
      <c r="M540" s="44">
        <f t="shared" si="23"/>
        <v>7.6000000000000005</v>
      </c>
      <c r="N540" s="35">
        <f t="shared" si="24"/>
        <v>66.349999999999994</v>
      </c>
      <c r="O540" t="str">
        <f>VLOOKUP(N540,Helper!$B$30:$C$35,2,TRUE)</f>
        <v>C</v>
      </c>
      <c r="P540" s="26">
        <f>INDEX(Detail!$A$1:$A$1001,MATCH(B540,Detail!$G$1:$G$1001,0))</f>
        <v>38358</v>
      </c>
      <c r="Q540" s="3" t="str">
        <f>INDEX(Detail!$F$1:$F$1001,MATCH(Main!B540,Detail!$G$1:$G$1001,0))</f>
        <v>Sibolga</v>
      </c>
      <c r="R540" s="7">
        <f>INDEX(Detail!$C$1:$C$1001,MATCH(B540,Detail!$G$1:$G$1001,0),1)</f>
        <v>177</v>
      </c>
      <c r="S540" s="7">
        <f>INDEX(Detail!$D$1:$D$1001,MATCH(B540,Detail!$G$1:$G$1001,0),1)</f>
        <v>62</v>
      </c>
      <c r="T540" s="7" t="str">
        <f>INDEX(Detail!$E$1:$E$1001,MATCH(Main!B540,Detail!$G$1:$G$1001,0))</f>
        <v>Jl. Siliwangi No. 20</v>
      </c>
      <c r="U540" s="7" t="str">
        <f>INDEX(Detail!$B$1:$B$1001,MATCH(B540,Detail!$G$1:$G$1001,0),1)</f>
        <v>O+</v>
      </c>
    </row>
    <row r="541" spans="1:21" ht="15.75" x14ac:dyDescent="0.25">
      <c r="A541">
        <v>266</v>
      </c>
      <c r="B541" s="3" t="str">
        <f t="shared" si="22"/>
        <v>D0266</v>
      </c>
      <c r="C541" t="s">
        <v>1013</v>
      </c>
      <c r="D541" s="3" t="str">
        <f>VLOOKUP(B541,Detail!$G$1:$H$1001,2,FALSE)</f>
        <v>Emil Jailani</v>
      </c>
      <c r="E541">
        <v>72</v>
      </c>
      <c r="F541">
        <v>61</v>
      </c>
      <c r="G541" s="35">
        <v>85</v>
      </c>
      <c r="H541">
        <v>52</v>
      </c>
      <c r="I541">
        <v>59</v>
      </c>
      <c r="J541">
        <v>60</v>
      </c>
      <c r="K541">
        <v>92</v>
      </c>
      <c r="L541" s="26" t="str">
        <f>IFERROR(VLOOKUP(B541,Absen!$A$1:$C$501,2,FALSE),"No")</f>
        <v>No</v>
      </c>
      <c r="M541" s="44">
        <f t="shared" si="23"/>
        <v>9.2000000000000011</v>
      </c>
      <c r="N541" s="35">
        <f t="shared" si="24"/>
        <v>68.7</v>
      </c>
      <c r="O541" t="str">
        <f>VLOOKUP(N541,Helper!$B$30:$C$35,2,TRUE)</f>
        <v>C</v>
      </c>
      <c r="P541" s="26">
        <f>INDEX(Detail!$A$1:$A$1001,MATCH(B541,Detail!$G$1:$G$1001,0))</f>
        <v>37125</v>
      </c>
      <c r="Q541" s="3" t="str">
        <f>INDEX(Detail!$F$1:$F$1001,MATCH(Main!B541,Detail!$G$1:$G$1001,0))</f>
        <v>Tarakan</v>
      </c>
      <c r="R541" s="7">
        <f>INDEX(Detail!$C$1:$C$1001,MATCH(B541,Detail!$G$1:$G$1001,0),1)</f>
        <v>158</v>
      </c>
      <c r="S541" s="7">
        <f>INDEX(Detail!$D$1:$D$1001,MATCH(B541,Detail!$G$1:$G$1001,0),1)</f>
        <v>64</v>
      </c>
      <c r="T541" s="7" t="str">
        <f>INDEX(Detail!$E$1:$E$1001,MATCH(Main!B541,Detail!$G$1:$G$1001,0))</f>
        <v xml:space="preserve">Jalan Surapati No. 6
</v>
      </c>
      <c r="U541" s="7" t="str">
        <f>INDEX(Detail!$B$1:$B$1001,MATCH(B541,Detail!$G$1:$G$1001,0),1)</f>
        <v>O-</v>
      </c>
    </row>
    <row r="542" spans="1:21" ht="15.75" x14ac:dyDescent="0.25">
      <c r="A542">
        <v>270</v>
      </c>
      <c r="B542" s="3" t="str">
        <f t="shared" si="22"/>
        <v>D0270</v>
      </c>
      <c r="C542" t="s">
        <v>1013</v>
      </c>
      <c r="D542" s="3" t="str">
        <f>VLOOKUP(B542,Detail!$G$1:$H$1001,2,FALSE)</f>
        <v>Bajragin Riyanti</v>
      </c>
      <c r="E542">
        <v>94</v>
      </c>
      <c r="F542">
        <v>44</v>
      </c>
      <c r="G542" s="35">
        <v>64</v>
      </c>
      <c r="H542">
        <v>64</v>
      </c>
      <c r="I542">
        <v>95</v>
      </c>
      <c r="J542">
        <v>47</v>
      </c>
      <c r="K542">
        <v>90</v>
      </c>
      <c r="L542" s="26">
        <f>IFERROR(VLOOKUP(B542,Absen!$A$1:$C$501,2,FALSE),"No")</f>
        <v>44901</v>
      </c>
      <c r="M542" s="44">
        <f t="shared" si="23"/>
        <v>8</v>
      </c>
      <c r="N542" s="35">
        <f t="shared" si="24"/>
        <v>67.324999999999989</v>
      </c>
      <c r="O542" t="str">
        <f>VLOOKUP(N542,Helper!$B$30:$C$35,2,TRUE)</f>
        <v>C</v>
      </c>
      <c r="P542" s="26">
        <f>INDEX(Detail!$A$1:$A$1001,MATCH(B542,Detail!$G$1:$G$1001,0))</f>
        <v>37552</v>
      </c>
      <c r="Q542" s="3" t="str">
        <f>INDEX(Detail!$F$1:$F$1001,MATCH(Main!B542,Detail!$G$1:$G$1001,0))</f>
        <v>Magelang</v>
      </c>
      <c r="R542" s="7">
        <f>INDEX(Detail!$C$1:$C$1001,MATCH(B542,Detail!$G$1:$G$1001,0),1)</f>
        <v>168</v>
      </c>
      <c r="S542" s="7">
        <f>INDEX(Detail!$D$1:$D$1001,MATCH(B542,Detail!$G$1:$G$1001,0),1)</f>
        <v>88</v>
      </c>
      <c r="T542" s="7" t="str">
        <f>INDEX(Detail!$E$1:$E$1001,MATCH(Main!B542,Detail!$G$1:$G$1001,0))</f>
        <v xml:space="preserve">Jalan Cikutra Timur No. 9
</v>
      </c>
      <c r="U542" s="7" t="str">
        <f>INDEX(Detail!$B$1:$B$1001,MATCH(B542,Detail!$G$1:$G$1001,0),1)</f>
        <v>A+</v>
      </c>
    </row>
    <row r="543" spans="1:21" ht="15.75" x14ac:dyDescent="0.25">
      <c r="A543">
        <v>271</v>
      </c>
      <c r="B543" s="3" t="str">
        <f t="shared" si="22"/>
        <v>D0271</v>
      </c>
      <c r="C543" t="s">
        <v>1013</v>
      </c>
      <c r="D543" s="3" t="str">
        <f>VLOOKUP(B543,Detail!$G$1:$H$1001,2,FALSE)</f>
        <v>Vera Suryatmi</v>
      </c>
      <c r="E543">
        <v>53</v>
      </c>
      <c r="F543">
        <v>74</v>
      </c>
      <c r="G543" s="35">
        <v>38</v>
      </c>
      <c r="H543">
        <v>72</v>
      </c>
      <c r="I543">
        <v>54</v>
      </c>
      <c r="J543">
        <v>73</v>
      </c>
      <c r="K543">
        <v>78</v>
      </c>
      <c r="L543" s="26" t="str">
        <f>IFERROR(VLOOKUP(B543,Absen!$A$1:$C$501,2,FALSE),"No")</f>
        <v>No</v>
      </c>
      <c r="M543" s="44">
        <f t="shared" si="23"/>
        <v>7.8000000000000007</v>
      </c>
      <c r="N543" s="35">
        <f t="shared" si="24"/>
        <v>61.625</v>
      </c>
      <c r="O543" t="str">
        <f>VLOOKUP(N543,Helper!$B$30:$C$35,2,TRUE)</f>
        <v>C</v>
      </c>
      <c r="P543" s="26">
        <f>INDEX(Detail!$A$1:$A$1001,MATCH(B543,Detail!$G$1:$G$1001,0))</f>
        <v>37447</v>
      </c>
      <c r="Q543" s="3" t="str">
        <f>INDEX(Detail!$F$1:$F$1001,MATCH(Main!B543,Detail!$G$1:$G$1001,0))</f>
        <v>Kota Administrasi Jakarta Barat</v>
      </c>
      <c r="R543" s="7">
        <f>INDEX(Detail!$C$1:$C$1001,MATCH(B543,Detail!$G$1:$G$1001,0),1)</f>
        <v>168</v>
      </c>
      <c r="S543" s="7">
        <f>INDEX(Detail!$D$1:$D$1001,MATCH(B543,Detail!$G$1:$G$1001,0),1)</f>
        <v>64</v>
      </c>
      <c r="T543" s="7" t="str">
        <f>INDEX(Detail!$E$1:$E$1001,MATCH(Main!B543,Detail!$G$1:$G$1001,0))</f>
        <v>Jalan W.R. Supratman No. 21</v>
      </c>
      <c r="U543" s="7" t="str">
        <f>INDEX(Detail!$B$1:$B$1001,MATCH(B543,Detail!$G$1:$G$1001,0),1)</f>
        <v>AB+</v>
      </c>
    </row>
    <row r="544" spans="1:21" ht="15.75" x14ac:dyDescent="0.25">
      <c r="A544">
        <v>283</v>
      </c>
      <c r="B544" s="3" t="str">
        <f t="shared" si="22"/>
        <v>D0283</v>
      </c>
      <c r="C544" t="s">
        <v>1013</v>
      </c>
      <c r="D544" s="3" t="str">
        <f>VLOOKUP(B544,Detail!$G$1:$H$1001,2,FALSE)</f>
        <v>Victoria Handayani</v>
      </c>
      <c r="E544">
        <v>74</v>
      </c>
      <c r="F544">
        <v>54</v>
      </c>
      <c r="G544" s="35">
        <v>51</v>
      </c>
      <c r="H544">
        <v>50</v>
      </c>
      <c r="I544">
        <v>70</v>
      </c>
      <c r="J544">
        <v>85</v>
      </c>
      <c r="K544">
        <v>84</v>
      </c>
      <c r="L544" s="26" t="str">
        <f>IFERROR(VLOOKUP(B544,Absen!$A$1:$C$501,2,FALSE),"No")</f>
        <v>No</v>
      </c>
      <c r="M544" s="44">
        <f t="shared" si="23"/>
        <v>8.4</v>
      </c>
      <c r="N544" s="35">
        <f t="shared" si="24"/>
        <v>66.600000000000009</v>
      </c>
      <c r="O544" t="str">
        <f>VLOOKUP(N544,Helper!$B$30:$C$35,2,TRUE)</f>
        <v>C</v>
      </c>
      <c r="P544" s="26">
        <f>INDEX(Detail!$A$1:$A$1001,MATCH(B544,Detail!$G$1:$G$1001,0))</f>
        <v>37663</v>
      </c>
      <c r="Q544" s="3" t="str">
        <f>INDEX(Detail!$F$1:$F$1001,MATCH(Main!B544,Detail!$G$1:$G$1001,0))</f>
        <v>Palembang</v>
      </c>
      <c r="R544" s="7">
        <f>INDEX(Detail!$C$1:$C$1001,MATCH(B544,Detail!$G$1:$G$1001,0),1)</f>
        <v>168</v>
      </c>
      <c r="S544" s="7">
        <f>INDEX(Detail!$D$1:$D$1001,MATCH(B544,Detail!$G$1:$G$1001,0),1)</f>
        <v>80</v>
      </c>
      <c r="T544" s="7" t="str">
        <f>INDEX(Detail!$E$1:$E$1001,MATCH(Main!B544,Detail!$G$1:$G$1001,0))</f>
        <v>Gg. PHH. Mustofa No. 87</v>
      </c>
      <c r="U544" s="7" t="str">
        <f>INDEX(Detail!$B$1:$B$1001,MATCH(B544,Detail!$G$1:$G$1001,0),1)</f>
        <v>AB-</v>
      </c>
    </row>
    <row r="545" spans="1:21" ht="15.75" x14ac:dyDescent="0.25">
      <c r="A545">
        <v>287</v>
      </c>
      <c r="B545" s="3" t="str">
        <f t="shared" si="22"/>
        <v>D0287</v>
      </c>
      <c r="C545" t="s">
        <v>1013</v>
      </c>
      <c r="D545" s="3" t="str">
        <f>VLOOKUP(B545,Detail!$G$1:$H$1001,2,FALSE)</f>
        <v>Danuja Utama</v>
      </c>
      <c r="E545">
        <v>71</v>
      </c>
      <c r="F545">
        <v>59</v>
      </c>
      <c r="G545" s="35">
        <v>55</v>
      </c>
      <c r="H545">
        <v>57</v>
      </c>
      <c r="I545">
        <v>64</v>
      </c>
      <c r="J545">
        <v>65</v>
      </c>
      <c r="K545">
        <v>81</v>
      </c>
      <c r="L545" s="26">
        <f>IFERROR(VLOOKUP(B545,Absen!$A$1:$C$501,2,FALSE),"No")</f>
        <v>44843</v>
      </c>
      <c r="M545" s="44">
        <f t="shared" si="23"/>
        <v>7.1000000000000005</v>
      </c>
      <c r="N545" s="35">
        <f t="shared" si="24"/>
        <v>62.475000000000001</v>
      </c>
      <c r="O545" t="str">
        <f>VLOOKUP(N545,Helper!$B$30:$C$35,2,TRUE)</f>
        <v>C</v>
      </c>
      <c r="P545" s="26">
        <f>INDEX(Detail!$A$1:$A$1001,MATCH(B545,Detail!$G$1:$G$1001,0))</f>
        <v>37556</v>
      </c>
      <c r="Q545" s="3" t="str">
        <f>INDEX(Detail!$F$1:$F$1001,MATCH(Main!B545,Detail!$G$1:$G$1001,0))</f>
        <v>Tarakan</v>
      </c>
      <c r="R545" s="7">
        <f>INDEX(Detail!$C$1:$C$1001,MATCH(B545,Detail!$G$1:$G$1001,0),1)</f>
        <v>167</v>
      </c>
      <c r="S545" s="7">
        <f>INDEX(Detail!$D$1:$D$1001,MATCH(B545,Detail!$G$1:$G$1001,0),1)</f>
        <v>55</v>
      </c>
      <c r="T545" s="7" t="str">
        <f>INDEX(Detail!$E$1:$E$1001,MATCH(Main!B545,Detail!$G$1:$G$1001,0))</f>
        <v>Jl. Tubagus Ismail No. 73</v>
      </c>
      <c r="U545" s="7" t="str">
        <f>INDEX(Detail!$B$1:$B$1001,MATCH(B545,Detail!$G$1:$G$1001,0),1)</f>
        <v>O-</v>
      </c>
    </row>
    <row r="546" spans="1:21" ht="15.75" x14ac:dyDescent="0.25">
      <c r="A546">
        <v>292</v>
      </c>
      <c r="B546" s="3" t="str">
        <f t="shared" si="22"/>
        <v>D0292</v>
      </c>
      <c r="C546" t="s">
        <v>1013</v>
      </c>
      <c r="D546" s="3" t="str">
        <f>VLOOKUP(B546,Detail!$G$1:$H$1001,2,FALSE)</f>
        <v>Akarsana Firgantoro</v>
      </c>
      <c r="E546">
        <v>63</v>
      </c>
      <c r="F546">
        <v>56</v>
      </c>
      <c r="G546" s="35">
        <v>80</v>
      </c>
      <c r="H546">
        <v>56</v>
      </c>
      <c r="I546">
        <v>55</v>
      </c>
      <c r="J546">
        <v>97</v>
      </c>
      <c r="K546">
        <v>95</v>
      </c>
      <c r="L546" s="26">
        <f>IFERROR(VLOOKUP(B546,Absen!$A$1:$C$501,2,FALSE),"No")</f>
        <v>44855</v>
      </c>
      <c r="M546" s="44">
        <f t="shared" si="23"/>
        <v>8.5</v>
      </c>
      <c r="N546" s="35">
        <f t="shared" si="24"/>
        <v>72.650000000000006</v>
      </c>
      <c r="O546" t="str">
        <f>VLOOKUP(N546,Helper!$B$30:$C$35,2,TRUE)</f>
        <v>B</v>
      </c>
      <c r="P546" s="26">
        <f>INDEX(Detail!$A$1:$A$1001,MATCH(B546,Detail!$G$1:$G$1001,0))</f>
        <v>37761</v>
      </c>
      <c r="Q546" s="3" t="str">
        <f>INDEX(Detail!$F$1:$F$1001,MATCH(Main!B546,Detail!$G$1:$G$1001,0))</f>
        <v>Bandar Lampung</v>
      </c>
      <c r="R546" s="7">
        <f>INDEX(Detail!$C$1:$C$1001,MATCH(B546,Detail!$G$1:$G$1001,0),1)</f>
        <v>158</v>
      </c>
      <c r="S546" s="7">
        <f>INDEX(Detail!$D$1:$D$1001,MATCH(B546,Detail!$G$1:$G$1001,0),1)</f>
        <v>74</v>
      </c>
      <c r="T546" s="7" t="str">
        <f>INDEX(Detail!$E$1:$E$1001,MATCH(Main!B546,Detail!$G$1:$G$1001,0))</f>
        <v>Jl. Wonoayu No. 78</v>
      </c>
      <c r="U546" s="7" t="str">
        <f>INDEX(Detail!$B$1:$B$1001,MATCH(B546,Detail!$G$1:$G$1001,0),1)</f>
        <v>B-</v>
      </c>
    </row>
    <row r="547" spans="1:21" ht="15.75" x14ac:dyDescent="0.25">
      <c r="A547">
        <v>303</v>
      </c>
      <c r="B547" s="3" t="str">
        <f t="shared" si="22"/>
        <v>D0303</v>
      </c>
      <c r="C547" t="s">
        <v>1013</v>
      </c>
      <c r="D547" s="3" t="str">
        <f>VLOOKUP(B547,Detail!$G$1:$H$1001,2,FALSE)</f>
        <v>Wirda Sirait</v>
      </c>
      <c r="E547">
        <v>50</v>
      </c>
      <c r="F547">
        <v>62</v>
      </c>
      <c r="G547" s="35">
        <v>51</v>
      </c>
      <c r="H547">
        <v>63</v>
      </c>
      <c r="I547">
        <v>53</v>
      </c>
      <c r="J547">
        <v>96</v>
      </c>
      <c r="K547">
        <v>61</v>
      </c>
      <c r="L547" s="26">
        <f>IFERROR(VLOOKUP(B547,Absen!$A$1:$C$501,2,FALSE),"No")</f>
        <v>44810</v>
      </c>
      <c r="M547" s="44">
        <f t="shared" si="23"/>
        <v>5.1000000000000005</v>
      </c>
      <c r="N547" s="35">
        <f t="shared" si="24"/>
        <v>63.000000000000007</v>
      </c>
      <c r="O547" t="str">
        <f>VLOOKUP(N547,Helper!$B$30:$C$35,2,TRUE)</f>
        <v>C</v>
      </c>
      <c r="P547" s="26">
        <f>INDEX(Detail!$A$1:$A$1001,MATCH(B547,Detail!$G$1:$G$1001,0))</f>
        <v>38440</v>
      </c>
      <c r="Q547" s="3" t="str">
        <f>INDEX(Detail!$F$1:$F$1001,MATCH(Main!B547,Detail!$G$1:$G$1001,0))</f>
        <v>Tidore Kepulauan</v>
      </c>
      <c r="R547" s="7">
        <f>INDEX(Detail!$C$1:$C$1001,MATCH(B547,Detail!$G$1:$G$1001,0),1)</f>
        <v>152</v>
      </c>
      <c r="S547" s="7">
        <f>INDEX(Detail!$D$1:$D$1001,MATCH(B547,Detail!$G$1:$G$1001,0),1)</f>
        <v>77</v>
      </c>
      <c r="T547" s="7" t="str">
        <f>INDEX(Detail!$E$1:$E$1001,MATCH(Main!B547,Detail!$G$1:$G$1001,0))</f>
        <v xml:space="preserve">Jl. Dr. Djunjunan No. 2
</v>
      </c>
      <c r="U547" s="7" t="str">
        <f>INDEX(Detail!$B$1:$B$1001,MATCH(B547,Detail!$G$1:$G$1001,0),1)</f>
        <v>AB+</v>
      </c>
    </row>
    <row r="548" spans="1:21" ht="15.75" x14ac:dyDescent="0.25">
      <c r="A548">
        <v>304</v>
      </c>
      <c r="B548" s="3" t="str">
        <f t="shared" si="22"/>
        <v>D0304</v>
      </c>
      <c r="C548" t="s">
        <v>1013</v>
      </c>
      <c r="D548" s="3" t="str">
        <f>VLOOKUP(B548,Detail!$G$1:$H$1001,2,FALSE)</f>
        <v>Nugraha Suryono</v>
      </c>
      <c r="E548">
        <v>87</v>
      </c>
      <c r="F548">
        <v>62</v>
      </c>
      <c r="G548" s="35">
        <v>57</v>
      </c>
      <c r="H548">
        <v>68</v>
      </c>
      <c r="I548">
        <v>55</v>
      </c>
      <c r="J548">
        <v>96</v>
      </c>
      <c r="K548">
        <v>82</v>
      </c>
      <c r="L548" s="26" t="str">
        <f>IFERROR(VLOOKUP(B548,Absen!$A$1:$C$501,2,FALSE),"No")</f>
        <v>No</v>
      </c>
      <c r="M548" s="44">
        <f t="shared" si="23"/>
        <v>8.2000000000000011</v>
      </c>
      <c r="N548" s="35">
        <f t="shared" si="24"/>
        <v>72.8</v>
      </c>
      <c r="O548" t="str">
        <f>VLOOKUP(N548,Helper!$B$30:$C$35,2,TRUE)</f>
        <v>B</v>
      </c>
      <c r="P548" s="26">
        <f>INDEX(Detail!$A$1:$A$1001,MATCH(B548,Detail!$G$1:$G$1001,0))</f>
        <v>38133</v>
      </c>
      <c r="Q548" s="3" t="str">
        <f>INDEX(Detail!$F$1:$F$1001,MATCH(Main!B548,Detail!$G$1:$G$1001,0))</f>
        <v>Pekalongan</v>
      </c>
      <c r="R548" s="7">
        <f>INDEX(Detail!$C$1:$C$1001,MATCH(B548,Detail!$G$1:$G$1001,0),1)</f>
        <v>176</v>
      </c>
      <c r="S548" s="7">
        <f>INDEX(Detail!$D$1:$D$1001,MATCH(B548,Detail!$G$1:$G$1001,0),1)</f>
        <v>52</v>
      </c>
      <c r="T548" s="7" t="str">
        <f>INDEX(Detail!$E$1:$E$1001,MATCH(Main!B548,Detail!$G$1:$G$1001,0))</f>
        <v xml:space="preserve">Jalan Soekarno Hatta No. 7
</v>
      </c>
      <c r="U548" s="7" t="str">
        <f>INDEX(Detail!$B$1:$B$1001,MATCH(B548,Detail!$G$1:$G$1001,0),1)</f>
        <v>A-</v>
      </c>
    </row>
    <row r="549" spans="1:21" ht="15.75" x14ac:dyDescent="0.25">
      <c r="A549">
        <v>312</v>
      </c>
      <c r="B549" s="3" t="str">
        <f t="shared" si="22"/>
        <v>D0312</v>
      </c>
      <c r="C549" t="s">
        <v>1013</v>
      </c>
      <c r="D549" s="3" t="str">
        <f>VLOOKUP(B549,Detail!$G$1:$H$1001,2,FALSE)</f>
        <v>Bakidin Hasanah</v>
      </c>
      <c r="E549">
        <v>76</v>
      </c>
      <c r="F549">
        <v>57</v>
      </c>
      <c r="G549" s="35">
        <v>62</v>
      </c>
      <c r="H549">
        <v>70</v>
      </c>
      <c r="I549">
        <v>91</v>
      </c>
      <c r="J549">
        <v>84</v>
      </c>
      <c r="K549">
        <v>87</v>
      </c>
      <c r="L549" s="26">
        <f>IFERROR(VLOOKUP(B549,Absen!$A$1:$C$501,2,FALSE),"No")</f>
        <v>44817</v>
      </c>
      <c r="M549" s="44">
        <f t="shared" si="23"/>
        <v>7.7</v>
      </c>
      <c r="N549" s="35">
        <f t="shared" si="24"/>
        <v>73.650000000000006</v>
      </c>
      <c r="O549" t="str">
        <f>VLOOKUP(N549,Helper!$B$30:$C$35,2,TRUE)</f>
        <v>B</v>
      </c>
      <c r="P549" s="26">
        <f>INDEX(Detail!$A$1:$A$1001,MATCH(B549,Detail!$G$1:$G$1001,0))</f>
        <v>37626</v>
      </c>
      <c r="Q549" s="3" t="str">
        <f>INDEX(Detail!$F$1:$F$1001,MATCH(Main!B549,Detail!$G$1:$G$1001,0))</f>
        <v>Batam</v>
      </c>
      <c r="R549" s="7">
        <f>INDEX(Detail!$C$1:$C$1001,MATCH(B549,Detail!$G$1:$G$1001,0),1)</f>
        <v>176</v>
      </c>
      <c r="S549" s="7">
        <f>INDEX(Detail!$D$1:$D$1001,MATCH(B549,Detail!$G$1:$G$1001,0),1)</f>
        <v>65</v>
      </c>
      <c r="T549" s="7" t="str">
        <f>INDEX(Detail!$E$1:$E$1001,MATCH(Main!B549,Detail!$G$1:$G$1001,0))</f>
        <v xml:space="preserve">Gg. Kutisari Selatan No. 8
</v>
      </c>
      <c r="U549" s="7" t="str">
        <f>INDEX(Detail!$B$1:$B$1001,MATCH(B549,Detail!$G$1:$G$1001,0),1)</f>
        <v>AB+</v>
      </c>
    </row>
    <row r="550" spans="1:21" ht="15.75" x14ac:dyDescent="0.25">
      <c r="A550">
        <v>315</v>
      </c>
      <c r="B550" s="3" t="str">
        <f t="shared" si="22"/>
        <v>D0315</v>
      </c>
      <c r="C550" t="s">
        <v>1013</v>
      </c>
      <c r="D550" s="3" t="str">
        <f>VLOOKUP(B550,Detail!$G$1:$H$1001,2,FALSE)</f>
        <v>Puti Zulaika</v>
      </c>
      <c r="E550">
        <v>75</v>
      </c>
      <c r="F550">
        <v>54</v>
      </c>
      <c r="G550" s="35">
        <v>89</v>
      </c>
      <c r="H550">
        <v>72</v>
      </c>
      <c r="I550">
        <v>62</v>
      </c>
      <c r="J550">
        <v>96</v>
      </c>
      <c r="K550">
        <v>68</v>
      </c>
      <c r="L550" s="26" t="str">
        <f>IFERROR(VLOOKUP(B550,Absen!$A$1:$C$501,2,FALSE),"No")</f>
        <v>No</v>
      </c>
      <c r="M550" s="44">
        <f t="shared" si="23"/>
        <v>6.8000000000000007</v>
      </c>
      <c r="N550" s="35">
        <f t="shared" si="24"/>
        <v>76.674999999999997</v>
      </c>
      <c r="O550" t="str">
        <f>VLOOKUP(N550,Helper!$B$30:$C$35,2,TRUE)</f>
        <v>B</v>
      </c>
      <c r="P550" s="26">
        <f>INDEX(Detail!$A$1:$A$1001,MATCH(B550,Detail!$G$1:$G$1001,0))</f>
        <v>37988</v>
      </c>
      <c r="Q550" s="3" t="str">
        <f>INDEX(Detail!$F$1:$F$1001,MATCH(Main!B550,Detail!$G$1:$G$1001,0))</f>
        <v>Serang</v>
      </c>
      <c r="R550" s="7">
        <f>INDEX(Detail!$C$1:$C$1001,MATCH(B550,Detail!$G$1:$G$1001,0),1)</f>
        <v>177</v>
      </c>
      <c r="S550" s="7">
        <f>INDEX(Detail!$D$1:$D$1001,MATCH(B550,Detail!$G$1:$G$1001,0),1)</f>
        <v>67</v>
      </c>
      <c r="T550" s="7" t="str">
        <f>INDEX(Detail!$E$1:$E$1001,MATCH(Main!B550,Detail!$G$1:$G$1001,0))</f>
        <v>Jl. Ciwastra No. 45</v>
      </c>
      <c r="U550" s="7" t="str">
        <f>INDEX(Detail!$B$1:$B$1001,MATCH(B550,Detail!$G$1:$G$1001,0),1)</f>
        <v>B+</v>
      </c>
    </row>
    <row r="551" spans="1:21" ht="15.75" x14ac:dyDescent="0.25">
      <c r="A551">
        <v>318</v>
      </c>
      <c r="B551" s="3" t="str">
        <f t="shared" si="22"/>
        <v>D0318</v>
      </c>
      <c r="C551" t="s">
        <v>1013</v>
      </c>
      <c r="D551" s="3" t="str">
        <f>VLOOKUP(B551,Detail!$G$1:$H$1001,2,FALSE)</f>
        <v>Hafshah Haryanti</v>
      </c>
      <c r="E551">
        <v>86</v>
      </c>
      <c r="F551">
        <v>74</v>
      </c>
      <c r="G551" s="35">
        <v>59</v>
      </c>
      <c r="H551">
        <v>71</v>
      </c>
      <c r="I551">
        <v>55</v>
      </c>
      <c r="J551">
        <v>48</v>
      </c>
      <c r="K551">
        <v>95</v>
      </c>
      <c r="L551" s="26" t="str">
        <f>IFERROR(VLOOKUP(B551,Absen!$A$1:$C$501,2,FALSE),"No")</f>
        <v>No</v>
      </c>
      <c r="M551" s="44">
        <f t="shared" si="23"/>
        <v>9.5</v>
      </c>
      <c r="N551" s="35">
        <f t="shared" si="24"/>
        <v>66.650000000000006</v>
      </c>
      <c r="O551" t="str">
        <f>VLOOKUP(N551,Helper!$B$30:$C$35,2,TRUE)</f>
        <v>C</v>
      </c>
      <c r="P551" s="26">
        <f>INDEX(Detail!$A$1:$A$1001,MATCH(B551,Detail!$G$1:$G$1001,0))</f>
        <v>37255</v>
      </c>
      <c r="Q551" s="3" t="str">
        <f>INDEX(Detail!$F$1:$F$1001,MATCH(Main!B551,Detail!$G$1:$G$1001,0))</f>
        <v>Metro</v>
      </c>
      <c r="R551" s="7">
        <f>INDEX(Detail!$C$1:$C$1001,MATCH(B551,Detail!$G$1:$G$1001,0),1)</f>
        <v>177</v>
      </c>
      <c r="S551" s="7">
        <f>INDEX(Detail!$D$1:$D$1001,MATCH(B551,Detail!$G$1:$G$1001,0),1)</f>
        <v>67</v>
      </c>
      <c r="T551" s="7" t="str">
        <f>INDEX(Detail!$E$1:$E$1001,MATCH(Main!B551,Detail!$G$1:$G$1001,0))</f>
        <v>Gang Tebet Barat Dalam No. 83</v>
      </c>
      <c r="U551" s="7" t="str">
        <f>INDEX(Detail!$B$1:$B$1001,MATCH(B551,Detail!$G$1:$G$1001,0),1)</f>
        <v>A-</v>
      </c>
    </row>
    <row r="552" spans="1:21" ht="15.75" x14ac:dyDescent="0.25">
      <c r="A552">
        <v>323</v>
      </c>
      <c r="B552" s="3" t="str">
        <f t="shared" si="22"/>
        <v>D0323</v>
      </c>
      <c r="C552" t="s">
        <v>1013</v>
      </c>
      <c r="D552" s="3" t="str">
        <f>VLOOKUP(B552,Detail!$G$1:$H$1001,2,FALSE)</f>
        <v>Nrima Novitasari</v>
      </c>
      <c r="E552">
        <v>95</v>
      </c>
      <c r="F552">
        <v>64</v>
      </c>
      <c r="G552" s="35">
        <v>45</v>
      </c>
      <c r="H552">
        <v>64</v>
      </c>
      <c r="I552">
        <v>88</v>
      </c>
      <c r="J552">
        <v>60</v>
      </c>
      <c r="K552">
        <v>68</v>
      </c>
      <c r="L552" s="26" t="str">
        <f>IFERROR(VLOOKUP(B552,Absen!$A$1:$C$501,2,FALSE),"No")</f>
        <v>No</v>
      </c>
      <c r="M552" s="44">
        <f t="shared" si="23"/>
        <v>6.8000000000000007</v>
      </c>
      <c r="N552" s="35">
        <f t="shared" si="24"/>
        <v>66.674999999999997</v>
      </c>
      <c r="O552" t="str">
        <f>VLOOKUP(N552,Helper!$B$30:$C$35,2,TRUE)</f>
        <v>C</v>
      </c>
      <c r="P552" s="26">
        <f>INDEX(Detail!$A$1:$A$1001,MATCH(B552,Detail!$G$1:$G$1001,0))</f>
        <v>37969</v>
      </c>
      <c r="Q552" s="3" t="str">
        <f>INDEX(Detail!$F$1:$F$1001,MATCH(Main!B552,Detail!$G$1:$G$1001,0))</f>
        <v>Ambon</v>
      </c>
      <c r="R552" s="7">
        <f>INDEX(Detail!$C$1:$C$1001,MATCH(B552,Detail!$G$1:$G$1001,0),1)</f>
        <v>180</v>
      </c>
      <c r="S552" s="7">
        <f>INDEX(Detail!$D$1:$D$1001,MATCH(B552,Detail!$G$1:$G$1001,0),1)</f>
        <v>70</v>
      </c>
      <c r="T552" s="7" t="str">
        <f>INDEX(Detail!$E$1:$E$1001,MATCH(Main!B552,Detail!$G$1:$G$1001,0))</f>
        <v>Jl. Veteran No. 94</v>
      </c>
      <c r="U552" s="7" t="str">
        <f>INDEX(Detail!$B$1:$B$1001,MATCH(B552,Detail!$G$1:$G$1001,0),1)</f>
        <v>AB-</v>
      </c>
    </row>
    <row r="553" spans="1:21" ht="15.75" x14ac:dyDescent="0.25">
      <c r="A553">
        <v>332</v>
      </c>
      <c r="B553" s="3" t="str">
        <f t="shared" si="22"/>
        <v>D0332</v>
      </c>
      <c r="C553" t="s">
        <v>1013</v>
      </c>
      <c r="D553" s="3" t="str">
        <f>VLOOKUP(B553,Detail!$G$1:$H$1001,2,FALSE)</f>
        <v>Mujur Halimah</v>
      </c>
      <c r="E553">
        <v>63</v>
      </c>
      <c r="F553">
        <v>53</v>
      </c>
      <c r="G553" s="35">
        <v>31</v>
      </c>
      <c r="H553">
        <v>55</v>
      </c>
      <c r="I553">
        <v>65</v>
      </c>
      <c r="J553">
        <v>84</v>
      </c>
      <c r="K553">
        <v>96</v>
      </c>
      <c r="L553" s="26" t="str">
        <f>IFERROR(VLOOKUP(B553,Absen!$A$1:$C$501,2,FALSE),"No")</f>
        <v>No</v>
      </c>
      <c r="M553" s="44">
        <f t="shared" si="23"/>
        <v>9.6000000000000014</v>
      </c>
      <c r="N553" s="35">
        <f t="shared" si="24"/>
        <v>62.1</v>
      </c>
      <c r="O553" t="str">
        <f>VLOOKUP(N553,Helper!$B$30:$C$35,2,TRUE)</f>
        <v>C</v>
      </c>
      <c r="P553" s="26">
        <f>INDEX(Detail!$A$1:$A$1001,MATCH(B553,Detail!$G$1:$G$1001,0))</f>
        <v>38301</v>
      </c>
      <c r="Q553" s="3" t="str">
        <f>INDEX(Detail!$F$1:$F$1001,MATCH(Main!B553,Detail!$G$1:$G$1001,0))</f>
        <v>Cilegon</v>
      </c>
      <c r="R553" s="7">
        <f>INDEX(Detail!$C$1:$C$1001,MATCH(B553,Detail!$G$1:$G$1001,0),1)</f>
        <v>157</v>
      </c>
      <c r="S553" s="7">
        <f>INDEX(Detail!$D$1:$D$1001,MATCH(B553,Detail!$G$1:$G$1001,0),1)</f>
        <v>65</v>
      </c>
      <c r="T553" s="7" t="str">
        <f>INDEX(Detail!$E$1:$E$1001,MATCH(Main!B553,Detail!$G$1:$G$1001,0))</f>
        <v>Jl. Ciumbuleuit No. 87</v>
      </c>
      <c r="U553" s="7" t="str">
        <f>INDEX(Detail!$B$1:$B$1001,MATCH(B553,Detail!$G$1:$G$1001,0),1)</f>
        <v>O+</v>
      </c>
    </row>
    <row r="554" spans="1:21" ht="15.75" x14ac:dyDescent="0.25">
      <c r="A554">
        <v>334</v>
      </c>
      <c r="B554" s="3" t="str">
        <f t="shared" si="22"/>
        <v>D0334</v>
      </c>
      <c r="C554" t="s">
        <v>1013</v>
      </c>
      <c r="D554" s="3" t="str">
        <f>VLOOKUP(B554,Detail!$G$1:$H$1001,2,FALSE)</f>
        <v>Raina Yuliarti</v>
      </c>
      <c r="E554">
        <v>54</v>
      </c>
      <c r="F554">
        <v>72</v>
      </c>
      <c r="G554" s="35">
        <v>50</v>
      </c>
      <c r="H554">
        <v>73</v>
      </c>
      <c r="I554">
        <v>75</v>
      </c>
      <c r="J554">
        <v>78</v>
      </c>
      <c r="K554">
        <v>96</v>
      </c>
      <c r="L554" s="26">
        <f>IFERROR(VLOOKUP(B554,Absen!$A$1:$C$501,2,FALSE),"No")</f>
        <v>44767</v>
      </c>
      <c r="M554" s="44">
        <f t="shared" si="23"/>
        <v>8.6</v>
      </c>
      <c r="N554" s="35">
        <f t="shared" si="24"/>
        <v>68.45</v>
      </c>
      <c r="O554" t="str">
        <f>VLOOKUP(N554,Helper!$B$30:$C$35,2,TRUE)</f>
        <v>C</v>
      </c>
      <c r="P554" s="26">
        <f>INDEX(Detail!$A$1:$A$1001,MATCH(B554,Detail!$G$1:$G$1001,0))</f>
        <v>38119</v>
      </c>
      <c r="Q554" s="3" t="str">
        <f>INDEX(Detail!$F$1:$F$1001,MATCH(Main!B554,Detail!$G$1:$G$1001,0))</f>
        <v>Meulaboh</v>
      </c>
      <c r="R554" s="7">
        <f>INDEX(Detail!$C$1:$C$1001,MATCH(B554,Detail!$G$1:$G$1001,0),1)</f>
        <v>154</v>
      </c>
      <c r="S554" s="7">
        <f>INDEX(Detail!$D$1:$D$1001,MATCH(B554,Detail!$G$1:$G$1001,0),1)</f>
        <v>58</v>
      </c>
      <c r="T554" s="7" t="str">
        <f>INDEX(Detail!$E$1:$E$1001,MATCH(Main!B554,Detail!$G$1:$G$1001,0))</f>
        <v>Gang Pasteur No. 81</v>
      </c>
      <c r="U554" s="7" t="str">
        <f>INDEX(Detail!$B$1:$B$1001,MATCH(B554,Detail!$G$1:$G$1001,0),1)</f>
        <v>A+</v>
      </c>
    </row>
    <row r="555" spans="1:21" ht="15.75" x14ac:dyDescent="0.25">
      <c r="A555">
        <v>337</v>
      </c>
      <c r="B555" s="3" t="str">
        <f t="shared" si="22"/>
        <v>D0337</v>
      </c>
      <c r="C555" t="s">
        <v>1013</v>
      </c>
      <c r="D555" s="3" t="str">
        <f>VLOOKUP(B555,Detail!$G$1:$H$1001,2,FALSE)</f>
        <v>Darmaji Manullang</v>
      </c>
      <c r="E555">
        <v>78</v>
      </c>
      <c r="F555">
        <v>72</v>
      </c>
      <c r="G555" s="35">
        <v>52</v>
      </c>
      <c r="H555">
        <v>66</v>
      </c>
      <c r="I555">
        <v>59</v>
      </c>
      <c r="J555">
        <v>46</v>
      </c>
      <c r="K555">
        <v>88</v>
      </c>
      <c r="L555" s="26">
        <f>IFERROR(VLOOKUP(B555,Absen!$A$1:$C$501,2,FALSE),"No")</f>
        <v>44772</v>
      </c>
      <c r="M555" s="44">
        <f t="shared" si="23"/>
        <v>7.8000000000000007</v>
      </c>
      <c r="N555" s="35">
        <f t="shared" si="24"/>
        <v>61.775000000000006</v>
      </c>
      <c r="O555" t="str">
        <f>VLOOKUP(N555,Helper!$B$30:$C$35,2,TRUE)</f>
        <v>C</v>
      </c>
      <c r="P555" s="26">
        <f>INDEX(Detail!$A$1:$A$1001,MATCH(B555,Detail!$G$1:$G$1001,0))</f>
        <v>37845</v>
      </c>
      <c r="Q555" s="3" t="str">
        <f>INDEX(Detail!$F$1:$F$1001,MATCH(Main!B555,Detail!$G$1:$G$1001,0))</f>
        <v>Singkawang</v>
      </c>
      <c r="R555" s="7">
        <f>INDEX(Detail!$C$1:$C$1001,MATCH(B555,Detail!$G$1:$G$1001,0),1)</f>
        <v>173</v>
      </c>
      <c r="S555" s="7">
        <f>INDEX(Detail!$D$1:$D$1001,MATCH(B555,Detail!$G$1:$G$1001,0),1)</f>
        <v>56</v>
      </c>
      <c r="T555" s="7" t="str">
        <f>INDEX(Detail!$E$1:$E$1001,MATCH(Main!B555,Detail!$G$1:$G$1001,0))</f>
        <v>Gang PHH. Mustofa No. 91</v>
      </c>
      <c r="U555" s="7" t="str">
        <f>INDEX(Detail!$B$1:$B$1001,MATCH(B555,Detail!$G$1:$G$1001,0),1)</f>
        <v>B-</v>
      </c>
    </row>
    <row r="556" spans="1:21" ht="15.75" x14ac:dyDescent="0.25">
      <c r="A556">
        <v>342</v>
      </c>
      <c r="B556" s="3" t="str">
        <f t="shared" si="22"/>
        <v>D0342</v>
      </c>
      <c r="C556" t="s">
        <v>1013</v>
      </c>
      <c r="D556" s="3" t="str">
        <f>VLOOKUP(B556,Detail!$G$1:$H$1001,2,FALSE)</f>
        <v>Maman Winarsih</v>
      </c>
      <c r="E556">
        <v>57</v>
      </c>
      <c r="F556">
        <v>41</v>
      </c>
      <c r="G556" s="35">
        <v>76</v>
      </c>
      <c r="H556">
        <v>70</v>
      </c>
      <c r="I556">
        <v>65</v>
      </c>
      <c r="J556">
        <v>89</v>
      </c>
      <c r="K556">
        <v>84</v>
      </c>
      <c r="L556" s="26" t="str">
        <f>IFERROR(VLOOKUP(B556,Absen!$A$1:$C$501,2,FALSE),"No")</f>
        <v>No</v>
      </c>
      <c r="M556" s="44">
        <f t="shared" si="23"/>
        <v>8.4</v>
      </c>
      <c r="N556" s="35">
        <f t="shared" si="24"/>
        <v>70.525000000000006</v>
      </c>
      <c r="O556" t="str">
        <f>VLOOKUP(N556,Helper!$B$30:$C$35,2,TRUE)</f>
        <v>B</v>
      </c>
      <c r="P556" s="26">
        <f>INDEX(Detail!$A$1:$A$1001,MATCH(B556,Detail!$G$1:$G$1001,0))</f>
        <v>37918</v>
      </c>
      <c r="Q556" s="3" t="str">
        <f>INDEX(Detail!$F$1:$F$1001,MATCH(Main!B556,Detail!$G$1:$G$1001,0))</f>
        <v>Lubuklinggau</v>
      </c>
      <c r="R556" s="7">
        <f>INDEX(Detail!$C$1:$C$1001,MATCH(B556,Detail!$G$1:$G$1001,0),1)</f>
        <v>158</v>
      </c>
      <c r="S556" s="7">
        <f>INDEX(Detail!$D$1:$D$1001,MATCH(B556,Detail!$G$1:$G$1001,0),1)</f>
        <v>92</v>
      </c>
      <c r="T556" s="7" t="str">
        <f>INDEX(Detail!$E$1:$E$1001,MATCH(Main!B556,Detail!$G$1:$G$1001,0))</f>
        <v>Jalan Cikutra Timur No. 80</v>
      </c>
      <c r="U556" s="7" t="str">
        <f>INDEX(Detail!$B$1:$B$1001,MATCH(B556,Detail!$G$1:$G$1001,0),1)</f>
        <v>B+</v>
      </c>
    </row>
    <row r="557" spans="1:21" ht="15.75" x14ac:dyDescent="0.25">
      <c r="A557">
        <v>344</v>
      </c>
      <c r="B557" s="3" t="str">
        <f t="shared" ref="B557:B620" si="25">CONCATENATE("D",TEXT(A557,"0000"))</f>
        <v>D0344</v>
      </c>
      <c r="C557" t="s">
        <v>1013</v>
      </c>
      <c r="D557" s="3" t="str">
        <f>VLOOKUP(B557,Detail!$G$1:$H$1001,2,FALSE)</f>
        <v>Zelaya Suartini</v>
      </c>
      <c r="E557">
        <v>94</v>
      </c>
      <c r="F557">
        <v>61</v>
      </c>
      <c r="G557" s="35">
        <v>79</v>
      </c>
      <c r="H557">
        <v>53</v>
      </c>
      <c r="I557">
        <v>52</v>
      </c>
      <c r="J557">
        <v>57</v>
      </c>
      <c r="K557">
        <v>71</v>
      </c>
      <c r="L557" s="26" t="str">
        <f>IFERROR(VLOOKUP(B557,Absen!$A$1:$C$501,2,FALSE),"No")</f>
        <v>No</v>
      </c>
      <c r="M557" s="44">
        <f t="shared" si="23"/>
        <v>7.1000000000000005</v>
      </c>
      <c r="N557" s="35">
        <f t="shared" si="24"/>
        <v>66.8</v>
      </c>
      <c r="O557" t="str">
        <f>VLOOKUP(N557,Helper!$B$30:$C$35,2,TRUE)</f>
        <v>C</v>
      </c>
      <c r="P557" s="26">
        <f>INDEX(Detail!$A$1:$A$1001,MATCH(B557,Detail!$G$1:$G$1001,0))</f>
        <v>37534</v>
      </c>
      <c r="Q557" s="3" t="str">
        <f>INDEX(Detail!$F$1:$F$1001,MATCH(Main!B557,Detail!$G$1:$G$1001,0))</f>
        <v>Manado</v>
      </c>
      <c r="R557" s="7">
        <f>INDEX(Detail!$C$1:$C$1001,MATCH(B557,Detail!$G$1:$G$1001,0),1)</f>
        <v>154</v>
      </c>
      <c r="S557" s="7">
        <f>INDEX(Detail!$D$1:$D$1001,MATCH(B557,Detail!$G$1:$G$1001,0),1)</f>
        <v>48</v>
      </c>
      <c r="T557" s="7" t="str">
        <f>INDEX(Detail!$E$1:$E$1001,MATCH(Main!B557,Detail!$G$1:$G$1001,0))</f>
        <v>Jalan Peta No. 59</v>
      </c>
      <c r="U557" s="7" t="str">
        <f>INDEX(Detail!$B$1:$B$1001,MATCH(B557,Detail!$G$1:$G$1001,0),1)</f>
        <v>B+</v>
      </c>
    </row>
    <row r="558" spans="1:21" ht="15.75" x14ac:dyDescent="0.25">
      <c r="A558">
        <v>347</v>
      </c>
      <c r="B558" s="3" t="str">
        <f t="shared" si="25"/>
        <v>D0347</v>
      </c>
      <c r="C558" t="s">
        <v>1013</v>
      </c>
      <c r="D558" s="3" t="str">
        <f>VLOOKUP(B558,Detail!$G$1:$H$1001,2,FALSE)</f>
        <v>Dartono Purnawati</v>
      </c>
      <c r="E558">
        <v>89</v>
      </c>
      <c r="F558">
        <v>72</v>
      </c>
      <c r="G558" s="35">
        <v>38</v>
      </c>
      <c r="H558">
        <v>52</v>
      </c>
      <c r="I558">
        <v>65</v>
      </c>
      <c r="J558">
        <v>98</v>
      </c>
      <c r="K558">
        <v>64</v>
      </c>
      <c r="L558" s="26" t="str">
        <f>IFERROR(VLOOKUP(B558,Absen!$A$1:$C$501,2,FALSE),"No")</f>
        <v>No</v>
      </c>
      <c r="M558" s="44">
        <f t="shared" si="23"/>
        <v>6.4</v>
      </c>
      <c r="N558" s="35">
        <f t="shared" si="24"/>
        <v>68.350000000000009</v>
      </c>
      <c r="O558" t="str">
        <f>VLOOKUP(N558,Helper!$B$30:$C$35,2,TRUE)</f>
        <v>C</v>
      </c>
      <c r="P558" s="26">
        <f>INDEX(Detail!$A$1:$A$1001,MATCH(B558,Detail!$G$1:$G$1001,0))</f>
        <v>37246</v>
      </c>
      <c r="Q558" s="3" t="str">
        <f>INDEX(Detail!$F$1:$F$1001,MATCH(Main!B558,Detail!$G$1:$G$1001,0))</f>
        <v>Purwokerto</v>
      </c>
      <c r="R558" s="7">
        <f>INDEX(Detail!$C$1:$C$1001,MATCH(B558,Detail!$G$1:$G$1001,0),1)</f>
        <v>160</v>
      </c>
      <c r="S558" s="7">
        <f>INDEX(Detail!$D$1:$D$1001,MATCH(B558,Detail!$G$1:$G$1001,0),1)</f>
        <v>48</v>
      </c>
      <c r="T558" s="7" t="str">
        <f>INDEX(Detail!$E$1:$E$1001,MATCH(Main!B558,Detail!$G$1:$G$1001,0))</f>
        <v xml:space="preserve">Jalan Pacuan Kuda No. 5
</v>
      </c>
      <c r="U558" s="7" t="str">
        <f>INDEX(Detail!$B$1:$B$1001,MATCH(B558,Detail!$G$1:$G$1001,0),1)</f>
        <v>AB+</v>
      </c>
    </row>
    <row r="559" spans="1:21" ht="15.75" x14ac:dyDescent="0.25">
      <c r="A559">
        <v>348</v>
      </c>
      <c r="B559" s="3" t="str">
        <f t="shared" si="25"/>
        <v>D0348</v>
      </c>
      <c r="C559" t="s">
        <v>1013</v>
      </c>
      <c r="D559" s="3" t="str">
        <f>VLOOKUP(B559,Detail!$G$1:$H$1001,2,FALSE)</f>
        <v>Muni Mangunsong</v>
      </c>
      <c r="E559">
        <v>64</v>
      </c>
      <c r="F559">
        <v>75</v>
      </c>
      <c r="G559" s="35">
        <v>59</v>
      </c>
      <c r="H559">
        <v>74</v>
      </c>
      <c r="I559">
        <v>64</v>
      </c>
      <c r="J559">
        <v>46</v>
      </c>
      <c r="K559">
        <v>65</v>
      </c>
      <c r="L559" s="26" t="str">
        <f>IFERROR(VLOOKUP(B559,Absen!$A$1:$C$501,2,FALSE),"No")</f>
        <v>No</v>
      </c>
      <c r="M559" s="44">
        <f t="shared" si="23"/>
        <v>6.5</v>
      </c>
      <c r="N559" s="35">
        <f t="shared" si="24"/>
        <v>62.125</v>
      </c>
      <c r="O559" t="str">
        <f>VLOOKUP(N559,Helper!$B$30:$C$35,2,TRUE)</f>
        <v>C</v>
      </c>
      <c r="P559" s="26">
        <f>INDEX(Detail!$A$1:$A$1001,MATCH(B559,Detail!$G$1:$G$1001,0))</f>
        <v>37838</v>
      </c>
      <c r="Q559" s="3" t="str">
        <f>INDEX(Detail!$F$1:$F$1001,MATCH(Main!B559,Detail!$G$1:$G$1001,0))</f>
        <v>Pagaralam</v>
      </c>
      <c r="R559" s="7">
        <f>INDEX(Detail!$C$1:$C$1001,MATCH(B559,Detail!$G$1:$G$1001,0),1)</f>
        <v>173</v>
      </c>
      <c r="S559" s="7">
        <f>INDEX(Detail!$D$1:$D$1001,MATCH(B559,Detail!$G$1:$G$1001,0),1)</f>
        <v>89</v>
      </c>
      <c r="T559" s="7" t="str">
        <f>INDEX(Detail!$E$1:$E$1001,MATCH(Main!B559,Detail!$G$1:$G$1001,0))</f>
        <v>Jalan Moch. Toha No. 73</v>
      </c>
      <c r="U559" s="7" t="str">
        <f>INDEX(Detail!$B$1:$B$1001,MATCH(B559,Detail!$G$1:$G$1001,0),1)</f>
        <v>A-</v>
      </c>
    </row>
    <row r="560" spans="1:21" ht="15.75" x14ac:dyDescent="0.25">
      <c r="A560">
        <v>359</v>
      </c>
      <c r="B560" s="3" t="str">
        <f t="shared" si="25"/>
        <v>D0359</v>
      </c>
      <c r="C560" t="s">
        <v>1013</v>
      </c>
      <c r="D560" s="3" t="str">
        <f>VLOOKUP(B560,Detail!$G$1:$H$1001,2,FALSE)</f>
        <v>Dartono Lestari</v>
      </c>
      <c r="E560">
        <v>67</v>
      </c>
      <c r="F560">
        <v>74</v>
      </c>
      <c r="G560" s="35">
        <v>92</v>
      </c>
      <c r="H560">
        <v>73</v>
      </c>
      <c r="I560">
        <v>59</v>
      </c>
      <c r="J560">
        <v>45</v>
      </c>
      <c r="K560">
        <v>85</v>
      </c>
      <c r="L560" s="26">
        <f>IFERROR(VLOOKUP(B560,Absen!$A$1:$C$501,2,FALSE),"No")</f>
        <v>44797</v>
      </c>
      <c r="M560" s="44">
        <f t="shared" si="23"/>
        <v>7.5</v>
      </c>
      <c r="N560" s="35">
        <f t="shared" si="24"/>
        <v>69.025000000000006</v>
      </c>
      <c r="O560" t="str">
        <f>VLOOKUP(N560,Helper!$B$30:$C$35,2,TRUE)</f>
        <v>C</v>
      </c>
      <c r="P560" s="26">
        <f>INDEX(Detail!$A$1:$A$1001,MATCH(B560,Detail!$G$1:$G$1001,0))</f>
        <v>37400</v>
      </c>
      <c r="Q560" s="3" t="str">
        <f>INDEX(Detail!$F$1:$F$1001,MATCH(Main!B560,Detail!$G$1:$G$1001,0))</f>
        <v>Kotamobagu</v>
      </c>
      <c r="R560" s="7">
        <f>INDEX(Detail!$C$1:$C$1001,MATCH(B560,Detail!$G$1:$G$1001,0),1)</f>
        <v>169</v>
      </c>
      <c r="S560" s="7">
        <f>INDEX(Detail!$D$1:$D$1001,MATCH(B560,Detail!$G$1:$G$1001,0),1)</f>
        <v>48</v>
      </c>
      <c r="T560" s="7" t="str">
        <f>INDEX(Detail!$E$1:$E$1001,MATCH(Main!B560,Detail!$G$1:$G$1001,0))</f>
        <v>Jalan M.H Thamrin No. 08</v>
      </c>
      <c r="U560" s="7" t="str">
        <f>INDEX(Detail!$B$1:$B$1001,MATCH(B560,Detail!$G$1:$G$1001,0),1)</f>
        <v>AB-</v>
      </c>
    </row>
    <row r="561" spans="1:21" ht="15.75" x14ac:dyDescent="0.25">
      <c r="A561">
        <v>362</v>
      </c>
      <c r="B561" s="3" t="str">
        <f t="shared" si="25"/>
        <v>D0362</v>
      </c>
      <c r="C561" t="s">
        <v>1013</v>
      </c>
      <c r="D561" s="3" t="str">
        <f>VLOOKUP(B561,Detail!$G$1:$H$1001,2,FALSE)</f>
        <v>Ade Simbolon</v>
      </c>
      <c r="E561">
        <v>85</v>
      </c>
      <c r="F561">
        <v>45</v>
      </c>
      <c r="G561" s="35">
        <v>65</v>
      </c>
      <c r="H561">
        <v>51</v>
      </c>
      <c r="I561">
        <v>73</v>
      </c>
      <c r="J561">
        <v>54</v>
      </c>
      <c r="K561">
        <v>60</v>
      </c>
      <c r="L561" s="26" t="str">
        <f>IFERROR(VLOOKUP(B561,Absen!$A$1:$C$501,2,FALSE),"No")</f>
        <v>No</v>
      </c>
      <c r="M561" s="44">
        <f t="shared" si="23"/>
        <v>6</v>
      </c>
      <c r="N561" s="35">
        <f t="shared" si="24"/>
        <v>61.55</v>
      </c>
      <c r="O561" t="str">
        <f>VLOOKUP(N561,Helper!$B$30:$C$35,2,TRUE)</f>
        <v>C</v>
      </c>
      <c r="P561" s="26">
        <f>INDEX(Detail!$A$1:$A$1001,MATCH(B561,Detail!$G$1:$G$1001,0))</f>
        <v>37021</v>
      </c>
      <c r="Q561" s="3" t="str">
        <f>INDEX(Detail!$F$1:$F$1001,MATCH(Main!B561,Detail!$G$1:$G$1001,0))</f>
        <v>Batam</v>
      </c>
      <c r="R561" s="7">
        <f>INDEX(Detail!$C$1:$C$1001,MATCH(B561,Detail!$G$1:$G$1001,0),1)</f>
        <v>153</v>
      </c>
      <c r="S561" s="7">
        <f>INDEX(Detail!$D$1:$D$1001,MATCH(B561,Detail!$G$1:$G$1001,0),1)</f>
        <v>65</v>
      </c>
      <c r="T561" s="7" t="str">
        <f>INDEX(Detail!$E$1:$E$1001,MATCH(Main!B561,Detail!$G$1:$G$1001,0))</f>
        <v>Gg. Rawamangun No. 87</v>
      </c>
      <c r="U561" s="7" t="str">
        <f>INDEX(Detail!$B$1:$B$1001,MATCH(B561,Detail!$G$1:$G$1001,0),1)</f>
        <v>AB+</v>
      </c>
    </row>
    <row r="562" spans="1:21" ht="15.75" x14ac:dyDescent="0.25">
      <c r="A562">
        <v>375</v>
      </c>
      <c r="B562" s="3" t="str">
        <f t="shared" si="25"/>
        <v>D0375</v>
      </c>
      <c r="C562" t="s">
        <v>1013</v>
      </c>
      <c r="D562" s="3" t="str">
        <f>VLOOKUP(B562,Detail!$G$1:$H$1001,2,FALSE)</f>
        <v>Bahuraksa Nuraini</v>
      </c>
      <c r="E562">
        <v>90</v>
      </c>
      <c r="F562">
        <v>67</v>
      </c>
      <c r="G562" s="35">
        <v>81</v>
      </c>
      <c r="H562">
        <v>73</v>
      </c>
      <c r="I562">
        <v>58</v>
      </c>
      <c r="J562">
        <v>67</v>
      </c>
      <c r="K562">
        <v>90</v>
      </c>
      <c r="L562" s="26">
        <f>IFERROR(VLOOKUP(B562,Absen!$A$1:$C$501,2,FALSE),"No")</f>
        <v>44766</v>
      </c>
      <c r="M562" s="44">
        <f t="shared" si="23"/>
        <v>8</v>
      </c>
      <c r="N562" s="35">
        <f t="shared" si="24"/>
        <v>73.600000000000009</v>
      </c>
      <c r="O562" t="str">
        <f>VLOOKUP(N562,Helper!$B$30:$C$35,2,TRUE)</f>
        <v>B</v>
      </c>
      <c r="P562" s="26">
        <f>INDEX(Detail!$A$1:$A$1001,MATCH(B562,Detail!$G$1:$G$1001,0))</f>
        <v>37476</v>
      </c>
      <c r="Q562" s="3" t="str">
        <f>INDEX(Detail!$F$1:$F$1001,MATCH(Main!B562,Detail!$G$1:$G$1001,0))</f>
        <v>Jayapura</v>
      </c>
      <c r="R562" s="7">
        <f>INDEX(Detail!$C$1:$C$1001,MATCH(B562,Detail!$G$1:$G$1001,0),1)</f>
        <v>173</v>
      </c>
      <c r="S562" s="7">
        <f>INDEX(Detail!$D$1:$D$1001,MATCH(B562,Detail!$G$1:$G$1001,0),1)</f>
        <v>69</v>
      </c>
      <c r="T562" s="7" t="str">
        <f>INDEX(Detail!$E$1:$E$1001,MATCH(Main!B562,Detail!$G$1:$G$1001,0))</f>
        <v>Jalan Merdeka No. 78</v>
      </c>
      <c r="U562" s="7" t="str">
        <f>INDEX(Detail!$B$1:$B$1001,MATCH(B562,Detail!$G$1:$G$1001,0),1)</f>
        <v>B+</v>
      </c>
    </row>
    <row r="563" spans="1:21" ht="15.75" x14ac:dyDescent="0.25">
      <c r="A563">
        <v>378</v>
      </c>
      <c r="B563" s="3" t="str">
        <f t="shared" si="25"/>
        <v>D0378</v>
      </c>
      <c r="C563" t="s">
        <v>1013</v>
      </c>
      <c r="D563" s="3" t="str">
        <f>VLOOKUP(B563,Detail!$G$1:$H$1001,2,FALSE)</f>
        <v>Raden Oktaviani</v>
      </c>
      <c r="E563">
        <v>91</v>
      </c>
      <c r="F563">
        <v>44</v>
      </c>
      <c r="G563" s="35">
        <v>76</v>
      </c>
      <c r="H563">
        <v>60</v>
      </c>
      <c r="I563">
        <v>79</v>
      </c>
      <c r="J563">
        <v>98</v>
      </c>
      <c r="K563">
        <v>100</v>
      </c>
      <c r="L563" s="26" t="str">
        <f>IFERROR(VLOOKUP(B563,Absen!$A$1:$C$501,2,FALSE),"No")</f>
        <v>No</v>
      </c>
      <c r="M563" s="44">
        <f t="shared" si="23"/>
        <v>10</v>
      </c>
      <c r="N563" s="35">
        <f t="shared" si="24"/>
        <v>79.050000000000011</v>
      </c>
      <c r="O563" t="str">
        <f>VLOOKUP(N563,Helper!$B$30:$C$35,2,TRUE)</f>
        <v>B</v>
      </c>
      <c r="P563" s="26">
        <f>INDEX(Detail!$A$1:$A$1001,MATCH(B563,Detail!$G$1:$G$1001,0))</f>
        <v>38186</v>
      </c>
      <c r="Q563" s="3" t="str">
        <f>INDEX(Detail!$F$1:$F$1001,MATCH(Main!B563,Detail!$G$1:$G$1001,0))</f>
        <v>Kendari</v>
      </c>
      <c r="R563" s="7">
        <f>INDEX(Detail!$C$1:$C$1001,MATCH(B563,Detail!$G$1:$G$1001,0),1)</f>
        <v>155</v>
      </c>
      <c r="S563" s="7">
        <f>INDEX(Detail!$D$1:$D$1001,MATCH(B563,Detail!$G$1:$G$1001,0),1)</f>
        <v>49</v>
      </c>
      <c r="T563" s="7" t="str">
        <f>INDEX(Detail!$E$1:$E$1001,MATCH(Main!B563,Detail!$G$1:$G$1001,0))</f>
        <v>Gg. Ahmad Dahlan No. 90</v>
      </c>
      <c r="U563" s="7" t="str">
        <f>INDEX(Detail!$B$1:$B$1001,MATCH(B563,Detail!$G$1:$G$1001,0),1)</f>
        <v>AB-</v>
      </c>
    </row>
    <row r="564" spans="1:21" ht="15.75" x14ac:dyDescent="0.25">
      <c r="A564">
        <v>380</v>
      </c>
      <c r="B564" s="3" t="str">
        <f t="shared" si="25"/>
        <v>D0380</v>
      </c>
      <c r="C564" t="s">
        <v>1013</v>
      </c>
      <c r="D564" s="3" t="str">
        <f>VLOOKUP(B564,Detail!$G$1:$H$1001,2,FALSE)</f>
        <v>Kiandra Agustina</v>
      </c>
      <c r="E564">
        <v>66</v>
      </c>
      <c r="F564">
        <v>42</v>
      </c>
      <c r="G564" s="35">
        <v>92</v>
      </c>
      <c r="H564">
        <v>71</v>
      </c>
      <c r="I564">
        <v>66</v>
      </c>
      <c r="J564">
        <v>48</v>
      </c>
      <c r="K564">
        <v>73</v>
      </c>
      <c r="L564" s="26">
        <f>IFERROR(VLOOKUP(B564,Absen!$A$1:$C$501,2,FALSE),"No")</f>
        <v>44849</v>
      </c>
      <c r="M564" s="44">
        <f t="shared" si="23"/>
        <v>6.3000000000000007</v>
      </c>
      <c r="N564" s="35">
        <f t="shared" si="24"/>
        <v>64.925000000000011</v>
      </c>
      <c r="O564" t="str">
        <f>VLOOKUP(N564,Helper!$B$30:$C$35,2,TRUE)</f>
        <v>C</v>
      </c>
      <c r="P564" s="26">
        <f>INDEX(Detail!$A$1:$A$1001,MATCH(B564,Detail!$G$1:$G$1001,0))</f>
        <v>37066</v>
      </c>
      <c r="Q564" s="3" t="str">
        <f>INDEX(Detail!$F$1:$F$1001,MATCH(Main!B564,Detail!$G$1:$G$1001,0))</f>
        <v>Banjarmasin</v>
      </c>
      <c r="R564" s="7">
        <f>INDEX(Detail!$C$1:$C$1001,MATCH(B564,Detail!$G$1:$G$1001,0),1)</f>
        <v>174</v>
      </c>
      <c r="S564" s="7">
        <f>INDEX(Detail!$D$1:$D$1001,MATCH(B564,Detail!$G$1:$G$1001,0),1)</f>
        <v>81</v>
      </c>
      <c r="T564" s="7" t="str">
        <f>INDEX(Detail!$E$1:$E$1001,MATCH(Main!B564,Detail!$G$1:$G$1001,0))</f>
        <v>Gang Raya Setiabudhi No. 58</v>
      </c>
      <c r="U564" s="7" t="str">
        <f>INDEX(Detail!$B$1:$B$1001,MATCH(B564,Detail!$G$1:$G$1001,0),1)</f>
        <v>B-</v>
      </c>
    </row>
    <row r="565" spans="1:21" ht="15.75" x14ac:dyDescent="0.25">
      <c r="A565">
        <v>382</v>
      </c>
      <c r="B565" s="3" t="str">
        <f t="shared" si="25"/>
        <v>D0382</v>
      </c>
      <c r="C565" t="s">
        <v>1013</v>
      </c>
      <c r="D565" s="3" t="str">
        <f>VLOOKUP(B565,Detail!$G$1:$H$1001,2,FALSE)</f>
        <v>Elisa Habibi</v>
      </c>
      <c r="E565">
        <v>82</v>
      </c>
      <c r="F565">
        <v>66</v>
      </c>
      <c r="G565" s="35">
        <v>95</v>
      </c>
      <c r="H565">
        <v>52</v>
      </c>
      <c r="I565">
        <v>89</v>
      </c>
      <c r="J565">
        <v>93</v>
      </c>
      <c r="K565">
        <v>100</v>
      </c>
      <c r="L565" s="26" t="str">
        <f>IFERROR(VLOOKUP(B565,Absen!$A$1:$C$501,2,FALSE),"No")</f>
        <v>No</v>
      </c>
      <c r="M565" s="44">
        <f t="shared" si="23"/>
        <v>10</v>
      </c>
      <c r="N565" s="35">
        <f t="shared" si="24"/>
        <v>83.724999999999994</v>
      </c>
      <c r="O565" t="str">
        <f>VLOOKUP(N565,Helper!$B$30:$C$35,2,TRUE)</f>
        <v>A</v>
      </c>
      <c r="P565" s="26">
        <f>INDEX(Detail!$A$1:$A$1001,MATCH(B565,Detail!$G$1:$G$1001,0))</f>
        <v>37592</v>
      </c>
      <c r="Q565" s="3" t="str">
        <f>INDEX(Detail!$F$1:$F$1001,MATCH(Main!B565,Detail!$G$1:$G$1001,0))</f>
        <v>Mataram</v>
      </c>
      <c r="R565" s="7">
        <f>INDEX(Detail!$C$1:$C$1001,MATCH(B565,Detail!$G$1:$G$1001,0),1)</f>
        <v>161</v>
      </c>
      <c r="S565" s="7">
        <f>INDEX(Detail!$D$1:$D$1001,MATCH(B565,Detail!$G$1:$G$1001,0),1)</f>
        <v>48</v>
      </c>
      <c r="T565" s="7" t="str">
        <f>INDEX(Detail!$E$1:$E$1001,MATCH(Main!B565,Detail!$G$1:$G$1001,0))</f>
        <v>Jl. Cikapayang No. 52</v>
      </c>
      <c r="U565" s="7" t="str">
        <f>INDEX(Detail!$B$1:$B$1001,MATCH(B565,Detail!$G$1:$G$1001,0),1)</f>
        <v>A-</v>
      </c>
    </row>
    <row r="566" spans="1:21" ht="15.75" x14ac:dyDescent="0.25">
      <c r="A566">
        <v>393</v>
      </c>
      <c r="B566" s="3" t="str">
        <f t="shared" si="25"/>
        <v>D0393</v>
      </c>
      <c r="C566" t="s">
        <v>1013</v>
      </c>
      <c r="D566" s="3" t="str">
        <f>VLOOKUP(B566,Detail!$G$1:$H$1001,2,FALSE)</f>
        <v>Adhiarja Prasasta</v>
      </c>
      <c r="E566">
        <v>77</v>
      </c>
      <c r="F566">
        <v>46</v>
      </c>
      <c r="G566" s="35">
        <v>64</v>
      </c>
      <c r="H566">
        <v>71</v>
      </c>
      <c r="I566">
        <v>92</v>
      </c>
      <c r="J566">
        <v>97</v>
      </c>
      <c r="K566">
        <v>86</v>
      </c>
      <c r="L566" s="26">
        <f>IFERROR(VLOOKUP(B566,Absen!$A$1:$C$501,2,FALSE),"No")</f>
        <v>44831</v>
      </c>
      <c r="M566" s="44">
        <f t="shared" si="23"/>
        <v>7.6000000000000005</v>
      </c>
      <c r="N566" s="35">
        <f t="shared" si="24"/>
        <v>75.55</v>
      </c>
      <c r="O566" t="str">
        <f>VLOOKUP(N566,Helper!$B$30:$C$35,2,TRUE)</f>
        <v>B</v>
      </c>
      <c r="P566" s="26">
        <f>INDEX(Detail!$A$1:$A$1001,MATCH(B566,Detail!$G$1:$G$1001,0))</f>
        <v>37799</v>
      </c>
      <c r="Q566" s="3" t="str">
        <f>INDEX(Detail!$F$1:$F$1001,MATCH(Main!B566,Detail!$G$1:$G$1001,0))</f>
        <v>Banjar</v>
      </c>
      <c r="R566" s="7">
        <f>INDEX(Detail!$C$1:$C$1001,MATCH(B566,Detail!$G$1:$G$1001,0),1)</f>
        <v>172</v>
      </c>
      <c r="S566" s="7">
        <f>INDEX(Detail!$D$1:$D$1001,MATCH(B566,Detail!$G$1:$G$1001,0),1)</f>
        <v>51</v>
      </c>
      <c r="T566" s="7" t="str">
        <f>INDEX(Detail!$E$1:$E$1001,MATCH(Main!B566,Detail!$G$1:$G$1001,0))</f>
        <v>Jalan Ciwastra No. 05</v>
      </c>
      <c r="U566" s="7" t="str">
        <f>INDEX(Detail!$B$1:$B$1001,MATCH(B566,Detail!$G$1:$G$1001,0),1)</f>
        <v>AB+</v>
      </c>
    </row>
    <row r="567" spans="1:21" ht="15.75" x14ac:dyDescent="0.25">
      <c r="A567">
        <v>396</v>
      </c>
      <c r="B567" s="3" t="str">
        <f t="shared" si="25"/>
        <v>D0396</v>
      </c>
      <c r="C567" t="s">
        <v>1013</v>
      </c>
      <c r="D567" s="3" t="str">
        <f>VLOOKUP(B567,Detail!$G$1:$H$1001,2,FALSE)</f>
        <v>Ami Prasetya</v>
      </c>
      <c r="E567">
        <v>51</v>
      </c>
      <c r="F567">
        <v>56</v>
      </c>
      <c r="G567" s="35">
        <v>81</v>
      </c>
      <c r="H567">
        <v>60</v>
      </c>
      <c r="I567">
        <v>91</v>
      </c>
      <c r="J567">
        <v>54</v>
      </c>
      <c r="K567">
        <v>63</v>
      </c>
      <c r="L567" s="26" t="str">
        <f>IFERROR(VLOOKUP(B567,Absen!$A$1:$C$501,2,FALSE),"No")</f>
        <v>No</v>
      </c>
      <c r="M567" s="44">
        <f t="shared" si="23"/>
        <v>6.3000000000000007</v>
      </c>
      <c r="N567" s="35">
        <f t="shared" si="24"/>
        <v>65.55</v>
      </c>
      <c r="O567" t="str">
        <f>VLOOKUP(N567,Helper!$B$30:$C$35,2,TRUE)</f>
        <v>C</v>
      </c>
      <c r="P567" s="26">
        <f>INDEX(Detail!$A$1:$A$1001,MATCH(B567,Detail!$G$1:$G$1001,0))</f>
        <v>38404</v>
      </c>
      <c r="Q567" s="3" t="str">
        <f>INDEX(Detail!$F$1:$F$1001,MATCH(Main!B567,Detail!$G$1:$G$1001,0))</f>
        <v>Langsa</v>
      </c>
      <c r="R567" s="7">
        <f>INDEX(Detail!$C$1:$C$1001,MATCH(B567,Detail!$G$1:$G$1001,0),1)</f>
        <v>163</v>
      </c>
      <c r="S567" s="7">
        <f>INDEX(Detail!$D$1:$D$1001,MATCH(B567,Detail!$G$1:$G$1001,0),1)</f>
        <v>51</v>
      </c>
      <c r="T567" s="7" t="str">
        <f>INDEX(Detail!$E$1:$E$1001,MATCH(Main!B567,Detail!$G$1:$G$1001,0))</f>
        <v>Jalan Pacuan Kuda No. 45</v>
      </c>
      <c r="U567" s="7" t="str">
        <f>INDEX(Detail!$B$1:$B$1001,MATCH(B567,Detail!$G$1:$G$1001,0),1)</f>
        <v>O+</v>
      </c>
    </row>
    <row r="568" spans="1:21" ht="15.75" x14ac:dyDescent="0.25">
      <c r="A568">
        <v>400</v>
      </c>
      <c r="B568" s="3" t="str">
        <f t="shared" si="25"/>
        <v>D0400</v>
      </c>
      <c r="C568" t="s">
        <v>1013</v>
      </c>
      <c r="D568" s="3" t="str">
        <f>VLOOKUP(B568,Detail!$G$1:$H$1001,2,FALSE)</f>
        <v>Gandi Wibisono</v>
      </c>
      <c r="E568">
        <v>88</v>
      </c>
      <c r="F568">
        <v>69</v>
      </c>
      <c r="G568" s="35">
        <v>83</v>
      </c>
      <c r="H568">
        <v>63</v>
      </c>
      <c r="I568">
        <v>84</v>
      </c>
      <c r="J568">
        <v>42</v>
      </c>
      <c r="K568">
        <v>61</v>
      </c>
      <c r="L568" s="26">
        <f>IFERROR(VLOOKUP(B568,Absen!$A$1:$C$501,2,FALSE),"No")</f>
        <v>44765</v>
      </c>
      <c r="M568" s="44">
        <f t="shared" si="23"/>
        <v>5.1000000000000005</v>
      </c>
      <c r="N568" s="35">
        <f t="shared" si="24"/>
        <v>68.099999999999994</v>
      </c>
      <c r="O568" t="str">
        <f>VLOOKUP(N568,Helper!$B$30:$C$35,2,TRUE)</f>
        <v>C</v>
      </c>
      <c r="P568" s="26">
        <f>INDEX(Detail!$A$1:$A$1001,MATCH(B568,Detail!$G$1:$G$1001,0))</f>
        <v>38340</v>
      </c>
      <c r="Q568" s="3" t="str">
        <f>INDEX(Detail!$F$1:$F$1001,MATCH(Main!B568,Detail!$G$1:$G$1001,0))</f>
        <v>Batu</v>
      </c>
      <c r="R568" s="7">
        <f>INDEX(Detail!$C$1:$C$1001,MATCH(B568,Detail!$G$1:$G$1001,0),1)</f>
        <v>153</v>
      </c>
      <c r="S568" s="7">
        <f>INDEX(Detail!$D$1:$D$1001,MATCH(B568,Detail!$G$1:$G$1001,0),1)</f>
        <v>94</v>
      </c>
      <c r="T568" s="7" t="str">
        <f>INDEX(Detail!$E$1:$E$1001,MATCH(Main!B568,Detail!$G$1:$G$1001,0))</f>
        <v xml:space="preserve">Gang W.R. Supratman No. 9
</v>
      </c>
      <c r="U568" s="7" t="str">
        <f>INDEX(Detail!$B$1:$B$1001,MATCH(B568,Detail!$G$1:$G$1001,0),1)</f>
        <v>B-</v>
      </c>
    </row>
    <row r="569" spans="1:21" ht="15.75" x14ac:dyDescent="0.25">
      <c r="A569">
        <v>412</v>
      </c>
      <c r="B569" s="3" t="str">
        <f t="shared" si="25"/>
        <v>D0412</v>
      </c>
      <c r="C569" t="s">
        <v>1013</v>
      </c>
      <c r="D569" s="3" t="str">
        <f>VLOOKUP(B569,Detail!$G$1:$H$1001,2,FALSE)</f>
        <v>Taswir Nababan</v>
      </c>
      <c r="E569">
        <v>79</v>
      </c>
      <c r="F569">
        <v>48</v>
      </c>
      <c r="G569" s="35">
        <v>40</v>
      </c>
      <c r="H569">
        <v>71</v>
      </c>
      <c r="I569">
        <v>72</v>
      </c>
      <c r="J569">
        <v>100</v>
      </c>
      <c r="K569">
        <v>63</v>
      </c>
      <c r="L569" s="26" t="str">
        <f>IFERROR(VLOOKUP(B569,Absen!$A$1:$C$501,2,FALSE),"No")</f>
        <v>No</v>
      </c>
      <c r="M569" s="44">
        <f t="shared" si="23"/>
        <v>6.3000000000000007</v>
      </c>
      <c r="N569" s="35">
        <f t="shared" si="24"/>
        <v>68.05</v>
      </c>
      <c r="O569" t="str">
        <f>VLOOKUP(N569,Helper!$B$30:$C$35,2,TRUE)</f>
        <v>C</v>
      </c>
      <c r="P569" s="26">
        <f>INDEX(Detail!$A$1:$A$1001,MATCH(B569,Detail!$G$1:$G$1001,0))</f>
        <v>37347</v>
      </c>
      <c r="Q569" s="3" t="str">
        <f>INDEX(Detail!$F$1:$F$1001,MATCH(Main!B569,Detail!$G$1:$G$1001,0))</f>
        <v>Solok</v>
      </c>
      <c r="R569" s="7">
        <f>INDEX(Detail!$C$1:$C$1001,MATCH(B569,Detail!$G$1:$G$1001,0),1)</f>
        <v>159</v>
      </c>
      <c r="S569" s="7">
        <f>INDEX(Detail!$D$1:$D$1001,MATCH(B569,Detail!$G$1:$G$1001,0),1)</f>
        <v>82</v>
      </c>
      <c r="T569" s="7" t="str">
        <f>INDEX(Detail!$E$1:$E$1001,MATCH(Main!B569,Detail!$G$1:$G$1001,0))</f>
        <v>Jalan Kutisari Selatan No. 41</v>
      </c>
      <c r="U569" s="7" t="str">
        <f>INDEX(Detail!$B$1:$B$1001,MATCH(B569,Detail!$G$1:$G$1001,0),1)</f>
        <v>A-</v>
      </c>
    </row>
    <row r="570" spans="1:21" ht="15.75" x14ac:dyDescent="0.25">
      <c r="A570">
        <v>417</v>
      </c>
      <c r="B570" s="3" t="str">
        <f t="shared" si="25"/>
        <v>D0417</v>
      </c>
      <c r="C570" t="s">
        <v>1013</v>
      </c>
      <c r="D570" s="3" t="str">
        <f>VLOOKUP(B570,Detail!$G$1:$H$1001,2,FALSE)</f>
        <v>Agus Halim</v>
      </c>
      <c r="E570">
        <v>63</v>
      </c>
      <c r="F570">
        <v>65</v>
      </c>
      <c r="G570" s="35">
        <v>63</v>
      </c>
      <c r="H570">
        <v>64</v>
      </c>
      <c r="I570">
        <v>58</v>
      </c>
      <c r="J570">
        <v>73</v>
      </c>
      <c r="K570">
        <v>99</v>
      </c>
      <c r="L570" s="26" t="str">
        <f>IFERROR(VLOOKUP(B570,Absen!$A$1:$C$501,2,FALSE),"No")</f>
        <v>No</v>
      </c>
      <c r="M570" s="44">
        <f t="shared" si="23"/>
        <v>9.9</v>
      </c>
      <c r="N570" s="35">
        <f t="shared" si="24"/>
        <v>68.350000000000009</v>
      </c>
      <c r="O570" t="str">
        <f>VLOOKUP(N570,Helper!$B$30:$C$35,2,TRUE)</f>
        <v>C</v>
      </c>
      <c r="P570" s="26">
        <f>INDEX(Detail!$A$1:$A$1001,MATCH(B570,Detail!$G$1:$G$1001,0))</f>
        <v>37397</v>
      </c>
      <c r="Q570" s="3" t="str">
        <f>INDEX(Detail!$F$1:$F$1001,MATCH(Main!B570,Detail!$G$1:$G$1001,0))</f>
        <v>Magelang</v>
      </c>
      <c r="R570" s="7">
        <f>INDEX(Detail!$C$1:$C$1001,MATCH(B570,Detail!$G$1:$G$1001,0),1)</f>
        <v>173</v>
      </c>
      <c r="S570" s="7">
        <f>INDEX(Detail!$D$1:$D$1001,MATCH(B570,Detail!$G$1:$G$1001,0),1)</f>
        <v>74</v>
      </c>
      <c r="T570" s="7" t="str">
        <f>INDEX(Detail!$E$1:$E$1001,MATCH(Main!B570,Detail!$G$1:$G$1001,0))</f>
        <v>Jalan Cikutra Timur No. 62</v>
      </c>
      <c r="U570" s="7" t="str">
        <f>INDEX(Detail!$B$1:$B$1001,MATCH(B570,Detail!$G$1:$G$1001,0),1)</f>
        <v>B+</v>
      </c>
    </row>
    <row r="571" spans="1:21" ht="15.75" x14ac:dyDescent="0.25">
      <c r="A571">
        <v>421</v>
      </c>
      <c r="B571" s="3" t="str">
        <f t="shared" si="25"/>
        <v>D0421</v>
      </c>
      <c r="C571" t="s">
        <v>1013</v>
      </c>
      <c r="D571" s="3" t="str">
        <f>VLOOKUP(B571,Detail!$G$1:$H$1001,2,FALSE)</f>
        <v>Elvina Wulandari</v>
      </c>
      <c r="E571">
        <v>85</v>
      </c>
      <c r="F571">
        <v>61</v>
      </c>
      <c r="G571" s="35">
        <v>53</v>
      </c>
      <c r="H571">
        <v>50</v>
      </c>
      <c r="I571">
        <v>60</v>
      </c>
      <c r="J571">
        <v>78</v>
      </c>
      <c r="K571">
        <v>93</v>
      </c>
      <c r="L571" s="26">
        <f>IFERROR(VLOOKUP(B571,Absen!$A$1:$C$501,2,FALSE),"No")</f>
        <v>44854</v>
      </c>
      <c r="M571" s="44">
        <f t="shared" si="23"/>
        <v>8.3000000000000007</v>
      </c>
      <c r="N571" s="35">
        <f t="shared" si="24"/>
        <v>66.5</v>
      </c>
      <c r="O571" t="str">
        <f>VLOOKUP(N571,Helper!$B$30:$C$35,2,TRUE)</f>
        <v>C</v>
      </c>
      <c r="P571" s="26">
        <f>INDEX(Detail!$A$1:$A$1001,MATCH(B571,Detail!$G$1:$G$1001,0))</f>
        <v>37186</v>
      </c>
      <c r="Q571" s="3" t="str">
        <f>INDEX(Detail!$F$1:$F$1001,MATCH(Main!B571,Detail!$G$1:$G$1001,0))</f>
        <v>Kendari</v>
      </c>
      <c r="R571" s="7">
        <f>INDEX(Detail!$C$1:$C$1001,MATCH(B571,Detail!$G$1:$G$1001,0),1)</f>
        <v>167</v>
      </c>
      <c r="S571" s="7">
        <f>INDEX(Detail!$D$1:$D$1001,MATCH(B571,Detail!$G$1:$G$1001,0),1)</f>
        <v>51</v>
      </c>
      <c r="T571" s="7" t="str">
        <f>INDEX(Detail!$E$1:$E$1001,MATCH(Main!B571,Detail!$G$1:$G$1001,0))</f>
        <v>Jl. Sukajadi No. 80</v>
      </c>
      <c r="U571" s="7" t="str">
        <f>INDEX(Detail!$B$1:$B$1001,MATCH(B571,Detail!$G$1:$G$1001,0),1)</f>
        <v>O+</v>
      </c>
    </row>
    <row r="572" spans="1:21" ht="15.75" x14ac:dyDescent="0.25">
      <c r="A572">
        <v>424</v>
      </c>
      <c r="B572" s="3" t="str">
        <f t="shared" si="25"/>
        <v>D0424</v>
      </c>
      <c r="C572" t="s">
        <v>1013</v>
      </c>
      <c r="D572" s="3" t="str">
        <f>VLOOKUP(B572,Detail!$G$1:$H$1001,2,FALSE)</f>
        <v>Bakiono Suartini</v>
      </c>
      <c r="E572">
        <v>64</v>
      </c>
      <c r="F572">
        <v>49</v>
      </c>
      <c r="G572" s="35">
        <v>56</v>
      </c>
      <c r="H572">
        <v>52</v>
      </c>
      <c r="I572">
        <v>67</v>
      </c>
      <c r="J572">
        <v>87</v>
      </c>
      <c r="K572">
        <v>92</v>
      </c>
      <c r="L572" s="26">
        <f>IFERROR(VLOOKUP(B572,Absen!$A$1:$C$501,2,FALSE),"No")</f>
        <v>44812</v>
      </c>
      <c r="M572" s="44">
        <f t="shared" si="23"/>
        <v>8.2000000000000011</v>
      </c>
      <c r="N572" s="35">
        <f t="shared" si="24"/>
        <v>65.800000000000011</v>
      </c>
      <c r="O572" t="str">
        <f>VLOOKUP(N572,Helper!$B$30:$C$35,2,TRUE)</f>
        <v>C</v>
      </c>
      <c r="P572" s="26">
        <f>INDEX(Detail!$A$1:$A$1001,MATCH(B572,Detail!$G$1:$G$1001,0))</f>
        <v>37714</v>
      </c>
      <c r="Q572" s="3" t="str">
        <f>INDEX(Detail!$F$1:$F$1001,MATCH(Main!B572,Detail!$G$1:$G$1001,0))</f>
        <v>Pekalongan</v>
      </c>
      <c r="R572" s="7">
        <f>INDEX(Detail!$C$1:$C$1001,MATCH(B572,Detail!$G$1:$G$1001,0),1)</f>
        <v>158</v>
      </c>
      <c r="S572" s="7">
        <f>INDEX(Detail!$D$1:$D$1001,MATCH(B572,Detail!$G$1:$G$1001,0),1)</f>
        <v>79</v>
      </c>
      <c r="T572" s="7" t="str">
        <f>INDEX(Detail!$E$1:$E$1001,MATCH(Main!B572,Detail!$G$1:$G$1001,0))</f>
        <v>Jl. Rajawali Barat No. 96</v>
      </c>
      <c r="U572" s="7" t="str">
        <f>INDEX(Detail!$B$1:$B$1001,MATCH(B572,Detail!$G$1:$G$1001,0),1)</f>
        <v>A+</v>
      </c>
    </row>
    <row r="573" spans="1:21" ht="15.75" x14ac:dyDescent="0.25">
      <c r="A573">
        <v>425</v>
      </c>
      <c r="B573" s="3" t="str">
        <f t="shared" si="25"/>
        <v>D0425</v>
      </c>
      <c r="C573" t="s">
        <v>1013</v>
      </c>
      <c r="D573" s="3" t="str">
        <f>VLOOKUP(B573,Detail!$G$1:$H$1001,2,FALSE)</f>
        <v>Harjo Permata</v>
      </c>
      <c r="E573">
        <v>81</v>
      </c>
      <c r="F573">
        <v>68</v>
      </c>
      <c r="G573" s="35">
        <v>76</v>
      </c>
      <c r="H573">
        <v>74</v>
      </c>
      <c r="I573">
        <v>80</v>
      </c>
      <c r="J573">
        <v>72</v>
      </c>
      <c r="K573">
        <v>74</v>
      </c>
      <c r="L573" s="26" t="str">
        <f>IFERROR(VLOOKUP(B573,Absen!$A$1:$C$501,2,FALSE),"No")</f>
        <v>No</v>
      </c>
      <c r="M573" s="44">
        <f t="shared" si="23"/>
        <v>7.4</v>
      </c>
      <c r="N573" s="35">
        <f t="shared" si="24"/>
        <v>74.875000000000014</v>
      </c>
      <c r="O573" t="str">
        <f>VLOOKUP(N573,Helper!$B$30:$C$35,2,TRUE)</f>
        <v>B</v>
      </c>
      <c r="P573" s="26">
        <f>INDEX(Detail!$A$1:$A$1001,MATCH(B573,Detail!$G$1:$G$1001,0))</f>
        <v>37905</v>
      </c>
      <c r="Q573" s="3" t="str">
        <f>INDEX(Detail!$F$1:$F$1001,MATCH(Main!B573,Detail!$G$1:$G$1001,0))</f>
        <v>Kota Administrasi Jakarta Utara</v>
      </c>
      <c r="R573" s="7">
        <f>INDEX(Detail!$C$1:$C$1001,MATCH(B573,Detail!$G$1:$G$1001,0),1)</f>
        <v>164</v>
      </c>
      <c r="S573" s="7">
        <f>INDEX(Detail!$D$1:$D$1001,MATCH(B573,Detail!$G$1:$G$1001,0),1)</f>
        <v>94</v>
      </c>
      <c r="T573" s="7" t="str">
        <f>INDEX(Detail!$E$1:$E$1001,MATCH(Main!B573,Detail!$G$1:$G$1001,0))</f>
        <v xml:space="preserve">Jalan Kebonjati No. 7
</v>
      </c>
      <c r="U573" s="7" t="str">
        <f>INDEX(Detail!$B$1:$B$1001,MATCH(B573,Detail!$G$1:$G$1001,0),1)</f>
        <v>O+</v>
      </c>
    </row>
    <row r="574" spans="1:21" ht="15.75" x14ac:dyDescent="0.25">
      <c r="A574">
        <v>427</v>
      </c>
      <c r="B574" s="3" t="str">
        <f t="shared" si="25"/>
        <v>D0427</v>
      </c>
      <c r="C574" t="s">
        <v>1013</v>
      </c>
      <c r="D574" s="3" t="str">
        <f>VLOOKUP(B574,Detail!$G$1:$H$1001,2,FALSE)</f>
        <v>Jasmani Mustofa</v>
      </c>
      <c r="E574">
        <v>88</v>
      </c>
      <c r="F574">
        <v>73</v>
      </c>
      <c r="G574" s="35">
        <v>30</v>
      </c>
      <c r="H574">
        <v>51</v>
      </c>
      <c r="I574">
        <v>62</v>
      </c>
      <c r="J574">
        <v>92</v>
      </c>
      <c r="K574">
        <v>64</v>
      </c>
      <c r="L574" s="26" t="str">
        <f>IFERROR(VLOOKUP(B574,Absen!$A$1:$C$501,2,FALSE),"No")</f>
        <v>No</v>
      </c>
      <c r="M574" s="44">
        <f t="shared" si="23"/>
        <v>6.4</v>
      </c>
      <c r="N574" s="35">
        <f t="shared" si="24"/>
        <v>65.050000000000011</v>
      </c>
      <c r="O574" t="str">
        <f>VLOOKUP(N574,Helper!$B$30:$C$35,2,TRUE)</f>
        <v>C</v>
      </c>
      <c r="P574" s="26">
        <f>INDEX(Detail!$A$1:$A$1001,MATCH(B574,Detail!$G$1:$G$1001,0))</f>
        <v>38069</v>
      </c>
      <c r="Q574" s="3" t="str">
        <f>INDEX(Detail!$F$1:$F$1001,MATCH(Main!B574,Detail!$G$1:$G$1001,0))</f>
        <v>Cimahi</v>
      </c>
      <c r="R574" s="7">
        <f>INDEX(Detail!$C$1:$C$1001,MATCH(B574,Detail!$G$1:$G$1001,0),1)</f>
        <v>174</v>
      </c>
      <c r="S574" s="7">
        <f>INDEX(Detail!$D$1:$D$1001,MATCH(B574,Detail!$G$1:$G$1001,0),1)</f>
        <v>49</v>
      </c>
      <c r="T574" s="7" t="str">
        <f>INDEX(Detail!$E$1:$E$1001,MATCH(Main!B574,Detail!$G$1:$G$1001,0))</f>
        <v xml:space="preserve">Gg. PHH. Mustofa No. 6
</v>
      </c>
      <c r="U574" s="7" t="str">
        <f>INDEX(Detail!$B$1:$B$1001,MATCH(B574,Detail!$G$1:$G$1001,0),1)</f>
        <v>B+</v>
      </c>
    </row>
    <row r="575" spans="1:21" ht="15.75" x14ac:dyDescent="0.25">
      <c r="A575">
        <v>437</v>
      </c>
      <c r="B575" s="3" t="str">
        <f t="shared" si="25"/>
        <v>D0437</v>
      </c>
      <c r="C575" t="s">
        <v>1013</v>
      </c>
      <c r="D575" s="3" t="str">
        <f>VLOOKUP(B575,Detail!$G$1:$H$1001,2,FALSE)</f>
        <v>Darsirah Wacana</v>
      </c>
      <c r="E575">
        <v>58</v>
      </c>
      <c r="F575">
        <v>74</v>
      </c>
      <c r="G575" s="35">
        <v>62</v>
      </c>
      <c r="H575">
        <v>69</v>
      </c>
      <c r="I575">
        <v>78</v>
      </c>
      <c r="J575">
        <v>73</v>
      </c>
      <c r="K575">
        <v>78</v>
      </c>
      <c r="L575" s="26">
        <f>IFERROR(VLOOKUP(B575,Absen!$A$1:$C$501,2,FALSE),"No")</f>
        <v>44883</v>
      </c>
      <c r="M575" s="44">
        <f t="shared" si="23"/>
        <v>6.8000000000000007</v>
      </c>
      <c r="N575" s="35">
        <f t="shared" si="24"/>
        <v>68.674999999999997</v>
      </c>
      <c r="O575" t="str">
        <f>VLOOKUP(N575,Helper!$B$30:$C$35,2,TRUE)</f>
        <v>C</v>
      </c>
      <c r="P575" s="26">
        <f>INDEX(Detail!$A$1:$A$1001,MATCH(B575,Detail!$G$1:$G$1001,0))</f>
        <v>37847</v>
      </c>
      <c r="Q575" s="3" t="str">
        <f>INDEX(Detail!$F$1:$F$1001,MATCH(Main!B575,Detail!$G$1:$G$1001,0))</f>
        <v>Surakarta</v>
      </c>
      <c r="R575" s="7">
        <f>INDEX(Detail!$C$1:$C$1001,MATCH(B575,Detail!$G$1:$G$1001,0),1)</f>
        <v>171</v>
      </c>
      <c r="S575" s="7">
        <f>INDEX(Detail!$D$1:$D$1001,MATCH(B575,Detail!$G$1:$G$1001,0),1)</f>
        <v>75</v>
      </c>
      <c r="T575" s="7" t="str">
        <f>INDEX(Detail!$E$1:$E$1001,MATCH(Main!B575,Detail!$G$1:$G$1001,0))</f>
        <v>Gang Kutisari Selatan No. 72</v>
      </c>
      <c r="U575" s="7" t="str">
        <f>INDEX(Detail!$B$1:$B$1001,MATCH(B575,Detail!$G$1:$G$1001,0),1)</f>
        <v>AB-</v>
      </c>
    </row>
    <row r="576" spans="1:21" ht="15.75" x14ac:dyDescent="0.25">
      <c r="A576">
        <v>440</v>
      </c>
      <c r="B576" s="3" t="str">
        <f t="shared" si="25"/>
        <v>D0440</v>
      </c>
      <c r="C576" t="s">
        <v>1013</v>
      </c>
      <c r="D576" s="3" t="str">
        <f>VLOOKUP(B576,Detail!$G$1:$H$1001,2,FALSE)</f>
        <v>Ozy Salahudin</v>
      </c>
      <c r="E576">
        <v>73</v>
      </c>
      <c r="F576">
        <v>46</v>
      </c>
      <c r="G576" s="35">
        <v>75</v>
      </c>
      <c r="H576">
        <v>51</v>
      </c>
      <c r="I576">
        <v>73</v>
      </c>
      <c r="J576">
        <v>59</v>
      </c>
      <c r="K576">
        <v>85</v>
      </c>
      <c r="L576" s="26">
        <f>IFERROR(VLOOKUP(B576,Absen!$A$1:$C$501,2,FALSE),"No")</f>
        <v>44765</v>
      </c>
      <c r="M576" s="44">
        <f t="shared" si="23"/>
        <v>7.5</v>
      </c>
      <c r="N576" s="35">
        <f t="shared" si="24"/>
        <v>64.674999999999997</v>
      </c>
      <c r="O576" t="str">
        <f>VLOOKUP(N576,Helper!$B$30:$C$35,2,TRUE)</f>
        <v>C</v>
      </c>
      <c r="P576" s="26">
        <f>INDEX(Detail!$A$1:$A$1001,MATCH(B576,Detail!$G$1:$G$1001,0))</f>
        <v>37246</v>
      </c>
      <c r="Q576" s="3" t="str">
        <f>INDEX(Detail!$F$1:$F$1001,MATCH(Main!B576,Detail!$G$1:$G$1001,0))</f>
        <v>Bima</v>
      </c>
      <c r="R576" s="7">
        <f>INDEX(Detail!$C$1:$C$1001,MATCH(B576,Detail!$G$1:$G$1001,0),1)</f>
        <v>159</v>
      </c>
      <c r="S576" s="7">
        <f>INDEX(Detail!$D$1:$D$1001,MATCH(B576,Detail!$G$1:$G$1001,0),1)</f>
        <v>53</v>
      </c>
      <c r="T576" s="7" t="str">
        <f>INDEX(Detail!$E$1:$E$1001,MATCH(Main!B576,Detail!$G$1:$G$1001,0))</f>
        <v xml:space="preserve">Jl. Otto Iskandardinata No. 4
</v>
      </c>
      <c r="U576" s="7" t="str">
        <f>INDEX(Detail!$B$1:$B$1001,MATCH(B576,Detail!$G$1:$G$1001,0),1)</f>
        <v>A-</v>
      </c>
    </row>
    <row r="577" spans="1:21" ht="15.75" x14ac:dyDescent="0.25">
      <c r="A577">
        <v>442</v>
      </c>
      <c r="B577" s="3" t="str">
        <f t="shared" si="25"/>
        <v>D0442</v>
      </c>
      <c r="C577" t="s">
        <v>1013</v>
      </c>
      <c r="D577" s="3" t="str">
        <f>VLOOKUP(B577,Detail!$G$1:$H$1001,2,FALSE)</f>
        <v>Bakiman Lailasari</v>
      </c>
      <c r="E577">
        <v>72</v>
      </c>
      <c r="F577">
        <v>49</v>
      </c>
      <c r="G577" s="35">
        <v>62</v>
      </c>
      <c r="H577">
        <v>54</v>
      </c>
      <c r="I577">
        <v>66</v>
      </c>
      <c r="J577">
        <v>88</v>
      </c>
      <c r="K577">
        <v>96</v>
      </c>
      <c r="L577" s="26" t="str">
        <f>IFERROR(VLOOKUP(B577,Absen!$A$1:$C$501,2,FALSE),"No")</f>
        <v>No</v>
      </c>
      <c r="M577" s="44">
        <f t="shared" si="23"/>
        <v>9.6000000000000014</v>
      </c>
      <c r="N577" s="35">
        <f t="shared" si="24"/>
        <v>69.724999999999994</v>
      </c>
      <c r="O577" t="str">
        <f>VLOOKUP(N577,Helper!$B$30:$C$35,2,TRUE)</f>
        <v>C</v>
      </c>
      <c r="P577" s="26">
        <f>INDEX(Detail!$A$1:$A$1001,MATCH(B577,Detail!$G$1:$G$1001,0))</f>
        <v>37180</v>
      </c>
      <c r="Q577" s="3" t="str">
        <f>INDEX(Detail!$F$1:$F$1001,MATCH(Main!B577,Detail!$G$1:$G$1001,0))</f>
        <v>Yogyakarta</v>
      </c>
      <c r="R577" s="7">
        <f>INDEX(Detail!$C$1:$C$1001,MATCH(B577,Detail!$G$1:$G$1001,0),1)</f>
        <v>157</v>
      </c>
      <c r="S577" s="7">
        <f>INDEX(Detail!$D$1:$D$1001,MATCH(B577,Detail!$G$1:$G$1001,0),1)</f>
        <v>48</v>
      </c>
      <c r="T577" s="7" t="str">
        <f>INDEX(Detail!$E$1:$E$1001,MATCH(Main!B577,Detail!$G$1:$G$1001,0))</f>
        <v>Jalan Peta No. 14</v>
      </c>
      <c r="U577" s="7" t="str">
        <f>INDEX(Detail!$B$1:$B$1001,MATCH(B577,Detail!$G$1:$G$1001,0),1)</f>
        <v>O+</v>
      </c>
    </row>
    <row r="578" spans="1:21" ht="15.75" x14ac:dyDescent="0.25">
      <c r="A578">
        <v>445</v>
      </c>
      <c r="B578" s="3" t="str">
        <f t="shared" si="25"/>
        <v>D0445</v>
      </c>
      <c r="C578" t="s">
        <v>1013</v>
      </c>
      <c r="D578" s="3" t="str">
        <f>VLOOKUP(B578,Detail!$G$1:$H$1001,2,FALSE)</f>
        <v>Rachel Salahudin</v>
      </c>
      <c r="E578">
        <v>91</v>
      </c>
      <c r="F578">
        <v>45</v>
      </c>
      <c r="G578" s="35">
        <v>38</v>
      </c>
      <c r="H578">
        <v>67</v>
      </c>
      <c r="I578">
        <v>74</v>
      </c>
      <c r="J578">
        <v>55</v>
      </c>
      <c r="K578">
        <v>80</v>
      </c>
      <c r="L578" s="26" t="str">
        <f>IFERROR(VLOOKUP(B578,Absen!$A$1:$C$501,2,FALSE),"No")</f>
        <v>No</v>
      </c>
      <c r="M578" s="44">
        <f t="shared" ref="M578:M641" si="26">IF(L578="no",K578,K578-10)*10%</f>
        <v>8</v>
      </c>
      <c r="N578" s="35">
        <f t="shared" ref="N578:N641" si="27">SUM(E578*12.5%,F578*12.5%,H578*12.5%,I578*12.5%,G578*20%,J578*20%,M578)</f>
        <v>61.225000000000001</v>
      </c>
      <c r="O578" t="str">
        <f>VLOOKUP(N578,Helper!$B$30:$C$35,2,TRUE)</f>
        <v>C</v>
      </c>
      <c r="P578" s="26">
        <f>INDEX(Detail!$A$1:$A$1001,MATCH(B578,Detail!$G$1:$G$1001,0))</f>
        <v>37536</v>
      </c>
      <c r="Q578" s="3" t="str">
        <f>INDEX(Detail!$F$1:$F$1001,MATCH(Main!B578,Detail!$G$1:$G$1001,0))</f>
        <v>Kota Administrasi Jakarta Utara</v>
      </c>
      <c r="R578" s="7">
        <f>INDEX(Detail!$C$1:$C$1001,MATCH(B578,Detail!$G$1:$G$1001,0),1)</f>
        <v>157</v>
      </c>
      <c r="S578" s="7">
        <f>INDEX(Detail!$D$1:$D$1001,MATCH(B578,Detail!$G$1:$G$1001,0),1)</f>
        <v>49</v>
      </c>
      <c r="T578" s="7" t="str">
        <f>INDEX(Detail!$E$1:$E$1001,MATCH(Main!B578,Detail!$G$1:$G$1001,0))</f>
        <v>Gang Kutai No. 51</v>
      </c>
      <c r="U578" s="7" t="str">
        <f>INDEX(Detail!$B$1:$B$1001,MATCH(B578,Detail!$G$1:$G$1001,0),1)</f>
        <v>A-</v>
      </c>
    </row>
    <row r="579" spans="1:21" ht="15.75" x14ac:dyDescent="0.25">
      <c r="A579">
        <v>447</v>
      </c>
      <c r="B579" s="3" t="str">
        <f t="shared" si="25"/>
        <v>D0447</v>
      </c>
      <c r="C579" t="s">
        <v>1013</v>
      </c>
      <c r="D579" s="3" t="str">
        <f>VLOOKUP(B579,Detail!$G$1:$H$1001,2,FALSE)</f>
        <v>Cahya Halimah</v>
      </c>
      <c r="E579">
        <v>54</v>
      </c>
      <c r="F579">
        <v>41</v>
      </c>
      <c r="G579" s="35">
        <v>45</v>
      </c>
      <c r="H579">
        <v>59</v>
      </c>
      <c r="I579">
        <v>62</v>
      </c>
      <c r="J579">
        <v>54</v>
      </c>
      <c r="K579">
        <v>63</v>
      </c>
      <c r="L579" s="26">
        <f>IFERROR(VLOOKUP(B579,Absen!$A$1:$C$501,2,FALSE),"No")</f>
        <v>44758</v>
      </c>
      <c r="M579" s="44">
        <f t="shared" si="26"/>
        <v>5.3000000000000007</v>
      </c>
      <c r="N579" s="35">
        <f t="shared" si="27"/>
        <v>52.099999999999994</v>
      </c>
      <c r="O579" t="str">
        <f>VLOOKUP(N579,Helper!$B$30:$C$35,2,TRUE)</f>
        <v>D</v>
      </c>
      <c r="P579" s="26">
        <f>INDEX(Detail!$A$1:$A$1001,MATCH(B579,Detail!$G$1:$G$1001,0))</f>
        <v>38374</v>
      </c>
      <c r="Q579" s="3" t="str">
        <f>INDEX(Detail!$F$1:$F$1001,MATCH(Main!B579,Detail!$G$1:$G$1001,0))</f>
        <v>Medan</v>
      </c>
      <c r="R579" s="7">
        <f>INDEX(Detail!$C$1:$C$1001,MATCH(B579,Detail!$G$1:$G$1001,0),1)</f>
        <v>165</v>
      </c>
      <c r="S579" s="7">
        <f>INDEX(Detail!$D$1:$D$1001,MATCH(B579,Detail!$G$1:$G$1001,0),1)</f>
        <v>57</v>
      </c>
      <c r="T579" s="7" t="str">
        <f>INDEX(Detail!$E$1:$E$1001,MATCH(Main!B579,Detail!$G$1:$G$1001,0))</f>
        <v>Jl. Setiabudhi No. 18</v>
      </c>
      <c r="U579" s="7" t="str">
        <f>INDEX(Detail!$B$1:$B$1001,MATCH(B579,Detail!$G$1:$G$1001,0),1)</f>
        <v>A-</v>
      </c>
    </row>
    <row r="580" spans="1:21" ht="15.75" x14ac:dyDescent="0.25">
      <c r="A580">
        <v>454</v>
      </c>
      <c r="B580" s="3" t="str">
        <f t="shared" si="25"/>
        <v>D0454</v>
      </c>
      <c r="C580" t="s">
        <v>1013</v>
      </c>
      <c r="D580" s="3" t="str">
        <f>VLOOKUP(B580,Detail!$G$1:$H$1001,2,FALSE)</f>
        <v>Jaya Mayasari</v>
      </c>
      <c r="E580">
        <v>91</v>
      </c>
      <c r="F580">
        <v>48</v>
      </c>
      <c r="G580" s="35">
        <v>60</v>
      </c>
      <c r="H580">
        <v>64</v>
      </c>
      <c r="I580">
        <v>86</v>
      </c>
      <c r="J580">
        <v>52</v>
      </c>
      <c r="K580">
        <v>68</v>
      </c>
      <c r="L580" s="26">
        <f>IFERROR(VLOOKUP(B580,Absen!$A$1:$C$501,2,FALSE),"No")</f>
        <v>44778</v>
      </c>
      <c r="M580" s="44">
        <f t="shared" si="26"/>
        <v>5.8000000000000007</v>
      </c>
      <c r="N580" s="35">
        <f t="shared" si="27"/>
        <v>64.325000000000003</v>
      </c>
      <c r="O580" t="str">
        <f>VLOOKUP(N580,Helper!$B$30:$C$35,2,TRUE)</f>
        <v>C</v>
      </c>
      <c r="P580" s="26">
        <f>INDEX(Detail!$A$1:$A$1001,MATCH(B580,Detail!$G$1:$G$1001,0))</f>
        <v>37142</v>
      </c>
      <c r="Q580" s="3" t="str">
        <f>INDEX(Detail!$F$1:$F$1001,MATCH(Main!B580,Detail!$G$1:$G$1001,0))</f>
        <v>Kota Administrasi Jakarta Pusat</v>
      </c>
      <c r="R580" s="7">
        <f>INDEX(Detail!$C$1:$C$1001,MATCH(B580,Detail!$G$1:$G$1001,0),1)</f>
        <v>169</v>
      </c>
      <c r="S580" s="7">
        <f>INDEX(Detail!$D$1:$D$1001,MATCH(B580,Detail!$G$1:$G$1001,0),1)</f>
        <v>81</v>
      </c>
      <c r="T580" s="7" t="str">
        <f>INDEX(Detail!$E$1:$E$1001,MATCH(Main!B580,Detail!$G$1:$G$1001,0))</f>
        <v>Jalan Dipatiukur No. 16</v>
      </c>
      <c r="U580" s="7" t="str">
        <f>INDEX(Detail!$B$1:$B$1001,MATCH(B580,Detail!$G$1:$G$1001,0),1)</f>
        <v>B+</v>
      </c>
    </row>
    <row r="581" spans="1:21" ht="15.75" x14ac:dyDescent="0.25">
      <c r="A581">
        <v>457</v>
      </c>
      <c r="B581" s="3" t="str">
        <f t="shared" si="25"/>
        <v>D0457</v>
      </c>
      <c r="C581" t="s">
        <v>1013</v>
      </c>
      <c r="D581" s="3" t="str">
        <f>VLOOKUP(B581,Detail!$G$1:$H$1001,2,FALSE)</f>
        <v>Dasa Purwanti</v>
      </c>
      <c r="E581">
        <v>75</v>
      </c>
      <c r="F581">
        <v>59</v>
      </c>
      <c r="G581" s="35">
        <v>92</v>
      </c>
      <c r="H581">
        <v>74</v>
      </c>
      <c r="I581">
        <v>91</v>
      </c>
      <c r="J581">
        <v>94</v>
      </c>
      <c r="K581">
        <v>79</v>
      </c>
      <c r="L581" s="26">
        <f>IFERROR(VLOOKUP(B581,Absen!$A$1:$C$501,2,FALSE),"No")</f>
        <v>44830</v>
      </c>
      <c r="M581" s="44">
        <f t="shared" si="26"/>
        <v>6.9</v>
      </c>
      <c r="N581" s="35">
        <f t="shared" si="27"/>
        <v>81.475000000000009</v>
      </c>
      <c r="O581" t="str">
        <f>VLOOKUP(N581,Helper!$B$30:$C$35,2,TRUE)</f>
        <v>A</v>
      </c>
      <c r="P581" s="26">
        <f>INDEX(Detail!$A$1:$A$1001,MATCH(B581,Detail!$G$1:$G$1001,0))</f>
        <v>37795</v>
      </c>
      <c r="Q581" s="3" t="str">
        <f>INDEX(Detail!$F$1:$F$1001,MATCH(Main!B581,Detail!$G$1:$G$1001,0))</f>
        <v>Mataram</v>
      </c>
      <c r="R581" s="7">
        <f>INDEX(Detail!$C$1:$C$1001,MATCH(B581,Detail!$G$1:$G$1001,0),1)</f>
        <v>166</v>
      </c>
      <c r="S581" s="7">
        <f>INDEX(Detail!$D$1:$D$1001,MATCH(B581,Detail!$G$1:$G$1001,0),1)</f>
        <v>68</v>
      </c>
      <c r="T581" s="7" t="str">
        <f>INDEX(Detail!$E$1:$E$1001,MATCH(Main!B581,Detail!$G$1:$G$1001,0))</f>
        <v>Gang Raya Ujungberung No. 29</v>
      </c>
      <c r="U581" s="7" t="str">
        <f>INDEX(Detail!$B$1:$B$1001,MATCH(B581,Detail!$G$1:$G$1001,0),1)</f>
        <v>A+</v>
      </c>
    </row>
    <row r="582" spans="1:21" ht="15.75" x14ac:dyDescent="0.25">
      <c r="A582">
        <v>468</v>
      </c>
      <c r="B582" s="3" t="str">
        <f t="shared" si="25"/>
        <v>D0468</v>
      </c>
      <c r="C582" t="s">
        <v>1013</v>
      </c>
      <c r="D582" s="3" t="str">
        <f>VLOOKUP(B582,Detail!$G$1:$H$1001,2,FALSE)</f>
        <v>Nalar Permadi</v>
      </c>
      <c r="E582">
        <v>83</v>
      </c>
      <c r="F582">
        <v>49</v>
      </c>
      <c r="G582" s="35">
        <v>52</v>
      </c>
      <c r="H582">
        <v>66</v>
      </c>
      <c r="I582">
        <v>61</v>
      </c>
      <c r="J582">
        <v>48</v>
      </c>
      <c r="K582">
        <v>69</v>
      </c>
      <c r="L582" s="26">
        <f>IFERROR(VLOOKUP(B582,Absen!$A$1:$C$501,2,FALSE),"No")</f>
        <v>44764</v>
      </c>
      <c r="M582" s="44">
        <f t="shared" si="26"/>
        <v>5.9</v>
      </c>
      <c r="N582" s="35">
        <f t="shared" si="27"/>
        <v>58.274999999999999</v>
      </c>
      <c r="O582" t="str">
        <f>VLOOKUP(N582,Helper!$B$30:$C$35,2,TRUE)</f>
        <v>D</v>
      </c>
      <c r="P582" s="26">
        <f>INDEX(Detail!$A$1:$A$1001,MATCH(B582,Detail!$G$1:$G$1001,0))</f>
        <v>38238</v>
      </c>
      <c r="Q582" s="3" t="str">
        <f>INDEX(Detail!$F$1:$F$1001,MATCH(Main!B582,Detail!$G$1:$G$1001,0))</f>
        <v>Kupang</v>
      </c>
      <c r="R582" s="7">
        <f>INDEX(Detail!$C$1:$C$1001,MATCH(B582,Detail!$G$1:$G$1001,0),1)</f>
        <v>157</v>
      </c>
      <c r="S582" s="7">
        <f>INDEX(Detail!$D$1:$D$1001,MATCH(B582,Detail!$G$1:$G$1001,0),1)</f>
        <v>72</v>
      </c>
      <c r="T582" s="7" t="str">
        <f>INDEX(Detail!$E$1:$E$1001,MATCH(Main!B582,Detail!$G$1:$G$1001,0))</f>
        <v>Jl. Gedebage Selatan No. 21</v>
      </c>
      <c r="U582" s="7" t="str">
        <f>INDEX(Detail!$B$1:$B$1001,MATCH(B582,Detail!$G$1:$G$1001,0),1)</f>
        <v>B+</v>
      </c>
    </row>
    <row r="583" spans="1:21" ht="15.75" x14ac:dyDescent="0.25">
      <c r="A583">
        <v>477</v>
      </c>
      <c r="B583" s="3" t="str">
        <f t="shared" si="25"/>
        <v>D0477</v>
      </c>
      <c r="C583" t="s">
        <v>1013</v>
      </c>
      <c r="D583" s="3" t="str">
        <f>VLOOKUP(B583,Detail!$G$1:$H$1001,2,FALSE)</f>
        <v>Marsito Ardianto</v>
      </c>
      <c r="E583">
        <v>68</v>
      </c>
      <c r="F583">
        <v>43</v>
      </c>
      <c r="G583" s="35">
        <v>59</v>
      </c>
      <c r="H583">
        <v>53</v>
      </c>
      <c r="I583">
        <v>59</v>
      </c>
      <c r="J583">
        <v>46</v>
      </c>
      <c r="K583">
        <v>87</v>
      </c>
      <c r="L583" s="26">
        <f>IFERROR(VLOOKUP(B583,Absen!$A$1:$C$501,2,FALSE),"No")</f>
        <v>44802</v>
      </c>
      <c r="M583" s="44">
        <f t="shared" si="26"/>
        <v>7.7</v>
      </c>
      <c r="N583" s="35">
        <f t="shared" si="27"/>
        <v>56.575000000000003</v>
      </c>
      <c r="O583" t="str">
        <f>VLOOKUP(N583,Helper!$B$30:$C$35,2,TRUE)</f>
        <v>D</v>
      </c>
      <c r="P583" s="26">
        <f>INDEX(Detail!$A$1:$A$1001,MATCH(B583,Detail!$G$1:$G$1001,0))</f>
        <v>37906</v>
      </c>
      <c r="Q583" s="3" t="str">
        <f>INDEX(Detail!$F$1:$F$1001,MATCH(Main!B583,Detail!$G$1:$G$1001,0))</f>
        <v>Kota Administrasi Jakarta Barat</v>
      </c>
      <c r="R583" s="7">
        <f>INDEX(Detail!$C$1:$C$1001,MATCH(B583,Detail!$G$1:$G$1001,0),1)</f>
        <v>159</v>
      </c>
      <c r="S583" s="7">
        <f>INDEX(Detail!$D$1:$D$1001,MATCH(B583,Detail!$G$1:$G$1001,0),1)</f>
        <v>68</v>
      </c>
      <c r="T583" s="7" t="str">
        <f>INDEX(Detail!$E$1:$E$1001,MATCH(Main!B583,Detail!$G$1:$G$1001,0))</f>
        <v>Jalan Sukabumi No. 64</v>
      </c>
      <c r="U583" s="7" t="str">
        <f>INDEX(Detail!$B$1:$B$1001,MATCH(B583,Detail!$G$1:$G$1001,0),1)</f>
        <v>AB-</v>
      </c>
    </row>
    <row r="584" spans="1:21" ht="15.75" x14ac:dyDescent="0.25">
      <c r="A584">
        <v>479</v>
      </c>
      <c r="B584" s="3" t="str">
        <f t="shared" si="25"/>
        <v>D0479</v>
      </c>
      <c r="C584" t="s">
        <v>1013</v>
      </c>
      <c r="D584" s="3" t="str">
        <f>VLOOKUP(B584,Detail!$G$1:$H$1001,2,FALSE)</f>
        <v>Puspa Fujiati</v>
      </c>
      <c r="E584">
        <v>89</v>
      </c>
      <c r="F584">
        <v>41</v>
      </c>
      <c r="G584" s="35">
        <v>65</v>
      </c>
      <c r="H584">
        <v>65</v>
      </c>
      <c r="I584">
        <v>54</v>
      </c>
      <c r="J584">
        <v>88</v>
      </c>
      <c r="K584">
        <v>79</v>
      </c>
      <c r="L584" s="26">
        <f>IFERROR(VLOOKUP(B584,Absen!$A$1:$C$501,2,FALSE),"No")</f>
        <v>44817</v>
      </c>
      <c r="M584" s="44">
        <f t="shared" si="26"/>
        <v>6.9</v>
      </c>
      <c r="N584" s="35">
        <f t="shared" si="27"/>
        <v>68.625</v>
      </c>
      <c r="O584" t="str">
        <f>VLOOKUP(N584,Helper!$B$30:$C$35,2,TRUE)</f>
        <v>C</v>
      </c>
      <c r="P584" s="26">
        <f>INDEX(Detail!$A$1:$A$1001,MATCH(B584,Detail!$G$1:$G$1001,0))</f>
        <v>37929</v>
      </c>
      <c r="Q584" s="3" t="str">
        <f>INDEX(Detail!$F$1:$F$1001,MATCH(Main!B584,Detail!$G$1:$G$1001,0))</f>
        <v>Bontang</v>
      </c>
      <c r="R584" s="7">
        <f>INDEX(Detail!$C$1:$C$1001,MATCH(B584,Detail!$G$1:$G$1001,0),1)</f>
        <v>163</v>
      </c>
      <c r="S584" s="7">
        <f>INDEX(Detail!$D$1:$D$1001,MATCH(B584,Detail!$G$1:$G$1001,0),1)</f>
        <v>67</v>
      </c>
      <c r="T584" s="7" t="str">
        <f>INDEX(Detail!$E$1:$E$1001,MATCH(Main!B584,Detail!$G$1:$G$1001,0))</f>
        <v>Gang Cempaka No. 14</v>
      </c>
      <c r="U584" s="7" t="str">
        <f>INDEX(Detail!$B$1:$B$1001,MATCH(B584,Detail!$G$1:$G$1001,0),1)</f>
        <v>A+</v>
      </c>
    </row>
    <row r="585" spans="1:21" ht="15.75" x14ac:dyDescent="0.25">
      <c r="A585">
        <v>486</v>
      </c>
      <c r="B585" s="3" t="str">
        <f t="shared" si="25"/>
        <v>D0486</v>
      </c>
      <c r="C585" t="s">
        <v>1013</v>
      </c>
      <c r="D585" s="3" t="str">
        <f>VLOOKUP(B585,Detail!$G$1:$H$1001,2,FALSE)</f>
        <v>Ajiman Hakim</v>
      </c>
      <c r="E585">
        <v>95</v>
      </c>
      <c r="F585">
        <v>44</v>
      </c>
      <c r="G585" s="35">
        <v>48</v>
      </c>
      <c r="H585">
        <v>74</v>
      </c>
      <c r="I585">
        <v>73</v>
      </c>
      <c r="J585">
        <v>97</v>
      </c>
      <c r="K585">
        <v>72</v>
      </c>
      <c r="L585" s="26" t="str">
        <f>IFERROR(VLOOKUP(B585,Absen!$A$1:$C$501,2,FALSE),"No")</f>
        <v>No</v>
      </c>
      <c r="M585" s="44">
        <f t="shared" si="26"/>
        <v>7.2</v>
      </c>
      <c r="N585" s="35">
        <f t="shared" si="27"/>
        <v>71.95</v>
      </c>
      <c r="O585" t="str">
        <f>VLOOKUP(N585,Helper!$B$30:$C$35,2,TRUE)</f>
        <v>B</v>
      </c>
      <c r="P585" s="26">
        <f>INDEX(Detail!$A$1:$A$1001,MATCH(B585,Detail!$G$1:$G$1001,0))</f>
        <v>37363</v>
      </c>
      <c r="Q585" s="3" t="str">
        <f>INDEX(Detail!$F$1:$F$1001,MATCH(Main!B585,Detail!$G$1:$G$1001,0))</f>
        <v>Salatiga</v>
      </c>
      <c r="R585" s="7">
        <f>INDEX(Detail!$C$1:$C$1001,MATCH(B585,Detail!$G$1:$G$1001,0),1)</f>
        <v>179</v>
      </c>
      <c r="S585" s="7">
        <f>INDEX(Detail!$D$1:$D$1001,MATCH(B585,Detail!$G$1:$G$1001,0),1)</f>
        <v>50</v>
      </c>
      <c r="T585" s="7" t="str">
        <f>INDEX(Detail!$E$1:$E$1001,MATCH(Main!B585,Detail!$G$1:$G$1001,0))</f>
        <v xml:space="preserve">Gg. Sentot Alibasa No. 8
</v>
      </c>
      <c r="U585" s="7" t="str">
        <f>INDEX(Detail!$B$1:$B$1001,MATCH(B585,Detail!$G$1:$G$1001,0),1)</f>
        <v>A+</v>
      </c>
    </row>
    <row r="586" spans="1:21" ht="15.75" x14ac:dyDescent="0.25">
      <c r="A586">
        <v>489</v>
      </c>
      <c r="B586" s="3" t="str">
        <f t="shared" si="25"/>
        <v>D0489</v>
      </c>
      <c r="C586" t="s">
        <v>1013</v>
      </c>
      <c r="D586" s="3" t="str">
        <f>VLOOKUP(B586,Detail!$G$1:$H$1001,2,FALSE)</f>
        <v>Umi Padmasari</v>
      </c>
      <c r="E586">
        <v>84</v>
      </c>
      <c r="F586">
        <v>55</v>
      </c>
      <c r="G586" s="35">
        <v>89</v>
      </c>
      <c r="H586">
        <v>70</v>
      </c>
      <c r="I586">
        <v>65</v>
      </c>
      <c r="J586">
        <v>77</v>
      </c>
      <c r="K586">
        <v>79</v>
      </c>
      <c r="L586" s="26" t="str">
        <f>IFERROR(VLOOKUP(B586,Absen!$A$1:$C$501,2,FALSE),"No")</f>
        <v>No</v>
      </c>
      <c r="M586" s="44">
        <f t="shared" si="26"/>
        <v>7.9</v>
      </c>
      <c r="N586" s="35">
        <f t="shared" si="27"/>
        <v>75.350000000000009</v>
      </c>
      <c r="O586" t="str">
        <f>VLOOKUP(N586,Helper!$B$30:$C$35,2,TRUE)</f>
        <v>B</v>
      </c>
      <c r="P586" s="26">
        <f>INDEX(Detail!$A$1:$A$1001,MATCH(B586,Detail!$G$1:$G$1001,0))</f>
        <v>37988</v>
      </c>
      <c r="Q586" s="3" t="str">
        <f>INDEX(Detail!$F$1:$F$1001,MATCH(Main!B586,Detail!$G$1:$G$1001,0))</f>
        <v>Probolinggo</v>
      </c>
      <c r="R586" s="7">
        <f>INDEX(Detail!$C$1:$C$1001,MATCH(B586,Detail!$G$1:$G$1001,0),1)</f>
        <v>158</v>
      </c>
      <c r="S586" s="7">
        <f>INDEX(Detail!$D$1:$D$1001,MATCH(B586,Detail!$G$1:$G$1001,0),1)</f>
        <v>95</v>
      </c>
      <c r="T586" s="7" t="str">
        <f>INDEX(Detail!$E$1:$E$1001,MATCH(Main!B586,Detail!$G$1:$G$1001,0))</f>
        <v xml:space="preserve">Gg. Gegerkalong Hilir No. 7
</v>
      </c>
      <c r="U586" s="7" t="str">
        <f>INDEX(Detail!$B$1:$B$1001,MATCH(B586,Detail!$G$1:$G$1001,0),1)</f>
        <v>O-</v>
      </c>
    </row>
    <row r="587" spans="1:21" ht="15.75" x14ac:dyDescent="0.25">
      <c r="A587">
        <v>491</v>
      </c>
      <c r="B587" s="3" t="str">
        <f t="shared" si="25"/>
        <v>D0491</v>
      </c>
      <c r="C587" t="s">
        <v>1013</v>
      </c>
      <c r="D587" s="3" t="str">
        <f>VLOOKUP(B587,Detail!$G$1:$H$1001,2,FALSE)</f>
        <v>Akarsana Permata</v>
      </c>
      <c r="E587">
        <v>81</v>
      </c>
      <c r="F587">
        <v>69</v>
      </c>
      <c r="G587" s="35">
        <v>32</v>
      </c>
      <c r="H587">
        <v>58</v>
      </c>
      <c r="I587">
        <v>51</v>
      </c>
      <c r="J587">
        <v>99</v>
      </c>
      <c r="K587">
        <v>88</v>
      </c>
      <c r="L587" s="26">
        <f>IFERROR(VLOOKUP(B587,Absen!$A$1:$C$501,2,FALSE),"No")</f>
        <v>44823</v>
      </c>
      <c r="M587" s="44">
        <f t="shared" si="26"/>
        <v>7.8000000000000007</v>
      </c>
      <c r="N587" s="35">
        <f t="shared" si="27"/>
        <v>66.375</v>
      </c>
      <c r="O587" t="str">
        <f>VLOOKUP(N587,Helper!$B$30:$C$35,2,TRUE)</f>
        <v>C</v>
      </c>
      <c r="P587" s="26">
        <f>INDEX(Detail!$A$1:$A$1001,MATCH(B587,Detail!$G$1:$G$1001,0))</f>
        <v>37063</v>
      </c>
      <c r="Q587" s="3" t="str">
        <f>INDEX(Detail!$F$1:$F$1001,MATCH(Main!B587,Detail!$G$1:$G$1001,0))</f>
        <v>Blitar</v>
      </c>
      <c r="R587" s="7">
        <f>INDEX(Detail!$C$1:$C$1001,MATCH(B587,Detail!$G$1:$G$1001,0),1)</f>
        <v>156</v>
      </c>
      <c r="S587" s="7">
        <f>INDEX(Detail!$D$1:$D$1001,MATCH(B587,Detail!$G$1:$G$1001,0),1)</f>
        <v>85</v>
      </c>
      <c r="T587" s="7" t="str">
        <f>INDEX(Detail!$E$1:$E$1001,MATCH(Main!B587,Detail!$G$1:$G$1001,0))</f>
        <v>Gang Kebonjati No. 85</v>
      </c>
      <c r="U587" s="7" t="str">
        <f>INDEX(Detail!$B$1:$B$1001,MATCH(B587,Detail!$G$1:$G$1001,0),1)</f>
        <v>AB-</v>
      </c>
    </row>
    <row r="588" spans="1:21" ht="15.75" x14ac:dyDescent="0.25">
      <c r="A588">
        <v>508</v>
      </c>
      <c r="B588" s="3" t="str">
        <f t="shared" si="25"/>
        <v>D0508</v>
      </c>
      <c r="C588" t="s">
        <v>1013</v>
      </c>
      <c r="D588" s="3" t="str">
        <f>VLOOKUP(B588,Detail!$G$1:$H$1001,2,FALSE)</f>
        <v>Nilam Hakim</v>
      </c>
      <c r="E588">
        <v>56</v>
      </c>
      <c r="F588">
        <v>61</v>
      </c>
      <c r="G588" s="35">
        <v>57</v>
      </c>
      <c r="H588">
        <v>69</v>
      </c>
      <c r="I588">
        <v>83</v>
      </c>
      <c r="J588">
        <v>89</v>
      </c>
      <c r="K588">
        <v>69</v>
      </c>
      <c r="L588" s="26">
        <f>IFERROR(VLOOKUP(B588,Absen!$A$1:$C$501,2,FALSE),"No")</f>
        <v>44809</v>
      </c>
      <c r="M588" s="44">
        <f t="shared" si="26"/>
        <v>5.9</v>
      </c>
      <c r="N588" s="35">
        <f t="shared" si="27"/>
        <v>68.725000000000009</v>
      </c>
      <c r="O588" t="str">
        <f>VLOOKUP(N588,Helper!$B$30:$C$35,2,TRUE)</f>
        <v>C</v>
      </c>
      <c r="P588" s="26">
        <f>INDEX(Detail!$A$1:$A$1001,MATCH(B588,Detail!$G$1:$G$1001,0))</f>
        <v>38377</v>
      </c>
      <c r="Q588" s="3" t="str">
        <f>INDEX(Detail!$F$1:$F$1001,MATCH(Main!B588,Detail!$G$1:$G$1001,0))</f>
        <v>Lhokseumawe</v>
      </c>
      <c r="R588" s="7">
        <f>INDEX(Detail!$C$1:$C$1001,MATCH(B588,Detail!$G$1:$G$1001,0),1)</f>
        <v>175</v>
      </c>
      <c r="S588" s="7">
        <f>INDEX(Detail!$D$1:$D$1001,MATCH(B588,Detail!$G$1:$G$1001,0),1)</f>
        <v>58</v>
      </c>
      <c r="T588" s="7" t="str">
        <f>INDEX(Detail!$E$1:$E$1001,MATCH(Main!B588,Detail!$G$1:$G$1001,0))</f>
        <v>Gang Suniaraja No. 24</v>
      </c>
      <c r="U588" s="7" t="str">
        <f>INDEX(Detail!$B$1:$B$1001,MATCH(B588,Detail!$G$1:$G$1001,0),1)</f>
        <v>AB+</v>
      </c>
    </row>
    <row r="589" spans="1:21" ht="15.75" x14ac:dyDescent="0.25">
      <c r="A589">
        <v>510</v>
      </c>
      <c r="B589" s="3" t="str">
        <f t="shared" si="25"/>
        <v>D0510</v>
      </c>
      <c r="C589" t="s">
        <v>1013</v>
      </c>
      <c r="D589" s="3" t="str">
        <f>VLOOKUP(B589,Detail!$G$1:$H$1001,2,FALSE)</f>
        <v>Prabu Natsir</v>
      </c>
      <c r="E589">
        <v>85</v>
      </c>
      <c r="F589">
        <v>73</v>
      </c>
      <c r="G589" s="35">
        <v>33</v>
      </c>
      <c r="H589">
        <v>55</v>
      </c>
      <c r="I589">
        <v>51</v>
      </c>
      <c r="J589">
        <v>74</v>
      </c>
      <c r="K589">
        <v>85</v>
      </c>
      <c r="L589" s="26">
        <f>IFERROR(VLOOKUP(B589,Absen!$A$1:$C$501,2,FALSE),"No")</f>
        <v>44802</v>
      </c>
      <c r="M589" s="44">
        <f t="shared" si="26"/>
        <v>7.5</v>
      </c>
      <c r="N589" s="35">
        <f t="shared" si="27"/>
        <v>61.900000000000006</v>
      </c>
      <c r="O589" t="str">
        <f>VLOOKUP(N589,Helper!$B$30:$C$35,2,TRUE)</f>
        <v>C</v>
      </c>
      <c r="P589" s="26">
        <f>INDEX(Detail!$A$1:$A$1001,MATCH(B589,Detail!$G$1:$G$1001,0))</f>
        <v>37380</v>
      </c>
      <c r="Q589" s="3" t="str">
        <f>INDEX(Detail!$F$1:$F$1001,MATCH(Main!B589,Detail!$G$1:$G$1001,0))</f>
        <v>Salatiga</v>
      </c>
      <c r="R589" s="7">
        <f>INDEX(Detail!$C$1:$C$1001,MATCH(B589,Detail!$G$1:$G$1001,0),1)</f>
        <v>173</v>
      </c>
      <c r="S589" s="7">
        <f>INDEX(Detail!$D$1:$D$1001,MATCH(B589,Detail!$G$1:$G$1001,0),1)</f>
        <v>93</v>
      </c>
      <c r="T589" s="7" t="str">
        <f>INDEX(Detail!$E$1:$E$1001,MATCH(Main!B589,Detail!$G$1:$G$1001,0))</f>
        <v xml:space="preserve">Jl. Gedebage Selatan No. 6
</v>
      </c>
      <c r="U589" s="7" t="str">
        <f>INDEX(Detail!$B$1:$B$1001,MATCH(B589,Detail!$G$1:$G$1001,0),1)</f>
        <v>B+</v>
      </c>
    </row>
    <row r="590" spans="1:21" ht="15.75" x14ac:dyDescent="0.25">
      <c r="A590">
        <v>511</v>
      </c>
      <c r="B590" s="3" t="str">
        <f t="shared" si="25"/>
        <v>D0511</v>
      </c>
      <c r="C590" t="s">
        <v>1013</v>
      </c>
      <c r="D590" s="3" t="str">
        <f>VLOOKUP(B590,Detail!$G$1:$H$1001,2,FALSE)</f>
        <v>Paiman Waskita</v>
      </c>
      <c r="E590">
        <v>65</v>
      </c>
      <c r="F590">
        <v>46</v>
      </c>
      <c r="G590" s="35">
        <v>83</v>
      </c>
      <c r="H590">
        <v>55</v>
      </c>
      <c r="I590">
        <v>61</v>
      </c>
      <c r="J590">
        <v>80</v>
      </c>
      <c r="K590">
        <v>83</v>
      </c>
      <c r="L590" s="26" t="str">
        <f>IFERROR(VLOOKUP(B590,Absen!$A$1:$C$501,2,FALSE),"No")</f>
        <v>No</v>
      </c>
      <c r="M590" s="44">
        <f t="shared" si="26"/>
        <v>8.3000000000000007</v>
      </c>
      <c r="N590" s="35">
        <f t="shared" si="27"/>
        <v>69.275000000000006</v>
      </c>
      <c r="O590" t="str">
        <f>VLOOKUP(N590,Helper!$B$30:$C$35,2,TRUE)</f>
        <v>C</v>
      </c>
      <c r="P590" s="26">
        <f>INDEX(Detail!$A$1:$A$1001,MATCH(B590,Detail!$G$1:$G$1001,0))</f>
        <v>37567</v>
      </c>
      <c r="Q590" s="3" t="str">
        <f>INDEX(Detail!$F$1:$F$1001,MATCH(Main!B590,Detail!$G$1:$G$1001,0))</f>
        <v>Mataram</v>
      </c>
      <c r="R590" s="7">
        <f>INDEX(Detail!$C$1:$C$1001,MATCH(B590,Detail!$G$1:$G$1001,0),1)</f>
        <v>150</v>
      </c>
      <c r="S590" s="7">
        <f>INDEX(Detail!$D$1:$D$1001,MATCH(B590,Detail!$G$1:$G$1001,0),1)</f>
        <v>85</v>
      </c>
      <c r="T590" s="7" t="str">
        <f>INDEX(Detail!$E$1:$E$1001,MATCH(Main!B590,Detail!$G$1:$G$1001,0))</f>
        <v>Gg. Peta No. 85</v>
      </c>
      <c r="U590" s="7" t="str">
        <f>INDEX(Detail!$B$1:$B$1001,MATCH(B590,Detail!$G$1:$G$1001,0),1)</f>
        <v>A+</v>
      </c>
    </row>
    <row r="591" spans="1:21" ht="15.75" x14ac:dyDescent="0.25">
      <c r="A591">
        <v>513</v>
      </c>
      <c r="B591" s="3" t="str">
        <f t="shared" si="25"/>
        <v>D0513</v>
      </c>
      <c r="C591" t="s">
        <v>1013</v>
      </c>
      <c r="D591" s="3" t="str">
        <f>VLOOKUP(B591,Detail!$G$1:$H$1001,2,FALSE)</f>
        <v>Tasdik Rajasa</v>
      </c>
      <c r="E591">
        <v>84</v>
      </c>
      <c r="F591">
        <v>40</v>
      </c>
      <c r="G591" s="35">
        <v>73</v>
      </c>
      <c r="H591">
        <v>58</v>
      </c>
      <c r="I591">
        <v>61</v>
      </c>
      <c r="J591">
        <v>99</v>
      </c>
      <c r="K591">
        <v>83</v>
      </c>
      <c r="L591" s="26" t="str">
        <f>IFERROR(VLOOKUP(B591,Absen!$A$1:$C$501,2,FALSE),"No")</f>
        <v>No</v>
      </c>
      <c r="M591" s="44">
        <f t="shared" si="26"/>
        <v>8.3000000000000007</v>
      </c>
      <c r="N591" s="35">
        <f t="shared" si="27"/>
        <v>73.075000000000003</v>
      </c>
      <c r="O591" t="str">
        <f>VLOOKUP(N591,Helper!$B$30:$C$35,2,TRUE)</f>
        <v>B</v>
      </c>
      <c r="P591" s="26">
        <f>INDEX(Detail!$A$1:$A$1001,MATCH(B591,Detail!$G$1:$G$1001,0))</f>
        <v>37840</v>
      </c>
      <c r="Q591" s="3" t="str">
        <f>INDEX(Detail!$F$1:$F$1001,MATCH(Main!B591,Detail!$G$1:$G$1001,0))</f>
        <v>Banjarbaru</v>
      </c>
      <c r="R591" s="7">
        <f>INDEX(Detail!$C$1:$C$1001,MATCH(B591,Detail!$G$1:$G$1001,0),1)</f>
        <v>179</v>
      </c>
      <c r="S591" s="7">
        <f>INDEX(Detail!$D$1:$D$1001,MATCH(B591,Detail!$G$1:$G$1001,0),1)</f>
        <v>64</v>
      </c>
      <c r="T591" s="7" t="str">
        <f>INDEX(Detail!$E$1:$E$1001,MATCH(Main!B591,Detail!$G$1:$G$1001,0))</f>
        <v xml:space="preserve">Jalan Gardujati No. 5
</v>
      </c>
      <c r="U591" s="7" t="str">
        <f>INDEX(Detail!$B$1:$B$1001,MATCH(B591,Detail!$G$1:$G$1001,0),1)</f>
        <v>A+</v>
      </c>
    </row>
    <row r="592" spans="1:21" ht="15.75" x14ac:dyDescent="0.25">
      <c r="A592">
        <v>514</v>
      </c>
      <c r="B592" s="3" t="str">
        <f t="shared" si="25"/>
        <v>D0514</v>
      </c>
      <c r="C592" t="s">
        <v>1013</v>
      </c>
      <c r="D592" s="3" t="str">
        <f>VLOOKUP(B592,Detail!$G$1:$H$1001,2,FALSE)</f>
        <v>Gilda Napitupulu</v>
      </c>
      <c r="E592">
        <v>77</v>
      </c>
      <c r="F592">
        <v>61</v>
      </c>
      <c r="G592" s="35">
        <v>37</v>
      </c>
      <c r="H592">
        <v>51</v>
      </c>
      <c r="I592">
        <v>92</v>
      </c>
      <c r="J592">
        <v>78</v>
      </c>
      <c r="K592">
        <v>68</v>
      </c>
      <c r="L592" s="26">
        <f>IFERROR(VLOOKUP(B592,Absen!$A$1:$C$501,2,FALSE),"No")</f>
        <v>44837</v>
      </c>
      <c r="M592" s="44">
        <f t="shared" si="26"/>
        <v>5.8000000000000007</v>
      </c>
      <c r="N592" s="35">
        <f t="shared" si="27"/>
        <v>63.924999999999997</v>
      </c>
      <c r="O592" t="str">
        <f>VLOOKUP(N592,Helper!$B$30:$C$35,2,TRUE)</f>
        <v>C</v>
      </c>
      <c r="P592" s="26">
        <f>INDEX(Detail!$A$1:$A$1001,MATCH(B592,Detail!$G$1:$G$1001,0))</f>
        <v>38360</v>
      </c>
      <c r="Q592" s="3" t="str">
        <f>INDEX(Detail!$F$1:$F$1001,MATCH(Main!B592,Detail!$G$1:$G$1001,0))</f>
        <v>Bukittinggi</v>
      </c>
      <c r="R592" s="7">
        <f>INDEX(Detail!$C$1:$C$1001,MATCH(B592,Detail!$G$1:$G$1001,0),1)</f>
        <v>177</v>
      </c>
      <c r="S592" s="7">
        <f>INDEX(Detail!$D$1:$D$1001,MATCH(B592,Detail!$G$1:$G$1001,0),1)</f>
        <v>89</v>
      </c>
      <c r="T592" s="7" t="str">
        <f>INDEX(Detail!$E$1:$E$1001,MATCH(Main!B592,Detail!$G$1:$G$1001,0))</f>
        <v>Gang Lembong No. 72</v>
      </c>
      <c r="U592" s="7" t="str">
        <f>INDEX(Detail!$B$1:$B$1001,MATCH(B592,Detail!$G$1:$G$1001,0),1)</f>
        <v>B-</v>
      </c>
    </row>
    <row r="593" spans="1:21" ht="15.75" x14ac:dyDescent="0.25">
      <c r="A593">
        <v>531</v>
      </c>
      <c r="B593" s="3" t="str">
        <f t="shared" si="25"/>
        <v>D0531</v>
      </c>
      <c r="C593" t="s">
        <v>1013</v>
      </c>
      <c r="D593" s="3" t="str">
        <f>VLOOKUP(B593,Detail!$G$1:$H$1001,2,FALSE)</f>
        <v>Garang Mulyani</v>
      </c>
      <c r="E593">
        <v>59</v>
      </c>
      <c r="F593">
        <v>69</v>
      </c>
      <c r="G593" s="35">
        <v>75</v>
      </c>
      <c r="H593">
        <v>68</v>
      </c>
      <c r="I593">
        <v>84</v>
      </c>
      <c r="J593">
        <v>43</v>
      </c>
      <c r="K593">
        <v>79</v>
      </c>
      <c r="L593" s="26" t="str">
        <f>IFERROR(VLOOKUP(B593,Absen!$A$1:$C$501,2,FALSE),"No")</f>
        <v>No</v>
      </c>
      <c r="M593" s="44">
        <f t="shared" si="26"/>
        <v>7.9</v>
      </c>
      <c r="N593" s="35">
        <f t="shared" si="27"/>
        <v>66.5</v>
      </c>
      <c r="O593" t="str">
        <f>VLOOKUP(N593,Helper!$B$30:$C$35,2,TRUE)</f>
        <v>C</v>
      </c>
      <c r="P593" s="26">
        <f>INDEX(Detail!$A$1:$A$1001,MATCH(B593,Detail!$G$1:$G$1001,0))</f>
        <v>38153</v>
      </c>
      <c r="Q593" s="3" t="str">
        <f>INDEX(Detail!$F$1:$F$1001,MATCH(Main!B593,Detail!$G$1:$G$1001,0))</f>
        <v>Banjar</v>
      </c>
      <c r="R593" s="7">
        <f>INDEX(Detail!$C$1:$C$1001,MATCH(B593,Detail!$G$1:$G$1001,0),1)</f>
        <v>172</v>
      </c>
      <c r="S593" s="7">
        <f>INDEX(Detail!$D$1:$D$1001,MATCH(B593,Detail!$G$1:$G$1001,0),1)</f>
        <v>66</v>
      </c>
      <c r="T593" s="7" t="str">
        <f>INDEX(Detail!$E$1:$E$1001,MATCH(Main!B593,Detail!$G$1:$G$1001,0))</f>
        <v>Jl. Moch. Toha No. 79</v>
      </c>
      <c r="U593" s="7" t="str">
        <f>INDEX(Detail!$B$1:$B$1001,MATCH(B593,Detail!$G$1:$G$1001,0),1)</f>
        <v>A+</v>
      </c>
    </row>
    <row r="594" spans="1:21" ht="15.75" x14ac:dyDescent="0.25">
      <c r="A594">
        <v>537</v>
      </c>
      <c r="B594" s="3" t="str">
        <f t="shared" si="25"/>
        <v>D0537</v>
      </c>
      <c r="C594" t="s">
        <v>1013</v>
      </c>
      <c r="D594" s="3" t="str">
        <f>VLOOKUP(B594,Detail!$G$1:$H$1001,2,FALSE)</f>
        <v>Luthfi Laksmiwati</v>
      </c>
      <c r="E594">
        <v>88</v>
      </c>
      <c r="F594">
        <v>63</v>
      </c>
      <c r="G594" s="35">
        <v>79</v>
      </c>
      <c r="H594">
        <v>68</v>
      </c>
      <c r="I594">
        <v>72</v>
      </c>
      <c r="J594">
        <v>75</v>
      </c>
      <c r="K594">
        <v>93</v>
      </c>
      <c r="L594" s="26" t="str">
        <f>IFERROR(VLOOKUP(B594,Absen!$A$1:$C$501,2,FALSE),"No")</f>
        <v>No</v>
      </c>
      <c r="M594" s="44">
        <f t="shared" si="26"/>
        <v>9.3000000000000007</v>
      </c>
      <c r="N594" s="35">
        <f t="shared" si="27"/>
        <v>76.474999999999994</v>
      </c>
      <c r="O594" t="str">
        <f>VLOOKUP(N594,Helper!$B$30:$C$35,2,TRUE)</f>
        <v>B</v>
      </c>
      <c r="P594" s="26">
        <f>INDEX(Detail!$A$1:$A$1001,MATCH(B594,Detail!$G$1:$G$1001,0))</f>
        <v>37263</v>
      </c>
      <c r="Q594" s="3" t="str">
        <f>INDEX(Detail!$F$1:$F$1001,MATCH(Main!B594,Detail!$G$1:$G$1001,0))</f>
        <v>Pariaman</v>
      </c>
      <c r="R594" s="7">
        <f>INDEX(Detail!$C$1:$C$1001,MATCH(B594,Detail!$G$1:$G$1001,0),1)</f>
        <v>173</v>
      </c>
      <c r="S594" s="7">
        <f>INDEX(Detail!$D$1:$D$1001,MATCH(B594,Detail!$G$1:$G$1001,0),1)</f>
        <v>53</v>
      </c>
      <c r="T594" s="7" t="str">
        <f>INDEX(Detail!$E$1:$E$1001,MATCH(Main!B594,Detail!$G$1:$G$1001,0))</f>
        <v xml:space="preserve">Gang Siliwangi No. 5
</v>
      </c>
      <c r="U594" s="7" t="str">
        <f>INDEX(Detail!$B$1:$B$1001,MATCH(B594,Detail!$G$1:$G$1001,0),1)</f>
        <v>O+</v>
      </c>
    </row>
    <row r="595" spans="1:21" ht="15.75" x14ac:dyDescent="0.25">
      <c r="A595">
        <v>546</v>
      </c>
      <c r="B595" s="3" t="str">
        <f t="shared" si="25"/>
        <v>D0546</v>
      </c>
      <c r="C595" t="s">
        <v>1013</v>
      </c>
      <c r="D595" s="3" t="str">
        <f>VLOOKUP(B595,Detail!$G$1:$H$1001,2,FALSE)</f>
        <v>Harimurti Permadi</v>
      </c>
      <c r="E595">
        <v>63</v>
      </c>
      <c r="F595">
        <v>58</v>
      </c>
      <c r="G595" s="35">
        <v>38</v>
      </c>
      <c r="H595">
        <v>69</v>
      </c>
      <c r="I595">
        <v>62</v>
      </c>
      <c r="J595">
        <v>48</v>
      </c>
      <c r="K595">
        <v>73</v>
      </c>
      <c r="L595" s="26" t="str">
        <f>IFERROR(VLOOKUP(B595,Absen!$A$1:$C$501,2,FALSE),"No")</f>
        <v>No</v>
      </c>
      <c r="M595" s="44">
        <f t="shared" si="26"/>
        <v>7.3000000000000007</v>
      </c>
      <c r="N595" s="35">
        <f t="shared" si="27"/>
        <v>56</v>
      </c>
      <c r="O595" t="str">
        <f>VLOOKUP(N595,Helper!$B$30:$C$35,2,TRUE)</f>
        <v>D</v>
      </c>
      <c r="P595" s="26">
        <f>INDEX(Detail!$A$1:$A$1001,MATCH(B595,Detail!$G$1:$G$1001,0))</f>
        <v>37579</v>
      </c>
      <c r="Q595" s="3" t="str">
        <f>INDEX(Detail!$F$1:$F$1001,MATCH(Main!B595,Detail!$G$1:$G$1001,0))</f>
        <v>Lubuklinggau</v>
      </c>
      <c r="R595" s="7">
        <f>INDEX(Detail!$C$1:$C$1001,MATCH(B595,Detail!$G$1:$G$1001,0),1)</f>
        <v>165</v>
      </c>
      <c r="S595" s="7">
        <f>INDEX(Detail!$D$1:$D$1001,MATCH(B595,Detail!$G$1:$G$1001,0),1)</f>
        <v>73</v>
      </c>
      <c r="T595" s="7" t="str">
        <f>INDEX(Detail!$E$1:$E$1001,MATCH(Main!B595,Detail!$G$1:$G$1001,0))</f>
        <v>Gg. Dipatiukur No. 58</v>
      </c>
      <c r="U595" s="7" t="str">
        <f>INDEX(Detail!$B$1:$B$1001,MATCH(B595,Detail!$G$1:$G$1001,0),1)</f>
        <v>O-</v>
      </c>
    </row>
    <row r="596" spans="1:21" ht="15.75" x14ac:dyDescent="0.25">
      <c r="A596">
        <v>547</v>
      </c>
      <c r="B596" s="3" t="str">
        <f t="shared" si="25"/>
        <v>D0547</v>
      </c>
      <c r="C596" t="s">
        <v>1013</v>
      </c>
      <c r="D596" s="3" t="str">
        <f>VLOOKUP(B596,Detail!$G$1:$H$1001,2,FALSE)</f>
        <v>Lalita Sihombing</v>
      </c>
      <c r="E596">
        <v>66</v>
      </c>
      <c r="F596">
        <v>53</v>
      </c>
      <c r="G596" s="35">
        <v>41</v>
      </c>
      <c r="H596">
        <v>64</v>
      </c>
      <c r="I596">
        <v>51</v>
      </c>
      <c r="J596">
        <v>68</v>
      </c>
      <c r="K596">
        <v>67</v>
      </c>
      <c r="L596" s="26">
        <f>IFERROR(VLOOKUP(B596,Absen!$A$1:$C$501,2,FALSE),"No")</f>
        <v>44827</v>
      </c>
      <c r="M596" s="44">
        <f t="shared" si="26"/>
        <v>5.7</v>
      </c>
      <c r="N596" s="35">
        <f t="shared" si="27"/>
        <v>56.750000000000007</v>
      </c>
      <c r="O596" t="str">
        <f>VLOOKUP(N596,Helper!$B$30:$C$35,2,TRUE)</f>
        <v>D</v>
      </c>
      <c r="P596" s="26">
        <f>INDEX(Detail!$A$1:$A$1001,MATCH(B596,Detail!$G$1:$G$1001,0))</f>
        <v>38303</v>
      </c>
      <c r="Q596" s="3" t="str">
        <f>INDEX(Detail!$F$1:$F$1001,MATCH(Main!B596,Detail!$G$1:$G$1001,0))</f>
        <v>Kota Administrasi Jakarta Pusat</v>
      </c>
      <c r="R596" s="7">
        <f>INDEX(Detail!$C$1:$C$1001,MATCH(B596,Detail!$G$1:$G$1001,0),1)</f>
        <v>158</v>
      </c>
      <c r="S596" s="7">
        <f>INDEX(Detail!$D$1:$D$1001,MATCH(B596,Detail!$G$1:$G$1001,0),1)</f>
        <v>66</v>
      </c>
      <c r="T596" s="7" t="str">
        <f>INDEX(Detail!$E$1:$E$1001,MATCH(Main!B596,Detail!$G$1:$G$1001,0))</f>
        <v>Jl. Cempaka No. 14</v>
      </c>
      <c r="U596" s="7" t="str">
        <f>INDEX(Detail!$B$1:$B$1001,MATCH(B596,Detail!$G$1:$G$1001,0),1)</f>
        <v>O+</v>
      </c>
    </row>
    <row r="597" spans="1:21" ht="15.75" x14ac:dyDescent="0.25">
      <c r="A597">
        <v>550</v>
      </c>
      <c r="B597" s="3" t="str">
        <f t="shared" si="25"/>
        <v>D0550</v>
      </c>
      <c r="C597" t="s">
        <v>1013</v>
      </c>
      <c r="D597" s="3" t="str">
        <f>VLOOKUP(B597,Detail!$G$1:$H$1001,2,FALSE)</f>
        <v>Carub Rahmawati</v>
      </c>
      <c r="E597">
        <v>95</v>
      </c>
      <c r="F597">
        <v>66</v>
      </c>
      <c r="G597" s="35">
        <v>93</v>
      </c>
      <c r="H597">
        <v>62</v>
      </c>
      <c r="I597">
        <v>53</v>
      </c>
      <c r="J597">
        <v>99</v>
      </c>
      <c r="K597">
        <v>84</v>
      </c>
      <c r="L597" s="26">
        <f>IFERROR(VLOOKUP(B597,Absen!$A$1:$C$501,2,FALSE),"No")</f>
        <v>44749</v>
      </c>
      <c r="M597" s="44">
        <f t="shared" si="26"/>
        <v>7.4</v>
      </c>
      <c r="N597" s="35">
        <f t="shared" si="27"/>
        <v>80.300000000000011</v>
      </c>
      <c r="O597" t="str">
        <f>VLOOKUP(N597,Helper!$B$30:$C$35,2,TRUE)</f>
        <v>A</v>
      </c>
      <c r="P597" s="26">
        <f>INDEX(Detail!$A$1:$A$1001,MATCH(B597,Detail!$G$1:$G$1001,0))</f>
        <v>38014</v>
      </c>
      <c r="Q597" s="3" t="str">
        <f>INDEX(Detail!$F$1:$F$1001,MATCH(Main!B597,Detail!$G$1:$G$1001,0))</f>
        <v>Kota Administrasi Jakarta Selatan</v>
      </c>
      <c r="R597" s="7">
        <f>INDEX(Detail!$C$1:$C$1001,MATCH(B597,Detail!$G$1:$G$1001,0),1)</f>
        <v>163</v>
      </c>
      <c r="S597" s="7">
        <f>INDEX(Detail!$D$1:$D$1001,MATCH(B597,Detail!$G$1:$G$1001,0),1)</f>
        <v>87</v>
      </c>
      <c r="T597" s="7" t="str">
        <f>INDEX(Detail!$E$1:$E$1001,MATCH(Main!B597,Detail!$G$1:$G$1001,0))</f>
        <v>Jl. Jayawijaya No. 33</v>
      </c>
      <c r="U597" s="7" t="str">
        <f>INDEX(Detail!$B$1:$B$1001,MATCH(B597,Detail!$G$1:$G$1001,0),1)</f>
        <v>AB-</v>
      </c>
    </row>
    <row r="598" spans="1:21" ht="15.75" x14ac:dyDescent="0.25">
      <c r="A598">
        <v>552</v>
      </c>
      <c r="B598" s="3" t="str">
        <f t="shared" si="25"/>
        <v>D0552</v>
      </c>
      <c r="C598" t="s">
        <v>1013</v>
      </c>
      <c r="D598" s="3" t="str">
        <f>VLOOKUP(B598,Detail!$G$1:$H$1001,2,FALSE)</f>
        <v>Ade Rajasa</v>
      </c>
      <c r="E598">
        <v>66</v>
      </c>
      <c r="F598">
        <v>46</v>
      </c>
      <c r="G598" s="35">
        <v>33</v>
      </c>
      <c r="H598">
        <v>63</v>
      </c>
      <c r="I598">
        <v>77</v>
      </c>
      <c r="J598">
        <v>80</v>
      </c>
      <c r="K598">
        <v>74</v>
      </c>
      <c r="L598" s="26">
        <f>IFERROR(VLOOKUP(B598,Absen!$A$1:$C$501,2,FALSE),"No")</f>
        <v>44840</v>
      </c>
      <c r="M598" s="44">
        <f t="shared" si="26"/>
        <v>6.4</v>
      </c>
      <c r="N598" s="35">
        <f t="shared" si="27"/>
        <v>60.5</v>
      </c>
      <c r="O598" t="str">
        <f>VLOOKUP(N598,Helper!$B$30:$C$35,2,TRUE)</f>
        <v>C</v>
      </c>
      <c r="P598" s="26">
        <f>INDEX(Detail!$A$1:$A$1001,MATCH(B598,Detail!$G$1:$G$1001,0))</f>
        <v>37974</v>
      </c>
      <c r="Q598" s="3" t="str">
        <f>INDEX(Detail!$F$1:$F$1001,MATCH(Main!B598,Detail!$G$1:$G$1001,0))</f>
        <v>Sorong</v>
      </c>
      <c r="R598" s="7">
        <f>INDEX(Detail!$C$1:$C$1001,MATCH(B598,Detail!$G$1:$G$1001,0),1)</f>
        <v>161</v>
      </c>
      <c r="S598" s="7">
        <f>INDEX(Detail!$D$1:$D$1001,MATCH(B598,Detail!$G$1:$G$1001,0),1)</f>
        <v>84</v>
      </c>
      <c r="T598" s="7" t="str">
        <f>INDEX(Detail!$E$1:$E$1001,MATCH(Main!B598,Detail!$G$1:$G$1001,0))</f>
        <v>Jalan Soekarno Hatta No. 45</v>
      </c>
      <c r="U598" s="7" t="str">
        <f>INDEX(Detail!$B$1:$B$1001,MATCH(B598,Detail!$G$1:$G$1001,0),1)</f>
        <v>O+</v>
      </c>
    </row>
    <row r="599" spans="1:21" ht="15.75" x14ac:dyDescent="0.25">
      <c r="A599">
        <v>555</v>
      </c>
      <c r="B599" s="3" t="str">
        <f t="shared" si="25"/>
        <v>D0555</v>
      </c>
      <c r="C599" t="s">
        <v>1013</v>
      </c>
      <c r="D599" s="3" t="str">
        <f>VLOOKUP(B599,Detail!$G$1:$H$1001,2,FALSE)</f>
        <v>Elvina Saefullah</v>
      </c>
      <c r="E599">
        <v>60</v>
      </c>
      <c r="F599">
        <v>56</v>
      </c>
      <c r="G599" s="35">
        <v>39</v>
      </c>
      <c r="H599">
        <v>52</v>
      </c>
      <c r="I599">
        <v>87</v>
      </c>
      <c r="J599">
        <v>89</v>
      </c>
      <c r="K599">
        <v>89</v>
      </c>
      <c r="L599" s="26" t="str">
        <f>IFERROR(VLOOKUP(B599,Absen!$A$1:$C$501,2,FALSE),"No")</f>
        <v>No</v>
      </c>
      <c r="M599" s="44">
        <f t="shared" si="26"/>
        <v>8.9</v>
      </c>
      <c r="N599" s="35">
        <f t="shared" si="27"/>
        <v>66.375</v>
      </c>
      <c r="O599" t="str">
        <f>VLOOKUP(N599,Helper!$B$30:$C$35,2,TRUE)</f>
        <v>C</v>
      </c>
      <c r="P599" s="26">
        <f>INDEX(Detail!$A$1:$A$1001,MATCH(B599,Detail!$G$1:$G$1001,0))</f>
        <v>37820</v>
      </c>
      <c r="Q599" s="3" t="str">
        <f>INDEX(Detail!$F$1:$F$1001,MATCH(Main!B599,Detail!$G$1:$G$1001,0))</f>
        <v>Sukabumi</v>
      </c>
      <c r="R599" s="7">
        <f>INDEX(Detail!$C$1:$C$1001,MATCH(B599,Detail!$G$1:$G$1001,0),1)</f>
        <v>153</v>
      </c>
      <c r="S599" s="7">
        <f>INDEX(Detail!$D$1:$D$1001,MATCH(B599,Detail!$G$1:$G$1001,0),1)</f>
        <v>49</v>
      </c>
      <c r="T599" s="7" t="str">
        <f>INDEX(Detail!$E$1:$E$1001,MATCH(Main!B599,Detail!$G$1:$G$1001,0))</f>
        <v xml:space="preserve">Jalan Gedebage Selatan No. 5
</v>
      </c>
      <c r="U599" s="7" t="str">
        <f>INDEX(Detail!$B$1:$B$1001,MATCH(B599,Detail!$G$1:$G$1001,0),1)</f>
        <v>O-</v>
      </c>
    </row>
    <row r="600" spans="1:21" ht="15.75" x14ac:dyDescent="0.25">
      <c r="A600">
        <v>558</v>
      </c>
      <c r="B600" s="3" t="str">
        <f t="shared" si="25"/>
        <v>D0558</v>
      </c>
      <c r="C600" t="s">
        <v>1013</v>
      </c>
      <c r="D600" s="3" t="str">
        <f>VLOOKUP(B600,Detail!$G$1:$H$1001,2,FALSE)</f>
        <v>Elvina Kuswandari</v>
      </c>
      <c r="E600">
        <v>70</v>
      </c>
      <c r="F600">
        <v>53</v>
      </c>
      <c r="G600" s="35">
        <v>93</v>
      </c>
      <c r="H600">
        <v>58</v>
      </c>
      <c r="I600">
        <v>60</v>
      </c>
      <c r="J600">
        <v>47</v>
      </c>
      <c r="K600">
        <v>75</v>
      </c>
      <c r="L600" s="26" t="str">
        <f>IFERROR(VLOOKUP(B600,Absen!$A$1:$C$501,2,FALSE),"No")</f>
        <v>No</v>
      </c>
      <c r="M600" s="44">
        <f t="shared" si="26"/>
        <v>7.5</v>
      </c>
      <c r="N600" s="35">
        <f t="shared" si="27"/>
        <v>65.625</v>
      </c>
      <c r="O600" t="str">
        <f>VLOOKUP(N600,Helper!$B$30:$C$35,2,TRUE)</f>
        <v>C</v>
      </c>
      <c r="P600" s="26">
        <f>INDEX(Detail!$A$1:$A$1001,MATCH(B600,Detail!$G$1:$G$1001,0))</f>
        <v>37011</v>
      </c>
      <c r="Q600" s="3" t="str">
        <f>INDEX(Detail!$F$1:$F$1001,MATCH(Main!B600,Detail!$G$1:$G$1001,0))</f>
        <v>Malang</v>
      </c>
      <c r="R600" s="7">
        <f>INDEX(Detail!$C$1:$C$1001,MATCH(B600,Detail!$G$1:$G$1001,0),1)</f>
        <v>168</v>
      </c>
      <c r="S600" s="7">
        <f>INDEX(Detail!$D$1:$D$1001,MATCH(B600,Detail!$G$1:$G$1001,0),1)</f>
        <v>54</v>
      </c>
      <c r="T600" s="7" t="str">
        <f>INDEX(Detail!$E$1:$E$1001,MATCH(Main!B600,Detail!$G$1:$G$1001,0))</f>
        <v xml:space="preserve">Gg. Tebet Barat Dalam No. 8
</v>
      </c>
      <c r="U600" s="7" t="str">
        <f>INDEX(Detail!$B$1:$B$1001,MATCH(B600,Detail!$G$1:$G$1001,0),1)</f>
        <v>AB-</v>
      </c>
    </row>
    <row r="601" spans="1:21" ht="15.75" x14ac:dyDescent="0.25">
      <c r="A601">
        <v>559</v>
      </c>
      <c r="B601" s="3" t="str">
        <f t="shared" si="25"/>
        <v>D0559</v>
      </c>
      <c r="C601" t="s">
        <v>1013</v>
      </c>
      <c r="D601" s="3" t="str">
        <f>VLOOKUP(B601,Detail!$G$1:$H$1001,2,FALSE)</f>
        <v>Daliono Wasita</v>
      </c>
      <c r="E601">
        <v>77</v>
      </c>
      <c r="F601">
        <v>70</v>
      </c>
      <c r="G601" s="35">
        <v>34</v>
      </c>
      <c r="H601">
        <v>67</v>
      </c>
      <c r="I601">
        <v>51</v>
      </c>
      <c r="J601">
        <v>77</v>
      </c>
      <c r="K601">
        <v>90</v>
      </c>
      <c r="L601" s="26" t="str">
        <f>IFERROR(VLOOKUP(B601,Absen!$A$1:$C$501,2,FALSE),"No")</f>
        <v>No</v>
      </c>
      <c r="M601" s="44">
        <f t="shared" si="26"/>
        <v>9</v>
      </c>
      <c r="N601" s="35">
        <f t="shared" si="27"/>
        <v>64.324999999999989</v>
      </c>
      <c r="O601" t="str">
        <f>VLOOKUP(N601,Helper!$B$30:$C$35,2,TRUE)</f>
        <v>C</v>
      </c>
      <c r="P601" s="26">
        <f>INDEX(Detail!$A$1:$A$1001,MATCH(B601,Detail!$G$1:$G$1001,0))</f>
        <v>37768</v>
      </c>
      <c r="Q601" s="3" t="str">
        <f>INDEX(Detail!$F$1:$F$1001,MATCH(Main!B601,Detail!$G$1:$G$1001,0))</f>
        <v>Mataram</v>
      </c>
      <c r="R601" s="7">
        <f>INDEX(Detail!$C$1:$C$1001,MATCH(B601,Detail!$G$1:$G$1001,0),1)</f>
        <v>173</v>
      </c>
      <c r="S601" s="7">
        <f>INDEX(Detail!$D$1:$D$1001,MATCH(B601,Detail!$G$1:$G$1001,0),1)</f>
        <v>76</v>
      </c>
      <c r="T601" s="7" t="str">
        <f>INDEX(Detail!$E$1:$E$1001,MATCH(Main!B601,Detail!$G$1:$G$1001,0))</f>
        <v xml:space="preserve">Gang Cihampelas No. 1
</v>
      </c>
      <c r="U601" s="7" t="str">
        <f>INDEX(Detail!$B$1:$B$1001,MATCH(B601,Detail!$G$1:$G$1001,0),1)</f>
        <v>O-</v>
      </c>
    </row>
    <row r="602" spans="1:21" ht="15.75" x14ac:dyDescent="0.25">
      <c r="A602">
        <v>564</v>
      </c>
      <c r="B602" s="3" t="str">
        <f t="shared" si="25"/>
        <v>D0564</v>
      </c>
      <c r="C602" t="s">
        <v>1013</v>
      </c>
      <c r="D602" s="3" t="str">
        <f>VLOOKUP(B602,Detail!$G$1:$H$1001,2,FALSE)</f>
        <v>Nyoman Nuraini</v>
      </c>
      <c r="E602">
        <v>75</v>
      </c>
      <c r="F602">
        <v>69</v>
      </c>
      <c r="G602" s="35">
        <v>71</v>
      </c>
      <c r="H602">
        <v>60</v>
      </c>
      <c r="I602">
        <v>76</v>
      </c>
      <c r="J602">
        <v>41</v>
      </c>
      <c r="K602">
        <v>74</v>
      </c>
      <c r="L602" s="26">
        <f>IFERROR(VLOOKUP(B602,Absen!$A$1:$C$501,2,FALSE),"No")</f>
        <v>44916</v>
      </c>
      <c r="M602" s="44">
        <f t="shared" si="26"/>
        <v>6.4</v>
      </c>
      <c r="N602" s="35">
        <f t="shared" si="27"/>
        <v>63.800000000000004</v>
      </c>
      <c r="O602" t="str">
        <f>VLOOKUP(N602,Helper!$B$30:$C$35,2,TRUE)</f>
        <v>C</v>
      </c>
      <c r="P602" s="26">
        <f>INDEX(Detail!$A$1:$A$1001,MATCH(B602,Detail!$G$1:$G$1001,0))</f>
        <v>38210</v>
      </c>
      <c r="Q602" s="3" t="str">
        <f>INDEX(Detail!$F$1:$F$1001,MATCH(Main!B602,Detail!$G$1:$G$1001,0))</f>
        <v>Probolinggo</v>
      </c>
      <c r="R602" s="7">
        <f>INDEX(Detail!$C$1:$C$1001,MATCH(B602,Detail!$G$1:$G$1001,0),1)</f>
        <v>177</v>
      </c>
      <c r="S602" s="7">
        <f>INDEX(Detail!$D$1:$D$1001,MATCH(B602,Detail!$G$1:$G$1001,0),1)</f>
        <v>74</v>
      </c>
      <c r="T602" s="7" t="str">
        <f>INDEX(Detail!$E$1:$E$1001,MATCH(Main!B602,Detail!$G$1:$G$1001,0))</f>
        <v>Gang Peta No. 67</v>
      </c>
      <c r="U602" s="7" t="str">
        <f>INDEX(Detail!$B$1:$B$1001,MATCH(B602,Detail!$G$1:$G$1001,0),1)</f>
        <v>AB-</v>
      </c>
    </row>
    <row r="603" spans="1:21" ht="15.75" x14ac:dyDescent="0.25">
      <c r="A603">
        <v>570</v>
      </c>
      <c r="B603" s="3" t="str">
        <f t="shared" si="25"/>
        <v>D0570</v>
      </c>
      <c r="C603" t="s">
        <v>1013</v>
      </c>
      <c r="D603" s="3" t="str">
        <f>VLOOKUP(B603,Detail!$G$1:$H$1001,2,FALSE)</f>
        <v>Margana Nasyiah</v>
      </c>
      <c r="E603">
        <v>68</v>
      </c>
      <c r="F603">
        <v>75</v>
      </c>
      <c r="G603" s="35">
        <v>59</v>
      </c>
      <c r="H603">
        <v>51</v>
      </c>
      <c r="I603">
        <v>61</v>
      </c>
      <c r="J603">
        <v>45</v>
      </c>
      <c r="K603">
        <v>79</v>
      </c>
      <c r="L603" s="26" t="str">
        <f>IFERROR(VLOOKUP(B603,Absen!$A$1:$C$501,2,FALSE),"No")</f>
        <v>No</v>
      </c>
      <c r="M603" s="44">
        <f t="shared" si="26"/>
        <v>7.9</v>
      </c>
      <c r="N603" s="35">
        <f t="shared" si="27"/>
        <v>60.574999999999996</v>
      </c>
      <c r="O603" t="str">
        <f>VLOOKUP(N603,Helper!$B$30:$C$35,2,TRUE)</f>
        <v>C</v>
      </c>
      <c r="P603" s="26">
        <f>INDEX(Detail!$A$1:$A$1001,MATCH(B603,Detail!$G$1:$G$1001,0))</f>
        <v>37415</v>
      </c>
      <c r="Q603" s="3" t="str">
        <f>INDEX(Detail!$F$1:$F$1001,MATCH(Main!B603,Detail!$G$1:$G$1001,0))</f>
        <v>Cilegon</v>
      </c>
      <c r="R603" s="7">
        <f>INDEX(Detail!$C$1:$C$1001,MATCH(B603,Detail!$G$1:$G$1001,0),1)</f>
        <v>171</v>
      </c>
      <c r="S603" s="7">
        <f>INDEX(Detail!$D$1:$D$1001,MATCH(B603,Detail!$G$1:$G$1001,0),1)</f>
        <v>63</v>
      </c>
      <c r="T603" s="7" t="str">
        <f>INDEX(Detail!$E$1:$E$1001,MATCH(Main!B603,Detail!$G$1:$G$1001,0))</f>
        <v>Gg. M.T Haryono No. 15</v>
      </c>
      <c r="U603" s="7" t="str">
        <f>INDEX(Detail!$B$1:$B$1001,MATCH(B603,Detail!$G$1:$G$1001,0),1)</f>
        <v>B+</v>
      </c>
    </row>
    <row r="604" spans="1:21" ht="15.75" x14ac:dyDescent="0.25">
      <c r="A604">
        <v>571</v>
      </c>
      <c r="B604" s="3" t="str">
        <f t="shared" si="25"/>
        <v>D0571</v>
      </c>
      <c r="C604" t="s">
        <v>1013</v>
      </c>
      <c r="D604" s="3" t="str">
        <f>VLOOKUP(B604,Detail!$G$1:$H$1001,2,FALSE)</f>
        <v>Galak Halimah</v>
      </c>
      <c r="E604">
        <v>74</v>
      </c>
      <c r="F604">
        <v>71</v>
      </c>
      <c r="G604" s="35">
        <v>65</v>
      </c>
      <c r="H604">
        <v>68</v>
      </c>
      <c r="I604">
        <v>53</v>
      </c>
      <c r="J604">
        <v>90</v>
      </c>
      <c r="K604">
        <v>65</v>
      </c>
      <c r="L604" s="26" t="str">
        <f>IFERROR(VLOOKUP(B604,Absen!$A$1:$C$501,2,FALSE),"No")</f>
        <v>No</v>
      </c>
      <c r="M604" s="44">
        <f t="shared" si="26"/>
        <v>6.5</v>
      </c>
      <c r="N604" s="35">
        <f t="shared" si="27"/>
        <v>70.75</v>
      </c>
      <c r="O604" t="str">
        <f>VLOOKUP(N604,Helper!$B$30:$C$35,2,TRUE)</f>
        <v>B</v>
      </c>
      <c r="P604" s="26">
        <f>INDEX(Detail!$A$1:$A$1001,MATCH(B604,Detail!$G$1:$G$1001,0))</f>
        <v>37438</v>
      </c>
      <c r="Q604" s="3" t="str">
        <f>INDEX(Detail!$F$1:$F$1001,MATCH(Main!B604,Detail!$G$1:$G$1001,0))</f>
        <v>Pematangsiantar</v>
      </c>
      <c r="R604" s="7">
        <f>INDEX(Detail!$C$1:$C$1001,MATCH(B604,Detail!$G$1:$G$1001,0),1)</f>
        <v>159</v>
      </c>
      <c r="S604" s="7">
        <f>INDEX(Detail!$D$1:$D$1001,MATCH(B604,Detail!$G$1:$G$1001,0),1)</f>
        <v>89</v>
      </c>
      <c r="T604" s="7" t="str">
        <f>INDEX(Detail!$E$1:$E$1001,MATCH(Main!B604,Detail!$G$1:$G$1001,0))</f>
        <v>Gg. Rumah Sakit No. 60</v>
      </c>
      <c r="U604" s="7" t="str">
        <f>INDEX(Detail!$B$1:$B$1001,MATCH(B604,Detail!$G$1:$G$1001,0),1)</f>
        <v>AB-</v>
      </c>
    </row>
    <row r="605" spans="1:21" ht="15.75" x14ac:dyDescent="0.25">
      <c r="A605">
        <v>576</v>
      </c>
      <c r="B605" s="3" t="str">
        <f t="shared" si="25"/>
        <v>D0576</v>
      </c>
      <c r="C605" t="s">
        <v>1013</v>
      </c>
      <c r="D605" s="3" t="str">
        <f>VLOOKUP(B605,Detail!$G$1:$H$1001,2,FALSE)</f>
        <v>Marsudi Uyainah</v>
      </c>
      <c r="E605">
        <v>58</v>
      </c>
      <c r="F605">
        <v>64</v>
      </c>
      <c r="G605" s="35">
        <v>55</v>
      </c>
      <c r="H605">
        <v>58</v>
      </c>
      <c r="I605">
        <v>64</v>
      </c>
      <c r="J605">
        <v>51</v>
      </c>
      <c r="K605">
        <v>84</v>
      </c>
      <c r="L605" s="26">
        <f>IFERROR(VLOOKUP(B605,Absen!$A$1:$C$501,2,FALSE),"No")</f>
        <v>44748</v>
      </c>
      <c r="M605" s="44">
        <f t="shared" si="26"/>
        <v>7.4</v>
      </c>
      <c r="N605" s="35">
        <f t="shared" si="27"/>
        <v>59.1</v>
      </c>
      <c r="O605" t="str">
        <f>VLOOKUP(N605,Helper!$B$30:$C$35,2,TRUE)</f>
        <v>D</v>
      </c>
      <c r="P605" s="26">
        <f>INDEX(Detail!$A$1:$A$1001,MATCH(B605,Detail!$G$1:$G$1001,0))</f>
        <v>38418</v>
      </c>
      <c r="Q605" s="3" t="str">
        <f>INDEX(Detail!$F$1:$F$1001,MATCH(Main!B605,Detail!$G$1:$G$1001,0))</f>
        <v>Surakarta</v>
      </c>
      <c r="R605" s="7">
        <f>INDEX(Detail!$C$1:$C$1001,MATCH(B605,Detail!$G$1:$G$1001,0),1)</f>
        <v>166</v>
      </c>
      <c r="S605" s="7">
        <f>INDEX(Detail!$D$1:$D$1001,MATCH(B605,Detail!$G$1:$G$1001,0),1)</f>
        <v>61</v>
      </c>
      <c r="T605" s="7" t="str">
        <f>INDEX(Detail!$E$1:$E$1001,MATCH(Main!B605,Detail!$G$1:$G$1001,0))</f>
        <v>Gang Jend. A. Yani No. 86</v>
      </c>
      <c r="U605" s="7" t="str">
        <f>INDEX(Detail!$B$1:$B$1001,MATCH(B605,Detail!$G$1:$G$1001,0),1)</f>
        <v>AB+</v>
      </c>
    </row>
    <row r="606" spans="1:21" ht="15.75" x14ac:dyDescent="0.25">
      <c r="A606">
        <v>613</v>
      </c>
      <c r="B606" s="3" t="str">
        <f t="shared" si="25"/>
        <v>D0613</v>
      </c>
      <c r="C606" t="s">
        <v>1013</v>
      </c>
      <c r="D606" s="3" t="str">
        <f>VLOOKUP(B606,Detail!$G$1:$H$1001,2,FALSE)</f>
        <v>Laksana Ardianto</v>
      </c>
      <c r="E606">
        <v>66</v>
      </c>
      <c r="F606">
        <v>49</v>
      </c>
      <c r="G606" s="35">
        <v>71</v>
      </c>
      <c r="H606">
        <v>65</v>
      </c>
      <c r="I606">
        <v>95</v>
      </c>
      <c r="J606">
        <v>65</v>
      </c>
      <c r="K606">
        <v>87</v>
      </c>
      <c r="L606" s="26">
        <f>IFERROR(VLOOKUP(B606,Absen!$A$1:$C$501,2,FALSE),"No")</f>
        <v>44780</v>
      </c>
      <c r="M606" s="44">
        <f t="shared" si="26"/>
        <v>7.7</v>
      </c>
      <c r="N606" s="35">
        <f t="shared" si="27"/>
        <v>69.275000000000006</v>
      </c>
      <c r="O606" t="str">
        <f>VLOOKUP(N606,Helper!$B$30:$C$35,2,TRUE)</f>
        <v>C</v>
      </c>
      <c r="P606" s="26">
        <f>INDEX(Detail!$A$1:$A$1001,MATCH(B606,Detail!$G$1:$G$1001,0))</f>
        <v>38232</v>
      </c>
      <c r="Q606" s="3" t="str">
        <f>INDEX(Detail!$F$1:$F$1001,MATCH(Main!B606,Detail!$G$1:$G$1001,0))</f>
        <v>Tarakan</v>
      </c>
      <c r="R606" s="7">
        <f>INDEX(Detail!$C$1:$C$1001,MATCH(B606,Detail!$G$1:$G$1001,0),1)</f>
        <v>159</v>
      </c>
      <c r="S606" s="7">
        <f>INDEX(Detail!$D$1:$D$1001,MATCH(B606,Detail!$G$1:$G$1001,0),1)</f>
        <v>46</v>
      </c>
      <c r="T606" s="7" t="str">
        <f>INDEX(Detail!$E$1:$E$1001,MATCH(Main!B606,Detail!$G$1:$G$1001,0))</f>
        <v>Gg. Rumah Sakit No. 35</v>
      </c>
      <c r="U606" s="7" t="str">
        <f>INDEX(Detail!$B$1:$B$1001,MATCH(B606,Detail!$G$1:$G$1001,0),1)</f>
        <v>O-</v>
      </c>
    </row>
    <row r="607" spans="1:21" ht="15.75" x14ac:dyDescent="0.25">
      <c r="A607">
        <v>617</v>
      </c>
      <c r="B607" s="3" t="str">
        <f t="shared" si="25"/>
        <v>D0617</v>
      </c>
      <c r="C607" t="s">
        <v>1013</v>
      </c>
      <c r="D607" s="3" t="str">
        <f>VLOOKUP(B607,Detail!$G$1:$H$1001,2,FALSE)</f>
        <v>Teguh Hardiansyah</v>
      </c>
      <c r="E607">
        <v>55</v>
      </c>
      <c r="F607">
        <v>60</v>
      </c>
      <c r="G607" s="35">
        <v>89</v>
      </c>
      <c r="H607">
        <v>59</v>
      </c>
      <c r="I607">
        <v>53</v>
      </c>
      <c r="J607">
        <v>92</v>
      </c>
      <c r="K607">
        <v>90</v>
      </c>
      <c r="L607" s="26" t="str">
        <f>IFERROR(VLOOKUP(B607,Absen!$A$1:$C$501,2,FALSE),"No")</f>
        <v>No</v>
      </c>
      <c r="M607" s="44">
        <f t="shared" si="26"/>
        <v>9</v>
      </c>
      <c r="N607" s="35">
        <f t="shared" si="27"/>
        <v>73.575000000000003</v>
      </c>
      <c r="O607" t="str">
        <f>VLOOKUP(N607,Helper!$B$30:$C$35,2,TRUE)</f>
        <v>B</v>
      </c>
      <c r="P607" s="26">
        <f>INDEX(Detail!$A$1:$A$1001,MATCH(B607,Detail!$G$1:$G$1001,0))</f>
        <v>37631</v>
      </c>
      <c r="Q607" s="3" t="str">
        <f>INDEX(Detail!$F$1:$F$1001,MATCH(Main!B607,Detail!$G$1:$G$1001,0))</f>
        <v>Padang Sidempuan</v>
      </c>
      <c r="R607" s="7">
        <f>INDEX(Detail!$C$1:$C$1001,MATCH(B607,Detail!$G$1:$G$1001,0),1)</f>
        <v>154</v>
      </c>
      <c r="S607" s="7">
        <f>INDEX(Detail!$D$1:$D$1001,MATCH(B607,Detail!$G$1:$G$1001,0),1)</f>
        <v>94</v>
      </c>
      <c r="T607" s="7" t="str">
        <f>INDEX(Detail!$E$1:$E$1001,MATCH(Main!B607,Detail!$G$1:$G$1001,0))</f>
        <v xml:space="preserve">Jalan Rumah Sakit No. 6
</v>
      </c>
      <c r="U607" s="7" t="str">
        <f>INDEX(Detail!$B$1:$B$1001,MATCH(B607,Detail!$G$1:$G$1001,0),1)</f>
        <v>A+</v>
      </c>
    </row>
    <row r="608" spans="1:21" ht="15.75" x14ac:dyDescent="0.25">
      <c r="A608">
        <v>624</v>
      </c>
      <c r="B608" s="3" t="str">
        <f t="shared" si="25"/>
        <v>D0624</v>
      </c>
      <c r="C608" t="s">
        <v>1013</v>
      </c>
      <c r="D608" s="3" t="str">
        <f>VLOOKUP(B608,Detail!$G$1:$H$1001,2,FALSE)</f>
        <v>Pardi Yulianti</v>
      </c>
      <c r="E608">
        <v>76</v>
      </c>
      <c r="F608">
        <v>58</v>
      </c>
      <c r="G608" s="35">
        <v>43</v>
      </c>
      <c r="H608">
        <v>51</v>
      </c>
      <c r="I608">
        <v>76</v>
      </c>
      <c r="J608">
        <v>64</v>
      </c>
      <c r="K608">
        <v>100</v>
      </c>
      <c r="L608" s="26" t="str">
        <f>IFERROR(VLOOKUP(B608,Absen!$A$1:$C$501,2,FALSE),"No")</f>
        <v>No</v>
      </c>
      <c r="M608" s="44">
        <f t="shared" si="26"/>
        <v>10</v>
      </c>
      <c r="N608" s="35">
        <f t="shared" si="27"/>
        <v>64.025000000000006</v>
      </c>
      <c r="O608" t="str">
        <f>VLOOKUP(N608,Helper!$B$30:$C$35,2,TRUE)</f>
        <v>C</v>
      </c>
      <c r="P608" s="26">
        <f>INDEX(Detail!$A$1:$A$1001,MATCH(B608,Detail!$G$1:$G$1001,0))</f>
        <v>38092</v>
      </c>
      <c r="Q608" s="3" t="str">
        <f>INDEX(Detail!$F$1:$F$1001,MATCH(Main!B608,Detail!$G$1:$G$1001,0))</f>
        <v>Madiun</v>
      </c>
      <c r="R608" s="7">
        <f>INDEX(Detail!$C$1:$C$1001,MATCH(B608,Detail!$G$1:$G$1001,0),1)</f>
        <v>157</v>
      </c>
      <c r="S608" s="7">
        <f>INDEX(Detail!$D$1:$D$1001,MATCH(B608,Detail!$G$1:$G$1001,0),1)</f>
        <v>57</v>
      </c>
      <c r="T608" s="7" t="str">
        <f>INDEX(Detail!$E$1:$E$1001,MATCH(Main!B608,Detail!$G$1:$G$1001,0))</f>
        <v>Jalan M.T Haryono No. 69</v>
      </c>
      <c r="U608" s="7" t="str">
        <f>INDEX(Detail!$B$1:$B$1001,MATCH(B608,Detail!$G$1:$G$1001,0),1)</f>
        <v>AB-</v>
      </c>
    </row>
    <row r="609" spans="1:21" ht="15.75" x14ac:dyDescent="0.25">
      <c r="A609">
        <v>634</v>
      </c>
      <c r="B609" s="3" t="str">
        <f t="shared" si="25"/>
        <v>D0634</v>
      </c>
      <c r="C609" t="s">
        <v>1013</v>
      </c>
      <c r="D609" s="3" t="str">
        <f>VLOOKUP(B609,Detail!$G$1:$H$1001,2,FALSE)</f>
        <v>Jumari Hakim</v>
      </c>
      <c r="E609">
        <v>71</v>
      </c>
      <c r="F609">
        <v>45</v>
      </c>
      <c r="G609" s="35">
        <v>43</v>
      </c>
      <c r="H609">
        <v>66</v>
      </c>
      <c r="I609">
        <v>80</v>
      </c>
      <c r="J609">
        <v>81</v>
      </c>
      <c r="K609">
        <v>74</v>
      </c>
      <c r="L609" s="26">
        <f>IFERROR(VLOOKUP(B609,Absen!$A$1:$C$501,2,FALSE),"No")</f>
        <v>44818</v>
      </c>
      <c r="M609" s="44">
        <f t="shared" si="26"/>
        <v>6.4</v>
      </c>
      <c r="N609" s="35">
        <f t="shared" si="27"/>
        <v>63.949999999999996</v>
      </c>
      <c r="O609" t="str">
        <f>VLOOKUP(N609,Helper!$B$30:$C$35,2,TRUE)</f>
        <v>C</v>
      </c>
      <c r="P609" s="26">
        <f>INDEX(Detail!$A$1:$A$1001,MATCH(B609,Detail!$G$1:$G$1001,0))</f>
        <v>37361</v>
      </c>
      <c r="Q609" s="3" t="str">
        <f>INDEX(Detail!$F$1:$F$1001,MATCH(Main!B609,Detail!$G$1:$G$1001,0))</f>
        <v>Gorontalo</v>
      </c>
      <c r="R609" s="7">
        <f>INDEX(Detail!$C$1:$C$1001,MATCH(B609,Detail!$G$1:$G$1001,0),1)</f>
        <v>162</v>
      </c>
      <c r="S609" s="7">
        <f>INDEX(Detail!$D$1:$D$1001,MATCH(B609,Detail!$G$1:$G$1001,0),1)</f>
        <v>87</v>
      </c>
      <c r="T609" s="7" t="str">
        <f>INDEX(Detail!$E$1:$E$1001,MATCH(Main!B609,Detail!$G$1:$G$1001,0))</f>
        <v>Gang Cikutra Barat No. 63</v>
      </c>
      <c r="U609" s="7" t="str">
        <f>INDEX(Detail!$B$1:$B$1001,MATCH(B609,Detail!$G$1:$G$1001,0),1)</f>
        <v>A-</v>
      </c>
    </row>
    <row r="610" spans="1:21" ht="15.75" x14ac:dyDescent="0.25">
      <c r="A610">
        <v>644</v>
      </c>
      <c r="B610" s="3" t="str">
        <f t="shared" si="25"/>
        <v>D0644</v>
      </c>
      <c r="C610" t="s">
        <v>1013</v>
      </c>
      <c r="D610" s="3" t="str">
        <f>VLOOKUP(B610,Detail!$G$1:$H$1001,2,FALSE)</f>
        <v>Narji Nugroho</v>
      </c>
      <c r="E610">
        <v>85</v>
      </c>
      <c r="F610">
        <v>41</v>
      </c>
      <c r="G610" s="35">
        <v>87</v>
      </c>
      <c r="H610">
        <v>70</v>
      </c>
      <c r="I610">
        <v>63</v>
      </c>
      <c r="J610">
        <v>57</v>
      </c>
      <c r="K610">
        <v>64</v>
      </c>
      <c r="L610" s="26">
        <f>IFERROR(VLOOKUP(B610,Absen!$A$1:$C$501,2,FALSE),"No")</f>
        <v>44767</v>
      </c>
      <c r="M610" s="44">
        <f t="shared" si="26"/>
        <v>5.4</v>
      </c>
      <c r="N610" s="35">
        <f t="shared" si="27"/>
        <v>66.575000000000003</v>
      </c>
      <c r="O610" t="str">
        <f>VLOOKUP(N610,Helper!$B$30:$C$35,2,TRUE)</f>
        <v>C</v>
      </c>
      <c r="P610" s="26">
        <f>INDEX(Detail!$A$1:$A$1001,MATCH(B610,Detail!$G$1:$G$1001,0))</f>
        <v>37528</v>
      </c>
      <c r="Q610" s="3" t="str">
        <f>INDEX(Detail!$F$1:$F$1001,MATCH(Main!B610,Detail!$G$1:$G$1001,0))</f>
        <v>Balikpapan</v>
      </c>
      <c r="R610" s="7">
        <f>INDEX(Detail!$C$1:$C$1001,MATCH(B610,Detail!$G$1:$G$1001,0),1)</f>
        <v>160</v>
      </c>
      <c r="S610" s="7">
        <f>INDEX(Detail!$D$1:$D$1001,MATCH(B610,Detail!$G$1:$G$1001,0),1)</f>
        <v>63</v>
      </c>
      <c r="T610" s="7" t="str">
        <f>INDEX(Detail!$E$1:$E$1001,MATCH(Main!B610,Detail!$G$1:$G$1001,0))</f>
        <v>Jl. H.J Maemunah No. 28</v>
      </c>
      <c r="U610" s="7" t="str">
        <f>INDEX(Detail!$B$1:$B$1001,MATCH(B610,Detail!$G$1:$G$1001,0),1)</f>
        <v>B+</v>
      </c>
    </row>
    <row r="611" spans="1:21" ht="15.75" x14ac:dyDescent="0.25">
      <c r="A611">
        <v>645</v>
      </c>
      <c r="B611" s="3" t="str">
        <f t="shared" si="25"/>
        <v>D0645</v>
      </c>
      <c r="C611" t="s">
        <v>1013</v>
      </c>
      <c r="D611" s="3" t="str">
        <f>VLOOKUP(B611,Detail!$G$1:$H$1001,2,FALSE)</f>
        <v>Devi Wibowo</v>
      </c>
      <c r="E611">
        <v>52</v>
      </c>
      <c r="F611">
        <v>73</v>
      </c>
      <c r="G611" s="35">
        <v>81</v>
      </c>
      <c r="H611">
        <v>56</v>
      </c>
      <c r="I611">
        <v>55</v>
      </c>
      <c r="J611">
        <v>89</v>
      </c>
      <c r="K611">
        <v>79</v>
      </c>
      <c r="L611" s="26" t="str">
        <f>IFERROR(VLOOKUP(B611,Absen!$A$1:$C$501,2,FALSE),"No")</f>
        <v>No</v>
      </c>
      <c r="M611" s="44">
        <f t="shared" si="26"/>
        <v>7.9</v>
      </c>
      <c r="N611" s="35">
        <f t="shared" si="27"/>
        <v>71.400000000000006</v>
      </c>
      <c r="O611" t="str">
        <f>VLOOKUP(N611,Helper!$B$30:$C$35,2,TRUE)</f>
        <v>B</v>
      </c>
      <c r="P611" s="26">
        <f>INDEX(Detail!$A$1:$A$1001,MATCH(B611,Detail!$G$1:$G$1001,0))</f>
        <v>37054</v>
      </c>
      <c r="Q611" s="3" t="str">
        <f>INDEX(Detail!$F$1:$F$1001,MATCH(Main!B611,Detail!$G$1:$G$1001,0))</f>
        <v>Kotamobagu</v>
      </c>
      <c r="R611" s="7">
        <f>INDEX(Detail!$C$1:$C$1001,MATCH(B611,Detail!$G$1:$G$1001,0),1)</f>
        <v>165</v>
      </c>
      <c r="S611" s="7">
        <f>INDEX(Detail!$D$1:$D$1001,MATCH(B611,Detail!$G$1:$G$1001,0),1)</f>
        <v>89</v>
      </c>
      <c r="T611" s="7" t="str">
        <f>INDEX(Detail!$E$1:$E$1001,MATCH(Main!B611,Detail!$G$1:$G$1001,0))</f>
        <v xml:space="preserve">Gang Astana Anyar No. 3
</v>
      </c>
      <c r="U611" s="7" t="str">
        <f>INDEX(Detail!$B$1:$B$1001,MATCH(B611,Detail!$G$1:$G$1001,0),1)</f>
        <v>B+</v>
      </c>
    </row>
    <row r="612" spans="1:21" ht="15.75" x14ac:dyDescent="0.25">
      <c r="A612">
        <v>651</v>
      </c>
      <c r="B612" s="3" t="str">
        <f t="shared" si="25"/>
        <v>D0651</v>
      </c>
      <c r="C612" t="s">
        <v>1013</v>
      </c>
      <c r="D612" s="3" t="str">
        <f>VLOOKUP(B612,Detail!$G$1:$H$1001,2,FALSE)</f>
        <v>Laksana Purwanti</v>
      </c>
      <c r="E612">
        <v>74</v>
      </c>
      <c r="F612">
        <v>44</v>
      </c>
      <c r="G612" s="35">
        <v>36</v>
      </c>
      <c r="H612">
        <v>52</v>
      </c>
      <c r="I612">
        <v>88</v>
      </c>
      <c r="J612">
        <v>62</v>
      </c>
      <c r="K612">
        <v>94</v>
      </c>
      <c r="L612" s="26">
        <f>IFERROR(VLOOKUP(B612,Absen!$A$1:$C$501,2,FALSE),"No")</f>
        <v>44861</v>
      </c>
      <c r="M612" s="44">
        <f t="shared" si="26"/>
        <v>8.4</v>
      </c>
      <c r="N612" s="35">
        <f t="shared" si="27"/>
        <v>60.25</v>
      </c>
      <c r="O612" t="str">
        <f>VLOOKUP(N612,Helper!$B$30:$C$35,2,TRUE)</f>
        <v>C</v>
      </c>
      <c r="P612" s="26">
        <f>INDEX(Detail!$A$1:$A$1001,MATCH(B612,Detail!$G$1:$G$1001,0))</f>
        <v>38106</v>
      </c>
      <c r="Q612" s="3" t="str">
        <f>INDEX(Detail!$F$1:$F$1001,MATCH(Main!B612,Detail!$G$1:$G$1001,0))</f>
        <v>Tanjungpinang</v>
      </c>
      <c r="R612" s="7">
        <f>INDEX(Detail!$C$1:$C$1001,MATCH(B612,Detail!$G$1:$G$1001,0),1)</f>
        <v>160</v>
      </c>
      <c r="S612" s="7">
        <f>INDEX(Detail!$D$1:$D$1001,MATCH(B612,Detail!$G$1:$G$1001,0),1)</f>
        <v>68</v>
      </c>
      <c r="T612" s="7" t="str">
        <f>INDEX(Detail!$E$1:$E$1001,MATCH(Main!B612,Detail!$G$1:$G$1001,0))</f>
        <v>Gang Moch. Toha No. 30</v>
      </c>
      <c r="U612" s="7" t="str">
        <f>INDEX(Detail!$B$1:$B$1001,MATCH(B612,Detail!$G$1:$G$1001,0),1)</f>
        <v>A+</v>
      </c>
    </row>
    <row r="613" spans="1:21" ht="15.75" x14ac:dyDescent="0.25">
      <c r="A613">
        <v>666</v>
      </c>
      <c r="B613" s="3" t="str">
        <f t="shared" si="25"/>
        <v>D0666</v>
      </c>
      <c r="C613" t="s">
        <v>1013</v>
      </c>
      <c r="D613" s="3" t="str">
        <f>VLOOKUP(B613,Detail!$G$1:$H$1001,2,FALSE)</f>
        <v>Jayeng Mandasari</v>
      </c>
      <c r="E613">
        <v>77</v>
      </c>
      <c r="F613">
        <v>50</v>
      </c>
      <c r="G613" s="35">
        <v>76</v>
      </c>
      <c r="H613">
        <v>70</v>
      </c>
      <c r="I613">
        <v>63</v>
      </c>
      <c r="J613">
        <v>43</v>
      </c>
      <c r="K613">
        <v>74</v>
      </c>
      <c r="L613" s="26">
        <f>IFERROR(VLOOKUP(B613,Absen!$A$1:$C$501,2,FALSE),"No")</f>
        <v>44824</v>
      </c>
      <c r="M613" s="44">
        <f t="shared" si="26"/>
        <v>6.4</v>
      </c>
      <c r="N613" s="35">
        <f t="shared" si="27"/>
        <v>62.7</v>
      </c>
      <c r="O613" t="str">
        <f>VLOOKUP(N613,Helper!$B$30:$C$35,2,TRUE)</f>
        <v>C</v>
      </c>
      <c r="P613" s="26">
        <f>INDEX(Detail!$A$1:$A$1001,MATCH(B613,Detail!$G$1:$G$1001,0))</f>
        <v>37871</v>
      </c>
      <c r="Q613" s="3" t="str">
        <f>INDEX(Detail!$F$1:$F$1001,MATCH(Main!B613,Detail!$G$1:$G$1001,0))</f>
        <v>Madiun</v>
      </c>
      <c r="R613" s="7">
        <f>INDEX(Detail!$C$1:$C$1001,MATCH(B613,Detail!$G$1:$G$1001,0),1)</f>
        <v>168</v>
      </c>
      <c r="S613" s="7">
        <f>INDEX(Detail!$D$1:$D$1001,MATCH(B613,Detail!$G$1:$G$1001,0),1)</f>
        <v>69</v>
      </c>
      <c r="T613" s="7" t="str">
        <f>INDEX(Detail!$E$1:$E$1001,MATCH(Main!B613,Detail!$G$1:$G$1001,0))</f>
        <v xml:space="preserve">Jl. Raya Ujungberung No. 0
</v>
      </c>
      <c r="U613" s="7" t="str">
        <f>INDEX(Detail!$B$1:$B$1001,MATCH(B613,Detail!$G$1:$G$1001,0),1)</f>
        <v>A+</v>
      </c>
    </row>
    <row r="614" spans="1:21" ht="15.75" x14ac:dyDescent="0.25">
      <c r="A614">
        <v>667</v>
      </c>
      <c r="B614" s="3" t="str">
        <f t="shared" si="25"/>
        <v>D0667</v>
      </c>
      <c r="C614" t="s">
        <v>1013</v>
      </c>
      <c r="D614" s="3" t="str">
        <f>VLOOKUP(B614,Detail!$G$1:$H$1001,2,FALSE)</f>
        <v>Laswi Hastuti</v>
      </c>
      <c r="E614">
        <v>67</v>
      </c>
      <c r="F614">
        <v>56</v>
      </c>
      <c r="G614" s="35">
        <v>53</v>
      </c>
      <c r="H614">
        <v>57</v>
      </c>
      <c r="I614">
        <v>65</v>
      </c>
      <c r="J614">
        <v>45</v>
      </c>
      <c r="K614">
        <v>94</v>
      </c>
      <c r="L614" s="26" t="str">
        <f>IFERROR(VLOOKUP(B614,Absen!$A$1:$C$501,2,FALSE),"No")</f>
        <v>No</v>
      </c>
      <c r="M614" s="44">
        <f t="shared" si="26"/>
        <v>9.4</v>
      </c>
      <c r="N614" s="35">
        <f t="shared" si="27"/>
        <v>59.625</v>
      </c>
      <c r="O614" t="str">
        <f>VLOOKUP(N614,Helper!$B$30:$C$35,2,TRUE)</f>
        <v>D</v>
      </c>
      <c r="P614" s="26">
        <f>INDEX(Detail!$A$1:$A$1001,MATCH(B614,Detail!$G$1:$G$1001,0))</f>
        <v>37481</v>
      </c>
      <c r="Q614" s="3" t="str">
        <f>INDEX(Detail!$F$1:$F$1001,MATCH(Main!B614,Detail!$G$1:$G$1001,0))</f>
        <v>Pontianak</v>
      </c>
      <c r="R614" s="7">
        <f>INDEX(Detail!$C$1:$C$1001,MATCH(B614,Detail!$G$1:$G$1001,0),1)</f>
        <v>161</v>
      </c>
      <c r="S614" s="7">
        <f>INDEX(Detail!$D$1:$D$1001,MATCH(B614,Detail!$G$1:$G$1001,0),1)</f>
        <v>57</v>
      </c>
      <c r="T614" s="7" t="str">
        <f>INDEX(Detail!$E$1:$E$1001,MATCH(Main!B614,Detail!$G$1:$G$1001,0))</f>
        <v>Jl. Jakarta No. 92</v>
      </c>
      <c r="U614" s="7" t="str">
        <f>INDEX(Detail!$B$1:$B$1001,MATCH(B614,Detail!$G$1:$G$1001,0),1)</f>
        <v>B+</v>
      </c>
    </row>
    <row r="615" spans="1:21" ht="15.75" x14ac:dyDescent="0.25">
      <c r="A615">
        <v>668</v>
      </c>
      <c r="B615" s="3" t="str">
        <f t="shared" si="25"/>
        <v>D0668</v>
      </c>
      <c r="C615" t="s">
        <v>1013</v>
      </c>
      <c r="D615" s="3" t="str">
        <f>VLOOKUP(B615,Detail!$G$1:$H$1001,2,FALSE)</f>
        <v>Bajragin Najmudin</v>
      </c>
      <c r="E615">
        <v>63</v>
      </c>
      <c r="F615">
        <v>48</v>
      </c>
      <c r="G615" s="35">
        <v>61</v>
      </c>
      <c r="H615">
        <v>58</v>
      </c>
      <c r="I615">
        <v>71</v>
      </c>
      <c r="J615">
        <v>58</v>
      </c>
      <c r="K615">
        <v>73</v>
      </c>
      <c r="L615" s="26" t="str">
        <f>IFERROR(VLOOKUP(B615,Absen!$A$1:$C$501,2,FALSE),"No")</f>
        <v>No</v>
      </c>
      <c r="M615" s="44">
        <f t="shared" si="26"/>
        <v>7.3000000000000007</v>
      </c>
      <c r="N615" s="35">
        <f t="shared" si="27"/>
        <v>61.100000000000009</v>
      </c>
      <c r="O615" t="str">
        <f>VLOOKUP(N615,Helper!$B$30:$C$35,2,TRUE)</f>
        <v>C</v>
      </c>
      <c r="P615" s="26">
        <f>INDEX(Detail!$A$1:$A$1001,MATCH(B615,Detail!$G$1:$G$1001,0))</f>
        <v>37351</v>
      </c>
      <c r="Q615" s="3" t="str">
        <f>INDEX(Detail!$F$1:$F$1001,MATCH(Main!B615,Detail!$G$1:$G$1001,0))</f>
        <v>Palu</v>
      </c>
      <c r="R615" s="7">
        <f>INDEX(Detail!$C$1:$C$1001,MATCH(B615,Detail!$G$1:$G$1001,0),1)</f>
        <v>174</v>
      </c>
      <c r="S615" s="7">
        <f>INDEX(Detail!$D$1:$D$1001,MATCH(B615,Detail!$G$1:$G$1001,0),1)</f>
        <v>92</v>
      </c>
      <c r="T615" s="7" t="str">
        <f>INDEX(Detail!$E$1:$E$1001,MATCH(Main!B615,Detail!$G$1:$G$1001,0))</f>
        <v>Gang Rungkut Industri No. 01</v>
      </c>
      <c r="U615" s="7" t="str">
        <f>INDEX(Detail!$B$1:$B$1001,MATCH(B615,Detail!$G$1:$G$1001,0),1)</f>
        <v>B+</v>
      </c>
    </row>
    <row r="616" spans="1:21" ht="15.75" x14ac:dyDescent="0.25">
      <c r="A616">
        <v>686</v>
      </c>
      <c r="B616" s="3" t="str">
        <f t="shared" si="25"/>
        <v>D0686</v>
      </c>
      <c r="C616" t="s">
        <v>1013</v>
      </c>
      <c r="D616" s="3" t="str">
        <f>VLOOKUP(B616,Detail!$G$1:$H$1001,2,FALSE)</f>
        <v>Wira Haryanto</v>
      </c>
      <c r="E616">
        <v>76</v>
      </c>
      <c r="F616">
        <v>75</v>
      </c>
      <c r="G616" s="35">
        <v>74</v>
      </c>
      <c r="H616">
        <v>72</v>
      </c>
      <c r="I616">
        <v>76</v>
      </c>
      <c r="J616">
        <v>77</v>
      </c>
      <c r="K616">
        <v>62</v>
      </c>
      <c r="L616" s="26" t="str">
        <f>IFERROR(VLOOKUP(B616,Absen!$A$1:$C$501,2,FALSE),"No")</f>
        <v>No</v>
      </c>
      <c r="M616" s="44">
        <f t="shared" si="26"/>
        <v>6.2</v>
      </c>
      <c r="N616" s="35">
        <f t="shared" si="27"/>
        <v>73.775000000000006</v>
      </c>
      <c r="O616" t="str">
        <f>VLOOKUP(N616,Helper!$B$30:$C$35,2,TRUE)</f>
        <v>B</v>
      </c>
      <c r="P616" s="26">
        <f>INDEX(Detail!$A$1:$A$1001,MATCH(B616,Detail!$G$1:$G$1001,0))</f>
        <v>37625</v>
      </c>
      <c r="Q616" s="3" t="str">
        <f>INDEX(Detail!$F$1:$F$1001,MATCH(Main!B616,Detail!$G$1:$G$1001,0))</f>
        <v>Bandar Lampung</v>
      </c>
      <c r="R616" s="7">
        <f>INDEX(Detail!$C$1:$C$1001,MATCH(B616,Detail!$G$1:$G$1001,0),1)</f>
        <v>154</v>
      </c>
      <c r="S616" s="7">
        <f>INDEX(Detail!$D$1:$D$1001,MATCH(B616,Detail!$G$1:$G$1001,0),1)</f>
        <v>91</v>
      </c>
      <c r="T616" s="7" t="str">
        <f>INDEX(Detail!$E$1:$E$1001,MATCH(Main!B616,Detail!$G$1:$G$1001,0))</f>
        <v>Gang Merdeka No. 34</v>
      </c>
      <c r="U616" s="7" t="str">
        <f>INDEX(Detail!$B$1:$B$1001,MATCH(B616,Detail!$G$1:$G$1001,0),1)</f>
        <v>O-</v>
      </c>
    </row>
    <row r="617" spans="1:21" ht="15.75" x14ac:dyDescent="0.25">
      <c r="A617">
        <v>704</v>
      </c>
      <c r="B617" s="3" t="str">
        <f t="shared" si="25"/>
        <v>D0704</v>
      </c>
      <c r="C617" t="s">
        <v>1013</v>
      </c>
      <c r="D617" s="3" t="str">
        <f>VLOOKUP(B617,Detail!$G$1:$H$1001,2,FALSE)</f>
        <v>Banara Ardianto</v>
      </c>
      <c r="E617">
        <v>67</v>
      </c>
      <c r="F617">
        <v>49</v>
      </c>
      <c r="G617" s="35">
        <v>45</v>
      </c>
      <c r="H617">
        <v>61</v>
      </c>
      <c r="I617">
        <v>85</v>
      </c>
      <c r="J617">
        <v>52</v>
      </c>
      <c r="K617">
        <v>99</v>
      </c>
      <c r="L617" s="26" t="str">
        <f>IFERROR(VLOOKUP(B617,Absen!$A$1:$C$501,2,FALSE),"No")</f>
        <v>No</v>
      </c>
      <c r="M617" s="44">
        <f t="shared" si="26"/>
        <v>9.9</v>
      </c>
      <c r="N617" s="35">
        <f t="shared" si="27"/>
        <v>62.05</v>
      </c>
      <c r="O617" t="str">
        <f>VLOOKUP(N617,Helper!$B$30:$C$35,2,TRUE)</f>
        <v>C</v>
      </c>
      <c r="P617" s="26">
        <f>INDEX(Detail!$A$1:$A$1001,MATCH(B617,Detail!$G$1:$G$1001,0))</f>
        <v>38443</v>
      </c>
      <c r="Q617" s="3" t="str">
        <f>INDEX(Detail!$F$1:$F$1001,MATCH(Main!B617,Detail!$G$1:$G$1001,0))</f>
        <v>Palu</v>
      </c>
      <c r="R617" s="7">
        <f>INDEX(Detail!$C$1:$C$1001,MATCH(B617,Detail!$G$1:$G$1001,0),1)</f>
        <v>174</v>
      </c>
      <c r="S617" s="7">
        <f>INDEX(Detail!$D$1:$D$1001,MATCH(B617,Detail!$G$1:$G$1001,0),1)</f>
        <v>51</v>
      </c>
      <c r="T617" s="7" t="str">
        <f>INDEX(Detail!$E$1:$E$1001,MATCH(Main!B617,Detail!$G$1:$G$1001,0))</f>
        <v>Jl. Jayawijaya No. 73</v>
      </c>
      <c r="U617" s="7" t="str">
        <f>INDEX(Detail!$B$1:$B$1001,MATCH(B617,Detail!$G$1:$G$1001,0),1)</f>
        <v>A+</v>
      </c>
    </row>
    <row r="618" spans="1:21" ht="15.75" x14ac:dyDescent="0.25">
      <c r="A618">
        <v>707</v>
      </c>
      <c r="B618" s="3" t="str">
        <f t="shared" si="25"/>
        <v>D0707</v>
      </c>
      <c r="C618" t="s">
        <v>1013</v>
      </c>
      <c r="D618" s="3" t="str">
        <f>VLOOKUP(B618,Detail!$G$1:$H$1001,2,FALSE)</f>
        <v>Ridwan Puspasari</v>
      </c>
      <c r="E618">
        <v>50</v>
      </c>
      <c r="F618">
        <v>75</v>
      </c>
      <c r="G618" s="35">
        <v>35</v>
      </c>
      <c r="H618">
        <v>73</v>
      </c>
      <c r="I618">
        <v>77</v>
      </c>
      <c r="J618">
        <v>66</v>
      </c>
      <c r="K618">
        <v>70</v>
      </c>
      <c r="L618" s="26" t="str">
        <f>IFERROR(VLOOKUP(B618,Absen!$A$1:$C$501,2,FALSE),"No")</f>
        <v>No</v>
      </c>
      <c r="M618" s="44">
        <f t="shared" si="26"/>
        <v>7</v>
      </c>
      <c r="N618" s="35">
        <f t="shared" si="27"/>
        <v>61.575000000000003</v>
      </c>
      <c r="O618" t="str">
        <f>VLOOKUP(N618,Helper!$B$30:$C$35,2,TRUE)</f>
        <v>C</v>
      </c>
      <c r="P618" s="26">
        <f>INDEX(Detail!$A$1:$A$1001,MATCH(B618,Detail!$G$1:$G$1001,0))</f>
        <v>37291</v>
      </c>
      <c r="Q618" s="3" t="str">
        <f>INDEX(Detail!$F$1:$F$1001,MATCH(Main!B618,Detail!$G$1:$G$1001,0))</f>
        <v>Sabang</v>
      </c>
      <c r="R618" s="7">
        <f>INDEX(Detail!$C$1:$C$1001,MATCH(B618,Detail!$G$1:$G$1001,0),1)</f>
        <v>174</v>
      </c>
      <c r="S618" s="7">
        <f>INDEX(Detail!$D$1:$D$1001,MATCH(B618,Detail!$G$1:$G$1001,0),1)</f>
        <v>83</v>
      </c>
      <c r="T618" s="7" t="str">
        <f>INDEX(Detail!$E$1:$E$1001,MATCH(Main!B618,Detail!$G$1:$G$1001,0))</f>
        <v>Gg. Cihampelas No. 96</v>
      </c>
      <c r="U618" s="7" t="str">
        <f>INDEX(Detail!$B$1:$B$1001,MATCH(B618,Detail!$G$1:$G$1001,0),1)</f>
        <v>O+</v>
      </c>
    </row>
    <row r="619" spans="1:21" ht="15.75" x14ac:dyDescent="0.25">
      <c r="A619">
        <v>709</v>
      </c>
      <c r="B619" s="3" t="str">
        <f t="shared" si="25"/>
        <v>D0709</v>
      </c>
      <c r="C619" t="s">
        <v>1013</v>
      </c>
      <c r="D619" s="3" t="str">
        <f>VLOOKUP(B619,Detail!$G$1:$H$1001,2,FALSE)</f>
        <v>Najwa Palastri</v>
      </c>
      <c r="E619">
        <v>70</v>
      </c>
      <c r="F619">
        <v>55</v>
      </c>
      <c r="G619" s="35">
        <v>63</v>
      </c>
      <c r="H619">
        <v>73</v>
      </c>
      <c r="I619">
        <v>71</v>
      </c>
      <c r="J619">
        <v>48</v>
      </c>
      <c r="K619">
        <v>92</v>
      </c>
      <c r="L619" s="26">
        <f>IFERROR(VLOOKUP(B619,Absen!$A$1:$C$501,2,FALSE),"No")</f>
        <v>44900</v>
      </c>
      <c r="M619" s="44">
        <f t="shared" si="26"/>
        <v>8.2000000000000011</v>
      </c>
      <c r="N619" s="35">
        <f t="shared" si="27"/>
        <v>64.025000000000006</v>
      </c>
      <c r="O619" t="str">
        <f>VLOOKUP(N619,Helper!$B$30:$C$35,2,TRUE)</f>
        <v>C</v>
      </c>
      <c r="P619" s="26">
        <f>INDEX(Detail!$A$1:$A$1001,MATCH(B619,Detail!$G$1:$G$1001,0))</f>
        <v>37163</v>
      </c>
      <c r="Q619" s="3" t="str">
        <f>INDEX(Detail!$F$1:$F$1001,MATCH(Main!B619,Detail!$G$1:$G$1001,0))</f>
        <v>Mataram</v>
      </c>
      <c r="R619" s="7">
        <f>INDEX(Detail!$C$1:$C$1001,MATCH(B619,Detail!$G$1:$G$1001,0),1)</f>
        <v>179</v>
      </c>
      <c r="S619" s="7">
        <f>INDEX(Detail!$D$1:$D$1001,MATCH(B619,Detail!$G$1:$G$1001,0),1)</f>
        <v>92</v>
      </c>
      <c r="T619" s="7" t="str">
        <f>INDEX(Detail!$E$1:$E$1001,MATCH(Main!B619,Detail!$G$1:$G$1001,0))</f>
        <v>Gg. Wonoayu No. 90</v>
      </c>
      <c r="U619" s="7" t="str">
        <f>INDEX(Detail!$B$1:$B$1001,MATCH(B619,Detail!$G$1:$G$1001,0),1)</f>
        <v>O-</v>
      </c>
    </row>
    <row r="620" spans="1:21" ht="15.75" x14ac:dyDescent="0.25">
      <c r="A620">
        <v>716</v>
      </c>
      <c r="B620" s="3" t="str">
        <f t="shared" si="25"/>
        <v>D0716</v>
      </c>
      <c r="C620" t="s">
        <v>1013</v>
      </c>
      <c r="D620" s="3" t="str">
        <f>VLOOKUP(B620,Detail!$G$1:$H$1001,2,FALSE)</f>
        <v>Radit Lestari</v>
      </c>
      <c r="E620">
        <v>74</v>
      </c>
      <c r="F620">
        <v>57</v>
      </c>
      <c r="G620" s="35">
        <v>94</v>
      </c>
      <c r="H620">
        <v>62</v>
      </c>
      <c r="I620">
        <v>55</v>
      </c>
      <c r="J620">
        <v>81</v>
      </c>
      <c r="K620">
        <v>73</v>
      </c>
      <c r="L620" s="26" t="str">
        <f>IFERROR(VLOOKUP(B620,Absen!$A$1:$C$501,2,FALSE),"No")</f>
        <v>No</v>
      </c>
      <c r="M620" s="44">
        <f t="shared" si="26"/>
        <v>7.3000000000000007</v>
      </c>
      <c r="N620" s="35">
        <f t="shared" si="27"/>
        <v>73.3</v>
      </c>
      <c r="O620" t="str">
        <f>VLOOKUP(N620,Helper!$B$30:$C$35,2,TRUE)</f>
        <v>B</v>
      </c>
      <c r="P620" s="26">
        <f>INDEX(Detail!$A$1:$A$1001,MATCH(B620,Detail!$G$1:$G$1001,0))</f>
        <v>37529</v>
      </c>
      <c r="Q620" s="3" t="str">
        <f>INDEX(Detail!$F$1:$F$1001,MATCH(Main!B620,Detail!$G$1:$G$1001,0))</f>
        <v>Salatiga</v>
      </c>
      <c r="R620" s="7">
        <f>INDEX(Detail!$C$1:$C$1001,MATCH(B620,Detail!$G$1:$G$1001,0),1)</f>
        <v>173</v>
      </c>
      <c r="S620" s="7">
        <f>INDEX(Detail!$D$1:$D$1001,MATCH(B620,Detail!$G$1:$G$1001,0),1)</f>
        <v>67</v>
      </c>
      <c r="T620" s="7" t="str">
        <f>INDEX(Detail!$E$1:$E$1001,MATCH(Main!B620,Detail!$G$1:$G$1001,0))</f>
        <v xml:space="preserve">Jl. Asia Afrika No. 1
</v>
      </c>
      <c r="U620" s="7" t="str">
        <f>INDEX(Detail!$B$1:$B$1001,MATCH(B620,Detail!$G$1:$G$1001,0),1)</f>
        <v>AB-</v>
      </c>
    </row>
    <row r="621" spans="1:21" ht="15.75" x14ac:dyDescent="0.25">
      <c r="A621">
        <v>726</v>
      </c>
      <c r="B621" s="3" t="str">
        <f t="shared" ref="B621:B678" si="28">CONCATENATE("D",TEXT(A621,"0000"))</f>
        <v>D0726</v>
      </c>
      <c r="C621" t="s">
        <v>1013</v>
      </c>
      <c r="D621" s="3" t="str">
        <f>VLOOKUP(B621,Detail!$G$1:$H$1001,2,FALSE)</f>
        <v>Natalia Hasanah</v>
      </c>
      <c r="E621">
        <v>84</v>
      </c>
      <c r="F621">
        <v>63</v>
      </c>
      <c r="G621" s="35">
        <v>48</v>
      </c>
      <c r="H621">
        <v>54</v>
      </c>
      <c r="I621">
        <v>72</v>
      </c>
      <c r="J621">
        <v>48</v>
      </c>
      <c r="K621">
        <v>99</v>
      </c>
      <c r="L621" s="26">
        <f>IFERROR(VLOOKUP(B621,Absen!$A$1:$C$501,2,FALSE),"No")</f>
        <v>44828</v>
      </c>
      <c r="M621" s="44">
        <f t="shared" si="26"/>
        <v>8.9</v>
      </c>
      <c r="N621" s="35">
        <f t="shared" si="27"/>
        <v>62.225000000000001</v>
      </c>
      <c r="O621" t="str">
        <f>VLOOKUP(N621,Helper!$B$30:$C$35,2,TRUE)</f>
        <v>C</v>
      </c>
      <c r="P621" s="26">
        <f>INDEX(Detail!$A$1:$A$1001,MATCH(B621,Detail!$G$1:$G$1001,0))</f>
        <v>38386</v>
      </c>
      <c r="Q621" s="3" t="str">
        <f>INDEX(Detail!$F$1:$F$1001,MATCH(Main!B621,Detail!$G$1:$G$1001,0))</f>
        <v>Denpasar</v>
      </c>
      <c r="R621" s="7">
        <f>INDEX(Detail!$C$1:$C$1001,MATCH(B621,Detail!$G$1:$G$1001,0),1)</f>
        <v>152</v>
      </c>
      <c r="S621" s="7">
        <f>INDEX(Detail!$D$1:$D$1001,MATCH(B621,Detail!$G$1:$G$1001,0),1)</f>
        <v>69</v>
      </c>
      <c r="T621" s="7" t="str">
        <f>INDEX(Detail!$E$1:$E$1001,MATCH(Main!B621,Detail!$G$1:$G$1001,0))</f>
        <v xml:space="preserve">Gang Rumah Sakit No. 9
</v>
      </c>
      <c r="U621" s="7" t="str">
        <f>INDEX(Detail!$B$1:$B$1001,MATCH(B621,Detail!$G$1:$G$1001,0),1)</f>
        <v>A-</v>
      </c>
    </row>
    <row r="622" spans="1:21" ht="15.75" x14ac:dyDescent="0.25">
      <c r="A622">
        <v>730</v>
      </c>
      <c r="B622" s="3" t="str">
        <f t="shared" si="28"/>
        <v>D0730</v>
      </c>
      <c r="C622" t="s">
        <v>1013</v>
      </c>
      <c r="D622" s="3" t="str">
        <f>VLOOKUP(B622,Detail!$G$1:$H$1001,2,FALSE)</f>
        <v>Wardaya Kusumo</v>
      </c>
      <c r="E622">
        <v>57</v>
      </c>
      <c r="F622">
        <v>45</v>
      </c>
      <c r="G622" s="35">
        <v>75</v>
      </c>
      <c r="H622">
        <v>66</v>
      </c>
      <c r="I622">
        <v>65</v>
      </c>
      <c r="J622">
        <v>54</v>
      </c>
      <c r="K622">
        <v>75</v>
      </c>
      <c r="L622" s="26">
        <f>IFERROR(VLOOKUP(B622,Absen!$A$1:$C$501,2,FALSE),"No")</f>
        <v>44821</v>
      </c>
      <c r="M622" s="44">
        <f t="shared" si="26"/>
        <v>6.5</v>
      </c>
      <c r="N622" s="35">
        <f t="shared" si="27"/>
        <v>61.424999999999997</v>
      </c>
      <c r="O622" t="str">
        <f>VLOOKUP(N622,Helper!$B$30:$C$35,2,TRUE)</f>
        <v>C</v>
      </c>
      <c r="P622" s="26">
        <f>INDEX(Detail!$A$1:$A$1001,MATCH(B622,Detail!$G$1:$G$1001,0))</f>
        <v>38005</v>
      </c>
      <c r="Q622" s="3" t="str">
        <f>INDEX(Detail!$F$1:$F$1001,MATCH(Main!B622,Detail!$G$1:$G$1001,0))</f>
        <v>Yogyakarta</v>
      </c>
      <c r="R622" s="7">
        <f>INDEX(Detail!$C$1:$C$1001,MATCH(B622,Detail!$G$1:$G$1001,0),1)</f>
        <v>168</v>
      </c>
      <c r="S622" s="7">
        <f>INDEX(Detail!$D$1:$D$1001,MATCH(B622,Detail!$G$1:$G$1001,0),1)</f>
        <v>64</v>
      </c>
      <c r="T622" s="7" t="str">
        <f>INDEX(Detail!$E$1:$E$1001,MATCH(Main!B622,Detail!$G$1:$G$1001,0))</f>
        <v>Gang Rajawali Timur No. 42</v>
      </c>
      <c r="U622" s="7" t="str">
        <f>INDEX(Detail!$B$1:$B$1001,MATCH(B622,Detail!$G$1:$G$1001,0),1)</f>
        <v>B+</v>
      </c>
    </row>
    <row r="623" spans="1:21" ht="15.75" x14ac:dyDescent="0.25">
      <c r="A623">
        <v>731</v>
      </c>
      <c r="B623" s="3" t="str">
        <f t="shared" si="28"/>
        <v>D0731</v>
      </c>
      <c r="C623" t="s">
        <v>1013</v>
      </c>
      <c r="D623" s="3" t="str">
        <f>VLOOKUP(B623,Detail!$G$1:$H$1001,2,FALSE)</f>
        <v>Muhammad Suryono</v>
      </c>
      <c r="E623">
        <v>79</v>
      </c>
      <c r="F623">
        <v>69</v>
      </c>
      <c r="G623" s="35">
        <v>52</v>
      </c>
      <c r="H623">
        <v>61</v>
      </c>
      <c r="I623">
        <v>86</v>
      </c>
      <c r="J623">
        <v>73</v>
      </c>
      <c r="K623">
        <v>72</v>
      </c>
      <c r="L623" s="26">
        <f>IFERROR(VLOOKUP(B623,Absen!$A$1:$C$501,2,FALSE),"No")</f>
        <v>44850</v>
      </c>
      <c r="M623" s="44">
        <f t="shared" si="26"/>
        <v>6.2</v>
      </c>
      <c r="N623" s="35">
        <f t="shared" si="27"/>
        <v>68.075000000000003</v>
      </c>
      <c r="O623" t="str">
        <f>VLOOKUP(N623,Helper!$B$30:$C$35,2,TRUE)</f>
        <v>C</v>
      </c>
      <c r="P623" s="26">
        <f>INDEX(Detail!$A$1:$A$1001,MATCH(B623,Detail!$G$1:$G$1001,0))</f>
        <v>38185</v>
      </c>
      <c r="Q623" s="3" t="str">
        <f>INDEX(Detail!$F$1:$F$1001,MATCH(Main!B623,Detail!$G$1:$G$1001,0))</f>
        <v>Bau-Bau</v>
      </c>
      <c r="R623" s="7">
        <f>INDEX(Detail!$C$1:$C$1001,MATCH(B623,Detail!$G$1:$G$1001,0),1)</f>
        <v>179</v>
      </c>
      <c r="S623" s="7">
        <f>INDEX(Detail!$D$1:$D$1001,MATCH(B623,Detail!$G$1:$G$1001,0),1)</f>
        <v>57</v>
      </c>
      <c r="T623" s="7" t="str">
        <f>INDEX(Detail!$E$1:$E$1001,MATCH(Main!B623,Detail!$G$1:$G$1001,0))</f>
        <v>Gg. Astana Anyar No. 74</v>
      </c>
      <c r="U623" s="7" t="str">
        <f>INDEX(Detail!$B$1:$B$1001,MATCH(B623,Detail!$G$1:$G$1001,0),1)</f>
        <v>AB-</v>
      </c>
    </row>
    <row r="624" spans="1:21" ht="15.75" x14ac:dyDescent="0.25">
      <c r="A624">
        <v>733</v>
      </c>
      <c r="B624" s="3" t="str">
        <f t="shared" si="28"/>
        <v>D0733</v>
      </c>
      <c r="C624" t="s">
        <v>1013</v>
      </c>
      <c r="D624" s="3" t="str">
        <f>VLOOKUP(B624,Detail!$G$1:$H$1001,2,FALSE)</f>
        <v>Rizki Suartini</v>
      </c>
      <c r="E624">
        <v>67</v>
      </c>
      <c r="F624">
        <v>65</v>
      </c>
      <c r="G624" s="35">
        <v>88</v>
      </c>
      <c r="H624">
        <v>58</v>
      </c>
      <c r="I624">
        <v>75</v>
      </c>
      <c r="J624">
        <v>91</v>
      </c>
      <c r="K624">
        <v>94</v>
      </c>
      <c r="L624" s="26" t="str">
        <f>IFERROR(VLOOKUP(B624,Absen!$A$1:$C$501,2,FALSE),"No")</f>
        <v>No</v>
      </c>
      <c r="M624" s="44">
        <f t="shared" si="26"/>
        <v>9.4</v>
      </c>
      <c r="N624" s="35">
        <f t="shared" si="27"/>
        <v>78.325000000000003</v>
      </c>
      <c r="O624" t="str">
        <f>VLOOKUP(N624,Helper!$B$30:$C$35,2,TRUE)</f>
        <v>B</v>
      </c>
      <c r="P624" s="26">
        <f>INDEX(Detail!$A$1:$A$1001,MATCH(B624,Detail!$G$1:$G$1001,0))</f>
        <v>37685</v>
      </c>
      <c r="Q624" s="3" t="str">
        <f>INDEX(Detail!$F$1:$F$1001,MATCH(Main!B624,Detail!$G$1:$G$1001,0))</f>
        <v>Binjai</v>
      </c>
      <c r="R624" s="7">
        <f>INDEX(Detail!$C$1:$C$1001,MATCH(B624,Detail!$G$1:$G$1001,0),1)</f>
        <v>157</v>
      </c>
      <c r="S624" s="7">
        <f>INDEX(Detail!$D$1:$D$1001,MATCH(B624,Detail!$G$1:$G$1001,0),1)</f>
        <v>89</v>
      </c>
      <c r="T624" s="7" t="str">
        <f>INDEX(Detail!$E$1:$E$1001,MATCH(Main!B624,Detail!$G$1:$G$1001,0))</f>
        <v xml:space="preserve">Gg. Tubagus Ismail No. 9
</v>
      </c>
      <c r="U624" s="7" t="str">
        <f>INDEX(Detail!$B$1:$B$1001,MATCH(B624,Detail!$G$1:$G$1001,0),1)</f>
        <v>B+</v>
      </c>
    </row>
    <row r="625" spans="1:21" ht="15.75" x14ac:dyDescent="0.25">
      <c r="A625">
        <v>739</v>
      </c>
      <c r="B625" s="3" t="str">
        <f t="shared" si="28"/>
        <v>D0739</v>
      </c>
      <c r="C625" t="s">
        <v>1013</v>
      </c>
      <c r="D625" s="3" t="str">
        <f>VLOOKUP(B625,Detail!$G$1:$H$1001,2,FALSE)</f>
        <v>Nilam Widodo</v>
      </c>
      <c r="E625">
        <v>59</v>
      </c>
      <c r="F625">
        <v>64</v>
      </c>
      <c r="G625" s="35">
        <v>43</v>
      </c>
      <c r="H625">
        <v>73</v>
      </c>
      <c r="I625">
        <v>79</v>
      </c>
      <c r="J625">
        <v>44</v>
      </c>
      <c r="K625">
        <v>94</v>
      </c>
      <c r="L625" s="26">
        <f>IFERROR(VLOOKUP(B625,Absen!$A$1:$C$501,2,FALSE),"No")</f>
        <v>44831</v>
      </c>
      <c r="M625" s="44">
        <f t="shared" si="26"/>
        <v>8.4</v>
      </c>
      <c r="N625" s="35">
        <f t="shared" si="27"/>
        <v>60.175000000000004</v>
      </c>
      <c r="O625" t="str">
        <f>VLOOKUP(N625,Helper!$B$30:$C$35,2,TRUE)</f>
        <v>C</v>
      </c>
      <c r="P625" s="26">
        <f>INDEX(Detail!$A$1:$A$1001,MATCH(B625,Detail!$G$1:$G$1001,0))</f>
        <v>37305</v>
      </c>
      <c r="Q625" s="3" t="str">
        <f>INDEX(Detail!$F$1:$F$1001,MATCH(Main!B625,Detail!$G$1:$G$1001,0))</f>
        <v>Parepare</v>
      </c>
      <c r="R625" s="7">
        <f>INDEX(Detail!$C$1:$C$1001,MATCH(B625,Detail!$G$1:$G$1001,0),1)</f>
        <v>166</v>
      </c>
      <c r="S625" s="7">
        <f>INDEX(Detail!$D$1:$D$1001,MATCH(B625,Detail!$G$1:$G$1001,0),1)</f>
        <v>62</v>
      </c>
      <c r="T625" s="7" t="str">
        <f>INDEX(Detail!$E$1:$E$1001,MATCH(Main!B625,Detail!$G$1:$G$1001,0))</f>
        <v>Jalan Dipatiukur No. 11</v>
      </c>
      <c r="U625" s="7" t="str">
        <f>INDEX(Detail!$B$1:$B$1001,MATCH(B625,Detail!$G$1:$G$1001,0),1)</f>
        <v>AB-</v>
      </c>
    </row>
    <row r="626" spans="1:21" ht="15.75" x14ac:dyDescent="0.25">
      <c r="A626">
        <v>747</v>
      </c>
      <c r="B626" s="3" t="str">
        <f t="shared" si="28"/>
        <v>D0747</v>
      </c>
      <c r="C626" t="s">
        <v>1013</v>
      </c>
      <c r="D626" s="3" t="str">
        <f>VLOOKUP(B626,Detail!$G$1:$H$1001,2,FALSE)</f>
        <v>Aris Sinaga</v>
      </c>
      <c r="E626">
        <v>88</v>
      </c>
      <c r="F626">
        <v>48</v>
      </c>
      <c r="G626" s="35">
        <v>43</v>
      </c>
      <c r="H626">
        <v>62</v>
      </c>
      <c r="I626">
        <v>55</v>
      </c>
      <c r="J626">
        <v>71</v>
      </c>
      <c r="K626">
        <v>94</v>
      </c>
      <c r="L626" s="26">
        <f>IFERROR(VLOOKUP(B626,Absen!$A$1:$C$501,2,FALSE),"No")</f>
        <v>44890</v>
      </c>
      <c r="M626" s="44">
        <f t="shared" si="26"/>
        <v>8.4</v>
      </c>
      <c r="N626" s="35">
        <f t="shared" si="27"/>
        <v>62.825000000000003</v>
      </c>
      <c r="O626" t="str">
        <f>VLOOKUP(N626,Helper!$B$30:$C$35,2,TRUE)</f>
        <v>C</v>
      </c>
      <c r="P626" s="26">
        <f>INDEX(Detail!$A$1:$A$1001,MATCH(B626,Detail!$G$1:$G$1001,0))</f>
        <v>38127</v>
      </c>
      <c r="Q626" s="3" t="str">
        <f>INDEX(Detail!$F$1:$F$1001,MATCH(Main!B626,Detail!$G$1:$G$1001,0))</f>
        <v>Mataram</v>
      </c>
      <c r="R626" s="7">
        <f>INDEX(Detail!$C$1:$C$1001,MATCH(B626,Detail!$G$1:$G$1001,0),1)</f>
        <v>155</v>
      </c>
      <c r="S626" s="7">
        <f>INDEX(Detail!$D$1:$D$1001,MATCH(B626,Detail!$G$1:$G$1001,0),1)</f>
        <v>56</v>
      </c>
      <c r="T626" s="7" t="str">
        <f>INDEX(Detail!$E$1:$E$1001,MATCH(Main!B626,Detail!$G$1:$G$1001,0))</f>
        <v xml:space="preserve">Jl. Kutisari Selatan No. 0
</v>
      </c>
      <c r="U626" s="7" t="str">
        <f>INDEX(Detail!$B$1:$B$1001,MATCH(B626,Detail!$G$1:$G$1001,0),1)</f>
        <v>A+</v>
      </c>
    </row>
    <row r="627" spans="1:21" ht="15.75" x14ac:dyDescent="0.25">
      <c r="A627">
        <v>757</v>
      </c>
      <c r="B627" s="3" t="str">
        <f t="shared" si="28"/>
        <v>D0757</v>
      </c>
      <c r="C627" t="s">
        <v>1013</v>
      </c>
      <c r="D627" s="3" t="str">
        <f>VLOOKUP(B627,Detail!$G$1:$H$1001,2,FALSE)</f>
        <v>Tri Prasetyo</v>
      </c>
      <c r="E627">
        <v>66</v>
      </c>
      <c r="F627">
        <v>66</v>
      </c>
      <c r="G627" s="35">
        <v>76</v>
      </c>
      <c r="H627">
        <v>58</v>
      </c>
      <c r="I627">
        <v>93</v>
      </c>
      <c r="J627">
        <v>54</v>
      </c>
      <c r="K627">
        <v>74</v>
      </c>
      <c r="L627" s="26">
        <f>IFERROR(VLOOKUP(B627,Absen!$A$1:$C$501,2,FALSE),"No")</f>
        <v>44818</v>
      </c>
      <c r="M627" s="44">
        <f t="shared" si="26"/>
        <v>6.4</v>
      </c>
      <c r="N627" s="35">
        <f t="shared" si="27"/>
        <v>67.775000000000006</v>
      </c>
      <c r="O627" t="str">
        <f>VLOOKUP(N627,Helper!$B$30:$C$35,2,TRUE)</f>
        <v>C</v>
      </c>
      <c r="P627" s="26">
        <f>INDEX(Detail!$A$1:$A$1001,MATCH(B627,Detail!$G$1:$G$1001,0))</f>
        <v>38349</v>
      </c>
      <c r="Q627" s="3" t="str">
        <f>INDEX(Detail!$F$1:$F$1001,MATCH(Main!B627,Detail!$G$1:$G$1001,0))</f>
        <v>Sawahlunto</v>
      </c>
      <c r="R627" s="7">
        <f>INDEX(Detail!$C$1:$C$1001,MATCH(B627,Detail!$G$1:$G$1001,0),1)</f>
        <v>176</v>
      </c>
      <c r="S627" s="7">
        <f>INDEX(Detail!$D$1:$D$1001,MATCH(B627,Detail!$G$1:$G$1001,0),1)</f>
        <v>92</v>
      </c>
      <c r="T627" s="7" t="str">
        <f>INDEX(Detail!$E$1:$E$1001,MATCH(Main!B627,Detail!$G$1:$G$1001,0))</f>
        <v xml:space="preserve">Gg. Indragiri No. 9
</v>
      </c>
      <c r="U627" s="7" t="str">
        <f>INDEX(Detail!$B$1:$B$1001,MATCH(B627,Detail!$G$1:$G$1001,0),1)</f>
        <v>AB-</v>
      </c>
    </row>
    <row r="628" spans="1:21" ht="15.75" x14ac:dyDescent="0.25">
      <c r="A628">
        <v>772</v>
      </c>
      <c r="B628" s="3" t="str">
        <f t="shared" si="28"/>
        <v>D0772</v>
      </c>
      <c r="C628" t="s">
        <v>1013</v>
      </c>
      <c r="D628" s="3" t="str">
        <f>VLOOKUP(B628,Detail!$G$1:$H$1001,2,FALSE)</f>
        <v>Siti Prabowo</v>
      </c>
      <c r="E628">
        <v>90</v>
      </c>
      <c r="F628">
        <v>71</v>
      </c>
      <c r="G628" s="35">
        <v>81</v>
      </c>
      <c r="H628">
        <v>67</v>
      </c>
      <c r="I628">
        <v>57</v>
      </c>
      <c r="J628">
        <v>54</v>
      </c>
      <c r="K628">
        <v>96</v>
      </c>
      <c r="L628" s="26">
        <f>IFERROR(VLOOKUP(B628,Absen!$A$1:$C$501,2,FALSE),"No")</f>
        <v>44844</v>
      </c>
      <c r="M628" s="44">
        <f t="shared" si="26"/>
        <v>8.6</v>
      </c>
      <c r="N628" s="35">
        <f t="shared" si="27"/>
        <v>71.224999999999994</v>
      </c>
      <c r="O628" t="str">
        <f>VLOOKUP(N628,Helper!$B$30:$C$35,2,TRUE)</f>
        <v>B</v>
      </c>
      <c r="P628" s="26">
        <f>INDEX(Detail!$A$1:$A$1001,MATCH(B628,Detail!$G$1:$G$1001,0))</f>
        <v>37945</v>
      </c>
      <c r="Q628" s="3" t="str">
        <f>INDEX(Detail!$F$1:$F$1001,MATCH(Main!B628,Detail!$G$1:$G$1001,0))</f>
        <v>Gorontalo</v>
      </c>
      <c r="R628" s="7">
        <f>INDEX(Detail!$C$1:$C$1001,MATCH(B628,Detail!$G$1:$G$1001,0),1)</f>
        <v>163</v>
      </c>
      <c r="S628" s="7">
        <f>INDEX(Detail!$D$1:$D$1001,MATCH(B628,Detail!$G$1:$G$1001,0),1)</f>
        <v>94</v>
      </c>
      <c r="T628" s="7" t="str">
        <f>INDEX(Detail!$E$1:$E$1001,MATCH(Main!B628,Detail!$G$1:$G$1001,0))</f>
        <v>Jalan Sadang Serang No. 54</v>
      </c>
      <c r="U628" s="7" t="str">
        <f>INDEX(Detail!$B$1:$B$1001,MATCH(B628,Detail!$G$1:$G$1001,0),1)</f>
        <v>O-</v>
      </c>
    </row>
    <row r="629" spans="1:21" ht="15.75" x14ac:dyDescent="0.25">
      <c r="A629">
        <v>773</v>
      </c>
      <c r="B629" s="3" t="str">
        <f t="shared" si="28"/>
        <v>D0773</v>
      </c>
      <c r="C629" t="s">
        <v>1013</v>
      </c>
      <c r="D629" s="3" t="str">
        <f>VLOOKUP(B629,Detail!$G$1:$H$1001,2,FALSE)</f>
        <v>Bakidin Maryadi</v>
      </c>
      <c r="E629">
        <v>81</v>
      </c>
      <c r="F629">
        <v>47</v>
      </c>
      <c r="G629" s="35">
        <v>75</v>
      </c>
      <c r="H629">
        <v>51</v>
      </c>
      <c r="I629">
        <v>52</v>
      </c>
      <c r="J629">
        <v>71</v>
      </c>
      <c r="K629">
        <v>99</v>
      </c>
      <c r="L629" s="26">
        <f>IFERROR(VLOOKUP(B629,Absen!$A$1:$C$501,2,FALSE),"No")</f>
        <v>44901</v>
      </c>
      <c r="M629" s="44">
        <f t="shared" si="26"/>
        <v>8.9</v>
      </c>
      <c r="N629" s="35">
        <f t="shared" si="27"/>
        <v>66.975000000000009</v>
      </c>
      <c r="O629" t="str">
        <f>VLOOKUP(N629,Helper!$B$30:$C$35,2,TRUE)</f>
        <v>C</v>
      </c>
      <c r="P629" s="26">
        <f>INDEX(Detail!$A$1:$A$1001,MATCH(B629,Detail!$G$1:$G$1001,0))</f>
        <v>38200</v>
      </c>
      <c r="Q629" s="3" t="str">
        <f>INDEX(Detail!$F$1:$F$1001,MATCH(Main!B629,Detail!$G$1:$G$1001,0))</f>
        <v>Manado</v>
      </c>
      <c r="R629" s="7">
        <f>INDEX(Detail!$C$1:$C$1001,MATCH(B629,Detail!$G$1:$G$1001,0),1)</f>
        <v>176</v>
      </c>
      <c r="S629" s="7">
        <f>INDEX(Detail!$D$1:$D$1001,MATCH(B629,Detail!$G$1:$G$1001,0),1)</f>
        <v>50</v>
      </c>
      <c r="T629" s="7" t="str">
        <f>INDEX(Detail!$E$1:$E$1001,MATCH(Main!B629,Detail!$G$1:$G$1001,0))</f>
        <v xml:space="preserve">Jl. Merdeka No. 1
</v>
      </c>
      <c r="U629" s="7" t="str">
        <f>INDEX(Detail!$B$1:$B$1001,MATCH(B629,Detail!$G$1:$G$1001,0),1)</f>
        <v>AB-</v>
      </c>
    </row>
    <row r="630" spans="1:21" ht="15.75" x14ac:dyDescent="0.25">
      <c r="A630">
        <v>777</v>
      </c>
      <c r="B630" s="3" t="str">
        <f t="shared" si="28"/>
        <v>D0777</v>
      </c>
      <c r="C630" t="s">
        <v>1013</v>
      </c>
      <c r="D630" s="3" t="str">
        <f>VLOOKUP(B630,Detail!$G$1:$H$1001,2,FALSE)</f>
        <v>Laila Mustofa</v>
      </c>
      <c r="E630">
        <v>84</v>
      </c>
      <c r="F630">
        <v>69</v>
      </c>
      <c r="G630" s="35">
        <v>36</v>
      </c>
      <c r="H630">
        <v>71</v>
      </c>
      <c r="I630">
        <v>87</v>
      </c>
      <c r="J630">
        <v>68</v>
      </c>
      <c r="K630">
        <v>83</v>
      </c>
      <c r="L630" s="26" t="str">
        <f>IFERROR(VLOOKUP(B630,Absen!$A$1:$C$501,2,FALSE),"No")</f>
        <v>No</v>
      </c>
      <c r="M630" s="44">
        <f t="shared" si="26"/>
        <v>8.3000000000000007</v>
      </c>
      <c r="N630" s="35">
        <f t="shared" si="27"/>
        <v>67.975000000000009</v>
      </c>
      <c r="O630" t="str">
        <f>VLOOKUP(N630,Helper!$B$30:$C$35,2,TRUE)</f>
        <v>C</v>
      </c>
      <c r="P630" s="26">
        <f>INDEX(Detail!$A$1:$A$1001,MATCH(B630,Detail!$G$1:$G$1001,0))</f>
        <v>37112</v>
      </c>
      <c r="Q630" s="3" t="str">
        <f>INDEX(Detail!$F$1:$F$1001,MATCH(Main!B630,Detail!$G$1:$G$1001,0))</f>
        <v>Pasuruan</v>
      </c>
      <c r="R630" s="7">
        <f>INDEX(Detail!$C$1:$C$1001,MATCH(B630,Detail!$G$1:$G$1001,0),1)</f>
        <v>156</v>
      </c>
      <c r="S630" s="7">
        <f>INDEX(Detail!$D$1:$D$1001,MATCH(B630,Detail!$G$1:$G$1001,0),1)</f>
        <v>54</v>
      </c>
      <c r="T630" s="7" t="str">
        <f>INDEX(Detail!$E$1:$E$1001,MATCH(Main!B630,Detail!$G$1:$G$1001,0))</f>
        <v xml:space="preserve">Jalan H.J Maemunah No. 4
</v>
      </c>
      <c r="U630" s="7" t="str">
        <f>INDEX(Detail!$B$1:$B$1001,MATCH(B630,Detail!$G$1:$G$1001,0),1)</f>
        <v>AB+</v>
      </c>
    </row>
    <row r="631" spans="1:21" ht="15.75" x14ac:dyDescent="0.25">
      <c r="A631">
        <v>779</v>
      </c>
      <c r="B631" s="3" t="str">
        <f t="shared" si="28"/>
        <v>D0779</v>
      </c>
      <c r="C631" t="s">
        <v>1013</v>
      </c>
      <c r="D631" s="3" t="str">
        <f>VLOOKUP(B631,Detail!$G$1:$H$1001,2,FALSE)</f>
        <v>Hardi Usada</v>
      </c>
      <c r="E631">
        <v>81</v>
      </c>
      <c r="F631">
        <v>56</v>
      </c>
      <c r="G631" s="35">
        <v>34</v>
      </c>
      <c r="H631">
        <v>51</v>
      </c>
      <c r="I631">
        <v>75</v>
      </c>
      <c r="J631">
        <v>65</v>
      </c>
      <c r="K631">
        <v>79</v>
      </c>
      <c r="L631" s="26" t="str">
        <f>IFERROR(VLOOKUP(B631,Absen!$A$1:$C$501,2,FALSE),"No")</f>
        <v>No</v>
      </c>
      <c r="M631" s="44">
        <f t="shared" si="26"/>
        <v>7.9</v>
      </c>
      <c r="N631" s="35">
        <f t="shared" si="27"/>
        <v>60.574999999999996</v>
      </c>
      <c r="O631" t="str">
        <f>VLOOKUP(N631,Helper!$B$30:$C$35,2,TRUE)</f>
        <v>C</v>
      </c>
      <c r="P631" s="26">
        <f>INDEX(Detail!$A$1:$A$1001,MATCH(B631,Detail!$G$1:$G$1001,0))</f>
        <v>37636</v>
      </c>
      <c r="Q631" s="3" t="str">
        <f>INDEX(Detail!$F$1:$F$1001,MATCH(Main!B631,Detail!$G$1:$G$1001,0))</f>
        <v>Magelang</v>
      </c>
      <c r="R631" s="7">
        <f>INDEX(Detail!$C$1:$C$1001,MATCH(B631,Detail!$G$1:$G$1001,0),1)</f>
        <v>163</v>
      </c>
      <c r="S631" s="7">
        <f>INDEX(Detail!$D$1:$D$1001,MATCH(B631,Detail!$G$1:$G$1001,0),1)</f>
        <v>81</v>
      </c>
      <c r="T631" s="7" t="str">
        <f>INDEX(Detail!$E$1:$E$1001,MATCH(Main!B631,Detail!$G$1:$G$1001,0))</f>
        <v>Jalan Sentot Alibasa No. 17</v>
      </c>
      <c r="U631" s="7" t="str">
        <f>INDEX(Detail!$B$1:$B$1001,MATCH(B631,Detail!$G$1:$G$1001,0),1)</f>
        <v>A+</v>
      </c>
    </row>
    <row r="632" spans="1:21" ht="15.75" x14ac:dyDescent="0.25">
      <c r="A632">
        <v>783</v>
      </c>
      <c r="B632" s="3" t="str">
        <f t="shared" si="28"/>
        <v>D0783</v>
      </c>
      <c r="C632" t="s">
        <v>1013</v>
      </c>
      <c r="D632" s="3" t="str">
        <f>VLOOKUP(B632,Detail!$G$1:$H$1001,2,FALSE)</f>
        <v>Danu Nasyiah</v>
      </c>
      <c r="E632">
        <v>53</v>
      </c>
      <c r="F632">
        <v>46</v>
      </c>
      <c r="G632" s="35">
        <v>92</v>
      </c>
      <c r="H632">
        <v>67</v>
      </c>
      <c r="I632">
        <v>76</v>
      </c>
      <c r="J632">
        <v>54</v>
      </c>
      <c r="K632">
        <v>66</v>
      </c>
      <c r="L632" s="26" t="str">
        <f>IFERROR(VLOOKUP(B632,Absen!$A$1:$C$501,2,FALSE),"No")</f>
        <v>No</v>
      </c>
      <c r="M632" s="44">
        <f t="shared" si="26"/>
        <v>6.6000000000000005</v>
      </c>
      <c r="N632" s="35">
        <f t="shared" si="27"/>
        <v>66.05</v>
      </c>
      <c r="O632" t="str">
        <f>VLOOKUP(N632,Helper!$B$30:$C$35,2,TRUE)</f>
        <v>C</v>
      </c>
      <c r="P632" s="26">
        <f>INDEX(Detail!$A$1:$A$1001,MATCH(B632,Detail!$G$1:$G$1001,0))</f>
        <v>37960</v>
      </c>
      <c r="Q632" s="3" t="str">
        <f>INDEX(Detail!$F$1:$F$1001,MATCH(Main!B632,Detail!$G$1:$G$1001,0))</f>
        <v>Semarang</v>
      </c>
      <c r="R632" s="7">
        <f>INDEX(Detail!$C$1:$C$1001,MATCH(B632,Detail!$G$1:$G$1001,0),1)</f>
        <v>174</v>
      </c>
      <c r="S632" s="7">
        <f>INDEX(Detail!$D$1:$D$1001,MATCH(B632,Detail!$G$1:$G$1001,0),1)</f>
        <v>61</v>
      </c>
      <c r="T632" s="7" t="str">
        <f>INDEX(Detail!$E$1:$E$1001,MATCH(Main!B632,Detail!$G$1:$G$1001,0))</f>
        <v>Jl. W.R. Supratman No. 86</v>
      </c>
      <c r="U632" s="7" t="str">
        <f>INDEX(Detail!$B$1:$B$1001,MATCH(B632,Detail!$G$1:$G$1001,0),1)</f>
        <v>O+</v>
      </c>
    </row>
    <row r="633" spans="1:21" ht="15.75" x14ac:dyDescent="0.25">
      <c r="A633">
        <v>786</v>
      </c>
      <c r="B633" s="3" t="str">
        <f t="shared" si="28"/>
        <v>D0786</v>
      </c>
      <c r="C633" t="s">
        <v>1013</v>
      </c>
      <c r="D633" s="3" t="str">
        <f>VLOOKUP(B633,Detail!$G$1:$H$1001,2,FALSE)</f>
        <v>Hafshah Hastuti</v>
      </c>
      <c r="E633">
        <v>91</v>
      </c>
      <c r="F633">
        <v>52</v>
      </c>
      <c r="G633" s="35">
        <v>50</v>
      </c>
      <c r="H633">
        <v>68</v>
      </c>
      <c r="I633">
        <v>56</v>
      </c>
      <c r="J633">
        <v>47</v>
      </c>
      <c r="K633">
        <v>83</v>
      </c>
      <c r="L633" s="26">
        <f>IFERROR(VLOOKUP(B633,Absen!$A$1:$C$501,2,FALSE),"No")</f>
        <v>44881</v>
      </c>
      <c r="M633" s="44">
        <f t="shared" si="26"/>
        <v>7.3000000000000007</v>
      </c>
      <c r="N633" s="35">
        <f t="shared" si="27"/>
        <v>60.075000000000003</v>
      </c>
      <c r="O633" t="str">
        <f>VLOOKUP(N633,Helper!$B$30:$C$35,2,TRUE)</f>
        <v>C</v>
      </c>
      <c r="P633" s="26">
        <f>INDEX(Detail!$A$1:$A$1001,MATCH(B633,Detail!$G$1:$G$1001,0))</f>
        <v>38241</v>
      </c>
      <c r="Q633" s="3" t="str">
        <f>INDEX(Detail!$F$1:$F$1001,MATCH(Main!B633,Detail!$G$1:$G$1001,0))</f>
        <v>Bima</v>
      </c>
      <c r="R633" s="7">
        <f>INDEX(Detail!$C$1:$C$1001,MATCH(B633,Detail!$G$1:$G$1001,0),1)</f>
        <v>173</v>
      </c>
      <c r="S633" s="7">
        <f>INDEX(Detail!$D$1:$D$1001,MATCH(B633,Detail!$G$1:$G$1001,0),1)</f>
        <v>74</v>
      </c>
      <c r="T633" s="7" t="str">
        <f>INDEX(Detail!$E$1:$E$1001,MATCH(Main!B633,Detail!$G$1:$G$1001,0))</f>
        <v>Gang Stasiun Wonokromo No. 16</v>
      </c>
      <c r="U633" s="7" t="str">
        <f>INDEX(Detail!$B$1:$B$1001,MATCH(B633,Detail!$G$1:$G$1001,0),1)</f>
        <v>B-</v>
      </c>
    </row>
    <row r="634" spans="1:21" ht="15.75" x14ac:dyDescent="0.25">
      <c r="A634">
        <v>787</v>
      </c>
      <c r="B634" s="3" t="str">
        <f t="shared" si="28"/>
        <v>D0787</v>
      </c>
      <c r="C634" t="s">
        <v>1013</v>
      </c>
      <c r="D634" s="3" t="str">
        <f>VLOOKUP(B634,Detail!$G$1:$H$1001,2,FALSE)</f>
        <v>Prayogo Sihombing</v>
      </c>
      <c r="E634">
        <v>73</v>
      </c>
      <c r="F634">
        <v>61</v>
      </c>
      <c r="G634" s="35">
        <v>87</v>
      </c>
      <c r="H634">
        <v>57</v>
      </c>
      <c r="I634">
        <v>83</v>
      </c>
      <c r="J634">
        <v>92</v>
      </c>
      <c r="K634">
        <v>68</v>
      </c>
      <c r="L634" s="26" t="str">
        <f>IFERROR(VLOOKUP(B634,Absen!$A$1:$C$501,2,FALSE),"No")</f>
        <v>No</v>
      </c>
      <c r="M634" s="44">
        <f t="shared" si="26"/>
        <v>6.8000000000000007</v>
      </c>
      <c r="N634" s="35">
        <f t="shared" si="27"/>
        <v>76.850000000000009</v>
      </c>
      <c r="O634" t="str">
        <f>VLOOKUP(N634,Helper!$B$30:$C$35,2,TRUE)</f>
        <v>B</v>
      </c>
      <c r="P634" s="26">
        <f>INDEX(Detail!$A$1:$A$1001,MATCH(B634,Detail!$G$1:$G$1001,0))</f>
        <v>37987</v>
      </c>
      <c r="Q634" s="3" t="str">
        <f>INDEX(Detail!$F$1:$F$1001,MATCH(Main!B634,Detail!$G$1:$G$1001,0))</f>
        <v>Kota Administrasi Jakarta Barat</v>
      </c>
      <c r="R634" s="7">
        <f>INDEX(Detail!$C$1:$C$1001,MATCH(B634,Detail!$G$1:$G$1001,0),1)</f>
        <v>167</v>
      </c>
      <c r="S634" s="7">
        <f>INDEX(Detail!$D$1:$D$1001,MATCH(B634,Detail!$G$1:$G$1001,0),1)</f>
        <v>75</v>
      </c>
      <c r="T634" s="7" t="str">
        <f>INDEX(Detail!$E$1:$E$1001,MATCH(Main!B634,Detail!$G$1:$G$1001,0))</f>
        <v>Jalan Dipenogoro No. 55</v>
      </c>
      <c r="U634" s="7" t="str">
        <f>INDEX(Detail!$B$1:$B$1001,MATCH(B634,Detail!$G$1:$G$1001,0),1)</f>
        <v>O-</v>
      </c>
    </row>
    <row r="635" spans="1:21" ht="15.75" x14ac:dyDescent="0.25">
      <c r="A635">
        <v>792</v>
      </c>
      <c r="B635" s="3" t="str">
        <f t="shared" si="28"/>
        <v>D0792</v>
      </c>
      <c r="C635" t="s">
        <v>1013</v>
      </c>
      <c r="D635" s="3" t="str">
        <f>VLOOKUP(B635,Detail!$G$1:$H$1001,2,FALSE)</f>
        <v>Wadi Wijaya</v>
      </c>
      <c r="E635">
        <v>73</v>
      </c>
      <c r="F635">
        <v>56</v>
      </c>
      <c r="G635" s="35">
        <v>43</v>
      </c>
      <c r="H635">
        <v>60</v>
      </c>
      <c r="I635">
        <v>71</v>
      </c>
      <c r="J635">
        <v>65</v>
      </c>
      <c r="K635">
        <v>65</v>
      </c>
      <c r="L635" s="26">
        <f>IFERROR(VLOOKUP(B635,Absen!$A$1:$C$501,2,FALSE),"No")</f>
        <v>44848</v>
      </c>
      <c r="M635" s="44">
        <f t="shared" si="26"/>
        <v>5.5</v>
      </c>
      <c r="N635" s="35">
        <f t="shared" si="27"/>
        <v>59.6</v>
      </c>
      <c r="O635" t="str">
        <f>VLOOKUP(N635,Helper!$B$30:$C$35,2,TRUE)</f>
        <v>D</v>
      </c>
      <c r="P635" s="26">
        <f>INDEX(Detail!$A$1:$A$1001,MATCH(B635,Detail!$G$1:$G$1001,0))</f>
        <v>37817</v>
      </c>
      <c r="Q635" s="3" t="str">
        <f>INDEX(Detail!$F$1:$F$1001,MATCH(Main!B635,Detail!$G$1:$G$1001,0))</f>
        <v>Kediri</v>
      </c>
      <c r="R635" s="7">
        <f>INDEX(Detail!$C$1:$C$1001,MATCH(B635,Detail!$G$1:$G$1001,0),1)</f>
        <v>163</v>
      </c>
      <c r="S635" s="7">
        <f>INDEX(Detail!$D$1:$D$1001,MATCH(B635,Detail!$G$1:$G$1001,0),1)</f>
        <v>55</v>
      </c>
      <c r="T635" s="7" t="str">
        <f>INDEX(Detail!$E$1:$E$1001,MATCH(Main!B635,Detail!$G$1:$G$1001,0))</f>
        <v xml:space="preserve">Gg. Monginsidi No. 6
</v>
      </c>
      <c r="U635" s="7" t="str">
        <f>INDEX(Detail!$B$1:$B$1001,MATCH(B635,Detail!$G$1:$G$1001,0),1)</f>
        <v>O-</v>
      </c>
    </row>
    <row r="636" spans="1:21" ht="15.75" x14ac:dyDescent="0.25">
      <c r="A636">
        <v>795</v>
      </c>
      <c r="B636" s="3" t="str">
        <f t="shared" si="28"/>
        <v>D0795</v>
      </c>
      <c r="C636" t="s">
        <v>1013</v>
      </c>
      <c r="D636" s="3" t="str">
        <f>VLOOKUP(B636,Detail!$G$1:$H$1001,2,FALSE)</f>
        <v>Zulaikha Lestari</v>
      </c>
      <c r="E636">
        <v>86</v>
      </c>
      <c r="F636">
        <v>75</v>
      </c>
      <c r="G636" s="35">
        <v>30</v>
      </c>
      <c r="H636">
        <v>68</v>
      </c>
      <c r="I636">
        <v>70</v>
      </c>
      <c r="J636">
        <v>46</v>
      </c>
      <c r="K636">
        <v>90</v>
      </c>
      <c r="L636" s="26" t="str">
        <f>IFERROR(VLOOKUP(B636,Absen!$A$1:$C$501,2,FALSE),"No")</f>
        <v>No</v>
      </c>
      <c r="M636" s="44">
        <f t="shared" si="26"/>
        <v>9</v>
      </c>
      <c r="N636" s="35">
        <f t="shared" si="27"/>
        <v>61.575000000000003</v>
      </c>
      <c r="O636" t="str">
        <f>VLOOKUP(N636,Helper!$B$30:$C$35,2,TRUE)</f>
        <v>C</v>
      </c>
      <c r="P636" s="26">
        <f>INDEX(Detail!$A$1:$A$1001,MATCH(B636,Detail!$G$1:$G$1001,0))</f>
        <v>37146</v>
      </c>
      <c r="Q636" s="3" t="str">
        <f>INDEX(Detail!$F$1:$F$1001,MATCH(Main!B636,Detail!$G$1:$G$1001,0))</f>
        <v>Pariaman</v>
      </c>
      <c r="R636" s="7">
        <f>INDEX(Detail!$C$1:$C$1001,MATCH(B636,Detail!$G$1:$G$1001,0),1)</f>
        <v>153</v>
      </c>
      <c r="S636" s="7">
        <f>INDEX(Detail!$D$1:$D$1001,MATCH(B636,Detail!$G$1:$G$1001,0),1)</f>
        <v>68</v>
      </c>
      <c r="T636" s="7" t="str">
        <f>INDEX(Detail!$E$1:$E$1001,MATCH(Main!B636,Detail!$G$1:$G$1001,0))</f>
        <v>Gang Medokan Ayu No. 30</v>
      </c>
      <c r="U636" s="7" t="str">
        <f>INDEX(Detail!$B$1:$B$1001,MATCH(B636,Detail!$G$1:$G$1001,0),1)</f>
        <v>AB+</v>
      </c>
    </row>
    <row r="637" spans="1:21" ht="15.75" x14ac:dyDescent="0.25">
      <c r="A637">
        <v>801</v>
      </c>
      <c r="B637" s="3" t="str">
        <f t="shared" si="28"/>
        <v>D0801</v>
      </c>
      <c r="C637" t="s">
        <v>1013</v>
      </c>
      <c r="D637" s="3" t="str">
        <f>VLOOKUP(B637,Detail!$G$1:$H$1001,2,FALSE)</f>
        <v>Suci Oktaviani</v>
      </c>
      <c r="E637">
        <v>93</v>
      </c>
      <c r="F637">
        <v>47</v>
      </c>
      <c r="G637" s="35">
        <v>66</v>
      </c>
      <c r="H637">
        <v>64</v>
      </c>
      <c r="I637">
        <v>50</v>
      </c>
      <c r="J637">
        <v>92</v>
      </c>
      <c r="K637">
        <v>69</v>
      </c>
      <c r="L637" s="26">
        <f>IFERROR(VLOOKUP(B637,Absen!$A$1:$C$501,2,FALSE),"No")</f>
        <v>44830</v>
      </c>
      <c r="M637" s="44">
        <f t="shared" si="26"/>
        <v>5.9</v>
      </c>
      <c r="N637" s="35">
        <f t="shared" si="27"/>
        <v>69.250000000000014</v>
      </c>
      <c r="O637" t="str">
        <f>VLOOKUP(N637,Helper!$B$30:$C$35,2,TRUE)</f>
        <v>C</v>
      </c>
      <c r="P637" s="26">
        <f>INDEX(Detail!$A$1:$A$1001,MATCH(B637,Detail!$G$1:$G$1001,0))</f>
        <v>37694</v>
      </c>
      <c r="Q637" s="3" t="str">
        <f>INDEX(Detail!$F$1:$F$1001,MATCH(Main!B637,Detail!$G$1:$G$1001,0))</f>
        <v>Sorong</v>
      </c>
      <c r="R637" s="7">
        <f>INDEX(Detail!$C$1:$C$1001,MATCH(B637,Detail!$G$1:$G$1001,0),1)</f>
        <v>157</v>
      </c>
      <c r="S637" s="7">
        <f>INDEX(Detail!$D$1:$D$1001,MATCH(B637,Detail!$G$1:$G$1001,0),1)</f>
        <v>61</v>
      </c>
      <c r="T637" s="7" t="str">
        <f>INDEX(Detail!$E$1:$E$1001,MATCH(Main!B637,Detail!$G$1:$G$1001,0))</f>
        <v xml:space="preserve">Jl. Pasteur No. 5
</v>
      </c>
      <c r="U637" s="7" t="str">
        <f>INDEX(Detail!$B$1:$B$1001,MATCH(B637,Detail!$G$1:$G$1001,0),1)</f>
        <v>O+</v>
      </c>
    </row>
    <row r="638" spans="1:21" ht="15.75" x14ac:dyDescent="0.25">
      <c r="A638">
        <v>807</v>
      </c>
      <c r="B638" s="3" t="str">
        <f t="shared" si="28"/>
        <v>D0807</v>
      </c>
      <c r="C638" t="s">
        <v>1013</v>
      </c>
      <c r="D638" s="3" t="str">
        <f>VLOOKUP(B638,Detail!$G$1:$H$1001,2,FALSE)</f>
        <v>Kusuma Tari</v>
      </c>
      <c r="E638">
        <v>68</v>
      </c>
      <c r="F638">
        <v>63</v>
      </c>
      <c r="G638" s="35">
        <v>33</v>
      </c>
      <c r="H638">
        <v>72</v>
      </c>
      <c r="I638">
        <v>50</v>
      </c>
      <c r="J638">
        <v>72</v>
      </c>
      <c r="K638">
        <v>66</v>
      </c>
      <c r="L638" s="26" t="str">
        <f>IFERROR(VLOOKUP(B638,Absen!$A$1:$C$501,2,FALSE),"No")</f>
        <v>No</v>
      </c>
      <c r="M638" s="44">
        <f t="shared" si="26"/>
        <v>6.6000000000000005</v>
      </c>
      <c r="N638" s="35">
        <f t="shared" si="27"/>
        <v>59.225000000000001</v>
      </c>
      <c r="O638" t="str">
        <f>VLOOKUP(N638,Helper!$B$30:$C$35,2,TRUE)</f>
        <v>D</v>
      </c>
      <c r="P638" s="26">
        <f>INDEX(Detail!$A$1:$A$1001,MATCH(B638,Detail!$G$1:$G$1001,0))</f>
        <v>38009</v>
      </c>
      <c r="Q638" s="3" t="str">
        <f>INDEX(Detail!$F$1:$F$1001,MATCH(Main!B638,Detail!$G$1:$G$1001,0))</f>
        <v>Semarang</v>
      </c>
      <c r="R638" s="7">
        <f>INDEX(Detail!$C$1:$C$1001,MATCH(B638,Detail!$G$1:$G$1001,0),1)</f>
        <v>174</v>
      </c>
      <c r="S638" s="7">
        <f>INDEX(Detail!$D$1:$D$1001,MATCH(B638,Detail!$G$1:$G$1001,0),1)</f>
        <v>66</v>
      </c>
      <c r="T638" s="7" t="str">
        <f>INDEX(Detail!$E$1:$E$1001,MATCH(Main!B638,Detail!$G$1:$G$1001,0))</f>
        <v>Jalan Pasirkoja No. 32</v>
      </c>
      <c r="U638" s="7" t="str">
        <f>INDEX(Detail!$B$1:$B$1001,MATCH(B638,Detail!$G$1:$G$1001,0),1)</f>
        <v>AB+</v>
      </c>
    </row>
    <row r="639" spans="1:21" ht="15.75" x14ac:dyDescent="0.25">
      <c r="A639">
        <v>809</v>
      </c>
      <c r="B639" s="3" t="str">
        <f t="shared" si="28"/>
        <v>D0809</v>
      </c>
      <c r="C639" t="s">
        <v>1013</v>
      </c>
      <c r="D639" s="3" t="str">
        <f>VLOOKUP(B639,Detail!$G$1:$H$1001,2,FALSE)</f>
        <v>Karma Oktaviani</v>
      </c>
      <c r="E639">
        <v>51</v>
      </c>
      <c r="F639">
        <v>51</v>
      </c>
      <c r="G639" s="35">
        <v>63</v>
      </c>
      <c r="H639">
        <v>52</v>
      </c>
      <c r="I639">
        <v>51</v>
      </c>
      <c r="J639">
        <v>62</v>
      </c>
      <c r="K639">
        <v>87</v>
      </c>
      <c r="L639" s="26">
        <f>IFERROR(VLOOKUP(B639,Absen!$A$1:$C$501,2,FALSE),"No")</f>
        <v>44879</v>
      </c>
      <c r="M639" s="44">
        <f t="shared" si="26"/>
        <v>7.7</v>
      </c>
      <c r="N639" s="35">
        <f t="shared" si="27"/>
        <v>58.325000000000003</v>
      </c>
      <c r="O639" t="str">
        <f>VLOOKUP(N639,Helper!$B$30:$C$35,2,TRUE)</f>
        <v>D</v>
      </c>
      <c r="P639" s="26">
        <f>INDEX(Detail!$A$1:$A$1001,MATCH(B639,Detail!$G$1:$G$1001,0))</f>
        <v>37851</v>
      </c>
      <c r="Q639" s="3" t="str">
        <f>INDEX(Detail!$F$1:$F$1001,MATCH(Main!B639,Detail!$G$1:$G$1001,0))</f>
        <v>Kota Administrasi Jakarta Timur</v>
      </c>
      <c r="R639" s="7">
        <f>INDEX(Detail!$C$1:$C$1001,MATCH(B639,Detail!$G$1:$G$1001,0),1)</f>
        <v>169</v>
      </c>
      <c r="S639" s="7">
        <f>INDEX(Detail!$D$1:$D$1001,MATCH(B639,Detail!$G$1:$G$1001,0),1)</f>
        <v>67</v>
      </c>
      <c r="T639" s="7" t="str">
        <f>INDEX(Detail!$E$1:$E$1001,MATCH(Main!B639,Detail!$G$1:$G$1001,0))</f>
        <v>Jalan HOS. Cokroaminoto No. 30</v>
      </c>
      <c r="U639" s="7" t="str">
        <f>INDEX(Detail!$B$1:$B$1001,MATCH(B639,Detail!$G$1:$G$1001,0),1)</f>
        <v>AB+</v>
      </c>
    </row>
    <row r="640" spans="1:21" ht="15.75" x14ac:dyDescent="0.25">
      <c r="A640">
        <v>815</v>
      </c>
      <c r="B640" s="3" t="str">
        <f t="shared" si="28"/>
        <v>D0815</v>
      </c>
      <c r="C640" t="s">
        <v>1013</v>
      </c>
      <c r="D640" s="3" t="str">
        <f>VLOOKUP(B640,Detail!$G$1:$H$1001,2,FALSE)</f>
        <v>Jarwadi Puspasari</v>
      </c>
      <c r="E640">
        <v>70</v>
      </c>
      <c r="F640">
        <v>58</v>
      </c>
      <c r="G640" s="35">
        <v>55</v>
      </c>
      <c r="H640">
        <v>64</v>
      </c>
      <c r="I640">
        <v>88</v>
      </c>
      <c r="J640">
        <v>95</v>
      </c>
      <c r="K640">
        <v>94</v>
      </c>
      <c r="L640" s="26" t="str">
        <f>IFERROR(VLOOKUP(B640,Absen!$A$1:$C$501,2,FALSE),"No")</f>
        <v>No</v>
      </c>
      <c r="M640" s="44">
        <f t="shared" si="26"/>
        <v>9.4</v>
      </c>
      <c r="N640" s="35">
        <f t="shared" si="27"/>
        <v>74.400000000000006</v>
      </c>
      <c r="O640" t="str">
        <f>VLOOKUP(N640,Helper!$B$30:$C$35,2,TRUE)</f>
        <v>B</v>
      </c>
      <c r="P640" s="26">
        <f>INDEX(Detail!$A$1:$A$1001,MATCH(B640,Detail!$G$1:$G$1001,0))</f>
        <v>37238</v>
      </c>
      <c r="Q640" s="3" t="str">
        <f>INDEX(Detail!$F$1:$F$1001,MATCH(Main!B640,Detail!$G$1:$G$1001,0))</f>
        <v>Bandung</v>
      </c>
      <c r="R640" s="7">
        <f>INDEX(Detail!$C$1:$C$1001,MATCH(B640,Detail!$G$1:$G$1001,0),1)</f>
        <v>154</v>
      </c>
      <c r="S640" s="7">
        <f>INDEX(Detail!$D$1:$D$1001,MATCH(B640,Detail!$G$1:$G$1001,0),1)</f>
        <v>73</v>
      </c>
      <c r="T640" s="7" t="str">
        <f>INDEX(Detail!$E$1:$E$1001,MATCH(Main!B640,Detail!$G$1:$G$1001,0))</f>
        <v>Jl. Surapati No. 17</v>
      </c>
      <c r="U640" s="7" t="str">
        <f>INDEX(Detail!$B$1:$B$1001,MATCH(B640,Detail!$G$1:$G$1001,0),1)</f>
        <v>O+</v>
      </c>
    </row>
    <row r="641" spans="1:21" ht="15.75" x14ac:dyDescent="0.25">
      <c r="A641">
        <v>817</v>
      </c>
      <c r="B641" s="3" t="str">
        <f t="shared" si="28"/>
        <v>D0817</v>
      </c>
      <c r="C641" t="s">
        <v>1013</v>
      </c>
      <c r="D641" s="3" t="str">
        <f>VLOOKUP(B641,Detail!$G$1:$H$1001,2,FALSE)</f>
        <v>Vicky Novitasari</v>
      </c>
      <c r="E641">
        <v>80</v>
      </c>
      <c r="F641">
        <v>72</v>
      </c>
      <c r="G641" s="35">
        <v>84</v>
      </c>
      <c r="H641">
        <v>64</v>
      </c>
      <c r="I641">
        <v>70</v>
      </c>
      <c r="J641">
        <v>98</v>
      </c>
      <c r="K641">
        <v>66</v>
      </c>
      <c r="L641" s="26">
        <f>IFERROR(VLOOKUP(B641,Absen!$A$1:$C$501,2,FALSE),"No")</f>
        <v>44896</v>
      </c>
      <c r="M641" s="44">
        <f t="shared" si="26"/>
        <v>5.6000000000000005</v>
      </c>
      <c r="N641" s="35">
        <f t="shared" si="27"/>
        <v>77.75</v>
      </c>
      <c r="O641" t="str">
        <f>VLOOKUP(N641,Helper!$B$30:$C$35,2,TRUE)</f>
        <v>B</v>
      </c>
      <c r="P641" s="26">
        <f>INDEX(Detail!$A$1:$A$1001,MATCH(B641,Detail!$G$1:$G$1001,0))</f>
        <v>37927</v>
      </c>
      <c r="Q641" s="3" t="str">
        <f>INDEX(Detail!$F$1:$F$1001,MATCH(Main!B641,Detail!$G$1:$G$1001,0))</f>
        <v>Madiun</v>
      </c>
      <c r="R641" s="7">
        <f>INDEX(Detail!$C$1:$C$1001,MATCH(B641,Detail!$G$1:$G$1001,0),1)</f>
        <v>173</v>
      </c>
      <c r="S641" s="7">
        <f>INDEX(Detail!$D$1:$D$1001,MATCH(B641,Detail!$G$1:$G$1001,0),1)</f>
        <v>76</v>
      </c>
      <c r="T641" s="7" t="str">
        <f>INDEX(Detail!$E$1:$E$1001,MATCH(Main!B641,Detail!$G$1:$G$1001,0))</f>
        <v>Jalan Suryakencana No. 23</v>
      </c>
      <c r="U641" s="7" t="str">
        <f>INDEX(Detail!$B$1:$B$1001,MATCH(B641,Detail!$G$1:$G$1001,0),1)</f>
        <v>O+</v>
      </c>
    </row>
    <row r="642" spans="1:21" ht="15.75" x14ac:dyDescent="0.25">
      <c r="A642">
        <v>822</v>
      </c>
      <c r="B642" s="3" t="str">
        <f t="shared" si="28"/>
        <v>D0822</v>
      </c>
      <c r="C642" t="s">
        <v>1013</v>
      </c>
      <c r="D642" s="3" t="str">
        <f>VLOOKUP(B642,Detail!$G$1:$H$1001,2,FALSE)</f>
        <v>Yance Tamba</v>
      </c>
      <c r="E642">
        <v>59</v>
      </c>
      <c r="F642">
        <v>51</v>
      </c>
      <c r="G642" s="35">
        <v>63</v>
      </c>
      <c r="H642">
        <v>66</v>
      </c>
      <c r="I642">
        <v>93</v>
      </c>
      <c r="J642">
        <v>72</v>
      </c>
      <c r="K642">
        <v>100</v>
      </c>
      <c r="L642" s="26" t="str">
        <f>IFERROR(VLOOKUP(B642,Absen!$A$1:$C$501,2,FALSE),"No")</f>
        <v>No</v>
      </c>
      <c r="M642" s="44">
        <f t="shared" ref="M642:M705" si="29">IF(L642="no",K642,K642-10)*10%</f>
        <v>10</v>
      </c>
      <c r="N642" s="35">
        <f t="shared" ref="N642:N705" si="30">SUM(E642*12.5%,F642*12.5%,H642*12.5%,I642*12.5%,G642*20%,J642*20%,M642)</f>
        <v>70.625</v>
      </c>
      <c r="O642" t="str">
        <f>VLOOKUP(N642,Helper!$B$30:$C$35,2,TRUE)</f>
        <v>B</v>
      </c>
      <c r="P642" s="26">
        <f>INDEX(Detail!$A$1:$A$1001,MATCH(B642,Detail!$G$1:$G$1001,0))</f>
        <v>37419</v>
      </c>
      <c r="Q642" s="3" t="str">
        <f>INDEX(Detail!$F$1:$F$1001,MATCH(Main!B642,Detail!$G$1:$G$1001,0))</f>
        <v>Padangpanjang</v>
      </c>
      <c r="R642" s="7">
        <f>INDEX(Detail!$C$1:$C$1001,MATCH(B642,Detail!$G$1:$G$1001,0),1)</f>
        <v>167</v>
      </c>
      <c r="S642" s="7">
        <f>INDEX(Detail!$D$1:$D$1001,MATCH(B642,Detail!$G$1:$G$1001,0),1)</f>
        <v>70</v>
      </c>
      <c r="T642" s="7" t="str">
        <f>INDEX(Detail!$E$1:$E$1001,MATCH(Main!B642,Detail!$G$1:$G$1001,0))</f>
        <v>Jalan Kendalsari No. 22</v>
      </c>
      <c r="U642" s="7" t="str">
        <f>INDEX(Detail!$B$1:$B$1001,MATCH(B642,Detail!$G$1:$G$1001,0),1)</f>
        <v>A+</v>
      </c>
    </row>
    <row r="643" spans="1:21" ht="15.75" x14ac:dyDescent="0.25">
      <c r="A643">
        <v>825</v>
      </c>
      <c r="B643" s="3" t="str">
        <f t="shared" si="28"/>
        <v>D0825</v>
      </c>
      <c r="C643" t="s">
        <v>1013</v>
      </c>
      <c r="D643" s="3" t="str">
        <f>VLOOKUP(B643,Detail!$G$1:$H$1001,2,FALSE)</f>
        <v>Darijan Permata</v>
      </c>
      <c r="E643">
        <v>85</v>
      </c>
      <c r="F643">
        <v>43</v>
      </c>
      <c r="G643" s="35">
        <v>45</v>
      </c>
      <c r="H643">
        <v>54</v>
      </c>
      <c r="I643">
        <v>68</v>
      </c>
      <c r="J643">
        <v>45</v>
      </c>
      <c r="K643">
        <v>62</v>
      </c>
      <c r="L643" s="26" t="str">
        <f>IFERROR(VLOOKUP(B643,Absen!$A$1:$C$501,2,FALSE),"No")</f>
        <v>No</v>
      </c>
      <c r="M643" s="44">
        <f t="shared" si="29"/>
        <v>6.2</v>
      </c>
      <c r="N643" s="35">
        <f t="shared" si="30"/>
        <v>55.45</v>
      </c>
      <c r="O643" t="str">
        <f>VLOOKUP(N643,Helper!$B$30:$C$35,2,TRUE)</f>
        <v>D</v>
      </c>
      <c r="P643" s="26">
        <f>INDEX(Detail!$A$1:$A$1001,MATCH(B643,Detail!$G$1:$G$1001,0))</f>
        <v>37983</v>
      </c>
      <c r="Q643" s="3" t="str">
        <f>INDEX(Detail!$F$1:$F$1001,MATCH(Main!B643,Detail!$G$1:$G$1001,0))</f>
        <v>Pekalongan</v>
      </c>
      <c r="R643" s="7">
        <f>INDEX(Detail!$C$1:$C$1001,MATCH(B643,Detail!$G$1:$G$1001,0),1)</f>
        <v>178</v>
      </c>
      <c r="S643" s="7">
        <f>INDEX(Detail!$D$1:$D$1001,MATCH(B643,Detail!$G$1:$G$1001,0),1)</f>
        <v>79</v>
      </c>
      <c r="T643" s="7" t="str">
        <f>INDEX(Detail!$E$1:$E$1001,MATCH(Main!B643,Detail!$G$1:$G$1001,0))</f>
        <v>Jalan BKR No. 03</v>
      </c>
      <c r="U643" s="7" t="str">
        <f>INDEX(Detail!$B$1:$B$1001,MATCH(B643,Detail!$G$1:$G$1001,0),1)</f>
        <v>B+</v>
      </c>
    </row>
    <row r="644" spans="1:21" ht="15.75" x14ac:dyDescent="0.25">
      <c r="A644">
        <v>832</v>
      </c>
      <c r="B644" s="3" t="str">
        <f t="shared" si="28"/>
        <v>D0832</v>
      </c>
      <c r="C644" t="s">
        <v>1013</v>
      </c>
      <c r="D644" s="3" t="str">
        <f>VLOOKUP(B644,Detail!$G$1:$H$1001,2,FALSE)</f>
        <v>Ifa Kusmawati</v>
      </c>
      <c r="E644">
        <v>83</v>
      </c>
      <c r="F644">
        <v>54</v>
      </c>
      <c r="G644" s="35">
        <v>34</v>
      </c>
      <c r="H644">
        <v>56</v>
      </c>
      <c r="I644">
        <v>86</v>
      </c>
      <c r="J644">
        <v>70</v>
      </c>
      <c r="K644">
        <v>74</v>
      </c>
      <c r="L644" s="26">
        <f>IFERROR(VLOOKUP(B644,Absen!$A$1:$C$501,2,FALSE),"No")</f>
        <v>44782</v>
      </c>
      <c r="M644" s="44">
        <f t="shared" si="29"/>
        <v>6.4</v>
      </c>
      <c r="N644" s="35">
        <f t="shared" si="30"/>
        <v>62.074999999999996</v>
      </c>
      <c r="O644" t="str">
        <f>VLOOKUP(N644,Helper!$B$30:$C$35,2,TRUE)</f>
        <v>C</v>
      </c>
      <c r="P644" s="26">
        <f>INDEX(Detail!$A$1:$A$1001,MATCH(B644,Detail!$G$1:$G$1001,0))</f>
        <v>37252</v>
      </c>
      <c r="Q644" s="3" t="str">
        <f>INDEX(Detail!$F$1:$F$1001,MATCH(Main!B644,Detail!$G$1:$G$1001,0))</f>
        <v>Bukittinggi</v>
      </c>
      <c r="R644" s="7">
        <f>INDEX(Detail!$C$1:$C$1001,MATCH(B644,Detail!$G$1:$G$1001,0),1)</f>
        <v>157</v>
      </c>
      <c r="S644" s="7">
        <f>INDEX(Detail!$D$1:$D$1001,MATCH(B644,Detail!$G$1:$G$1001,0),1)</f>
        <v>59</v>
      </c>
      <c r="T644" s="7" t="str">
        <f>INDEX(Detail!$E$1:$E$1001,MATCH(Main!B644,Detail!$G$1:$G$1001,0))</f>
        <v>Jalan Rajiman No. 44</v>
      </c>
      <c r="U644" s="7" t="str">
        <f>INDEX(Detail!$B$1:$B$1001,MATCH(B644,Detail!$G$1:$G$1001,0),1)</f>
        <v>A-</v>
      </c>
    </row>
    <row r="645" spans="1:21" ht="15.75" x14ac:dyDescent="0.25">
      <c r="A645">
        <v>840</v>
      </c>
      <c r="B645" s="3" t="str">
        <f t="shared" si="28"/>
        <v>D0840</v>
      </c>
      <c r="C645" t="s">
        <v>1013</v>
      </c>
      <c r="D645" s="3" t="str">
        <f>VLOOKUP(B645,Detail!$G$1:$H$1001,2,FALSE)</f>
        <v>Edward Natsir</v>
      </c>
      <c r="E645">
        <v>59</v>
      </c>
      <c r="F645">
        <v>56</v>
      </c>
      <c r="G645" s="35">
        <v>43</v>
      </c>
      <c r="H645">
        <v>68</v>
      </c>
      <c r="I645">
        <v>63</v>
      </c>
      <c r="J645">
        <v>57</v>
      </c>
      <c r="K645">
        <v>93</v>
      </c>
      <c r="L645" s="26" t="str">
        <f>IFERROR(VLOOKUP(B645,Absen!$A$1:$C$501,2,FALSE),"No")</f>
        <v>No</v>
      </c>
      <c r="M645" s="44">
        <f t="shared" si="29"/>
        <v>9.3000000000000007</v>
      </c>
      <c r="N645" s="35">
        <f t="shared" si="30"/>
        <v>60.05</v>
      </c>
      <c r="O645" t="str">
        <f>VLOOKUP(N645,Helper!$B$30:$C$35,2,TRUE)</f>
        <v>C</v>
      </c>
      <c r="P645" s="26">
        <f>INDEX(Detail!$A$1:$A$1001,MATCH(B645,Detail!$G$1:$G$1001,0))</f>
        <v>38242</v>
      </c>
      <c r="Q645" s="3" t="str">
        <f>INDEX(Detail!$F$1:$F$1001,MATCH(Main!B645,Detail!$G$1:$G$1001,0))</f>
        <v>Bitung</v>
      </c>
      <c r="R645" s="7">
        <f>INDEX(Detail!$C$1:$C$1001,MATCH(B645,Detail!$G$1:$G$1001,0),1)</f>
        <v>159</v>
      </c>
      <c r="S645" s="7">
        <f>INDEX(Detail!$D$1:$D$1001,MATCH(B645,Detail!$G$1:$G$1001,0),1)</f>
        <v>66</v>
      </c>
      <c r="T645" s="7" t="str">
        <f>INDEX(Detail!$E$1:$E$1001,MATCH(Main!B645,Detail!$G$1:$G$1001,0))</f>
        <v>Gg. Ahmad Dahlan No. 89</v>
      </c>
      <c r="U645" s="7" t="str">
        <f>INDEX(Detail!$B$1:$B$1001,MATCH(B645,Detail!$G$1:$G$1001,0),1)</f>
        <v>AB+</v>
      </c>
    </row>
    <row r="646" spans="1:21" ht="15.75" x14ac:dyDescent="0.25">
      <c r="A646">
        <v>841</v>
      </c>
      <c r="B646" s="3" t="str">
        <f t="shared" si="28"/>
        <v>D0841</v>
      </c>
      <c r="C646" t="s">
        <v>1013</v>
      </c>
      <c r="D646" s="3" t="str">
        <f>VLOOKUP(B646,Detail!$G$1:$H$1001,2,FALSE)</f>
        <v>Clara Kusmawati</v>
      </c>
      <c r="E646">
        <v>62</v>
      </c>
      <c r="F646">
        <v>68</v>
      </c>
      <c r="G646" s="35">
        <v>31</v>
      </c>
      <c r="H646">
        <v>74</v>
      </c>
      <c r="I646">
        <v>63</v>
      </c>
      <c r="J646">
        <v>74</v>
      </c>
      <c r="K646">
        <v>69</v>
      </c>
      <c r="L646" s="26">
        <f>IFERROR(VLOOKUP(B646,Absen!$A$1:$C$501,2,FALSE),"No")</f>
        <v>44820</v>
      </c>
      <c r="M646" s="44">
        <f t="shared" si="29"/>
        <v>5.9</v>
      </c>
      <c r="N646" s="35">
        <f t="shared" si="30"/>
        <v>60.274999999999999</v>
      </c>
      <c r="O646" t="str">
        <f>VLOOKUP(N646,Helper!$B$30:$C$35,2,TRUE)</f>
        <v>C</v>
      </c>
      <c r="P646" s="26">
        <f>INDEX(Detail!$A$1:$A$1001,MATCH(B646,Detail!$G$1:$G$1001,0))</f>
        <v>37119</v>
      </c>
      <c r="Q646" s="3" t="str">
        <f>INDEX(Detail!$F$1:$F$1001,MATCH(Main!B646,Detail!$G$1:$G$1001,0))</f>
        <v>Palopo</v>
      </c>
      <c r="R646" s="7">
        <f>INDEX(Detail!$C$1:$C$1001,MATCH(B646,Detail!$G$1:$G$1001,0),1)</f>
        <v>179</v>
      </c>
      <c r="S646" s="7">
        <f>INDEX(Detail!$D$1:$D$1001,MATCH(B646,Detail!$G$1:$G$1001,0),1)</f>
        <v>74</v>
      </c>
      <c r="T646" s="7" t="str">
        <f>INDEX(Detail!$E$1:$E$1001,MATCH(Main!B646,Detail!$G$1:$G$1001,0))</f>
        <v>Jl. H.J Maemunah No. 72</v>
      </c>
      <c r="U646" s="7" t="str">
        <f>INDEX(Detail!$B$1:$B$1001,MATCH(B646,Detail!$G$1:$G$1001,0),1)</f>
        <v>B+</v>
      </c>
    </row>
    <row r="647" spans="1:21" ht="15.75" x14ac:dyDescent="0.25">
      <c r="A647">
        <v>844</v>
      </c>
      <c r="B647" s="3" t="str">
        <f t="shared" si="28"/>
        <v>D0844</v>
      </c>
      <c r="C647" t="s">
        <v>1013</v>
      </c>
      <c r="D647" s="3" t="str">
        <f>VLOOKUP(B647,Detail!$G$1:$H$1001,2,FALSE)</f>
        <v>Banara Utama</v>
      </c>
      <c r="E647">
        <v>83</v>
      </c>
      <c r="F647">
        <v>56</v>
      </c>
      <c r="G647" s="35">
        <v>51</v>
      </c>
      <c r="H647">
        <v>50</v>
      </c>
      <c r="I647">
        <v>83</v>
      </c>
      <c r="J647">
        <v>73</v>
      </c>
      <c r="K647">
        <v>71</v>
      </c>
      <c r="L647" s="26">
        <f>IFERROR(VLOOKUP(B647,Absen!$A$1:$C$501,2,FALSE),"No")</f>
        <v>44784</v>
      </c>
      <c r="M647" s="44">
        <f t="shared" si="29"/>
        <v>6.1000000000000005</v>
      </c>
      <c r="N647" s="35">
        <f t="shared" si="30"/>
        <v>64.900000000000006</v>
      </c>
      <c r="O647" t="str">
        <f>VLOOKUP(N647,Helper!$B$30:$C$35,2,TRUE)</f>
        <v>C</v>
      </c>
      <c r="P647" s="26">
        <f>INDEX(Detail!$A$1:$A$1001,MATCH(B647,Detail!$G$1:$G$1001,0))</f>
        <v>37100</v>
      </c>
      <c r="Q647" s="3" t="str">
        <f>INDEX(Detail!$F$1:$F$1001,MATCH(Main!B647,Detail!$G$1:$G$1001,0))</f>
        <v>Manado</v>
      </c>
      <c r="R647" s="7">
        <f>INDEX(Detail!$C$1:$C$1001,MATCH(B647,Detail!$G$1:$G$1001,0),1)</f>
        <v>177</v>
      </c>
      <c r="S647" s="7">
        <f>INDEX(Detail!$D$1:$D$1001,MATCH(B647,Detail!$G$1:$G$1001,0),1)</f>
        <v>77</v>
      </c>
      <c r="T647" s="7" t="str">
        <f>INDEX(Detail!$E$1:$E$1001,MATCH(Main!B647,Detail!$G$1:$G$1001,0))</f>
        <v>Jalan Kapten Muslihat No. 61</v>
      </c>
      <c r="U647" s="7" t="str">
        <f>INDEX(Detail!$B$1:$B$1001,MATCH(B647,Detail!$G$1:$G$1001,0),1)</f>
        <v>A+</v>
      </c>
    </row>
    <row r="648" spans="1:21" ht="15.75" x14ac:dyDescent="0.25">
      <c r="A648">
        <v>846</v>
      </c>
      <c r="B648" s="3" t="str">
        <f t="shared" si="28"/>
        <v>D0846</v>
      </c>
      <c r="C648" t="s">
        <v>1013</v>
      </c>
      <c r="D648" s="3" t="str">
        <f>VLOOKUP(B648,Detail!$G$1:$H$1001,2,FALSE)</f>
        <v>Cawisadi Laksita</v>
      </c>
      <c r="E648">
        <v>77</v>
      </c>
      <c r="F648">
        <v>60</v>
      </c>
      <c r="G648" s="35">
        <v>55</v>
      </c>
      <c r="H648">
        <v>53</v>
      </c>
      <c r="I648">
        <v>66</v>
      </c>
      <c r="J648">
        <v>82</v>
      </c>
      <c r="K648">
        <v>64</v>
      </c>
      <c r="L648" s="26" t="str">
        <f>IFERROR(VLOOKUP(B648,Absen!$A$1:$C$501,2,FALSE),"No")</f>
        <v>No</v>
      </c>
      <c r="M648" s="44">
        <f t="shared" si="29"/>
        <v>6.4</v>
      </c>
      <c r="N648" s="35">
        <f t="shared" si="30"/>
        <v>65.800000000000011</v>
      </c>
      <c r="O648" t="str">
        <f>VLOOKUP(N648,Helper!$B$30:$C$35,2,TRUE)</f>
        <v>C</v>
      </c>
      <c r="P648" s="26">
        <f>INDEX(Detail!$A$1:$A$1001,MATCH(B648,Detail!$G$1:$G$1001,0))</f>
        <v>37876</v>
      </c>
      <c r="Q648" s="3" t="str">
        <f>INDEX(Detail!$F$1:$F$1001,MATCH(Main!B648,Detail!$G$1:$G$1001,0))</f>
        <v>Makassar</v>
      </c>
      <c r="R648" s="7">
        <f>INDEX(Detail!$C$1:$C$1001,MATCH(B648,Detail!$G$1:$G$1001,0),1)</f>
        <v>160</v>
      </c>
      <c r="S648" s="7">
        <f>INDEX(Detail!$D$1:$D$1001,MATCH(B648,Detail!$G$1:$G$1001,0),1)</f>
        <v>50</v>
      </c>
      <c r="T648" s="7" t="str">
        <f>INDEX(Detail!$E$1:$E$1001,MATCH(Main!B648,Detail!$G$1:$G$1001,0))</f>
        <v>Jalan Stasiun Wonokromo No. 12</v>
      </c>
      <c r="U648" s="7" t="str">
        <f>INDEX(Detail!$B$1:$B$1001,MATCH(B648,Detail!$G$1:$G$1001,0),1)</f>
        <v>AB-</v>
      </c>
    </row>
    <row r="649" spans="1:21" ht="15.75" x14ac:dyDescent="0.25">
      <c r="A649">
        <v>849</v>
      </c>
      <c r="B649" s="3" t="str">
        <f t="shared" si="28"/>
        <v>D0849</v>
      </c>
      <c r="C649" t="s">
        <v>1013</v>
      </c>
      <c r="D649" s="3" t="str">
        <f>VLOOKUP(B649,Detail!$G$1:$H$1001,2,FALSE)</f>
        <v>Tugiman Hassanah</v>
      </c>
      <c r="E649">
        <v>74</v>
      </c>
      <c r="F649">
        <v>71</v>
      </c>
      <c r="G649" s="35">
        <v>79</v>
      </c>
      <c r="H649">
        <v>70</v>
      </c>
      <c r="I649">
        <v>82</v>
      </c>
      <c r="J649">
        <v>87</v>
      </c>
      <c r="K649">
        <v>73</v>
      </c>
      <c r="L649" s="26">
        <f>IFERROR(VLOOKUP(B649,Absen!$A$1:$C$501,2,FALSE),"No")</f>
        <v>44896</v>
      </c>
      <c r="M649" s="44">
        <f t="shared" si="29"/>
        <v>6.3000000000000007</v>
      </c>
      <c r="N649" s="35">
        <f t="shared" si="30"/>
        <v>76.625</v>
      </c>
      <c r="O649" t="str">
        <f>VLOOKUP(N649,Helper!$B$30:$C$35,2,TRUE)</f>
        <v>B</v>
      </c>
      <c r="P649" s="26">
        <f>INDEX(Detail!$A$1:$A$1001,MATCH(B649,Detail!$G$1:$G$1001,0))</f>
        <v>37904</v>
      </c>
      <c r="Q649" s="3" t="str">
        <f>INDEX(Detail!$F$1:$F$1001,MATCH(Main!B649,Detail!$G$1:$G$1001,0))</f>
        <v>Bandung</v>
      </c>
      <c r="R649" s="7">
        <f>INDEX(Detail!$C$1:$C$1001,MATCH(B649,Detail!$G$1:$G$1001,0),1)</f>
        <v>153</v>
      </c>
      <c r="S649" s="7">
        <f>INDEX(Detail!$D$1:$D$1001,MATCH(B649,Detail!$G$1:$G$1001,0),1)</f>
        <v>50</v>
      </c>
      <c r="T649" s="7" t="str">
        <f>INDEX(Detail!$E$1:$E$1001,MATCH(Main!B649,Detail!$G$1:$G$1001,0))</f>
        <v>Gang HOS. Cokroaminoto No. 33</v>
      </c>
      <c r="U649" s="7" t="str">
        <f>INDEX(Detail!$B$1:$B$1001,MATCH(B649,Detail!$G$1:$G$1001,0),1)</f>
        <v>A-</v>
      </c>
    </row>
    <row r="650" spans="1:21" ht="15.75" x14ac:dyDescent="0.25">
      <c r="A650">
        <v>850</v>
      </c>
      <c r="B650" s="3" t="str">
        <f t="shared" si="28"/>
        <v>D0850</v>
      </c>
      <c r="C650" t="s">
        <v>1013</v>
      </c>
      <c r="D650" s="3" t="str">
        <f>VLOOKUP(B650,Detail!$G$1:$H$1001,2,FALSE)</f>
        <v>Kania Irawan</v>
      </c>
      <c r="E650">
        <v>67</v>
      </c>
      <c r="F650">
        <v>41</v>
      </c>
      <c r="G650" s="35">
        <v>49</v>
      </c>
      <c r="H650">
        <v>68</v>
      </c>
      <c r="I650">
        <v>87</v>
      </c>
      <c r="J650">
        <v>53</v>
      </c>
      <c r="K650">
        <v>92</v>
      </c>
      <c r="L650" s="26" t="str">
        <f>IFERROR(VLOOKUP(B650,Absen!$A$1:$C$501,2,FALSE),"No")</f>
        <v>No</v>
      </c>
      <c r="M650" s="44">
        <f t="shared" si="29"/>
        <v>9.2000000000000011</v>
      </c>
      <c r="N650" s="35">
        <f t="shared" si="30"/>
        <v>62.475000000000001</v>
      </c>
      <c r="O650" t="str">
        <f>VLOOKUP(N650,Helper!$B$30:$C$35,2,TRUE)</f>
        <v>C</v>
      </c>
      <c r="P650" s="26">
        <f>INDEX(Detail!$A$1:$A$1001,MATCH(B650,Detail!$G$1:$G$1001,0))</f>
        <v>38006</v>
      </c>
      <c r="Q650" s="3" t="str">
        <f>INDEX(Detail!$F$1:$F$1001,MATCH(Main!B650,Detail!$G$1:$G$1001,0))</f>
        <v>Lubuklinggau</v>
      </c>
      <c r="R650" s="7">
        <f>INDEX(Detail!$C$1:$C$1001,MATCH(B650,Detail!$G$1:$G$1001,0),1)</f>
        <v>155</v>
      </c>
      <c r="S650" s="7">
        <f>INDEX(Detail!$D$1:$D$1001,MATCH(B650,Detail!$G$1:$G$1001,0),1)</f>
        <v>62</v>
      </c>
      <c r="T650" s="7" t="str">
        <f>INDEX(Detail!$E$1:$E$1001,MATCH(Main!B650,Detail!$G$1:$G$1001,0))</f>
        <v xml:space="preserve">Jl. S. Parman No. 4
</v>
      </c>
      <c r="U650" s="7" t="str">
        <f>INDEX(Detail!$B$1:$B$1001,MATCH(B650,Detail!$G$1:$G$1001,0),1)</f>
        <v>AB-</v>
      </c>
    </row>
    <row r="651" spans="1:21" ht="15.75" x14ac:dyDescent="0.25">
      <c r="A651">
        <v>869</v>
      </c>
      <c r="B651" s="3" t="str">
        <f t="shared" si="28"/>
        <v>D0869</v>
      </c>
      <c r="C651" t="s">
        <v>1013</v>
      </c>
      <c r="D651" s="3" t="str">
        <f>VLOOKUP(B651,Detail!$G$1:$H$1001,2,FALSE)</f>
        <v>Dacin Sinaga</v>
      </c>
      <c r="E651">
        <v>69</v>
      </c>
      <c r="F651">
        <v>47</v>
      </c>
      <c r="G651" s="35">
        <v>39</v>
      </c>
      <c r="H651">
        <v>55</v>
      </c>
      <c r="I651">
        <v>92</v>
      </c>
      <c r="J651">
        <v>49</v>
      </c>
      <c r="K651">
        <v>71</v>
      </c>
      <c r="L651" s="26" t="str">
        <f>IFERROR(VLOOKUP(B651,Absen!$A$1:$C$501,2,FALSE),"No")</f>
        <v>No</v>
      </c>
      <c r="M651" s="44">
        <f t="shared" si="29"/>
        <v>7.1000000000000005</v>
      </c>
      <c r="N651" s="35">
        <f t="shared" si="30"/>
        <v>57.574999999999996</v>
      </c>
      <c r="O651" t="str">
        <f>VLOOKUP(N651,Helper!$B$30:$C$35,2,TRUE)</f>
        <v>D</v>
      </c>
      <c r="P651" s="26">
        <f>INDEX(Detail!$A$1:$A$1001,MATCH(B651,Detail!$G$1:$G$1001,0))</f>
        <v>37393</v>
      </c>
      <c r="Q651" s="3" t="str">
        <f>INDEX(Detail!$F$1:$F$1001,MATCH(Main!B651,Detail!$G$1:$G$1001,0))</f>
        <v>Cimahi</v>
      </c>
      <c r="R651" s="7">
        <f>INDEX(Detail!$C$1:$C$1001,MATCH(B651,Detail!$G$1:$G$1001,0),1)</f>
        <v>160</v>
      </c>
      <c r="S651" s="7">
        <f>INDEX(Detail!$D$1:$D$1001,MATCH(B651,Detail!$G$1:$G$1001,0),1)</f>
        <v>47</v>
      </c>
      <c r="T651" s="7" t="str">
        <f>INDEX(Detail!$E$1:$E$1001,MATCH(Main!B651,Detail!$G$1:$G$1001,0))</f>
        <v xml:space="preserve">Gg. Rumah Sakit No. 4
</v>
      </c>
      <c r="U651" s="7" t="str">
        <f>INDEX(Detail!$B$1:$B$1001,MATCH(B651,Detail!$G$1:$G$1001,0),1)</f>
        <v>O+</v>
      </c>
    </row>
    <row r="652" spans="1:21" ht="15.75" x14ac:dyDescent="0.25">
      <c r="A652">
        <v>870</v>
      </c>
      <c r="B652" s="3" t="str">
        <f t="shared" si="28"/>
        <v>D0870</v>
      </c>
      <c r="C652" t="s">
        <v>1013</v>
      </c>
      <c r="D652" s="3" t="str">
        <f>VLOOKUP(B652,Detail!$G$1:$H$1001,2,FALSE)</f>
        <v>Okto Lestari</v>
      </c>
      <c r="E652">
        <v>88</v>
      </c>
      <c r="F652">
        <v>65</v>
      </c>
      <c r="G652" s="35">
        <v>56</v>
      </c>
      <c r="H652">
        <v>57</v>
      </c>
      <c r="I652">
        <v>74</v>
      </c>
      <c r="J652">
        <v>56</v>
      </c>
      <c r="K652">
        <v>63</v>
      </c>
      <c r="L652" s="26" t="str">
        <f>IFERROR(VLOOKUP(B652,Absen!$A$1:$C$501,2,FALSE),"No")</f>
        <v>No</v>
      </c>
      <c r="M652" s="44">
        <f t="shared" si="29"/>
        <v>6.3000000000000007</v>
      </c>
      <c r="N652" s="35">
        <f t="shared" si="30"/>
        <v>64.2</v>
      </c>
      <c r="O652" t="str">
        <f>VLOOKUP(N652,Helper!$B$30:$C$35,2,TRUE)</f>
        <v>C</v>
      </c>
      <c r="P652" s="26">
        <f>INDEX(Detail!$A$1:$A$1001,MATCH(B652,Detail!$G$1:$G$1001,0))</f>
        <v>37567</v>
      </c>
      <c r="Q652" s="3" t="str">
        <f>INDEX(Detail!$F$1:$F$1001,MATCH(Main!B652,Detail!$G$1:$G$1001,0))</f>
        <v>Dumai</v>
      </c>
      <c r="R652" s="7">
        <f>INDEX(Detail!$C$1:$C$1001,MATCH(B652,Detail!$G$1:$G$1001,0),1)</f>
        <v>177</v>
      </c>
      <c r="S652" s="7">
        <f>INDEX(Detail!$D$1:$D$1001,MATCH(B652,Detail!$G$1:$G$1001,0),1)</f>
        <v>68</v>
      </c>
      <c r="T652" s="7" t="str">
        <f>INDEX(Detail!$E$1:$E$1001,MATCH(Main!B652,Detail!$G$1:$G$1001,0))</f>
        <v>Gg. Raya Ujungberung No. 99</v>
      </c>
      <c r="U652" s="7" t="str">
        <f>INDEX(Detail!$B$1:$B$1001,MATCH(B652,Detail!$G$1:$G$1001,0),1)</f>
        <v>B+</v>
      </c>
    </row>
    <row r="653" spans="1:21" ht="15.75" x14ac:dyDescent="0.25">
      <c r="A653">
        <v>872</v>
      </c>
      <c r="B653" s="3" t="str">
        <f t="shared" si="28"/>
        <v>D0872</v>
      </c>
      <c r="C653" t="s">
        <v>1013</v>
      </c>
      <c r="D653" s="3" t="str">
        <f>VLOOKUP(B653,Detail!$G$1:$H$1001,2,FALSE)</f>
        <v>Tri Sihombing</v>
      </c>
      <c r="E653">
        <v>66</v>
      </c>
      <c r="F653">
        <v>41</v>
      </c>
      <c r="G653" s="35">
        <v>94</v>
      </c>
      <c r="H653">
        <v>70</v>
      </c>
      <c r="I653">
        <v>84</v>
      </c>
      <c r="J653">
        <v>83</v>
      </c>
      <c r="K653">
        <v>96</v>
      </c>
      <c r="L653" s="26">
        <f>IFERROR(VLOOKUP(B653,Absen!$A$1:$C$501,2,FALSE),"No")</f>
        <v>44914</v>
      </c>
      <c r="M653" s="44">
        <f t="shared" si="29"/>
        <v>8.6</v>
      </c>
      <c r="N653" s="35">
        <f t="shared" si="30"/>
        <v>76.625</v>
      </c>
      <c r="O653" t="str">
        <f>VLOOKUP(N653,Helper!$B$30:$C$35,2,TRUE)</f>
        <v>B</v>
      </c>
      <c r="P653" s="26">
        <f>INDEX(Detail!$A$1:$A$1001,MATCH(B653,Detail!$G$1:$G$1001,0))</f>
        <v>37572</v>
      </c>
      <c r="Q653" s="3" t="str">
        <f>INDEX(Detail!$F$1:$F$1001,MATCH(Main!B653,Detail!$G$1:$G$1001,0))</f>
        <v>Dumai</v>
      </c>
      <c r="R653" s="7">
        <f>INDEX(Detail!$C$1:$C$1001,MATCH(B653,Detail!$G$1:$G$1001,0),1)</f>
        <v>175</v>
      </c>
      <c r="S653" s="7">
        <f>INDEX(Detail!$D$1:$D$1001,MATCH(B653,Detail!$G$1:$G$1001,0),1)</f>
        <v>77</v>
      </c>
      <c r="T653" s="7" t="str">
        <f>INDEX(Detail!$E$1:$E$1001,MATCH(Main!B653,Detail!$G$1:$G$1001,0))</f>
        <v>Jl. Moch. Toha No. 55</v>
      </c>
      <c r="U653" s="7" t="str">
        <f>INDEX(Detail!$B$1:$B$1001,MATCH(B653,Detail!$G$1:$G$1001,0),1)</f>
        <v>AB+</v>
      </c>
    </row>
    <row r="654" spans="1:21" ht="15.75" x14ac:dyDescent="0.25">
      <c r="A654">
        <v>875</v>
      </c>
      <c r="B654" s="3" t="str">
        <f t="shared" si="28"/>
        <v>D0875</v>
      </c>
      <c r="C654" t="s">
        <v>1013</v>
      </c>
      <c r="D654" s="3" t="str">
        <f>VLOOKUP(B654,Detail!$G$1:$H$1001,2,FALSE)</f>
        <v>Pangeran Samosir</v>
      </c>
      <c r="E654">
        <v>67</v>
      </c>
      <c r="F654">
        <v>41</v>
      </c>
      <c r="G654" s="35">
        <v>43</v>
      </c>
      <c r="H654">
        <v>57</v>
      </c>
      <c r="I654">
        <v>95</v>
      </c>
      <c r="J654">
        <v>69</v>
      </c>
      <c r="K654">
        <v>67</v>
      </c>
      <c r="L654" s="26" t="str">
        <f>IFERROR(VLOOKUP(B654,Absen!$A$1:$C$501,2,FALSE),"No")</f>
        <v>No</v>
      </c>
      <c r="M654" s="44">
        <f t="shared" si="29"/>
        <v>6.7</v>
      </c>
      <c r="N654" s="35">
        <f t="shared" si="30"/>
        <v>61.600000000000009</v>
      </c>
      <c r="O654" t="str">
        <f>VLOOKUP(N654,Helper!$B$30:$C$35,2,TRUE)</f>
        <v>C</v>
      </c>
      <c r="P654" s="26">
        <f>INDEX(Detail!$A$1:$A$1001,MATCH(B654,Detail!$G$1:$G$1001,0))</f>
        <v>37517</v>
      </c>
      <c r="Q654" s="3" t="str">
        <f>INDEX(Detail!$F$1:$F$1001,MATCH(Main!B654,Detail!$G$1:$G$1001,0))</f>
        <v>Payakumbuh</v>
      </c>
      <c r="R654" s="7">
        <f>INDEX(Detail!$C$1:$C$1001,MATCH(B654,Detail!$G$1:$G$1001,0),1)</f>
        <v>158</v>
      </c>
      <c r="S654" s="7">
        <f>INDEX(Detail!$D$1:$D$1001,MATCH(B654,Detail!$G$1:$G$1001,0),1)</f>
        <v>62</v>
      </c>
      <c r="T654" s="7" t="str">
        <f>INDEX(Detail!$E$1:$E$1001,MATCH(Main!B654,Detail!$G$1:$G$1001,0))</f>
        <v>Jalan Wonoayu No. 31</v>
      </c>
      <c r="U654" s="7" t="str">
        <f>INDEX(Detail!$B$1:$B$1001,MATCH(B654,Detail!$G$1:$G$1001,0),1)</f>
        <v>O+</v>
      </c>
    </row>
    <row r="655" spans="1:21" ht="15.75" x14ac:dyDescent="0.25">
      <c r="A655">
        <v>884</v>
      </c>
      <c r="B655" s="3" t="str">
        <f t="shared" si="28"/>
        <v>D0884</v>
      </c>
      <c r="C655" t="s">
        <v>1013</v>
      </c>
      <c r="D655" s="3" t="str">
        <f>VLOOKUP(B655,Detail!$G$1:$H$1001,2,FALSE)</f>
        <v>Jail Budiman</v>
      </c>
      <c r="E655">
        <v>77</v>
      </c>
      <c r="F655">
        <v>75</v>
      </c>
      <c r="G655" s="35">
        <v>85</v>
      </c>
      <c r="H655">
        <v>55</v>
      </c>
      <c r="I655">
        <v>88</v>
      </c>
      <c r="J655">
        <v>66</v>
      </c>
      <c r="K655">
        <v>92</v>
      </c>
      <c r="L655" s="26" t="str">
        <f>IFERROR(VLOOKUP(B655,Absen!$A$1:$C$501,2,FALSE),"No")</f>
        <v>No</v>
      </c>
      <c r="M655" s="44">
        <f t="shared" si="29"/>
        <v>9.2000000000000011</v>
      </c>
      <c r="N655" s="35">
        <f t="shared" si="30"/>
        <v>76.275000000000006</v>
      </c>
      <c r="O655" t="str">
        <f>VLOOKUP(N655,Helper!$B$30:$C$35,2,TRUE)</f>
        <v>B</v>
      </c>
      <c r="P655" s="26">
        <f>INDEX(Detail!$A$1:$A$1001,MATCH(B655,Detail!$G$1:$G$1001,0))</f>
        <v>38153</v>
      </c>
      <c r="Q655" s="3" t="str">
        <f>INDEX(Detail!$F$1:$F$1001,MATCH(Main!B655,Detail!$G$1:$G$1001,0))</f>
        <v>Tomohon</v>
      </c>
      <c r="R655" s="7">
        <f>INDEX(Detail!$C$1:$C$1001,MATCH(B655,Detail!$G$1:$G$1001,0),1)</f>
        <v>158</v>
      </c>
      <c r="S655" s="7">
        <f>INDEX(Detail!$D$1:$D$1001,MATCH(B655,Detail!$G$1:$G$1001,0),1)</f>
        <v>46</v>
      </c>
      <c r="T655" s="7" t="str">
        <f>INDEX(Detail!$E$1:$E$1001,MATCH(Main!B655,Detail!$G$1:$G$1001,0))</f>
        <v>Gang Rajawali Barat No. 01</v>
      </c>
      <c r="U655" s="7" t="str">
        <f>INDEX(Detail!$B$1:$B$1001,MATCH(B655,Detail!$G$1:$G$1001,0),1)</f>
        <v>B-</v>
      </c>
    </row>
    <row r="656" spans="1:21" ht="15.75" x14ac:dyDescent="0.25">
      <c r="A656">
        <v>897</v>
      </c>
      <c r="B656" s="3" t="str">
        <f t="shared" si="28"/>
        <v>D0897</v>
      </c>
      <c r="C656" t="s">
        <v>1013</v>
      </c>
      <c r="D656" s="3" t="str">
        <f>VLOOKUP(B656,Detail!$G$1:$H$1001,2,FALSE)</f>
        <v>Nadia Puspasari</v>
      </c>
      <c r="E656">
        <v>84</v>
      </c>
      <c r="F656">
        <v>55</v>
      </c>
      <c r="G656" s="35">
        <v>32</v>
      </c>
      <c r="H656">
        <v>64</v>
      </c>
      <c r="I656">
        <v>68</v>
      </c>
      <c r="J656">
        <v>53</v>
      </c>
      <c r="K656">
        <v>62</v>
      </c>
      <c r="L656" s="26">
        <f>IFERROR(VLOOKUP(B656,Absen!$A$1:$C$501,2,FALSE),"No")</f>
        <v>44853</v>
      </c>
      <c r="M656" s="44">
        <f t="shared" si="29"/>
        <v>5.2</v>
      </c>
      <c r="N656" s="35">
        <f t="shared" si="30"/>
        <v>56.075000000000003</v>
      </c>
      <c r="O656" t="str">
        <f>VLOOKUP(N656,Helper!$B$30:$C$35,2,TRUE)</f>
        <v>D</v>
      </c>
      <c r="P656" s="26">
        <f>INDEX(Detail!$A$1:$A$1001,MATCH(B656,Detail!$G$1:$G$1001,0))</f>
        <v>37435</v>
      </c>
      <c r="Q656" s="3" t="str">
        <f>INDEX(Detail!$F$1:$F$1001,MATCH(Main!B656,Detail!$G$1:$G$1001,0))</f>
        <v>Sorong</v>
      </c>
      <c r="R656" s="7">
        <f>INDEX(Detail!$C$1:$C$1001,MATCH(B656,Detail!$G$1:$G$1001,0),1)</f>
        <v>166</v>
      </c>
      <c r="S656" s="7">
        <f>INDEX(Detail!$D$1:$D$1001,MATCH(B656,Detail!$G$1:$G$1001,0),1)</f>
        <v>73</v>
      </c>
      <c r="T656" s="7" t="str">
        <f>INDEX(Detail!$E$1:$E$1001,MATCH(Main!B656,Detail!$G$1:$G$1001,0))</f>
        <v>Gang Gardujati No. 55</v>
      </c>
      <c r="U656" s="7" t="str">
        <f>INDEX(Detail!$B$1:$B$1001,MATCH(B656,Detail!$G$1:$G$1001,0),1)</f>
        <v>O-</v>
      </c>
    </row>
    <row r="657" spans="1:21" ht="15.75" x14ac:dyDescent="0.25">
      <c r="A657">
        <v>898</v>
      </c>
      <c r="B657" s="3" t="str">
        <f t="shared" si="28"/>
        <v>D0898</v>
      </c>
      <c r="C657" t="s">
        <v>1013</v>
      </c>
      <c r="D657" s="3" t="str">
        <f>VLOOKUP(B657,Detail!$G$1:$H$1001,2,FALSE)</f>
        <v>Jamil Handayani</v>
      </c>
      <c r="E657">
        <v>83</v>
      </c>
      <c r="F657">
        <v>60</v>
      </c>
      <c r="G657" s="35">
        <v>57</v>
      </c>
      <c r="H657">
        <v>65</v>
      </c>
      <c r="I657">
        <v>67</v>
      </c>
      <c r="J657">
        <v>75</v>
      </c>
      <c r="K657">
        <v>67</v>
      </c>
      <c r="L657" s="26" t="str">
        <f>IFERROR(VLOOKUP(B657,Absen!$A$1:$C$501,2,FALSE),"No")</f>
        <v>No</v>
      </c>
      <c r="M657" s="44">
        <f t="shared" si="29"/>
        <v>6.7</v>
      </c>
      <c r="N657" s="35">
        <f t="shared" si="30"/>
        <v>67.474999999999994</v>
      </c>
      <c r="O657" t="str">
        <f>VLOOKUP(N657,Helper!$B$30:$C$35,2,TRUE)</f>
        <v>C</v>
      </c>
      <c r="P657" s="26">
        <f>INDEX(Detail!$A$1:$A$1001,MATCH(B657,Detail!$G$1:$G$1001,0))</f>
        <v>37873</v>
      </c>
      <c r="Q657" s="3" t="str">
        <f>INDEX(Detail!$F$1:$F$1001,MATCH(Main!B657,Detail!$G$1:$G$1001,0))</f>
        <v>Blitar</v>
      </c>
      <c r="R657" s="7">
        <f>INDEX(Detail!$C$1:$C$1001,MATCH(B657,Detail!$G$1:$G$1001,0),1)</f>
        <v>151</v>
      </c>
      <c r="S657" s="7">
        <f>INDEX(Detail!$D$1:$D$1001,MATCH(B657,Detail!$G$1:$G$1001,0),1)</f>
        <v>48</v>
      </c>
      <c r="T657" s="7" t="str">
        <f>INDEX(Detail!$E$1:$E$1001,MATCH(Main!B657,Detail!$G$1:$G$1001,0))</f>
        <v>Jl. Gedebage Selatan No. 60</v>
      </c>
      <c r="U657" s="7" t="str">
        <f>INDEX(Detail!$B$1:$B$1001,MATCH(B657,Detail!$G$1:$G$1001,0),1)</f>
        <v>O-</v>
      </c>
    </row>
    <row r="658" spans="1:21" ht="15.75" x14ac:dyDescent="0.25">
      <c r="A658">
        <v>902</v>
      </c>
      <c r="B658" s="3" t="str">
        <f t="shared" si="28"/>
        <v>D0902</v>
      </c>
      <c r="C658" t="s">
        <v>1013</v>
      </c>
      <c r="D658" s="3" t="str">
        <f>VLOOKUP(B658,Detail!$G$1:$H$1001,2,FALSE)</f>
        <v>Tirtayasa Nuraini</v>
      </c>
      <c r="E658">
        <v>58</v>
      </c>
      <c r="F658">
        <v>68</v>
      </c>
      <c r="G658" s="35">
        <v>86</v>
      </c>
      <c r="H658">
        <v>67</v>
      </c>
      <c r="I658">
        <v>54</v>
      </c>
      <c r="J658">
        <v>47</v>
      </c>
      <c r="K658">
        <v>97</v>
      </c>
      <c r="L658" s="26" t="str">
        <f>IFERROR(VLOOKUP(B658,Absen!$A$1:$C$501,2,FALSE),"No")</f>
        <v>No</v>
      </c>
      <c r="M658" s="44">
        <f t="shared" si="29"/>
        <v>9.7000000000000011</v>
      </c>
      <c r="N658" s="35">
        <f t="shared" si="30"/>
        <v>67.174999999999997</v>
      </c>
      <c r="O658" t="str">
        <f>VLOOKUP(N658,Helper!$B$30:$C$35,2,TRUE)</f>
        <v>C</v>
      </c>
      <c r="P658" s="26">
        <f>INDEX(Detail!$A$1:$A$1001,MATCH(B658,Detail!$G$1:$G$1001,0))</f>
        <v>37482</v>
      </c>
      <c r="Q658" s="3" t="str">
        <f>INDEX(Detail!$F$1:$F$1001,MATCH(Main!B658,Detail!$G$1:$G$1001,0))</f>
        <v>Kendari</v>
      </c>
      <c r="R658" s="7">
        <f>INDEX(Detail!$C$1:$C$1001,MATCH(B658,Detail!$G$1:$G$1001,0),1)</f>
        <v>157</v>
      </c>
      <c r="S658" s="7">
        <f>INDEX(Detail!$D$1:$D$1001,MATCH(B658,Detail!$G$1:$G$1001,0),1)</f>
        <v>70</v>
      </c>
      <c r="T658" s="7" t="str">
        <f>INDEX(Detail!$E$1:$E$1001,MATCH(Main!B658,Detail!$G$1:$G$1001,0))</f>
        <v>Gang Otto Iskandardinata No. 68</v>
      </c>
      <c r="U658" s="7" t="str">
        <f>INDEX(Detail!$B$1:$B$1001,MATCH(B658,Detail!$G$1:$G$1001,0),1)</f>
        <v>A-</v>
      </c>
    </row>
    <row r="659" spans="1:21" ht="15.75" x14ac:dyDescent="0.25">
      <c r="A659">
        <v>903</v>
      </c>
      <c r="B659" s="3" t="str">
        <f t="shared" si="28"/>
        <v>D0903</v>
      </c>
      <c r="C659" t="s">
        <v>1013</v>
      </c>
      <c r="D659" s="3" t="str">
        <f>VLOOKUP(B659,Detail!$G$1:$H$1001,2,FALSE)</f>
        <v>Hendra Halimah</v>
      </c>
      <c r="E659">
        <v>76</v>
      </c>
      <c r="F659">
        <v>71</v>
      </c>
      <c r="G659" s="35">
        <v>52</v>
      </c>
      <c r="H659">
        <v>64</v>
      </c>
      <c r="I659">
        <v>84</v>
      </c>
      <c r="J659">
        <v>65</v>
      </c>
      <c r="K659">
        <v>81</v>
      </c>
      <c r="L659" s="26" t="str">
        <f>IFERROR(VLOOKUP(B659,Absen!$A$1:$C$501,2,FALSE),"No")</f>
        <v>No</v>
      </c>
      <c r="M659" s="44">
        <f t="shared" si="29"/>
        <v>8.1</v>
      </c>
      <c r="N659" s="35">
        <f t="shared" si="30"/>
        <v>68.375</v>
      </c>
      <c r="O659" t="str">
        <f>VLOOKUP(N659,Helper!$B$30:$C$35,2,TRUE)</f>
        <v>C</v>
      </c>
      <c r="P659" s="26">
        <f>INDEX(Detail!$A$1:$A$1001,MATCH(B659,Detail!$G$1:$G$1001,0))</f>
        <v>37708</v>
      </c>
      <c r="Q659" s="3" t="str">
        <f>INDEX(Detail!$F$1:$F$1001,MATCH(Main!B659,Detail!$G$1:$G$1001,0))</f>
        <v>Subulussalam</v>
      </c>
      <c r="R659" s="7">
        <f>INDEX(Detail!$C$1:$C$1001,MATCH(B659,Detail!$G$1:$G$1001,0),1)</f>
        <v>162</v>
      </c>
      <c r="S659" s="7">
        <f>INDEX(Detail!$D$1:$D$1001,MATCH(B659,Detail!$G$1:$G$1001,0),1)</f>
        <v>63</v>
      </c>
      <c r="T659" s="7" t="str">
        <f>INDEX(Detail!$E$1:$E$1001,MATCH(Main!B659,Detail!$G$1:$G$1001,0))</f>
        <v>Gg. Pacuan Kuda No. 56</v>
      </c>
      <c r="U659" s="7" t="str">
        <f>INDEX(Detail!$B$1:$B$1001,MATCH(B659,Detail!$G$1:$G$1001,0),1)</f>
        <v>A+</v>
      </c>
    </row>
    <row r="660" spans="1:21" ht="15.75" x14ac:dyDescent="0.25">
      <c r="A660">
        <v>906</v>
      </c>
      <c r="B660" s="3" t="str">
        <f t="shared" si="28"/>
        <v>D0906</v>
      </c>
      <c r="C660" t="s">
        <v>1013</v>
      </c>
      <c r="D660" s="3" t="str">
        <f>VLOOKUP(B660,Detail!$G$1:$H$1001,2,FALSE)</f>
        <v>Jessica Zulaika</v>
      </c>
      <c r="E660">
        <v>63</v>
      </c>
      <c r="F660">
        <v>46</v>
      </c>
      <c r="G660" s="35">
        <v>69</v>
      </c>
      <c r="H660">
        <v>56</v>
      </c>
      <c r="I660">
        <v>51</v>
      </c>
      <c r="J660">
        <v>98</v>
      </c>
      <c r="K660">
        <v>89</v>
      </c>
      <c r="L660" s="26" t="str">
        <f>IFERROR(VLOOKUP(B660,Absen!$A$1:$C$501,2,FALSE),"No")</f>
        <v>No</v>
      </c>
      <c r="M660" s="44">
        <f t="shared" si="29"/>
        <v>8.9</v>
      </c>
      <c r="N660" s="35">
        <f t="shared" si="30"/>
        <v>69.3</v>
      </c>
      <c r="O660" t="str">
        <f>VLOOKUP(N660,Helper!$B$30:$C$35,2,TRUE)</f>
        <v>C</v>
      </c>
      <c r="P660" s="26">
        <f>INDEX(Detail!$A$1:$A$1001,MATCH(B660,Detail!$G$1:$G$1001,0))</f>
        <v>37408</v>
      </c>
      <c r="Q660" s="3" t="str">
        <f>INDEX(Detail!$F$1:$F$1001,MATCH(Main!B660,Detail!$G$1:$G$1001,0))</f>
        <v>Lubuklinggau</v>
      </c>
      <c r="R660" s="7">
        <f>INDEX(Detail!$C$1:$C$1001,MATCH(B660,Detail!$G$1:$G$1001,0),1)</f>
        <v>156</v>
      </c>
      <c r="S660" s="7">
        <f>INDEX(Detail!$D$1:$D$1001,MATCH(B660,Detail!$G$1:$G$1001,0),1)</f>
        <v>77</v>
      </c>
      <c r="T660" s="7" t="str">
        <f>INDEX(Detail!$E$1:$E$1001,MATCH(Main!B660,Detail!$G$1:$G$1001,0))</f>
        <v xml:space="preserve">Gang Cihampelas No. 8
</v>
      </c>
      <c r="U660" s="7" t="str">
        <f>INDEX(Detail!$B$1:$B$1001,MATCH(B660,Detail!$G$1:$G$1001,0),1)</f>
        <v>A-</v>
      </c>
    </row>
    <row r="661" spans="1:21" ht="15.75" x14ac:dyDescent="0.25">
      <c r="A661">
        <v>911</v>
      </c>
      <c r="B661" s="3" t="str">
        <f t="shared" si="28"/>
        <v>D0911</v>
      </c>
      <c r="C661" t="s">
        <v>1013</v>
      </c>
      <c r="D661" s="3" t="str">
        <f>VLOOKUP(B661,Detail!$G$1:$H$1001,2,FALSE)</f>
        <v>Dimaz Prasetyo</v>
      </c>
      <c r="E661">
        <v>95</v>
      </c>
      <c r="F661">
        <v>45</v>
      </c>
      <c r="G661" s="35">
        <v>50</v>
      </c>
      <c r="H661">
        <v>74</v>
      </c>
      <c r="I661">
        <v>86</v>
      </c>
      <c r="J661">
        <v>86</v>
      </c>
      <c r="K661">
        <v>76</v>
      </c>
      <c r="L661" s="26">
        <f>IFERROR(VLOOKUP(B661,Absen!$A$1:$C$501,2,FALSE),"No")</f>
        <v>44889</v>
      </c>
      <c r="M661" s="44">
        <f t="shared" si="29"/>
        <v>6.6000000000000005</v>
      </c>
      <c r="N661" s="35">
        <f t="shared" si="30"/>
        <v>71.3</v>
      </c>
      <c r="O661" t="str">
        <f>VLOOKUP(N661,Helper!$B$30:$C$35,2,TRUE)</f>
        <v>B</v>
      </c>
      <c r="P661" s="26">
        <f>INDEX(Detail!$A$1:$A$1001,MATCH(B661,Detail!$G$1:$G$1001,0))</f>
        <v>37040</v>
      </c>
      <c r="Q661" s="3" t="str">
        <f>INDEX(Detail!$F$1:$F$1001,MATCH(Main!B661,Detail!$G$1:$G$1001,0))</f>
        <v>Banjarmasin</v>
      </c>
      <c r="R661" s="7">
        <f>INDEX(Detail!$C$1:$C$1001,MATCH(B661,Detail!$G$1:$G$1001,0),1)</f>
        <v>164</v>
      </c>
      <c r="S661" s="7">
        <f>INDEX(Detail!$D$1:$D$1001,MATCH(B661,Detail!$G$1:$G$1001,0),1)</f>
        <v>74</v>
      </c>
      <c r="T661" s="7" t="str">
        <f>INDEX(Detail!$E$1:$E$1001,MATCH(Main!B661,Detail!$G$1:$G$1001,0))</f>
        <v xml:space="preserve">Gg. Pacuan Kuda No. 6
</v>
      </c>
      <c r="U661" s="7" t="str">
        <f>INDEX(Detail!$B$1:$B$1001,MATCH(B661,Detail!$G$1:$G$1001,0),1)</f>
        <v>B-</v>
      </c>
    </row>
    <row r="662" spans="1:21" ht="15.75" x14ac:dyDescent="0.25">
      <c r="A662">
        <v>918</v>
      </c>
      <c r="B662" s="3" t="str">
        <f t="shared" si="28"/>
        <v>D0918</v>
      </c>
      <c r="C662" t="s">
        <v>1013</v>
      </c>
      <c r="D662" s="3" t="str">
        <f>VLOOKUP(B662,Detail!$G$1:$H$1001,2,FALSE)</f>
        <v>Banawa Saputra</v>
      </c>
      <c r="E662">
        <v>52</v>
      </c>
      <c r="F662">
        <v>61</v>
      </c>
      <c r="G662" s="35">
        <v>71</v>
      </c>
      <c r="H662">
        <v>56</v>
      </c>
      <c r="I662">
        <v>94</v>
      </c>
      <c r="J662">
        <v>71</v>
      </c>
      <c r="K662">
        <v>78</v>
      </c>
      <c r="L662" s="26" t="str">
        <f>IFERROR(VLOOKUP(B662,Absen!$A$1:$C$501,2,FALSE),"No")</f>
        <v>No</v>
      </c>
      <c r="M662" s="44">
        <f t="shared" si="29"/>
        <v>7.8000000000000007</v>
      </c>
      <c r="N662" s="35">
        <f t="shared" si="30"/>
        <v>69.075000000000003</v>
      </c>
      <c r="O662" t="str">
        <f>VLOOKUP(N662,Helper!$B$30:$C$35,2,TRUE)</f>
        <v>C</v>
      </c>
      <c r="P662" s="26">
        <f>INDEX(Detail!$A$1:$A$1001,MATCH(B662,Detail!$G$1:$G$1001,0))</f>
        <v>38339</v>
      </c>
      <c r="Q662" s="3" t="str">
        <f>INDEX(Detail!$F$1:$F$1001,MATCH(Main!B662,Detail!$G$1:$G$1001,0))</f>
        <v>Lhokseumawe</v>
      </c>
      <c r="R662" s="7">
        <f>INDEX(Detail!$C$1:$C$1001,MATCH(B662,Detail!$G$1:$G$1001,0),1)</f>
        <v>152</v>
      </c>
      <c r="S662" s="7">
        <f>INDEX(Detail!$D$1:$D$1001,MATCH(B662,Detail!$G$1:$G$1001,0),1)</f>
        <v>66</v>
      </c>
      <c r="T662" s="7" t="str">
        <f>INDEX(Detail!$E$1:$E$1001,MATCH(Main!B662,Detail!$G$1:$G$1001,0))</f>
        <v>Jl. Dipatiukur No. 38</v>
      </c>
      <c r="U662" s="7" t="str">
        <f>INDEX(Detail!$B$1:$B$1001,MATCH(B662,Detail!$G$1:$G$1001,0),1)</f>
        <v>B-</v>
      </c>
    </row>
    <row r="663" spans="1:21" ht="15.75" x14ac:dyDescent="0.25">
      <c r="A663">
        <v>923</v>
      </c>
      <c r="B663" s="3" t="str">
        <f t="shared" si="28"/>
        <v>D0923</v>
      </c>
      <c r="C663" t="s">
        <v>1013</v>
      </c>
      <c r="D663" s="3" t="str">
        <f>VLOOKUP(B663,Detail!$G$1:$H$1001,2,FALSE)</f>
        <v>Kawaca Hutagalung</v>
      </c>
      <c r="E663">
        <v>82</v>
      </c>
      <c r="F663">
        <v>50</v>
      </c>
      <c r="G663" s="35">
        <v>57</v>
      </c>
      <c r="H663">
        <v>66</v>
      </c>
      <c r="I663">
        <v>52</v>
      </c>
      <c r="J663">
        <v>97</v>
      </c>
      <c r="K663">
        <v>92</v>
      </c>
      <c r="L663" s="26">
        <f>IFERROR(VLOOKUP(B663,Absen!$A$1:$C$501,2,FALSE),"No")</f>
        <v>44749</v>
      </c>
      <c r="M663" s="44">
        <f t="shared" si="29"/>
        <v>8.2000000000000011</v>
      </c>
      <c r="N663" s="35">
        <f t="shared" si="30"/>
        <v>70.25</v>
      </c>
      <c r="O663" t="str">
        <f>VLOOKUP(N663,Helper!$B$30:$C$35,2,TRUE)</f>
        <v>B</v>
      </c>
      <c r="P663" s="26">
        <f>INDEX(Detail!$A$1:$A$1001,MATCH(B663,Detail!$G$1:$G$1001,0))</f>
        <v>37326</v>
      </c>
      <c r="Q663" s="3" t="str">
        <f>INDEX(Detail!$F$1:$F$1001,MATCH(Main!B663,Detail!$G$1:$G$1001,0))</f>
        <v>Bogor</v>
      </c>
      <c r="R663" s="7">
        <f>INDEX(Detail!$C$1:$C$1001,MATCH(B663,Detail!$G$1:$G$1001,0),1)</f>
        <v>162</v>
      </c>
      <c r="S663" s="7">
        <f>INDEX(Detail!$D$1:$D$1001,MATCH(B663,Detail!$G$1:$G$1001,0),1)</f>
        <v>94</v>
      </c>
      <c r="T663" s="7" t="str">
        <f>INDEX(Detail!$E$1:$E$1001,MATCH(Main!B663,Detail!$G$1:$G$1001,0))</f>
        <v>Jl. Tubagus Ismail No. 10</v>
      </c>
      <c r="U663" s="7" t="str">
        <f>INDEX(Detail!$B$1:$B$1001,MATCH(B663,Detail!$G$1:$G$1001,0),1)</f>
        <v>B+</v>
      </c>
    </row>
    <row r="664" spans="1:21" ht="15.75" x14ac:dyDescent="0.25">
      <c r="A664">
        <v>928</v>
      </c>
      <c r="B664" s="3" t="str">
        <f t="shared" si="28"/>
        <v>D0928</v>
      </c>
      <c r="C664" t="s">
        <v>1013</v>
      </c>
      <c r="D664" s="3" t="str">
        <f>VLOOKUP(B664,Detail!$G$1:$H$1001,2,FALSE)</f>
        <v>Tedi Aryani</v>
      </c>
      <c r="E664">
        <v>52</v>
      </c>
      <c r="F664">
        <v>61</v>
      </c>
      <c r="G664" s="35">
        <v>89</v>
      </c>
      <c r="H664">
        <v>58</v>
      </c>
      <c r="I664">
        <v>77</v>
      </c>
      <c r="J664">
        <v>53</v>
      </c>
      <c r="K664">
        <v>98</v>
      </c>
      <c r="L664" s="26" t="str">
        <f>IFERROR(VLOOKUP(B664,Absen!$A$1:$C$501,2,FALSE),"No")</f>
        <v>No</v>
      </c>
      <c r="M664" s="44">
        <f t="shared" si="29"/>
        <v>9.8000000000000007</v>
      </c>
      <c r="N664" s="35">
        <f t="shared" si="30"/>
        <v>69.2</v>
      </c>
      <c r="O664" t="str">
        <f>VLOOKUP(N664,Helper!$B$30:$C$35,2,TRUE)</f>
        <v>C</v>
      </c>
      <c r="P664" s="26">
        <f>INDEX(Detail!$A$1:$A$1001,MATCH(B664,Detail!$G$1:$G$1001,0))</f>
        <v>38251</v>
      </c>
      <c r="Q664" s="3" t="str">
        <f>INDEX(Detail!$F$1:$F$1001,MATCH(Main!B664,Detail!$G$1:$G$1001,0))</f>
        <v>Pangkalpinang</v>
      </c>
      <c r="R664" s="7">
        <f>INDEX(Detail!$C$1:$C$1001,MATCH(B664,Detail!$G$1:$G$1001,0),1)</f>
        <v>169</v>
      </c>
      <c r="S664" s="7">
        <f>INDEX(Detail!$D$1:$D$1001,MATCH(B664,Detail!$G$1:$G$1001,0),1)</f>
        <v>79</v>
      </c>
      <c r="T664" s="7" t="str">
        <f>INDEX(Detail!$E$1:$E$1001,MATCH(Main!B664,Detail!$G$1:$G$1001,0))</f>
        <v xml:space="preserve">Jl. Pelajar Pejuang No. 0
</v>
      </c>
      <c r="U664" s="7" t="str">
        <f>INDEX(Detail!$B$1:$B$1001,MATCH(B664,Detail!$G$1:$G$1001,0),1)</f>
        <v>AB+</v>
      </c>
    </row>
    <row r="665" spans="1:21" ht="15.75" x14ac:dyDescent="0.25">
      <c r="A665">
        <v>934</v>
      </c>
      <c r="B665" s="3" t="str">
        <f t="shared" si="28"/>
        <v>D0934</v>
      </c>
      <c r="C665" t="s">
        <v>1013</v>
      </c>
      <c r="D665" s="3" t="str">
        <f>VLOOKUP(B665,Detail!$G$1:$H$1001,2,FALSE)</f>
        <v>Darman Permata</v>
      </c>
      <c r="E665">
        <v>90</v>
      </c>
      <c r="F665">
        <v>67</v>
      </c>
      <c r="G665" s="35">
        <v>69</v>
      </c>
      <c r="H665">
        <v>66</v>
      </c>
      <c r="I665">
        <v>69</v>
      </c>
      <c r="J665">
        <v>57</v>
      </c>
      <c r="K665">
        <v>83</v>
      </c>
      <c r="L665" s="26">
        <f>IFERROR(VLOOKUP(B665,Absen!$A$1:$C$501,2,FALSE),"No")</f>
        <v>44772</v>
      </c>
      <c r="M665" s="44">
        <f t="shared" si="29"/>
        <v>7.3000000000000007</v>
      </c>
      <c r="N665" s="35">
        <f t="shared" si="30"/>
        <v>69</v>
      </c>
      <c r="O665" t="str">
        <f>VLOOKUP(N665,Helper!$B$30:$C$35,2,TRUE)</f>
        <v>C</v>
      </c>
      <c r="P665" s="26">
        <f>INDEX(Detail!$A$1:$A$1001,MATCH(B665,Detail!$G$1:$G$1001,0))</f>
        <v>38449</v>
      </c>
      <c r="Q665" s="3" t="str">
        <f>INDEX(Detail!$F$1:$F$1001,MATCH(Main!B665,Detail!$G$1:$G$1001,0))</f>
        <v>Jambi</v>
      </c>
      <c r="R665" s="7">
        <f>INDEX(Detail!$C$1:$C$1001,MATCH(B665,Detail!$G$1:$G$1001,0),1)</f>
        <v>171</v>
      </c>
      <c r="S665" s="7">
        <f>INDEX(Detail!$D$1:$D$1001,MATCH(B665,Detail!$G$1:$G$1001,0),1)</f>
        <v>94</v>
      </c>
      <c r="T665" s="7" t="str">
        <f>INDEX(Detail!$E$1:$E$1001,MATCH(Main!B665,Detail!$G$1:$G$1001,0))</f>
        <v xml:space="preserve">Gg. Stasiun Wonokromo No. 1
</v>
      </c>
      <c r="U665" s="7" t="str">
        <f>INDEX(Detail!$B$1:$B$1001,MATCH(B665,Detail!$G$1:$G$1001,0),1)</f>
        <v>B-</v>
      </c>
    </row>
    <row r="666" spans="1:21" ht="15.75" x14ac:dyDescent="0.25">
      <c r="A666">
        <v>942</v>
      </c>
      <c r="B666" s="3" t="str">
        <f t="shared" si="28"/>
        <v>D0942</v>
      </c>
      <c r="C666" t="s">
        <v>1013</v>
      </c>
      <c r="D666" s="3" t="str">
        <f>VLOOKUP(B666,Detail!$G$1:$H$1001,2,FALSE)</f>
        <v>Prakosa Halim</v>
      </c>
      <c r="E666">
        <v>94</v>
      </c>
      <c r="F666">
        <v>56</v>
      </c>
      <c r="G666" s="35">
        <v>43</v>
      </c>
      <c r="H666">
        <v>59</v>
      </c>
      <c r="I666">
        <v>86</v>
      </c>
      <c r="J666">
        <v>84</v>
      </c>
      <c r="K666">
        <v>84</v>
      </c>
      <c r="L666" s="26">
        <f>IFERROR(VLOOKUP(B666,Absen!$A$1:$C$501,2,FALSE),"No")</f>
        <v>44763</v>
      </c>
      <c r="M666" s="44">
        <f t="shared" si="29"/>
        <v>7.4</v>
      </c>
      <c r="N666" s="35">
        <f t="shared" si="30"/>
        <v>69.675000000000011</v>
      </c>
      <c r="O666" t="str">
        <f>VLOOKUP(N666,Helper!$B$30:$C$35,2,TRUE)</f>
        <v>C</v>
      </c>
      <c r="P666" s="26">
        <f>INDEX(Detail!$A$1:$A$1001,MATCH(B666,Detail!$G$1:$G$1001,0))</f>
        <v>38050</v>
      </c>
      <c r="Q666" s="3" t="str">
        <f>INDEX(Detail!$F$1:$F$1001,MATCH(Main!B666,Detail!$G$1:$G$1001,0))</f>
        <v>Kota Administrasi Jakarta Timur</v>
      </c>
      <c r="R666" s="7">
        <f>INDEX(Detail!$C$1:$C$1001,MATCH(B666,Detail!$G$1:$G$1001,0),1)</f>
        <v>165</v>
      </c>
      <c r="S666" s="7">
        <f>INDEX(Detail!$D$1:$D$1001,MATCH(B666,Detail!$G$1:$G$1001,0),1)</f>
        <v>56</v>
      </c>
      <c r="T666" s="7" t="str">
        <f>INDEX(Detail!$E$1:$E$1001,MATCH(Main!B666,Detail!$G$1:$G$1001,0))</f>
        <v>Jalan Kendalsari No. 30</v>
      </c>
      <c r="U666" s="7" t="str">
        <f>INDEX(Detail!$B$1:$B$1001,MATCH(B666,Detail!$G$1:$G$1001,0),1)</f>
        <v>B-</v>
      </c>
    </row>
    <row r="667" spans="1:21" ht="15.75" x14ac:dyDescent="0.25">
      <c r="A667">
        <v>948</v>
      </c>
      <c r="B667" s="3" t="str">
        <f t="shared" si="28"/>
        <v>D0948</v>
      </c>
      <c r="C667" t="s">
        <v>1013</v>
      </c>
      <c r="D667" s="3" t="str">
        <f>VLOOKUP(B667,Detail!$G$1:$H$1001,2,FALSE)</f>
        <v>Tina Saputra</v>
      </c>
      <c r="E667">
        <v>83</v>
      </c>
      <c r="F667">
        <v>63</v>
      </c>
      <c r="G667" s="35">
        <v>53</v>
      </c>
      <c r="H667">
        <v>63</v>
      </c>
      <c r="I667">
        <v>88</v>
      </c>
      <c r="J667">
        <v>43</v>
      </c>
      <c r="K667">
        <v>77</v>
      </c>
      <c r="L667" s="26" t="str">
        <f>IFERROR(VLOOKUP(B667,Absen!$A$1:$C$501,2,FALSE),"No")</f>
        <v>No</v>
      </c>
      <c r="M667" s="44">
        <f t="shared" si="29"/>
        <v>7.7</v>
      </c>
      <c r="N667" s="35">
        <f t="shared" si="30"/>
        <v>64.025000000000006</v>
      </c>
      <c r="O667" t="str">
        <f>VLOOKUP(N667,Helper!$B$30:$C$35,2,TRUE)</f>
        <v>C</v>
      </c>
      <c r="P667" s="26">
        <f>INDEX(Detail!$A$1:$A$1001,MATCH(B667,Detail!$G$1:$G$1001,0))</f>
        <v>37478</v>
      </c>
      <c r="Q667" s="3" t="str">
        <f>INDEX(Detail!$F$1:$F$1001,MATCH(Main!B667,Detail!$G$1:$G$1001,0))</f>
        <v>Prabumulih</v>
      </c>
      <c r="R667" s="7">
        <f>INDEX(Detail!$C$1:$C$1001,MATCH(B667,Detail!$G$1:$G$1001,0),1)</f>
        <v>180</v>
      </c>
      <c r="S667" s="7">
        <f>INDEX(Detail!$D$1:$D$1001,MATCH(B667,Detail!$G$1:$G$1001,0),1)</f>
        <v>84</v>
      </c>
      <c r="T667" s="7" t="str">
        <f>INDEX(Detail!$E$1:$E$1001,MATCH(Main!B667,Detail!$G$1:$G$1001,0))</f>
        <v>Gg. Waringin No. 37</v>
      </c>
      <c r="U667" s="7" t="str">
        <f>INDEX(Detail!$B$1:$B$1001,MATCH(B667,Detail!$G$1:$G$1001,0),1)</f>
        <v>O-</v>
      </c>
    </row>
    <row r="668" spans="1:21" ht="15.75" x14ac:dyDescent="0.25">
      <c r="A668">
        <v>949</v>
      </c>
      <c r="B668" s="3" t="str">
        <f t="shared" si="28"/>
        <v>D0949</v>
      </c>
      <c r="C668" t="s">
        <v>1013</v>
      </c>
      <c r="D668" s="3" t="str">
        <f>VLOOKUP(B668,Detail!$G$1:$H$1001,2,FALSE)</f>
        <v>Respati Saptono</v>
      </c>
      <c r="E668">
        <v>57</v>
      </c>
      <c r="F668">
        <v>74</v>
      </c>
      <c r="G668" s="35">
        <v>87</v>
      </c>
      <c r="H668">
        <v>74</v>
      </c>
      <c r="I668">
        <v>57</v>
      </c>
      <c r="J668">
        <v>61</v>
      </c>
      <c r="K668">
        <v>94</v>
      </c>
      <c r="L668" s="26" t="str">
        <f>IFERROR(VLOOKUP(B668,Absen!$A$1:$C$501,2,FALSE),"No")</f>
        <v>No</v>
      </c>
      <c r="M668" s="44">
        <f t="shared" si="29"/>
        <v>9.4</v>
      </c>
      <c r="N668" s="35">
        <f t="shared" si="30"/>
        <v>71.750000000000014</v>
      </c>
      <c r="O668" t="str">
        <f>VLOOKUP(N668,Helper!$B$30:$C$35,2,TRUE)</f>
        <v>B</v>
      </c>
      <c r="P668" s="26">
        <f>INDEX(Detail!$A$1:$A$1001,MATCH(B668,Detail!$G$1:$G$1001,0))</f>
        <v>37771</v>
      </c>
      <c r="Q668" s="3" t="str">
        <f>INDEX(Detail!$F$1:$F$1001,MATCH(Main!B668,Detail!$G$1:$G$1001,0))</f>
        <v>Bandar Lampung</v>
      </c>
      <c r="R668" s="7">
        <f>INDEX(Detail!$C$1:$C$1001,MATCH(B668,Detail!$G$1:$G$1001,0),1)</f>
        <v>166</v>
      </c>
      <c r="S668" s="7">
        <f>INDEX(Detail!$D$1:$D$1001,MATCH(B668,Detail!$G$1:$G$1001,0),1)</f>
        <v>76</v>
      </c>
      <c r="T668" s="7" t="str">
        <f>INDEX(Detail!$E$1:$E$1001,MATCH(Main!B668,Detail!$G$1:$G$1001,0))</f>
        <v>Jl. Laswi No. 49</v>
      </c>
      <c r="U668" s="7" t="str">
        <f>INDEX(Detail!$B$1:$B$1001,MATCH(B668,Detail!$G$1:$G$1001,0),1)</f>
        <v>A-</v>
      </c>
    </row>
    <row r="669" spans="1:21" ht="15.75" x14ac:dyDescent="0.25">
      <c r="A669">
        <v>950</v>
      </c>
      <c r="B669" s="3" t="str">
        <f t="shared" si="28"/>
        <v>D0950</v>
      </c>
      <c r="C669" t="s">
        <v>1013</v>
      </c>
      <c r="D669" s="3" t="str">
        <f>VLOOKUP(B669,Detail!$G$1:$H$1001,2,FALSE)</f>
        <v>Rahmat Hutasoit</v>
      </c>
      <c r="E669">
        <v>75</v>
      </c>
      <c r="F669">
        <v>61</v>
      </c>
      <c r="G669" s="35">
        <v>74</v>
      </c>
      <c r="H669">
        <v>67</v>
      </c>
      <c r="I669">
        <v>95</v>
      </c>
      <c r="J669">
        <v>41</v>
      </c>
      <c r="K669">
        <v>64</v>
      </c>
      <c r="L669" s="26" t="str">
        <f>IFERROR(VLOOKUP(B669,Absen!$A$1:$C$501,2,FALSE),"No")</f>
        <v>No</v>
      </c>
      <c r="M669" s="44">
        <f t="shared" si="29"/>
        <v>6.4</v>
      </c>
      <c r="N669" s="35">
        <f t="shared" si="30"/>
        <v>66.650000000000006</v>
      </c>
      <c r="O669" t="str">
        <f>VLOOKUP(N669,Helper!$B$30:$C$35,2,TRUE)</f>
        <v>C</v>
      </c>
      <c r="P669" s="26">
        <f>INDEX(Detail!$A$1:$A$1001,MATCH(B669,Detail!$G$1:$G$1001,0))</f>
        <v>38330</v>
      </c>
      <c r="Q669" s="3" t="str">
        <f>INDEX(Detail!$F$1:$F$1001,MATCH(Main!B669,Detail!$G$1:$G$1001,0))</f>
        <v>Langsa</v>
      </c>
      <c r="R669" s="7">
        <f>INDEX(Detail!$C$1:$C$1001,MATCH(B669,Detail!$G$1:$G$1001,0),1)</f>
        <v>161</v>
      </c>
      <c r="S669" s="7">
        <f>INDEX(Detail!$D$1:$D$1001,MATCH(B669,Detail!$G$1:$G$1001,0),1)</f>
        <v>77</v>
      </c>
      <c r="T669" s="7" t="str">
        <f>INDEX(Detail!$E$1:$E$1001,MATCH(Main!B669,Detail!$G$1:$G$1001,0))</f>
        <v xml:space="preserve">Gang Sentot Alibasa No. 6
</v>
      </c>
      <c r="U669" s="7" t="str">
        <f>INDEX(Detail!$B$1:$B$1001,MATCH(B669,Detail!$G$1:$G$1001,0),1)</f>
        <v>O-</v>
      </c>
    </row>
    <row r="670" spans="1:21" ht="15.75" x14ac:dyDescent="0.25">
      <c r="A670">
        <v>959</v>
      </c>
      <c r="B670" s="3" t="str">
        <f t="shared" si="28"/>
        <v>D0959</v>
      </c>
      <c r="C670" t="s">
        <v>1013</v>
      </c>
      <c r="D670" s="3" t="str">
        <f>VLOOKUP(B670,Detail!$G$1:$H$1001,2,FALSE)</f>
        <v>Banawa Prasetyo</v>
      </c>
      <c r="E670">
        <v>59</v>
      </c>
      <c r="F670">
        <v>72</v>
      </c>
      <c r="G670" s="35">
        <v>75</v>
      </c>
      <c r="H670">
        <v>54</v>
      </c>
      <c r="I670">
        <v>71</v>
      </c>
      <c r="J670">
        <v>93</v>
      </c>
      <c r="K670">
        <v>94</v>
      </c>
      <c r="L670" s="26" t="str">
        <f>IFERROR(VLOOKUP(B670,Absen!$A$1:$C$501,2,FALSE),"No")</f>
        <v>No</v>
      </c>
      <c r="M670" s="44">
        <f t="shared" si="29"/>
        <v>9.4</v>
      </c>
      <c r="N670" s="35">
        <f t="shared" si="30"/>
        <v>75</v>
      </c>
      <c r="O670" t="str">
        <f>VLOOKUP(N670,Helper!$B$30:$C$35,2,TRUE)</f>
        <v>B</v>
      </c>
      <c r="P670" s="26">
        <f>INDEX(Detail!$A$1:$A$1001,MATCH(B670,Detail!$G$1:$G$1001,0))</f>
        <v>38019</v>
      </c>
      <c r="Q670" s="3" t="str">
        <f>INDEX(Detail!$F$1:$F$1001,MATCH(Main!B670,Detail!$G$1:$G$1001,0))</f>
        <v>Kota Administrasi Jakarta Utara</v>
      </c>
      <c r="R670" s="7">
        <f>INDEX(Detail!$C$1:$C$1001,MATCH(B670,Detail!$G$1:$G$1001,0),1)</f>
        <v>157</v>
      </c>
      <c r="S670" s="7">
        <f>INDEX(Detail!$D$1:$D$1001,MATCH(B670,Detail!$G$1:$G$1001,0),1)</f>
        <v>54</v>
      </c>
      <c r="T670" s="7" t="str">
        <f>INDEX(Detail!$E$1:$E$1001,MATCH(Main!B670,Detail!$G$1:$G$1001,0))</f>
        <v xml:space="preserve">Gang Ahmad Yani No. 1
</v>
      </c>
      <c r="U670" s="7" t="str">
        <f>INDEX(Detail!$B$1:$B$1001,MATCH(B670,Detail!$G$1:$G$1001,0),1)</f>
        <v>AB+</v>
      </c>
    </row>
    <row r="671" spans="1:21" ht="15.75" x14ac:dyDescent="0.25">
      <c r="A671">
        <v>965</v>
      </c>
      <c r="B671" s="3" t="str">
        <f t="shared" si="28"/>
        <v>D0965</v>
      </c>
      <c r="C671" t="s">
        <v>1013</v>
      </c>
      <c r="D671" s="3" t="str">
        <f>VLOOKUP(B671,Detail!$G$1:$H$1001,2,FALSE)</f>
        <v>Darsirah Habibi</v>
      </c>
      <c r="E671">
        <v>50</v>
      </c>
      <c r="F671">
        <v>47</v>
      </c>
      <c r="G671" s="35">
        <v>34</v>
      </c>
      <c r="H671">
        <v>75</v>
      </c>
      <c r="I671">
        <v>81</v>
      </c>
      <c r="J671">
        <v>52</v>
      </c>
      <c r="K671">
        <v>69</v>
      </c>
      <c r="L671" s="26" t="str">
        <f>IFERROR(VLOOKUP(B671,Absen!$A$1:$C$501,2,FALSE),"No")</f>
        <v>No</v>
      </c>
      <c r="M671" s="44">
        <f t="shared" si="29"/>
        <v>6.9</v>
      </c>
      <c r="N671" s="35">
        <f t="shared" si="30"/>
        <v>55.724999999999994</v>
      </c>
      <c r="O671" t="str">
        <f>VLOOKUP(N671,Helper!$B$30:$C$35,2,TRUE)</f>
        <v>D</v>
      </c>
      <c r="P671" s="26">
        <f>INDEX(Detail!$A$1:$A$1001,MATCH(B671,Detail!$G$1:$G$1001,0))</f>
        <v>37062</v>
      </c>
      <c r="Q671" s="3" t="str">
        <f>INDEX(Detail!$F$1:$F$1001,MATCH(Main!B671,Detail!$G$1:$G$1001,0))</f>
        <v>Metro</v>
      </c>
      <c r="R671" s="7">
        <f>INDEX(Detail!$C$1:$C$1001,MATCH(B671,Detail!$G$1:$G$1001,0),1)</f>
        <v>157</v>
      </c>
      <c r="S671" s="7">
        <f>INDEX(Detail!$D$1:$D$1001,MATCH(B671,Detail!$G$1:$G$1001,0),1)</f>
        <v>77</v>
      </c>
      <c r="T671" s="7" t="str">
        <f>INDEX(Detail!$E$1:$E$1001,MATCH(Main!B671,Detail!$G$1:$G$1001,0))</f>
        <v xml:space="preserve">Gang Yos Sudarso No. 9
</v>
      </c>
      <c r="U671" s="7" t="str">
        <f>INDEX(Detail!$B$1:$B$1001,MATCH(B671,Detail!$G$1:$G$1001,0),1)</f>
        <v>AB-</v>
      </c>
    </row>
    <row r="672" spans="1:21" ht="15.75" x14ac:dyDescent="0.25">
      <c r="A672">
        <v>972</v>
      </c>
      <c r="B672" s="3" t="str">
        <f t="shared" si="28"/>
        <v>D0972</v>
      </c>
      <c r="C672" t="s">
        <v>1013</v>
      </c>
      <c r="D672" s="3" t="str">
        <f>VLOOKUP(B672,Detail!$G$1:$H$1001,2,FALSE)</f>
        <v>Hana Winarsih</v>
      </c>
      <c r="E672">
        <v>81</v>
      </c>
      <c r="F672">
        <v>47</v>
      </c>
      <c r="G672" s="35">
        <v>93</v>
      </c>
      <c r="H672">
        <v>50</v>
      </c>
      <c r="I672">
        <v>91</v>
      </c>
      <c r="J672">
        <v>74</v>
      </c>
      <c r="K672">
        <v>72</v>
      </c>
      <c r="L672" s="26">
        <f>IFERROR(VLOOKUP(B672,Absen!$A$1:$C$501,2,FALSE),"No")</f>
        <v>44822</v>
      </c>
      <c r="M672" s="44">
        <f t="shared" si="29"/>
        <v>6.2</v>
      </c>
      <c r="N672" s="35">
        <f t="shared" si="30"/>
        <v>73.225000000000009</v>
      </c>
      <c r="O672" t="str">
        <f>VLOOKUP(N672,Helper!$B$30:$C$35,2,TRUE)</f>
        <v>B</v>
      </c>
      <c r="P672" s="26">
        <f>INDEX(Detail!$A$1:$A$1001,MATCH(B672,Detail!$G$1:$G$1001,0))</f>
        <v>37540</v>
      </c>
      <c r="Q672" s="3" t="str">
        <f>INDEX(Detail!$F$1:$F$1001,MATCH(Main!B672,Detail!$G$1:$G$1001,0))</f>
        <v>Samarinda</v>
      </c>
      <c r="R672" s="7">
        <f>INDEX(Detail!$C$1:$C$1001,MATCH(B672,Detail!$G$1:$G$1001,0),1)</f>
        <v>170</v>
      </c>
      <c r="S672" s="7">
        <f>INDEX(Detail!$D$1:$D$1001,MATCH(B672,Detail!$G$1:$G$1001,0),1)</f>
        <v>63</v>
      </c>
      <c r="T672" s="7" t="str">
        <f>INDEX(Detail!$E$1:$E$1001,MATCH(Main!B672,Detail!$G$1:$G$1001,0))</f>
        <v>Jl. KH Amin Jasuta No. 87</v>
      </c>
      <c r="U672" s="7" t="str">
        <f>INDEX(Detail!$B$1:$B$1001,MATCH(B672,Detail!$G$1:$G$1001,0),1)</f>
        <v>O-</v>
      </c>
    </row>
    <row r="673" spans="1:21" ht="15.75" x14ac:dyDescent="0.25">
      <c r="A673">
        <v>983</v>
      </c>
      <c r="B673" s="3" t="str">
        <f t="shared" si="28"/>
        <v>D0983</v>
      </c>
      <c r="C673" t="s">
        <v>1013</v>
      </c>
      <c r="D673" s="3" t="str">
        <f>VLOOKUP(B673,Detail!$G$1:$H$1001,2,FALSE)</f>
        <v>Ellis Prayoga</v>
      </c>
      <c r="E673">
        <v>78</v>
      </c>
      <c r="F673">
        <v>66</v>
      </c>
      <c r="G673" s="35">
        <v>91</v>
      </c>
      <c r="H673">
        <v>72</v>
      </c>
      <c r="I673">
        <v>59</v>
      </c>
      <c r="J673">
        <v>88</v>
      </c>
      <c r="K673">
        <v>60</v>
      </c>
      <c r="L673" s="26">
        <f>IFERROR(VLOOKUP(B673,Absen!$A$1:$C$501,2,FALSE),"No")</f>
        <v>44868</v>
      </c>
      <c r="M673" s="44">
        <f t="shared" si="29"/>
        <v>5</v>
      </c>
      <c r="N673" s="35">
        <f t="shared" si="30"/>
        <v>75.175000000000011</v>
      </c>
      <c r="O673" t="str">
        <f>VLOOKUP(N673,Helper!$B$30:$C$35,2,TRUE)</f>
        <v>B</v>
      </c>
      <c r="P673" s="26">
        <f>INDEX(Detail!$A$1:$A$1001,MATCH(B673,Detail!$G$1:$G$1001,0))</f>
        <v>37872</v>
      </c>
      <c r="Q673" s="3" t="str">
        <f>INDEX(Detail!$F$1:$F$1001,MATCH(Main!B673,Detail!$G$1:$G$1001,0))</f>
        <v>Banjarmasin</v>
      </c>
      <c r="R673" s="7">
        <f>INDEX(Detail!$C$1:$C$1001,MATCH(B673,Detail!$G$1:$G$1001,0),1)</f>
        <v>150</v>
      </c>
      <c r="S673" s="7">
        <f>INDEX(Detail!$D$1:$D$1001,MATCH(B673,Detail!$G$1:$G$1001,0),1)</f>
        <v>46</v>
      </c>
      <c r="T673" s="7" t="str">
        <f>INDEX(Detail!$E$1:$E$1001,MATCH(Main!B673,Detail!$G$1:$G$1001,0))</f>
        <v xml:space="preserve">Gg. Tebet Barat Dalam No. 6
</v>
      </c>
      <c r="U673" s="7" t="str">
        <f>INDEX(Detail!$B$1:$B$1001,MATCH(B673,Detail!$G$1:$G$1001,0),1)</f>
        <v>AB-</v>
      </c>
    </row>
    <row r="674" spans="1:21" ht="15.75" x14ac:dyDescent="0.25">
      <c r="A674">
        <v>984</v>
      </c>
      <c r="B674" s="3" t="str">
        <f t="shared" si="28"/>
        <v>D0984</v>
      </c>
      <c r="C674" t="s">
        <v>1013</v>
      </c>
      <c r="D674" s="3" t="str">
        <f>VLOOKUP(B674,Detail!$G$1:$H$1001,2,FALSE)</f>
        <v>Among Padmasari</v>
      </c>
      <c r="E674">
        <v>52</v>
      </c>
      <c r="F674">
        <v>57</v>
      </c>
      <c r="G674" s="35">
        <v>34</v>
      </c>
      <c r="H674">
        <v>73</v>
      </c>
      <c r="I674">
        <v>63</v>
      </c>
      <c r="J674">
        <v>92</v>
      </c>
      <c r="K674">
        <v>77</v>
      </c>
      <c r="L674" s="26">
        <f>IFERROR(VLOOKUP(B674,Absen!$A$1:$C$501,2,FALSE),"No")</f>
        <v>44838</v>
      </c>
      <c r="M674" s="44">
        <f t="shared" si="29"/>
        <v>6.7</v>
      </c>
      <c r="N674" s="35">
        <f t="shared" si="30"/>
        <v>62.525000000000006</v>
      </c>
      <c r="O674" t="str">
        <f>VLOOKUP(N674,Helper!$B$30:$C$35,2,TRUE)</f>
        <v>C</v>
      </c>
      <c r="P674" s="26">
        <f>INDEX(Detail!$A$1:$A$1001,MATCH(B674,Detail!$G$1:$G$1001,0))</f>
        <v>37739</v>
      </c>
      <c r="Q674" s="3" t="str">
        <f>INDEX(Detail!$F$1:$F$1001,MATCH(Main!B674,Detail!$G$1:$G$1001,0))</f>
        <v>Pekanbaru</v>
      </c>
      <c r="R674" s="7">
        <f>INDEX(Detail!$C$1:$C$1001,MATCH(B674,Detail!$G$1:$G$1001,0),1)</f>
        <v>159</v>
      </c>
      <c r="S674" s="7">
        <f>INDEX(Detail!$D$1:$D$1001,MATCH(B674,Detail!$G$1:$G$1001,0),1)</f>
        <v>77</v>
      </c>
      <c r="T674" s="7" t="str">
        <f>INDEX(Detail!$E$1:$E$1001,MATCH(Main!B674,Detail!$G$1:$G$1001,0))</f>
        <v>Jl. Rajawali Barat No. 63</v>
      </c>
      <c r="U674" s="7" t="str">
        <f>INDEX(Detail!$B$1:$B$1001,MATCH(B674,Detail!$G$1:$G$1001,0),1)</f>
        <v>O-</v>
      </c>
    </row>
    <row r="675" spans="1:21" ht="15.75" x14ac:dyDescent="0.25">
      <c r="A675">
        <v>987</v>
      </c>
      <c r="B675" s="3" t="str">
        <f t="shared" si="28"/>
        <v>D0987</v>
      </c>
      <c r="C675" t="s">
        <v>1013</v>
      </c>
      <c r="D675" s="3" t="str">
        <f>VLOOKUP(B675,Detail!$G$1:$H$1001,2,FALSE)</f>
        <v>Ikin Purnawati</v>
      </c>
      <c r="E675">
        <v>51</v>
      </c>
      <c r="F675">
        <v>65</v>
      </c>
      <c r="G675" s="35">
        <v>47</v>
      </c>
      <c r="H675">
        <v>56</v>
      </c>
      <c r="I675">
        <v>86</v>
      </c>
      <c r="J675">
        <v>74</v>
      </c>
      <c r="K675">
        <v>72</v>
      </c>
      <c r="L675" s="26" t="str">
        <f>IFERROR(VLOOKUP(B675,Absen!$A$1:$C$501,2,FALSE),"No")</f>
        <v>No</v>
      </c>
      <c r="M675" s="44">
        <f t="shared" si="29"/>
        <v>7.2</v>
      </c>
      <c r="N675" s="35">
        <f t="shared" si="30"/>
        <v>63.650000000000006</v>
      </c>
      <c r="O675" t="str">
        <f>VLOOKUP(N675,Helper!$B$30:$C$35,2,TRUE)</f>
        <v>C</v>
      </c>
      <c r="P675" s="26">
        <f>INDEX(Detail!$A$1:$A$1001,MATCH(B675,Detail!$G$1:$G$1001,0))</f>
        <v>38466</v>
      </c>
      <c r="Q675" s="3" t="str">
        <f>INDEX(Detail!$F$1:$F$1001,MATCH(Main!B675,Detail!$G$1:$G$1001,0))</f>
        <v>Cilegon</v>
      </c>
      <c r="R675" s="7">
        <f>INDEX(Detail!$C$1:$C$1001,MATCH(B675,Detail!$G$1:$G$1001,0),1)</f>
        <v>159</v>
      </c>
      <c r="S675" s="7">
        <f>INDEX(Detail!$D$1:$D$1001,MATCH(B675,Detail!$G$1:$G$1001,0),1)</f>
        <v>71</v>
      </c>
      <c r="T675" s="7" t="str">
        <f>INDEX(Detail!$E$1:$E$1001,MATCH(Main!B675,Detail!$G$1:$G$1001,0))</f>
        <v>Jalan Cikapayang No. 13</v>
      </c>
      <c r="U675" s="7" t="str">
        <f>INDEX(Detail!$B$1:$B$1001,MATCH(B675,Detail!$G$1:$G$1001,0),1)</f>
        <v>O-</v>
      </c>
    </row>
    <row r="676" spans="1:21" ht="15.75" x14ac:dyDescent="0.25">
      <c r="A676">
        <v>988</v>
      </c>
      <c r="B676" s="3" t="str">
        <f t="shared" si="28"/>
        <v>D0988</v>
      </c>
      <c r="C676" t="s">
        <v>1013</v>
      </c>
      <c r="D676" s="3" t="str">
        <f>VLOOKUP(B676,Detail!$G$1:$H$1001,2,FALSE)</f>
        <v>Ivan Wibisono</v>
      </c>
      <c r="E676">
        <v>51</v>
      </c>
      <c r="F676">
        <v>46</v>
      </c>
      <c r="G676" s="35">
        <v>94</v>
      </c>
      <c r="H676">
        <v>51</v>
      </c>
      <c r="I676">
        <v>58</v>
      </c>
      <c r="J676">
        <v>45</v>
      </c>
      <c r="K676">
        <v>87</v>
      </c>
      <c r="L676" s="26">
        <f>IFERROR(VLOOKUP(B676,Absen!$A$1:$C$501,2,FALSE),"No")</f>
        <v>44826</v>
      </c>
      <c r="M676" s="44">
        <f t="shared" si="29"/>
        <v>7.7</v>
      </c>
      <c r="N676" s="35">
        <f t="shared" si="30"/>
        <v>61.25</v>
      </c>
      <c r="O676" t="str">
        <f>VLOOKUP(N676,Helper!$B$30:$C$35,2,TRUE)</f>
        <v>C</v>
      </c>
      <c r="P676" s="26">
        <f>INDEX(Detail!$A$1:$A$1001,MATCH(B676,Detail!$G$1:$G$1001,0))</f>
        <v>37610</v>
      </c>
      <c r="Q676" s="3" t="str">
        <f>INDEX(Detail!$F$1:$F$1001,MATCH(Main!B676,Detail!$G$1:$G$1001,0))</f>
        <v>Mataram</v>
      </c>
      <c r="R676" s="7">
        <f>INDEX(Detail!$C$1:$C$1001,MATCH(B676,Detail!$G$1:$G$1001,0),1)</f>
        <v>173</v>
      </c>
      <c r="S676" s="7">
        <f>INDEX(Detail!$D$1:$D$1001,MATCH(B676,Detail!$G$1:$G$1001,0),1)</f>
        <v>82</v>
      </c>
      <c r="T676" s="7" t="str">
        <f>INDEX(Detail!$E$1:$E$1001,MATCH(Main!B676,Detail!$G$1:$G$1001,0))</f>
        <v>Gg. Dipatiukur No. 86</v>
      </c>
      <c r="U676" s="7" t="str">
        <f>INDEX(Detail!$B$1:$B$1001,MATCH(B676,Detail!$G$1:$G$1001,0),1)</f>
        <v>B-</v>
      </c>
    </row>
    <row r="677" spans="1:21" ht="15.75" x14ac:dyDescent="0.25">
      <c r="A677">
        <v>991</v>
      </c>
      <c r="B677" s="3" t="str">
        <f t="shared" si="28"/>
        <v>D0991</v>
      </c>
      <c r="C677" t="s">
        <v>1013</v>
      </c>
      <c r="D677" s="3" t="str">
        <f>VLOOKUP(B677,Detail!$G$1:$H$1001,2,FALSE)</f>
        <v>Gaman Damanik</v>
      </c>
      <c r="E677">
        <v>92</v>
      </c>
      <c r="F677">
        <v>58</v>
      </c>
      <c r="G677" s="35">
        <v>80</v>
      </c>
      <c r="H677">
        <v>57</v>
      </c>
      <c r="I677">
        <v>86</v>
      </c>
      <c r="J677">
        <v>100</v>
      </c>
      <c r="K677">
        <v>86</v>
      </c>
      <c r="L677" s="26" t="str">
        <f>IFERROR(VLOOKUP(B677,Absen!$A$1:$C$501,2,FALSE),"No")</f>
        <v>No</v>
      </c>
      <c r="M677" s="44">
        <f t="shared" si="29"/>
        <v>8.6</v>
      </c>
      <c r="N677" s="35">
        <f t="shared" si="30"/>
        <v>81.224999999999994</v>
      </c>
      <c r="O677" t="str">
        <f>VLOOKUP(N677,Helper!$B$30:$C$35,2,TRUE)</f>
        <v>A</v>
      </c>
      <c r="P677" s="26">
        <f>INDEX(Detail!$A$1:$A$1001,MATCH(B677,Detail!$G$1:$G$1001,0))</f>
        <v>37667</v>
      </c>
      <c r="Q677" s="3" t="str">
        <f>INDEX(Detail!$F$1:$F$1001,MATCH(Main!B677,Detail!$G$1:$G$1001,0))</f>
        <v>Surabaya</v>
      </c>
      <c r="R677" s="7">
        <f>INDEX(Detail!$C$1:$C$1001,MATCH(B677,Detail!$G$1:$G$1001,0),1)</f>
        <v>151</v>
      </c>
      <c r="S677" s="7">
        <f>INDEX(Detail!$D$1:$D$1001,MATCH(B677,Detail!$G$1:$G$1001,0),1)</f>
        <v>59</v>
      </c>
      <c r="T677" s="7" t="str">
        <f>INDEX(Detail!$E$1:$E$1001,MATCH(Main!B677,Detail!$G$1:$G$1001,0))</f>
        <v xml:space="preserve">Gg. Setiabudhi No. 3
</v>
      </c>
      <c r="U677" s="7" t="str">
        <f>INDEX(Detail!$B$1:$B$1001,MATCH(B677,Detail!$G$1:$G$1001,0),1)</f>
        <v>O-</v>
      </c>
    </row>
    <row r="678" spans="1:21" ht="15.75" x14ac:dyDescent="0.25">
      <c r="A678">
        <v>995</v>
      </c>
      <c r="B678" s="3" t="str">
        <f t="shared" si="28"/>
        <v>D0995</v>
      </c>
      <c r="C678" t="s">
        <v>1013</v>
      </c>
      <c r="D678" s="3" t="str">
        <f>VLOOKUP(B678,Detail!$G$1:$H$1001,2,FALSE)</f>
        <v>Malik Tampubolon</v>
      </c>
      <c r="E678">
        <v>59</v>
      </c>
      <c r="F678">
        <v>43</v>
      </c>
      <c r="G678" s="35">
        <v>43</v>
      </c>
      <c r="H678">
        <v>61</v>
      </c>
      <c r="I678">
        <v>75</v>
      </c>
      <c r="J678">
        <v>53</v>
      </c>
      <c r="K678">
        <v>89</v>
      </c>
      <c r="L678" s="26">
        <f>IFERROR(VLOOKUP(B678,Absen!$A$1:$C$501,2,FALSE),"No")</f>
        <v>44798</v>
      </c>
      <c r="M678" s="44">
        <f t="shared" si="29"/>
        <v>7.9</v>
      </c>
      <c r="N678" s="35">
        <f t="shared" si="30"/>
        <v>56.85</v>
      </c>
      <c r="O678" t="str">
        <f>VLOOKUP(N678,Helper!$B$30:$C$35,2,TRUE)</f>
        <v>D</v>
      </c>
      <c r="P678" s="26">
        <f>INDEX(Detail!$A$1:$A$1001,MATCH(B678,Detail!$G$1:$G$1001,0))</f>
        <v>38376</v>
      </c>
      <c r="Q678" s="3" t="str">
        <f>INDEX(Detail!$F$1:$F$1001,MATCH(Main!B678,Detail!$G$1:$G$1001,0))</f>
        <v>Tual</v>
      </c>
      <c r="R678" s="7">
        <f>INDEX(Detail!$C$1:$C$1001,MATCH(B678,Detail!$G$1:$G$1001,0),1)</f>
        <v>160</v>
      </c>
      <c r="S678" s="7">
        <f>INDEX(Detail!$D$1:$D$1001,MATCH(B678,Detail!$G$1:$G$1001,0),1)</f>
        <v>65</v>
      </c>
      <c r="T678" s="7" t="str">
        <f>INDEX(Detail!$E$1:$E$1001,MATCH(Main!B678,Detail!$G$1:$G$1001,0))</f>
        <v xml:space="preserve">Gg. PHH. Mustofa No. 2
</v>
      </c>
      <c r="U678" s="7" t="str">
        <f>INDEX(Detail!$B$1:$B$1001,MATCH(B678,Detail!$G$1:$G$1001,0),1)</f>
        <v>B-</v>
      </c>
    </row>
    <row r="679" spans="1:21" ht="15.75" x14ac:dyDescent="0.25">
      <c r="A679">
        <v>10</v>
      </c>
      <c r="B679" s="3" t="str">
        <f t="shared" ref="B679:B742" si="31">CONCATENATE("E",TEXT(A679,"0000"))</f>
        <v>E0010</v>
      </c>
      <c r="C679" t="s">
        <v>1010</v>
      </c>
      <c r="D679" s="3" t="str">
        <f>VLOOKUP(B679,Detail!$G$1:$H$1001,2,FALSE)</f>
        <v>Wardi Hasanah</v>
      </c>
      <c r="E679">
        <v>59</v>
      </c>
      <c r="F679">
        <v>63</v>
      </c>
      <c r="G679" s="35">
        <v>91</v>
      </c>
      <c r="H679">
        <v>67</v>
      </c>
      <c r="I679">
        <v>67</v>
      </c>
      <c r="J679">
        <v>89</v>
      </c>
      <c r="K679">
        <v>96</v>
      </c>
      <c r="L679" s="26" t="str">
        <f>IFERROR(VLOOKUP(B679,Absen!$A$1:$C$501,2,FALSE),"No")</f>
        <v>No</v>
      </c>
      <c r="M679" s="44">
        <f t="shared" si="29"/>
        <v>9.6000000000000014</v>
      </c>
      <c r="N679" s="35">
        <f t="shared" si="30"/>
        <v>77.599999999999994</v>
      </c>
      <c r="O679" t="str">
        <f>VLOOKUP(N679,Helper!$B$30:$C$35,2,TRUE)</f>
        <v>B</v>
      </c>
      <c r="P679" s="26">
        <f>INDEX(Detail!$A$1:$A$1001,MATCH(B679,Detail!$G$1:$G$1001,0))</f>
        <v>37028</v>
      </c>
      <c r="Q679" s="3" t="str">
        <f>INDEX(Detail!$F$1:$F$1001,MATCH(Main!B679,Detail!$G$1:$G$1001,0))</f>
        <v>Pangkalpinang</v>
      </c>
      <c r="R679" s="7">
        <f>INDEX(Detail!$C$1:$C$1001,MATCH(B679,Detail!$G$1:$G$1001,0),1)</f>
        <v>178</v>
      </c>
      <c r="S679" s="7">
        <f>INDEX(Detail!$D$1:$D$1001,MATCH(B679,Detail!$G$1:$G$1001,0),1)</f>
        <v>70</v>
      </c>
      <c r="T679" s="7" t="str">
        <f>INDEX(Detail!$E$1:$E$1001,MATCH(Main!B679,Detail!$G$1:$G$1001,0))</f>
        <v>Gg. KH Amin Jasuta No. 20</v>
      </c>
      <c r="U679" s="7" t="str">
        <f>INDEX(Detail!$B$1:$B$1001,MATCH(B679,Detail!$G$1:$G$1001,0),1)</f>
        <v>O-</v>
      </c>
    </row>
    <row r="680" spans="1:21" ht="15.75" x14ac:dyDescent="0.25">
      <c r="A680">
        <v>13</v>
      </c>
      <c r="B680" s="3" t="str">
        <f t="shared" si="31"/>
        <v>E0013</v>
      </c>
      <c r="C680" t="s">
        <v>1010</v>
      </c>
      <c r="D680" s="3" t="str">
        <f>VLOOKUP(B680,Detail!$G$1:$H$1001,2,FALSE)</f>
        <v>Zulaikha Hasanah</v>
      </c>
      <c r="E680">
        <v>87</v>
      </c>
      <c r="F680">
        <v>62</v>
      </c>
      <c r="G680" s="35">
        <v>79</v>
      </c>
      <c r="H680">
        <v>53</v>
      </c>
      <c r="I680">
        <v>76</v>
      </c>
      <c r="J680">
        <v>99</v>
      </c>
      <c r="K680">
        <v>67</v>
      </c>
      <c r="L680" s="26" t="str">
        <f>IFERROR(VLOOKUP(B680,Absen!$A$1:$C$501,2,FALSE),"No")</f>
        <v>No</v>
      </c>
      <c r="M680" s="44">
        <f t="shared" si="29"/>
        <v>6.7</v>
      </c>
      <c r="N680" s="35">
        <f t="shared" si="30"/>
        <v>77.05</v>
      </c>
      <c r="O680" t="str">
        <f>VLOOKUP(N680,Helper!$B$30:$C$35,2,TRUE)</f>
        <v>B</v>
      </c>
      <c r="P680" s="26">
        <f>INDEX(Detail!$A$1:$A$1001,MATCH(B680,Detail!$G$1:$G$1001,0))</f>
        <v>37641</v>
      </c>
      <c r="Q680" s="3" t="str">
        <f>INDEX(Detail!$F$1:$F$1001,MATCH(Main!B680,Detail!$G$1:$G$1001,0))</f>
        <v>Cilegon</v>
      </c>
      <c r="R680" s="7">
        <f>INDEX(Detail!$C$1:$C$1001,MATCH(B680,Detail!$G$1:$G$1001,0),1)</f>
        <v>179</v>
      </c>
      <c r="S680" s="7">
        <f>INDEX(Detail!$D$1:$D$1001,MATCH(B680,Detail!$G$1:$G$1001,0),1)</f>
        <v>76</v>
      </c>
      <c r="T680" s="7" t="str">
        <f>INDEX(Detail!$E$1:$E$1001,MATCH(Main!B680,Detail!$G$1:$G$1001,0))</f>
        <v>Jalan S. Parman No. 85</v>
      </c>
      <c r="U680" s="7" t="str">
        <f>INDEX(Detail!$B$1:$B$1001,MATCH(B680,Detail!$G$1:$G$1001,0),1)</f>
        <v>O+</v>
      </c>
    </row>
    <row r="681" spans="1:21" ht="15.75" x14ac:dyDescent="0.25">
      <c r="A681">
        <v>14</v>
      </c>
      <c r="B681" s="3" t="str">
        <f t="shared" si="31"/>
        <v>E0014</v>
      </c>
      <c r="C681" t="s">
        <v>1010</v>
      </c>
      <c r="D681" s="3" t="str">
        <f>VLOOKUP(B681,Detail!$G$1:$H$1001,2,FALSE)</f>
        <v>Mahdi Prasetyo</v>
      </c>
      <c r="E681">
        <v>86</v>
      </c>
      <c r="F681">
        <v>69</v>
      </c>
      <c r="G681" s="35">
        <v>85</v>
      </c>
      <c r="H681">
        <v>62</v>
      </c>
      <c r="I681">
        <v>73</v>
      </c>
      <c r="J681">
        <v>92</v>
      </c>
      <c r="K681">
        <v>66</v>
      </c>
      <c r="L681" s="26">
        <f>IFERROR(VLOOKUP(B681,Absen!$A$1:$C$501,2,FALSE),"No")</f>
        <v>44879</v>
      </c>
      <c r="M681" s="44">
        <f t="shared" si="29"/>
        <v>5.6000000000000005</v>
      </c>
      <c r="N681" s="35">
        <f t="shared" si="30"/>
        <v>77.25</v>
      </c>
      <c r="O681" t="str">
        <f>VLOOKUP(N681,Helper!$B$30:$C$35,2,TRUE)</f>
        <v>B</v>
      </c>
      <c r="P681" s="26">
        <f>INDEX(Detail!$A$1:$A$1001,MATCH(B681,Detail!$G$1:$G$1001,0))</f>
        <v>37139</v>
      </c>
      <c r="Q681" s="3" t="str">
        <f>INDEX(Detail!$F$1:$F$1001,MATCH(Main!B681,Detail!$G$1:$G$1001,0))</f>
        <v>Kotamobagu</v>
      </c>
      <c r="R681" s="7">
        <f>INDEX(Detail!$C$1:$C$1001,MATCH(B681,Detail!$G$1:$G$1001,0),1)</f>
        <v>166</v>
      </c>
      <c r="S681" s="7">
        <f>INDEX(Detail!$D$1:$D$1001,MATCH(B681,Detail!$G$1:$G$1001,0),1)</f>
        <v>60</v>
      </c>
      <c r="T681" s="7" t="str">
        <f>INDEX(Detail!$E$1:$E$1001,MATCH(Main!B681,Detail!$G$1:$G$1001,0))</f>
        <v>Jl. Jamika No. 98</v>
      </c>
      <c r="U681" s="7" t="str">
        <f>INDEX(Detail!$B$1:$B$1001,MATCH(B681,Detail!$G$1:$G$1001,0),1)</f>
        <v>B+</v>
      </c>
    </row>
    <row r="682" spans="1:21" ht="15.75" x14ac:dyDescent="0.25">
      <c r="A682">
        <v>18</v>
      </c>
      <c r="B682" s="3" t="str">
        <f t="shared" si="31"/>
        <v>E0018</v>
      </c>
      <c r="C682" t="s">
        <v>1010</v>
      </c>
      <c r="D682" s="3" t="str">
        <f>VLOOKUP(B682,Detail!$G$1:$H$1001,2,FALSE)</f>
        <v>Artanto Sitorus</v>
      </c>
      <c r="E682">
        <v>53</v>
      </c>
      <c r="F682">
        <v>41</v>
      </c>
      <c r="G682" s="35">
        <v>64</v>
      </c>
      <c r="H682">
        <v>57</v>
      </c>
      <c r="I682">
        <v>80</v>
      </c>
      <c r="J682">
        <v>74</v>
      </c>
      <c r="K682">
        <v>95</v>
      </c>
      <c r="L682" s="26" t="str">
        <f>IFERROR(VLOOKUP(B682,Absen!$A$1:$C$501,2,FALSE),"No")</f>
        <v>No</v>
      </c>
      <c r="M682" s="44">
        <f t="shared" si="29"/>
        <v>9.5</v>
      </c>
      <c r="N682" s="35">
        <f t="shared" si="30"/>
        <v>65.974999999999994</v>
      </c>
      <c r="O682" t="str">
        <f>VLOOKUP(N682,Helper!$B$30:$C$35,2,TRUE)</f>
        <v>C</v>
      </c>
      <c r="P682" s="26">
        <f>INDEX(Detail!$A$1:$A$1001,MATCH(B682,Detail!$G$1:$G$1001,0))</f>
        <v>38096</v>
      </c>
      <c r="Q682" s="3" t="str">
        <f>INDEX(Detail!$F$1:$F$1001,MATCH(Main!B682,Detail!$G$1:$G$1001,0))</f>
        <v>Kota Administrasi Jakarta Timur</v>
      </c>
      <c r="R682" s="7">
        <f>INDEX(Detail!$C$1:$C$1001,MATCH(B682,Detail!$G$1:$G$1001,0),1)</f>
        <v>150</v>
      </c>
      <c r="S682" s="7">
        <f>INDEX(Detail!$D$1:$D$1001,MATCH(B682,Detail!$G$1:$G$1001,0),1)</f>
        <v>83</v>
      </c>
      <c r="T682" s="7" t="str">
        <f>INDEX(Detail!$E$1:$E$1001,MATCH(Main!B682,Detail!$G$1:$G$1001,0))</f>
        <v>Jl. M.T Haryono No. 56</v>
      </c>
      <c r="U682" s="7" t="str">
        <f>INDEX(Detail!$B$1:$B$1001,MATCH(B682,Detail!$G$1:$G$1001,0),1)</f>
        <v>O+</v>
      </c>
    </row>
    <row r="683" spans="1:21" ht="15.75" x14ac:dyDescent="0.25">
      <c r="A683">
        <v>21</v>
      </c>
      <c r="B683" s="3" t="str">
        <f t="shared" si="31"/>
        <v>E0021</v>
      </c>
      <c r="C683" t="s">
        <v>1010</v>
      </c>
      <c r="D683" s="3" t="str">
        <f>VLOOKUP(B683,Detail!$G$1:$H$1001,2,FALSE)</f>
        <v>Asmuni Nainggolan</v>
      </c>
      <c r="E683">
        <v>75</v>
      </c>
      <c r="F683">
        <v>42</v>
      </c>
      <c r="G683" s="35">
        <v>35</v>
      </c>
      <c r="H683">
        <v>65</v>
      </c>
      <c r="I683">
        <v>86</v>
      </c>
      <c r="J683">
        <v>94</v>
      </c>
      <c r="K683">
        <v>96</v>
      </c>
      <c r="L683" s="26">
        <f>IFERROR(VLOOKUP(B683,Absen!$A$1:$C$501,2,FALSE),"No")</f>
        <v>44863</v>
      </c>
      <c r="M683" s="44">
        <f t="shared" si="29"/>
        <v>8.6</v>
      </c>
      <c r="N683" s="35">
        <f t="shared" si="30"/>
        <v>67.899999999999991</v>
      </c>
      <c r="O683" t="str">
        <f>VLOOKUP(N683,Helper!$B$30:$C$35,2,TRUE)</f>
        <v>C</v>
      </c>
      <c r="P683" s="26">
        <f>INDEX(Detail!$A$1:$A$1001,MATCH(B683,Detail!$G$1:$G$1001,0))</f>
        <v>37098</v>
      </c>
      <c r="Q683" s="3" t="str">
        <f>INDEX(Detail!$F$1:$F$1001,MATCH(Main!B683,Detail!$G$1:$G$1001,0))</f>
        <v>Cirebon</v>
      </c>
      <c r="R683" s="7">
        <f>INDEX(Detail!$C$1:$C$1001,MATCH(B683,Detail!$G$1:$G$1001,0),1)</f>
        <v>172</v>
      </c>
      <c r="S683" s="7">
        <f>INDEX(Detail!$D$1:$D$1001,MATCH(B683,Detail!$G$1:$G$1001,0),1)</f>
        <v>49</v>
      </c>
      <c r="T683" s="7" t="str">
        <f>INDEX(Detail!$E$1:$E$1001,MATCH(Main!B683,Detail!$G$1:$G$1001,0))</f>
        <v xml:space="preserve">Jl. Asia Afrika No. 4
</v>
      </c>
      <c r="U683" s="7" t="str">
        <f>INDEX(Detail!$B$1:$B$1001,MATCH(B683,Detail!$G$1:$G$1001,0),1)</f>
        <v>O-</v>
      </c>
    </row>
    <row r="684" spans="1:21" ht="15.75" x14ac:dyDescent="0.25">
      <c r="A684">
        <v>28</v>
      </c>
      <c r="B684" s="3" t="str">
        <f t="shared" si="31"/>
        <v>E0028</v>
      </c>
      <c r="C684" t="s">
        <v>1010</v>
      </c>
      <c r="D684" s="3" t="str">
        <f>VLOOKUP(B684,Detail!$G$1:$H$1001,2,FALSE)</f>
        <v>Putu Manullang</v>
      </c>
      <c r="E684">
        <v>68</v>
      </c>
      <c r="F684">
        <v>66</v>
      </c>
      <c r="G684" s="35">
        <v>34</v>
      </c>
      <c r="H684">
        <v>66</v>
      </c>
      <c r="I684">
        <v>73</v>
      </c>
      <c r="J684">
        <v>92</v>
      </c>
      <c r="K684">
        <v>86</v>
      </c>
      <c r="L684" s="26" t="str">
        <f>IFERROR(VLOOKUP(B684,Absen!$A$1:$C$501,2,FALSE),"No")</f>
        <v>No</v>
      </c>
      <c r="M684" s="44">
        <f t="shared" si="29"/>
        <v>8.6</v>
      </c>
      <c r="N684" s="35">
        <f t="shared" si="30"/>
        <v>67.924999999999997</v>
      </c>
      <c r="O684" t="str">
        <f>VLOOKUP(N684,Helper!$B$30:$C$35,2,TRUE)</f>
        <v>C</v>
      </c>
      <c r="P684" s="26">
        <f>INDEX(Detail!$A$1:$A$1001,MATCH(B684,Detail!$G$1:$G$1001,0))</f>
        <v>37047</v>
      </c>
      <c r="Q684" s="3" t="str">
        <f>INDEX(Detail!$F$1:$F$1001,MATCH(Main!B684,Detail!$G$1:$G$1001,0))</f>
        <v>Kota Administrasi Jakarta Timur</v>
      </c>
      <c r="R684" s="7">
        <f>INDEX(Detail!$C$1:$C$1001,MATCH(B684,Detail!$G$1:$G$1001,0),1)</f>
        <v>172</v>
      </c>
      <c r="S684" s="7">
        <f>INDEX(Detail!$D$1:$D$1001,MATCH(B684,Detail!$G$1:$G$1001,0),1)</f>
        <v>85</v>
      </c>
      <c r="T684" s="7" t="str">
        <f>INDEX(Detail!$E$1:$E$1001,MATCH(Main!B684,Detail!$G$1:$G$1001,0))</f>
        <v>Jalan Abdul Muis No. 57</v>
      </c>
      <c r="U684" s="7" t="str">
        <f>INDEX(Detail!$B$1:$B$1001,MATCH(B684,Detail!$G$1:$G$1001,0),1)</f>
        <v>O-</v>
      </c>
    </row>
    <row r="685" spans="1:21" ht="15.75" x14ac:dyDescent="0.25">
      <c r="A685">
        <v>32</v>
      </c>
      <c r="B685" s="3" t="str">
        <f t="shared" si="31"/>
        <v>E0032</v>
      </c>
      <c r="C685" t="s">
        <v>1010</v>
      </c>
      <c r="D685" s="3" t="str">
        <f>VLOOKUP(B685,Detail!$G$1:$H$1001,2,FALSE)</f>
        <v>Bakianto Tarihoran</v>
      </c>
      <c r="E685">
        <v>95</v>
      </c>
      <c r="F685">
        <v>48</v>
      </c>
      <c r="G685" s="35">
        <v>88</v>
      </c>
      <c r="H685">
        <v>61</v>
      </c>
      <c r="I685">
        <v>91</v>
      </c>
      <c r="J685">
        <v>88</v>
      </c>
      <c r="K685">
        <v>82</v>
      </c>
      <c r="L685" s="26">
        <f>IFERROR(VLOOKUP(B685,Absen!$A$1:$C$501,2,FALSE),"No")</f>
        <v>44895</v>
      </c>
      <c r="M685" s="44">
        <f t="shared" si="29"/>
        <v>7.2</v>
      </c>
      <c r="N685" s="35">
        <f t="shared" si="30"/>
        <v>79.275000000000006</v>
      </c>
      <c r="O685" t="str">
        <f>VLOOKUP(N685,Helper!$B$30:$C$35,2,TRUE)</f>
        <v>B</v>
      </c>
      <c r="P685" s="26">
        <f>INDEX(Detail!$A$1:$A$1001,MATCH(B685,Detail!$G$1:$G$1001,0))</f>
        <v>37962</v>
      </c>
      <c r="Q685" s="3" t="str">
        <f>INDEX(Detail!$F$1:$F$1001,MATCH(Main!B685,Detail!$G$1:$G$1001,0))</f>
        <v>Palangkaraya</v>
      </c>
      <c r="R685" s="7">
        <f>INDEX(Detail!$C$1:$C$1001,MATCH(B685,Detail!$G$1:$G$1001,0),1)</f>
        <v>151</v>
      </c>
      <c r="S685" s="7">
        <f>INDEX(Detail!$D$1:$D$1001,MATCH(B685,Detail!$G$1:$G$1001,0),1)</f>
        <v>50</v>
      </c>
      <c r="T685" s="7" t="str">
        <f>INDEX(Detail!$E$1:$E$1001,MATCH(Main!B685,Detail!$G$1:$G$1001,0))</f>
        <v>Jl. Sadang Serang No. 60</v>
      </c>
      <c r="U685" s="7" t="str">
        <f>INDEX(Detail!$B$1:$B$1001,MATCH(B685,Detail!$G$1:$G$1001,0),1)</f>
        <v>B+</v>
      </c>
    </row>
    <row r="686" spans="1:21" ht="15.75" x14ac:dyDescent="0.25">
      <c r="A686">
        <v>43</v>
      </c>
      <c r="B686" s="3" t="str">
        <f t="shared" si="31"/>
        <v>E0043</v>
      </c>
      <c r="C686" t="s">
        <v>1010</v>
      </c>
      <c r="D686" s="3" t="str">
        <f>VLOOKUP(B686,Detail!$G$1:$H$1001,2,FALSE)</f>
        <v>Capa Usada</v>
      </c>
      <c r="E686">
        <v>50</v>
      </c>
      <c r="F686">
        <v>41</v>
      </c>
      <c r="G686" s="35">
        <v>81</v>
      </c>
      <c r="H686">
        <v>57</v>
      </c>
      <c r="I686">
        <v>75</v>
      </c>
      <c r="J686">
        <v>43</v>
      </c>
      <c r="K686">
        <v>98</v>
      </c>
      <c r="L686" s="26" t="str">
        <f>IFERROR(VLOOKUP(B686,Absen!$A$1:$C$501,2,FALSE),"No")</f>
        <v>No</v>
      </c>
      <c r="M686" s="44">
        <f t="shared" si="29"/>
        <v>9.8000000000000007</v>
      </c>
      <c r="N686" s="35">
        <f t="shared" si="30"/>
        <v>62.475000000000009</v>
      </c>
      <c r="O686" t="str">
        <f>VLOOKUP(N686,Helper!$B$30:$C$35,2,TRUE)</f>
        <v>C</v>
      </c>
      <c r="P686" s="26">
        <f>INDEX(Detail!$A$1:$A$1001,MATCH(B686,Detail!$G$1:$G$1001,0))</f>
        <v>37919</v>
      </c>
      <c r="Q686" s="3" t="str">
        <f>INDEX(Detail!$F$1:$F$1001,MATCH(Main!B686,Detail!$G$1:$G$1001,0))</f>
        <v>Parepare</v>
      </c>
      <c r="R686" s="7">
        <f>INDEX(Detail!$C$1:$C$1001,MATCH(B686,Detail!$G$1:$G$1001,0),1)</f>
        <v>172</v>
      </c>
      <c r="S686" s="7">
        <f>INDEX(Detail!$D$1:$D$1001,MATCH(B686,Detail!$G$1:$G$1001,0),1)</f>
        <v>56</v>
      </c>
      <c r="T686" s="7" t="str">
        <f>INDEX(Detail!$E$1:$E$1001,MATCH(Main!B686,Detail!$G$1:$G$1001,0))</f>
        <v>Jalan Waringin No. 50</v>
      </c>
      <c r="U686" s="7" t="str">
        <f>INDEX(Detail!$B$1:$B$1001,MATCH(B686,Detail!$G$1:$G$1001,0),1)</f>
        <v>B-</v>
      </c>
    </row>
    <row r="687" spans="1:21" ht="15.75" x14ac:dyDescent="0.25">
      <c r="A687">
        <v>45</v>
      </c>
      <c r="B687" s="3" t="str">
        <f t="shared" si="31"/>
        <v>E0045</v>
      </c>
      <c r="C687" t="s">
        <v>1010</v>
      </c>
      <c r="D687" s="3" t="str">
        <f>VLOOKUP(B687,Detail!$G$1:$H$1001,2,FALSE)</f>
        <v>Tina Rahimah</v>
      </c>
      <c r="E687">
        <v>89</v>
      </c>
      <c r="F687">
        <v>42</v>
      </c>
      <c r="G687" s="35">
        <v>56</v>
      </c>
      <c r="H687">
        <v>66</v>
      </c>
      <c r="I687">
        <v>56</v>
      </c>
      <c r="J687">
        <v>91</v>
      </c>
      <c r="K687">
        <v>72</v>
      </c>
      <c r="L687" s="26">
        <f>IFERROR(VLOOKUP(B687,Absen!$A$1:$C$501,2,FALSE),"No")</f>
        <v>44852</v>
      </c>
      <c r="M687" s="44">
        <f t="shared" si="29"/>
        <v>6.2</v>
      </c>
      <c r="N687" s="35">
        <f t="shared" si="30"/>
        <v>67.225000000000009</v>
      </c>
      <c r="O687" t="str">
        <f>VLOOKUP(N687,Helper!$B$30:$C$35,2,TRUE)</f>
        <v>C</v>
      </c>
      <c r="P687" s="26">
        <f>INDEX(Detail!$A$1:$A$1001,MATCH(B687,Detail!$G$1:$G$1001,0))</f>
        <v>37198</v>
      </c>
      <c r="Q687" s="3" t="str">
        <f>INDEX(Detail!$F$1:$F$1001,MATCH(Main!B687,Detail!$G$1:$G$1001,0))</f>
        <v>Tual</v>
      </c>
      <c r="R687" s="7">
        <f>INDEX(Detail!$C$1:$C$1001,MATCH(B687,Detail!$G$1:$G$1001,0),1)</f>
        <v>174</v>
      </c>
      <c r="S687" s="7">
        <f>INDEX(Detail!$D$1:$D$1001,MATCH(B687,Detail!$G$1:$G$1001,0),1)</f>
        <v>78</v>
      </c>
      <c r="T687" s="7" t="str">
        <f>INDEX(Detail!$E$1:$E$1001,MATCH(Main!B687,Detail!$G$1:$G$1001,0))</f>
        <v>Gg. Suryakencana No. 91</v>
      </c>
      <c r="U687" s="7" t="str">
        <f>INDEX(Detail!$B$1:$B$1001,MATCH(B687,Detail!$G$1:$G$1001,0),1)</f>
        <v>B-</v>
      </c>
    </row>
    <row r="688" spans="1:21" ht="15.75" x14ac:dyDescent="0.25">
      <c r="A688">
        <v>46</v>
      </c>
      <c r="B688" s="3" t="str">
        <f t="shared" si="31"/>
        <v>E0046</v>
      </c>
      <c r="C688" t="s">
        <v>1010</v>
      </c>
      <c r="D688" s="3" t="str">
        <f>VLOOKUP(B688,Detail!$G$1:$H$1001,2,FALSE)</f>
        <v>Raihan Lailasari</v>
      </c>
      <c r="E688">
        <v>66</v>
      </c>
      <c r="F688">
        <v>59</v>
      </c>
      <c r="G688" s="35">
        <v>30</v>
      </c>
      <c r="H688">
        <v>67</v>
      </c>
      <c r="I688">
        <v>57</v>
      </c>
      <c r="J688">
        <v>69</v>
      </c>
      <c r="K688">
        <v>62</v>
      </c>
      <c r="L688" s="26" t="str">
        <f>IFERROR(VLOOKUP(B688,Absen!$A$1:$C$501,2,FALSE),"No")</f>
        <v>No</v>
      </c>
      <c r="M688" s="44">
        <f t="shared" si="29"/>
        <v>6.2</v>
      </c>
      <c r="N688" s="35">
        <f t="shared" si="30"/>
        <v>57.125</v>
      </c>
      <c r="O688" t="str">
        <f>VLOOKUP(N688,Helper!$B$30:$C$35,2,TRUE)</f>
        <v>D</v>
      </c>
      <c r="P688" s="26">
        <f>INDEX(Detail!$A$1:$A$1001,MATCH(B688,Detail!$G$1:$G$1001,0))</f>
        <v>37923</v>
      </c>
      <c r="Q688" s="3" t="str">
        <f>INDEX(Detail!$F$1:$F$1001,MATCH(Main!B688,Detail!$G$1:$G$1001,0))</f>
        <v>Banjarbaru</v>
      </c>
      <c r="R688" s="7">
        <f>INDEX(Detail!$C$1:$C$1001,MATCH(B688,Detail!$G$1:$G$1001,0),1)</f>
        <v>151</v>
      </c>
      <c r="S688" s="7">
        <f>INDEX(Detail!$D$1:$D$1001,MATCH(B688,Detail!$G$1:$G$1001,0),1)</f>
        <v>94</v>
      </c>
      <c r="T688" s="7" t="str">
        <f>INDEX(Detail!$E$1:$E$1001,MATCH(Main!B688,Detail!$G$1:$G$1001,0))</f>
        <v>Gg. PHH. Mustofa No. 57</v>
      </c>
      <c r="U688" s="7" t="str">
        <f>INDEX(Detail!$B$1:$B$1001,MATCH(B688,Detail!$G$1:$G$1001,0),1)</f>
        <v>AB+</v>
      </c>
    </row>
    <row r="689" spans="1:21" ht="15.75" x14ac:dyDescent="0.25">
      <c r="A689">
        <v>50</v>
      </c>
      <c r="B689" s="3" t="str">
        <f t="shared" si="31"/>
        <v>E0050</v>
      </c>
      <c r="C689" t="s">
        <v>1010</v>
      </c>
      <c r="D689" s="3" t="str">
        <f>VLOOKUP(B689,Detail!$G$1:$H$1001,2,FALSE)</f>
        <v>Cinthia Zulkarnain</v>
      </c>
      <c r="E689">
        <v>82</v>
      </c>
      <c r="F689">
        <v>61</v>
      </c>
      <c r="G689" s="35">
        <v>43</v>
      </c>
      <c r="H689">
        <v>70</v>
      </c>
      <c r="I689">
        <v>94</v>
      </c>
      <c r="J689">
        <v>100</v>
      </c>
      <c r="K689">
        <v>94</v>
      </c>
      <c r="L689" s="26">
        <f>IFERROR(VLOOKUP(B689,Absen!$A$1:$C$501,2,FALSE),"No")</f>
        <v>44804</v>
      </c>
      <c r="M689" s="44">
        <f t="shared" si="29"/>
        <v>8.4</v>
      </c>
      <c r="N689" s="35">
        <f t="shared" si="30"/>
        <v>75.375</v>
      </c>
      <c r="O689" t="str">
        <f>VLOOKUP(N689,Helper!$B$30:$C$35,2,TRUE)</f>
        <v>B</v>
      </c>
      <c r="P689" s="26">
        <f>INDEX(Detail!$A$1:$A$1001,MATCH(B689,Detail!$G$1:$G$1001,0))</f>
        <v>37523</v>
      </c>
      <c r="Q689" s="3" t="str">
        <f>INDEX(Detail!$F$1:$F$1001,MATCH(Main!B689,Detail!$G$1:$G$1001,0))</f>
        <v>Tangerang</v>
      </c>
      <c r="R689" s="7">
        <f>INDEX(Detail!$C$1:$C$1001,MATCH(B689,Detail!$G$1:$G$1001,0),1)</f>
        <v>160</v>
      </c>
      <c r="S689" s="7">
        <f>INDEX(Detail!$D$1:$D$1001,MATCH(B689,Detail!$G$1:$G$1001,0),1)</f>
        <v>67</v>
      </c>
      <c r="T689" s="7" t="str">
        <f>INDEX(Detail!$E$1:$E$1001,MATCH(Main!B689,Detail!$G$1:$G$1001,0))</f>
        <v>Gg. Surapati No. 82</v>
      </c>
      <c r="U689" s="7" t="str">
        <f>INDEX(Detail!$B$1:$B$1001,MATCH(B689,Detail!$G$1:$G$1001,0),1)</f>
        <v>A+</v>
      </c>
    </row>
    <row r="690" spans="1:21" ht="15.75" x14ac:dyDescent="0.25">
      <c r="A690">
        <v>58</v>
      </c>
      <c r="B690" s="3" t="str">
        <f t="shared" si="31"/>
        <v>E0058</v>
      </c>
      <c r="C690" t="s">
        <v>1010</v>
      </c>
      <c r="D690" s="3" t="str">
        <f>VLOOKUP(B690,Detail!$G$1:$H$1001,2,FALSE)</f>
        <v>Lantar Melani</v>
      </c>
      <c r="E690">
        <v>79</v>
      </c>
      <c r="F690">
        <v>67</v>
      </c>
      <c r="G690" s="35">
        <v>41</v>
      </c>
      <c r="H690">
        <v>55</v>
      </c>
      <c r="I690">
        <v>54</v>
      </c>
      <c r="J690">
        <v>69</v>
      </c>
      <c r="K690">
        <v>99</v>
      </c>
      <c r="L690" s="26" t="str">
        <f>IFERROR(VLOOKUP(B690,Absen!$A$1:$C$501,2,FALSE),"No")</f>
        <v>No</v>
      </c>
      <c r="M690" s="44">
        <f t="shared" si="29"/>
        <v>9.9</v>
      </c>
      <c r="N690" s="35">
        <f t="shared" si="30"/>
        <v>63.774999999999999</v>
      </c>
      <c r="O690" t="str">
        <f>VLOOKUP(N690,Helper!$B$30:$C$35,2,TRUE)</f>
        <v>C</v>
      </c>
      <c r="P690" s="26">
        <f>INDEX(Detail!$A$1:$A$1001,MATCH(B690,Detail!$G$1:$G$1001,0))</f>
        <v>38007</v>
      </c>
      <c r="Q690" s="3" t="str">
        <f>INDEX(Detail!$F$1:$F$1001,MATCH(Main!B690,Detail!$G$1:$G$1001,0))</f>
        <v>Tual</v>
      </c>
      <c r="R690" s="7">
        <f>INDEX(Detail!$C$1:$C$1001,MATCH(B690,Detail!$G$1:$G$1001,0),1)</f>
        <v>156</v>
      </c>
      <c r="S690" s="7">
        <f>INDEX(Detail!$D$1:$D$1001,MATCH(B690,Detail!$G$1:$G$1001,0),1)</f>
        <v>94</v>
      </c>
      <c r="T690" s="7" t="str">
        <f>INDEX(Detail!$E$1:$E$1001,MATCH(Main!B690,Detail!$G$1:$G$1001,0))</f>
        <v>Jl. Kebonjati No. 75</v>
      </c>
      <c r="U690" s="7" t="str">
        <f>INDEX(Detail!$B$1:$B$1001,MATCH(B690,Detail!$G$1:$G$1001,0),1)</f>
        <v>AB-</v>
      </c>
    </row>
    <row r="691" spans="1:21" ht="15.75" x14ac:dyDescent="0.25">
      <c r="A691">
        <v>59</v>
      </c>
      <c r="B691" s="3" t="str">
        <f t="shared" si="31"/>
        <v>E0059</v>
      </c>
      <c r="C691" t="s">
        <v>1010</v>
      </c>
      <c r="D691" s="3" t="str">
        <f>VLOOKUP(B691,Detail!$G$1:$H$1001,2,FALSE)</f>
        <v>Umay Habibi</v>
      </c>
      <c r="E691">
        <v>88</v>
      </c>
      <c r="F691">
        <v>74</v>
      </c>
      <c r="G691" s="35">
        <v>41</v>
      </c>
      <c r="H691">
        <v>58</v>
      </c>
      <c r="I691">
        <v>57</v>
      </c>
      <c r="J691">
        <v>99</v>
      </c>
      <c r="K691">
        <v>76</v>
      </c>
      <c r="L691" s="26" t="str">
        <f>IFERROR(VLOOKUP(B691,Absen!$A$1:$C$501,2,FALSE),"No")</f>
        <v>No</v>
      </c>
      <c r="M691" s="44">
        <f t="shared" si="29"/>
        <v>7.6000000000000005</v>
      </c>
      <c r="N691" s="35">
        <f t="shared" si="30"/>
        <v>70.224999999999994</v>
      </c>
      <c r="O691" t="str">
        <f>VLOOKUP(N691,Helper!$B$30:$C$35,2,TRUE)</f>
        <v>B</v>
      </c>
      <c r="P691" s="26">
        <f>INDEX(Detail!$A$1:$A$1001,MATCH(B691,Detail!$G$1:$G$1001,0))</f>
        <v>37474</v>
      </c>
      <c r="Q691" s="3" t="str">
        <f>INDEX(Detail!$F$1:$F$1001,MATCH(Main!B691,Detail!$G$1:$G$1001,0))</f>
        <v>Padangpanjang</v>
      </c>
      <c r="R691" s="7">
        <f>INDEX(Detail!$C$1:$C$1001,MATCH(B691,Detail!$G$1:$G$1001,0),1)</f>
        <v>169</v>
      </c>
      <c r="S691" s="7">
        <f>INDEX(Detail!$D$1:$D$1001,MATCH(B691,Detail!$G$1:$G$1001,0),1)</f>
        <v>47</v>
      </c>
      <c r="T691" s="7" t="str">
        <f>INDEX(Detail!$E$1:$E$1001,MATCH(Main!B691,Detail!$G$1:$G$1001,0))</f>
        <v xml:space="preserve">Jalan Jakarta No. 1
</v>
      </c>
      <c r="U691" s="7" t="str">
        <f>INDEX(Detail!$B$1:$B$1001,MATCH(B691,Detail!$G$1:$G$1001,0),1)</f>
        <v>AB-</v>
      </c>
    </row>
    <row r="692" spans="1:21" ht="15.75" x14ac:dyDescent="0.25">
      <c r="A692">
        <v>60</v>
      </c>
      <c r="B692" s="3" t="str">
        <f t="shared" si="31"/>
        <v>E0060</v>
      </c>
      <c r="C692" t="s">
        <v>1010</v>
      </c>
      <c r="D692" s="3" t="str">
        <f>VLOOKUP(B692,Detail!$G$1:$H$1001,2,FALSE)</f>
        <v>Jati Yulianti</v>
      </c>
      <c r="E692">
        <v>71</v>
      </c>
      <c r="F692">
        <v>75</v>
      </c>
      <c r="G692" s="35">
        <v>72</v>
      </c>
      <c r="H692">
        <v>55</v>
      </c>
      <c r="I692">
        <v>51</v>
      </c>
      <c r="J692">
        <v>55</v>
      </c>
      <c r="K692">
        <v>72</v>
      </c>
      <c r="L692" s="26" t="str">
        <f>IFERROR(VLOOKUP(B692,Absen!$A$1:$C$501,2,FALSE),"No")</f>
        <v>No</v>
      </c>
      <c r="M692" s="44">
        <f t="shared" si="29"/>
        <v>7.2</v>
      </c>
      <c r="N692" s="35">
        <f t="shared" si="30"/>
        <v>64.099999999999994</v>
      </c>
      <c r="O692" t="str">
        <f>VLOOKUP(N692,Helper!$B$30:$C$35,2,TRUE)</f>
        <v>C</v>
      </c>
      <c r="P692" s="26">
        <f>INDEX(Detail!$A$1:$A$1001,MATCH(B692,Detail!$G$1:$G$1001,0))</f>
        <v>38078</v>
      </c>
      <c r="Q692" s="3" t="str">
        <f>INDEX(Detail!$F$1:$F$1001,MATCH(Main!B692,Detail!$G$1:$G$1001,0))</f>
        <v>Pematangsiantar</v>
      </c>
      <c r="R692" s="7">
        <f>INDEX(Detail!$C$1:$C$1001,MATCH(B692,Detail!$G$1:$G$1001,0),1)</f>
        <v>154</v>
      </c>
      <c r="S692" s="7">
        <f>INDEX(Detail!$D$1:$D$1001,MATCH(B692,Detail!$G$1:$G$1001,0),1)</f>
        <v>93</v>
      </c>
      <c r="T692" s="7" t="str">
        <f>INDEX(Detail!$E$1:$E$1001,MATCH(Main!B692,Detail!$G$1:$G$1001,0))</f>
        <v>Jl. Gedebage Selatan No. 18</v>
      </c>
      <c r="U692" s="7" t="str">
        <f>INDEX(Detail!$B$1:$B$1001,MATCH(B692,Detail!$G$1:$G$1001,0),1)</f>
        <v>B-</v>
      </c>
    </row>
    <row r="693" spans="1:21" ht="15.75" x14ac:dyDescent="0.25">
      <c r="A693">
        <v>71</v>
      </c>
      <c r="B693" s="3" t="str">
        <f t="shared" si="31"/>
        <v>E0071</v>
      </c>
      <c r="C693" t="s">
        <v>1010</v>
      </c>
      <c r="D693" s="3" t="str">
        <f>VLOOKUP(B693,Detail!$G$1:$H$1001,2,FALSE)</f>
        <v>Banara Wijayanti</v>
      </c>
      <c r="E693">
        <v>85</v>
      </c>
      <c r="F693">
        <v>75</v>
      </c>
      <c r="G693" s="35">
        <v>67</v>
      </c>
      <c r="H693">
        <v>65</v>
      </c>
      <c r="I693">
        <v>78</v>
      </c>
      <c r="J693">
        <v>43</v>
      </c>
      <c r="K693">
        <v>81</v>
      </c>
      <c r="L693" s="26" t="str">
        <f>IFERROR(VLOOKUP(B693,Absen!$A$1:$C$501,2,FALSE),"No")</f>
        <v>No</v>
      </c>
      <c r="M693" s="44">
        <f t="shared" si="29"/>
        <v>8.1</v>
      </c>
      <c r="N693" s="35">
        <f t="shared" si="30"/>
        <v>67.974999999999994</v>
      </c>
      <c r="O693" t="str">
        <f>VLOOKUP(N693,Helper!$B$30:$C$35,2,TRUE)</f>
        <v>C</v>
      </c>
      <c r="P693" s="26">
        <f>INDEX(Detail!$A$1:$A$1001,MATCH(B693,Detail!$G$1:$G$1001,0))</f>
        <v>37052</v>
      </c>
      <c r="Q693" s="3" t="str">
        <f>INDEX(Detail!$F$1:$F$1001,MATCH(Main!B693,Detail!$G$1:$G$1001,0))</f>
        <v>Salatiga</v>
      </c>
      <c r="R693" s="7">
        <f>INDEX(Detail!$C$1:$C$1001,MATCH(B693,Detail!$G$1:$G$1001,0),1)</f>
        <v>153</v>
      </c>
      <c r="S693" s="7">
        <f>INDEX(Detail!$D$1:$D$1001,MATCH(B693,Detail!$G$1:$G$1001,0),1)</f>
        <v>91</v>
      </c>
      <c r="T693" s="7" t="str">
        <f>INDEX(Detail!$E$1:$E$1001,MATCH(Main!B693,Detail!$G$1:$G$1001,0))</f>
        <v xml:space="preserve">Gang Pasteur No. 4
</v>
      </c>
      <c r="U693" s="7" t="str">
        <f>INDEX(Detail!$B$1:$B$1001,MATCH(B693,Detail!$G$1:$G$1001,0),1)</f>
        <v>O-</v>
      </c>
    </row>
    <row r="694" spans="1:21" ht="15.75" x14ac:dyDescent="0.25">
      <c r="A694">
        <v>73</v>
      </c>
      <c r="B694" s="3" t="str">
        <f t="shared" si="31"/>
        <v>E0073</v>
      </c>
      <c r="C694" t="s">
        <v>1010</v>
      </c>
      <c r="D694" s="3" t="str">
        <f>VLOOKUP(B694,Detail!$G$1:$H$1001,2,FALSE)</f>
        <v>Asmianto Winarsih</v>
      </c>
      <c r="E694">
        <v>51</v>
      </c>
      <c r="F694">
        <v>64</v>
      </c>
      <c r="G694" s="35">
        <v>47</v>
      </c>
      <c r="H694">
        <v>63</v>
      </c>
      <c r="I694">
        <v>91</v>
      </c>
      <c r="J694">
        <v>42</v>
      </c>
      <c r="K694">
        <v>92</v>
      </c>
      <c r="L694" s="26">
        <f>IFERROR(VLOOKUP(B694,Absen!$A$1:$C$501,2,FALSE),"No")</f>
        <v>44771</v>
      </c>
      <c r="M694" s="44">
        <f t="shared" si="29"/>
        <v>8.2000000000000011</v>
      </c>
      <c r="N694" s="35">
        <f t="shared" si="30"/>
        <v>59.625</v>
      </c>
      <c r="O694" t="str">
        <f>VLOOKUP(N694,Helper!$B$30:$C$35,2,TRUE)</f>
        <v>D</v>
      </c>
      <c r="P694" s="26">
        <f>INDEX(Detail!$A$1:$A$1001,MATCH(B694,Detail!$G$1:$G$1001,0))</f>
        <v>38092</v>
      </c>
      <c r="Q694" s="3" t="str">
        <f>INDEX(Detail!$F$1:$F$1001,MATCH(Main!B694,Detail!$G$1:$G$1001,0))</f>
        <v>Bengkulu</v>
      </c>
      <c r="R694" s="7">
        <f>INDEX(Detail!$C$1:$C$1001,MATCH(B694,Detail!$G$1:$G$1001,0),1)</f>
        <v>155</v>
      </c>
      <c r="S694" s="7">
        <f>INDEX(Detail!$D$1:$D$1001,MATCH(B694,Detail!$G$1:$G$1001,0),1)</f>
        <v>48</v>
      </c>
      <c r="T694" s="7" t="str">
        <f>INDEX(Detail!$E$1:$E$1001,MATCH(Main!B694,Detail!$G$1:$G$1001,0))</f>
        <v>Gg. Cihampelas No. 70</v>
      </c>
      <c r="U694" s="7" t="str">
        <f>INDEX(Detail!$B$1:$B$1001,MATCH(B694,Detail!$G$1:$G$1001,0),1)</f>
        <v>B-</v>
      </c>
    </row>
    <row r="695" spans="1:21" ht="15.75" x14ac:dyDescent="0.25">
      <c r="A695">
        <v>75</v>
      </c>
      <c r="B695" s="3" t="str">
        <f t="shared" si="31"/>
        <v>E0075</v>
      </c>
      <c r="C695" t="s">
        <v>1010</v>
      </c>
      <c r="D695" s="3" t="str">
        <f>VLOOKUP(B695,Detail!$G$1:$H$1001,2,FALSE)</f>
        <v>Jefri Kusumo</v>
      </c>
      <c r="E695">
        <v>83</v>
      </c>
      <c r="F695">
        <v>50</v>
      </c>
      <c r="G695" s="35">
        <v>73</v>
      </c>
      <c r="H695">
        <v>56</v>
      </c>
      <c r="I695">
        <v>67</v>
      </c>
      <c r="J695">
        <v>46</v>
      </c>
      <c r="K695">
        <v>79</v>
      </c>
      <c r="L695" s="26">
        <f>IFERROR(VLOOKUP(B695,Absen!$A$1:$C$501,2,FALSE),"No")</f>
        <v>44801</v>
      </c>
      <c r="M695" s="44">
        <f t="shared" si="29"/>
        <v>6.9</v>
      </c>
      <c r="N695" s="35">
        <f t="shared" si="30"/>
        <v>62.7</v>
      </c>
      <c r="O695" t="str">
        <f>VLOOKUP(N695,Helper!$B$30:$C$35,2,TRUE)</f>
        <v>C</v>
      </c>
      <c r="P695" s="26">
        <f>INDEX(Detail!$A$1:$A$1001,MATCH(B695,Detail!$G$1:$G$1001,0))</f>
        <v>37691</v>
      </c>
      <c r="Q695" s="3" t="str">
        <f>INDEX(Detail!$F$1:$F$1001,MATCH(Main!B695,Detail!$G$1:$G$1001,0))</f>
        <v>Kupang</v>
      </c>
      <c r="R695" s="7">
        <f>INDEX(Detail!$C$1:$C$1001,MATCH(B695,Detail!$G$1:$G$1001,0),1)</f>
        <v>156</v>
      </c>
      <c r="S695" s="7">
        <f>INDEX(Detail!$D$1:$D$1001,MATCH(B695,Detail!$G$1:$G$1001,0),1)</f>
        <v>65</v>
      </c>
      <c r="T695" s="7" t="str">
        <f>INDEX(Detail!$E$1:$E$1001,MATCH(Main!B695,Detail!$G$1:$G$1001,0))</f>
        <v>Jl. Jayawijaya No. 87</v>
      </c>
      <c r="U695" s="7" t="str">
        <f>INDEX(Detail!$B$1:$B$1001,MATCH(B695,Detail!$G$1:$G$1001,0),1)</f>
        <v>O+</v>
      </c>
    </row>
    <row r="696" spans="1:21" ht="15.75" x14ac:dyDescent="0.25">
      <c r="A696">
        <v>77</v>
      </c>
      <c r="B696" s="3" t="str">
        <f t="shared" si="31"/>
        <v>E0077</v>
      </c>
      <c r="C696" t="s">
        <v>1010</v>
      </c>
      <c r="D696" s="3" t="str">
        <f>VLOOKUP(B696,Detail!$G$1:$H$1001,2,FALSE)</f>
        <v>Paulin Nainggolan</v>
      </c>
      <c r="E696">
        <v>80</v>
      </c>
      <c r="F696">
        <v>66</v>
      </c>
      <c r="G696" s="35">
        <v>89</v>
      </c>
      <c r="H696">
        <v>64</v>
      </c>
      <c r="I696">
        <v>82</v>
      </c>
      <c r="J696">
        <v>46</v>
      </c>
      <c r="K696">
        <v>99</v>
      </c>
      <c r="L696" s="26">
        <f>IFERROR(VLOOKUP(B696,Absen!$A$1:$C$501,2,FALSE),"No")</f>
        <v>44832</v>
      </c>
      <c r="M696" s="44">
        <f t="shared" si="29"/>
        <v>8.9</v>
      </c>
      <c r="N696" s="35">
        <f t="shared" si="30"/>
        <v>72.400000000000006</v>
      </c>
      <c r="O696" t="str">
        <f>VLOOKUP(N696,Helper!$B$30:$C$35,2,TRUE)</f>
        <v>B</v>
      </c>
      <c r="P696" s="26">
        <f>INDEX(Detail!$A$1:$A$1001,MATCH(B696,Detail!$G$1:$G$1001,0))</f>
        <v>37445</v>
      </c>
      <c r="Q696" s="3" t="str">
        <f>INDEX(Detail!$F$1:$F$1001,MATCH(Main!B696,Detail!$G$1:$G$1001,0))</f>
        <v>Bengkulu</v>
      </c>
      <c r="R696" s="7">
        <f>INDEX(Detail!$C$1:$C$1001,MATCH(B696,Detail!$G$1:$G$1001,0),1)</f>
        <v>155</v>
      </c>
      <c r="S696" s="7">
        <f>INDEX(Detail!$D$1:$D$1001,MATCH(B696,Detail!$G$1:$G$1001,0),1)</f>
        <v>92</v>
      </c>
      <c r="T696" s="7" t="str">
        <f>INDEX(Detail!$E$1:$E$1001,MATCH(Main!B696,Detail!$G$1:$G$1001,0))</f>
        <v>Gg. Rawamangun No. 15</v>
      </c>
      <c r="U696" s="7" t="str">
        <f>INDEX(Detail!$B$1:$B$1001,MATCH(B696,Detail!$G$1:$G$1001,0),1)</f>
        <v>A-</v>
      </c>
    </row>
    <row r="697" spans="1:21" ht="15.75" x14ac:dyDescent="0.25">
      <c r="A697">
        <v>80</v>
      </c>
      <c r="B697" s="3" t="str">
        <f t="shared" si="31"/>
        <v>E0080</v>
      </c>
      <c r="C697" t="s">
        <v>1010</v>
      </c>
      <c r="D697" s="3" t="str">
        <f>VLOOKUP(B697,Detail!$G$1:$H$1001,2,FALSE)</f>
        <v>Endah Utama</v>
      </c>
      <c r="E697">
        <v>65</v>
      </c>
      <c r="F697">
        <v>41</v>
      </c>
      <c r="G697" s="35">
        <v>92</v>
      </c>
      <c r="H697">
        <v>65</v>
      </c>
      <c r="I697">
        <v>62</v>
      </c>
      <c r="J697">
        <v>71</v>
      </c>
      <c r="K697">
        <v>80</v>
      </c>
      <c r="L697" s="26">
        <f>IFERROR(VLOOKUP(B697,Absen!$A$1:$C$501,2,FALSE),"No")</f>
        <v>44787</v>
      </c>
      <c r="M697" s="44">
        <f t="shared" si="29"/>
        <v>7</v>
      </c>
      <c r="N697" s="35">
        <f t="shared" si="30"/>
        <v>68.725000000000009</v>
      </c>
      <c r="O697" t="str">
        <f>VLOOKUP(N697,Helper!$B$30:$C$35,2,TRUE)</f>
        <v>C</v>
      </c>
      <c r="P697" s="26">
        <f>INDEX(Detail!$A$1:$A$1001,MATCH(B697,Detail!$G$1:$G$1001,0))</f>
        <v>37344</v>
      </c>
      <c r="Q697" s="3" t="str">
        <f>INDEX(Detail!$F$1:$F$1001,MATCH(Main!B697,Detail!$G$1:$G$1001,0))</f>
        <v>Tomohon</v>
      </c>
      <c r="R697" s="7">
        <f>INDEX(Detail!$C$1:$C$1001,MATCH(B697,Detail!$G$1:$G$1001,0),1)</f>
        <v>170</v>
      </c>
      <c r="S697" s="7">
        <f>INDEX(Detail!$D$1:$D$1001,MATCH(B697,Detail!$G$1:$G$1001,0),1)</f>
        <v>74</v>
      </c>
      <c r="T697" s="7" t="str">
        <f>INDEX(Detail!$E$1:$E$1001,MATCH(Main!B697,Detail!$G$1:$G$1001,0))</f>
        <v>Jl. Soekarno Hatta No. 82</v>
      </c>
      <c r="U697" s="7" t="str">
        <f>INDEX(Detail!$B$1:$B$1001,MATCH(B697,Detail!$G$1:$G$1001,0),1)</f>
        <v>A+</v>
      </c>
    </row>
    <row r="698" spans="1:21" ht="15.75" x14ac:dyDescent="0.25">
      <c r="A698">
        <v>81</v>
      </c>
      <c r="B698" s="3" t="str">
        <f t="shared" si="31"/>
        <v>E0081</v>
      </c>
      <c r="C698" t="s">
        <v>1010</v>
      </c>
      <c r="D698" s="3" t="str">
        <f>VLOOKUP(B698,Detail!$G$1:$H$1001,2,FALSE)</f>
        <v>Hana Usamah</v>
      </c>
      <c r="E698">
        <v>66</v>
      </c>
      <c r="F698">
        <v>59</v>
      </c>
      <c r="G698" s="35">
        <v>47</v>
      </c>
      <c r="H698">
        <v>73</v>
      </c>
      <c r="I698">
        <v>67</v>
      </c>
      <c r="J698">
        <v>93</v>
      </c>
      <c r="K698">
        <v>76</v>
      </c>
      <c r="L698" s="26" t="str">
        <f>IFERROR(VLOOKUP(B698,Absen!$A$1:$C$501,2,FALSE),"No")</f>
        <v>No</v>
      </c>
      <c r="M698" s="44">
        <f t="shared" si="29"/>
        <v>7.6000000000000005</v>
      </c>
      <c r="N698" s="35">
        <f t="shared" si="30"/>
        <v>68.724999999999994</v>
      </c>
      <c r="O698" t="str">
        <f>VLOOKUP(N698,Helper!$B$30:$C$35,2,TRUE)</f>
        <v>C</v>
      </c>
      <c r="P698" s="26">
        <f>INDEX(Detail!$A$1:$A$1001,MATCH(B698,Detail!$G$1:$G$1001,0))</f>
        <v>37963</v>
      </c>
      <c r="Q698" s="3" t="str">
        <f>INDEX(Detail!$F$1:$F$1001,MATCH(Main!B698,Detail!$G$1:$G$1001,0))</f>
        <v>Tangerang Selatan</v>
      </c>
      <c r="R698" s="7">
        <f>INDEX(Detail!$C$1:$C$1001,MATCH(B698,Detail!$G$1:$G$1001,0),1)</f>
        <v>175</v>
      </c>
      <c r="S698" s="7">
        <f>INDEX(Detail!$D$1:$D$1001,MATCH(B698,Detail!$G$1:$G$1001,0),1)</f>
        <v>64</v>
      </c>
      <c r="T698" s="7" t="str">
        <f>INDEX(Detail!$E$1:$E$1001,MATCH(Main!B698,Detail!$G$1:$G$1001,0))</f>
        <v>Gang Soekarno Hatta No. 75</v>
      </c>
      <c r="U698" s="7" t="str">
        <f>INDEX(Detail!$B$1:$B$1001,MATCH(B698,Detail!$G$1:$G$1001,0),1)</f>
        <v>A-</v>
      </c>
    </row>
    <row r="699" spans="1:21" ht="15.75" x14ac:dyDescent="0.25">
      <c r="A699">
        <v>89</v>
      </c>
      <c r="B699" s="3" t="str">
        <f t="shared" si="31"/>
        <v>E0089</v>
      </c>
      <c r="C699" t="s">
        <v>1010</v>
      </c>
      <c r="D699" s="3" t="str">
        <f>VLOOKUP(B699,Detail!$G$1:$H$1001,2,FALSE)</f>
        <v>Ganep Puspita</v>
      </c>
      <c r="E699">
        <v>74</v>
      </c>
      <c r="F699">
        <v>50</v>
      </c>
      <c r="G699" s="35">
        <v>84</v>
      </c>
      <c r="H699">
        <v>72</v>
      </c>
      <c r="I699">
        <v>56</v>
      </c>
      <c r="J699">
        <v>59</v>
      </c>
      <c r="K699">
        <v>60</v>
      </c>
      <c r="L699" s="26">
        <f>IFERROR(VLOOKUP(B699,Absen!$A$1:$C$501,2,FALSE),"No")</f>
        <v>44789</v>
      </c>
      <c r="M699" s="44">
        <f t="shared" si="29"/>
        <v>5</v>
      </c>
      <c r="N699" s="35">
        <f t="shared" si="30"/>
        <v>65.099999999999994</v>
      </c>
      <c r="O699" t="str">
        <f>VLOOKUP(N699,Helper!$B$30:$C$35,2,TRUE)</f>
        <v>C</v>
      </c>
      <c r="P699" s="26">
        <f>INDEX(Detail!$A$1:$A$1001,MATCH(B699,Detail!$G$1:$G$1001,0))</f>
        <v>38045</v>
      </c>
      <c r="Q699" s="3" t="str">
        <f>INDEX(Detail!$F$1:$F$1001,MATCH(Main!B699,Detail!$G$1:$G$1001,0))</f>
        <v>Semarang</v>
      </c>
      <c r="R699" s="7">
        <f>INDEX(Detail!$C$1:$C$1001,MATCH(B699,Detail!$G$1:$G$1001,0),1)</f>
        <v>179</v>
      </c>
      <c r="S699" s="7">
        <f>INDEX(Detail!$D$1:$D$1001,MATCH(B699,Detail!$G$1:$G$1001,0),1)</f>
        <v>50</v>
      </c>
      <c r="T699" s="7" t="str">
        <f>INDEX(Detail!$E$1:$E$1001,MATCH(Main!B699,Detail!$G$1:$G$1001,0))</f>
        <v xml:space="preserve">Jalan Yos Sudarso No. 5
</v>
      </c>
      <c r="U699" s="7" t="str">
        <f>INDEX(Detail!$B$1:$B$1001,MATCH(B699,Detail!$G$1:$G$1001,0),1)</f>
        <v>A+</v>
      </c>
    </row>
    <row r="700" spans="1:21" ht="15.75" x14ac:dyDescent="0.25">
      <c r="A700">
        <v>93</v>
      </c>
      <c r="B700" s="3" t="str">
        <f t="shared" si="31"/>
        <v>E0093</v>
      </c>
      <c r="C700" t="s">
        <v>1010</v>
      </c>
      <c r="D700" s="3" t="str">
        <f>VLOOKUP(B700,Detail!$G$1:$H$1001,2,FALSE)</f>
        <v>Yuliana Sihombing</v>
      </c>
      <c r="E700">
        <v>93</v>
      </c>
      <c r="F700">
        <v>59</v>
      </c>
      <c r="G700" s="35">
        <v>50</v>
      </c>
      <c r="H700">
        <v>67</v>
      </c>
      <c r="I700">
        <v>81</v>
      </c>
      <c r="J700">
        <v>72</v>
      </c>
      <c r="K700">
        <v>73</v>
      </c>
      <c r="L700" s="26" t="str">
        <f>IFERROR(VLOOKUP(B700,Absen!$A$1:$C$501,2,FALSE),"No")</f>
        <v>No</v>
      </c>
      <c r="M700" s="44">
        <f t="shared" si="29"/>
        <v>7.3000000000000007</v>
      </c>
      <c r="N700" s="35">
        <f t="shared" si="30"/>
        <v>69.2</v>
      </c>
      <c r="O700" t="str">
        <f>VLOOKUP(N700,Helper!$B$30:$C$35,2,TRUE)</f>
        <v>C</v>
      </c>
      <c r="P700" s="26">
        <f>INDEX(Detail!$A$1:$A$1001,MATCH(B700,Detail!$G$1:$G$1001,0))</f>
        <v>37968</v>
      </c>
      <c r="Q700" s="3" t="str">
        <f>INDEX(Detail!$F$1:$F$1001,MATCH(Main!B700,Detail!$G$1:$G$1001,0))</f>
        <v>Pariaman</v>
      </c>
      <c r="R700" s="7">
        <f>INDEX(Detail!$C$1:$C$1001,MATCH(B700,Detail!$G$1:$G$1001,0),1)</f>
        <v>180</v>
      </c>
      <c r="S700" s="7">
        <f>INDEX(Detail!$D$1:$D$1001,MATCH(B700,Detail!$G$1:$G$1001,0),1)</f>
        <v>55</v>
      </c>
      <c r="T700" s="7" t="str">
        <f>INDEX(Detail!$E$1:$E$1001,MATCH(Main!B700,Detail!$G$1:$G$1001,0))</f>
        <v>Jalan Sukabumi No. 33</v>
      </c>
      <c r="U700" s="7" t="str">
        <f>INDEX(Detail!$B$1:$B$1001,MATCH(B700,Detail!$G$1:$G$1001,0),1)</f>
        <v>B-</v>
      </c>
    </row>
    <row r="701" spans="1:21" ht="15.75" x14ac:dyDescent="0.25">
      <c r="A701">
        <v>104</v>
      </c>
      <c r="B701" s="3" t="str">
        <f t="shared" si="31"/>
        <v>E0104</v>
      </c>
      <c r="C701" t="s">
        <v>1010</v>
      </c>
      <c r="D701" s="3" t="str">
        <f>VLOOKUP(B701,Detail!$G$1:$H$1001,2,FALSE)</f>
        <v>Rusman Hakim</v>
      </c>
      <c r="E701">
        <v>87</v>
      </c>
      <c r="F701">
        <v>58</v>
      </c>
      <c r="G701" s="35">
        <v>60</v>
      </c>
      <c r="H701">
        <v>64</v>
      </c>
      <c r="I701">
        <v>62</v>
      </c>
      <c r="J701">
        <v>95</v>
      </c>
      <c r="K701">
        <v>77</v>
      </c>
      <c r="L701" s="26">
        <f>IFERROR(VLOOKUP(B701,Absen!$A$1:$C$501,2,FALSE),"No")</f>
        <v>44906</v>
      </c>
      <c r="M701" s="44">
        <f t="shared" si="29"/>
        <v>6.7</v>
      </c>
      <c r="N701" s="35">
        <f t="shared" si="30"/>
        <v>71.575000000000003</v>
      </c>
      <c r="O701" t="str">
        <f>VLOOKUP(N701,Helper!$B$30:$C$35,2,TRUE)</f>
        <v>B</v>
      </c>
      <c r="P701" s="26">
        <f>INDEX(Detail!$A$1:$A$1001,MATCH(B701,Detail!$G$1:$G$1001,0))</f>
        <v>37139</v>
      </c>
      <c r="Q701" s="3" t="str">
        <f>INDEX(Detail!$F$1:$F$1001,MATCH(Main!B701,Detail!$G$1:$G$1001,0))</f>
        <v>Tanjungpinang</v>
      </c>
      <c r="R701" s="7">
        <f>INDEX(Detail!$C$1:$C$1001,MATCH(B701,Detail!$G$1:$G$1001,0),1)</f>
        <v>166</v>
      </c>
      <c r="S701" s="7">
        <f>INDEX(Detail!$D$1:$D$1001,MATCH(B701,Detail!$G$1:$G$1001,0),1)</f>
        <v>90</v>
      </c>
      <c r="T701" s="7" t="str">
        <f>INDEX(Detail!$E$1:$E$1001,MATCH(Main!B701,Detail!$G$1:$G$1001,0))</f>
        <v>Gg. Surapati No. 93</v>
      </c>
      <c r="U701" s="7" t="str">
        <f>INDEX(Detail!$B$1:$B$1001,MATCH(B701,Detail!$G$1:$G$1001,0),1)</f>
        <v>O+</v>
      </c>
    </row>
    <row r="702" spans="1:21" ht="15.75" x14ac:dyDescent="0.25">
      <c r="A702">
        <v>106</v>
      </c>
      <c r="B702" s="3" t="str">
        <f t="shared" si="31"/>
        <v>E0106</v>
      </c>
      <c r="C702" t="s">
        <v>1010</v>
      </c>
      <c r="D702" s="3" t="str">
        <f>VLOOKUP(B702,Detail!$G$1:$H$1001,2,FALSE)</f>
        <v>Ibrahim Wijaya</v>
      </c>
      <c r="E702">
        <v>51</v>
      </c>
      <c r="F702">
        <v>72</v>
      </c>
      <c r="G702" s="35">
        <v>55</v>
      </c>
      <c r="H702">
        <v>58</v>
      </c>
      <c r="I702">
        <v>65</v>
      </c>
      <c r="J702">
        <v>85</v>
      </c>
      <c r="K702">
        <v>89</v>
      </c>
      <c r="L702" s="26" t="str">
        <f>IFERROR(VLOOKUP(B702,Absen!$A$1:$C$501,2,FALSE),"No")</f>
        <v>No</v>
      </c>
      <c r="M702" s="44">
        <f t="shared" si="29"/>
        <v>8.9</v>
      </c>
      <c r="N702" s="35">
        <f t="shared" si="30"/>
        <v>67.650000000000006</v>
      </c>
      <c r="O702" t="str">
        <f>VLOOKUP(N702,Helper!$B$30:$C$35,2,TRUE)</f>
        <v>C</v>
      </c>
      <c r="P702" s="26">
        <f>INDEX(Detail!$A$1:$A$1001,MATCH(B702,Detail!$G$1:$G$1001,0))</f>
        <v>38253</v>
      </c>
      <c r="Q702" s="3" t="str">
        <f>INDEX(Detail!$F$1:$F$1001,MATCH(Main!B702,Detail!$G$1:$G$1001,0))</f>
        <v>Sabang</v>
      </c>
      <c r="R702" s="7">
        <f>INDEX(Detail!$C$1:$C$1001,MATCH(B702,Detail!$G$1:$G$1001,0),1)</f>
        <v>168</v>
      </c>
      <c r="S702" s="7">
        <f>INDEX(Detail!$D$1:$D$1001,MATCH(B702,Detail!$G$1:$G$1001,0),1)</f>
        <v>87</v>
      </c>
      <c r="T702" s="7" t="str">
        <f>INDEX(Detail!$E$1:$E$1001,MATCH(Main!B702,Detail!$G$1:$G$1001,0))</f>
        <v>Gg. Pasteur No. 57</v>
      </c>
      <c r="U702" s="7" t="str">
        <f>INDEX(Detail!$B$1:$B$1001,MATCH(B702,Detail!$G$1:$G$1001,0),1)</f>
        <v>AB-</v>
      </c>
    </row>
    <row r="703" spans="1:21" ht="15.75" x14ac:dyDescent="0.25">
      <c r="A703">
        <v>107</v>
      </c>
      <c r="B703" s="3" t="str">
        <f t="shared" si="31"/>
        <v>E0107</v>
      </c>
      <c r="C703" t="s">
        <v>1010</v>
      </c>
      <c r="D703" s="3" t="str">
        <f>VLOOKUP(B703,Detail!$G$1:$H$1001,2,FALSE)</f>
        <v>Ibun Setiawan</v>
      </c>
      <c r="E703">
        <v>62</v>
      </c>
      <c r="F703">
        <v>47</v>
      </c>
      <c r="G703" s="35">
        <v>30</v>
      </c>
      <c r="H703">
        <v>71</v>
      </c>
      <c r="I703">
        <v>73</v>
      </c>
      <c r="J703">
        <v>76</v>
      </c>
      <c r="K703">
        <v>76</v>
      </c>
      <c r="L703" s="26">
        <f>IFERROR(VLOOKUP(B703,Absen!$A$1:$C$501,2,FALSE),"No")</f>
        <v>44830</v>
      </c>
      <c r="M703" s="44">
        <f t="shared" si="29"/>
        <v>6.6000000000000005</v>
      </c>
      <c r="N703" s="35">
        <f t="shared" si="30"/>
        <v>59.425000000000004</v>
      </c>
      <c r="O703" t="str">
        <f>VLOOKUP(N703,Helper!$B$30:$C$35,2,TRUE)</f>
        <v>D</v>
      </c>
      <c r="P703" s="26">
        <f>INDEX(Detail!$A$1:$A$1001,MATCH(B703,Detail!$G$1:$G$1001,0))</f>
        <v>38152</v>
      </c>
      <c r="Q703" s="3" t="str">
        <f>INDEX(Detail!$F$1:$F$1001,MATCH(Main!B703,Detail!$G$1:$G$1001,0))</f>
        <v>Yogyakarta</v>
      </c>
      <c r="R703" s="7">
        <f>INDEX(Detail!$C$1:$C$1001,MATCH(B703,Detail!$G$1:$G$1001,0),1)</f>
        <v>159</v>
      </c>
      <c r="S703" s="7">
        <f>INDEX(Detail!$D$1:$D$1001,MATCH(B703,Detail!$G$1:$G$1001,0),1)</f>
        <v>47</v>
      </c>
      <c r="T703" s="7" t="str">
        <f>INDEX(Detail!$E$1:$E$1001,MATCH(Main!B703,Detail!$G$1:$G$1001,0))</f>
        <v>Jl. Kiaracondong No. 29</v>
      </c>
      <c r="U703" s="7" t="str">
        <f>INDEX(Detail!$B$1:$B$1001,MATCH(B703,Detail!$G$1:$G$1001,0),1)</f>
        <v>O-</v>
      </c>
    </row>
    <row r="704" spans="1:21" ht="15.75" x14ac:dyDescent="0.25">
      <c r="A704">
        <v>108</v>
      </c>
      <c r="B704" s="3" t="str">
        <f t="shared" si="31"/>
        <v>E0108</v>
      </c>
      <c r="C704" t="s">
        <v>1010</v>
      </c>
      <c r="D704" s="3" t="str">
        <f>VLOOKUP(B704,Detail!$G$1:$H$1001,2,FALSE)</f>
        <v>Kemal Prabowo</v>
      </c>
      <c r="E704">
        <v>72</v>
      </c>
      <c r="F704">
        <v>47</v>
      </c>
      <c r="G704" s="35">
        <v>69</v>
      </c>
      <c r="H704">
        <v>64</v>
      </c>
      <c r="I704">
        <v>77</v>
      </c>
      <c r="J704">
        <v>42</v>
      </c>
      <c r="K704">
        <v>63</v>
      </c>
      <c r="L704" s="26" t="str">
        <f>IFERROR(VLOOKUP(B704,Absen!$A$1:$C$501,2,FALSE),"No")</f>
        <v>No</v>
      </c>
      <c r="M704" s="44">
        <f t="shared" si="29"/>
        <v>6.3000000000000007</v>
      </c>
      <c r="N704" s="35">
        <f t="shared" si="30"/>
        <v>61</v>
      </c>
      <c r="O704" t="str">
        <f>VLOOKUP(N704,Helper!$B$30:$C$35,2,TRUE)</f>
        <v>C</v>
      </c>
      <c r="P704" s="26">
        <f>INDEX(Detail!$A$1:$A$1001,MATCH(B704,Detail!$G$1:$G$1001,0))</f>
        <v>37681</v>
      </c>
      <c r="Q704" s="3" t="str">
        <f>INDEX(Detail!$F$1:$F$1001,MATCH(Main!B704,Detail!$G$1:$G$1001,0))</f>
        <v>Banda Aceh</v>
      </c>
      <c r="R704" s="7">
        <f>INDEX(Detail!$C$1:$C$1001,MATCH(B704,Detail!$G$1:$G$1001,0),1)</f>
        <v>151</v>
      </c>
      <c r="S704" s="7">
        <f>INDEX(Detail!$D$1:$D$1001,MATCH(B704,Detail!$G$1:$G$1001,0),1)</f>
        <v>59</v>
      </c>
      <c r="T704" s="7" t="str">
        <f>INDEX(Detail!$E$1:$E$1001,MATCH(Main!B704,Detail!$G$1:$G$1001,0))</f>
        <v>Gang Gegerkalong Hilir No. 66</v>
      </c>
      <c r="U704" s="7" t="str">
        <f>INDEX(Detail!$B$1:$B$1001,MATCH(B704,Detail!$G$1:$G$1001,0),1)</f>
        <v>A+</v>
      </c>
    </row>
    <row r="705" spans="1:21" ht="15.75" x14ac:dyDescent="0.25">
      <c r="A705">
        <v>115</v>
      </c>
      <c r="B705" s="3" t="str">
        <f t="shared" si="31"/>
        <v>E0115</v>
      </c>
      <c r="C705" t="s">
        <v>1010</v>
      </c>
      <c r="D705" s="3" t="str">
        <f>VLOOKUP(B705,Detail!$G$1:$H$1001,2,FALSE)</f>
        <v>Janet Gunawan</v>
      </c>
      <c r="E705">
        <v>64</v>
      </c>
      <c r="F705">
        <v>42</v>
      </c>
      <c r="G705" s="35">
        <v>60</v>
      </c>
      <c r="H705">
        <v>55</v>
      </c>
      <c r="I705">
        <v>71</v>
      </c>
      <c r="J705">
        <v>63</v>
      </c>
      <c r="K705">
        <v>85</v>
      </c>
      <c r="L705" s="26">
        <f>IFERROR(VLOOKUP(B705,Absen!$A$1:$C$501,2,FALSE),"No")</f>
        <v>44843</v>
      </c>
      <c r="M705" s="44">
        <f t="shared" si="29"/>
        <v>7.5</v>
      </c>
      <c r="N705" s="35">
        <f t="shared" si="30"/>
        <v>61.1</v>
      </c>
      <c r="O705" t="str">
        <f>VLOOKUP(N705,Helper!$B$30:$C$35,2,TRUE)</f>
        <v>C</v>
      </c>
      <c r="P705" s="26">
        <f>INDEX(Detail!$A$1:$A$1001,MATCH(B705,Detail!$G$1:$G$1001,0))</f>
        <v>38466</v>
      </c>
      <c r="Q705" s="3" t="str">
        <f>INDEX(Detail!$F$1:$F$1001,MATCH(Main!B705,Detail!$G$1:$G$1001,0))</f>
        <v>Tangerang Selatan</v>
      </c>
      <c r="R705" s="7">
        <f>INDEX(Detail!$C$1:$C$1001,MATCH(B705,Detail!$G$1:$G$1001,0),1)</f>
        <v>159</v>
      </c>
      <c r="S705" s="7">
        <f>INDEX(Detail!$D$1:$D$1001,MATCH(B705,Detail!$G$1:$G$1001,0),1)</f>
        <v>51</v>
      </c>
      <c r="T705" s="7" t="str">
        <f>INDEX(Detail!$E$1:$E$1001,MATCH(Main!B705,Detail!$G$1:$G$1001,0))</f>
        <v xml:space="preserve">Gang Joyoboyo No. 6
</v>
      </c>
      <c r="U705" s="7" t="str">
        <f>INDEX(Detail!$B$1:$B$1001,MATCH(B705,Detail!$G$1:$G$1001,0),1)</f>
        <v>A-</v>
      </c>
    </row>
    <row r="706" spans="1:21" ht="15.75" x14ac:dyDescent="0.25">
      <c r="A706">
        <v>119</v>
      </c>
      <c r="B706" s="3" t="str">
        <f t="shared" si="31"/>
        <v>E0119</v>
      </c>
      <c r="C706" t="s">
        <v>1010</v>
      </c>
      <c r="D706" s="3" t="str">
        <f>VLOOKUP(B706,Detail!$G$1:$H$1001,2,FALSE)</f>
        <v>Saadat Pratiwi</v>
      </c>
      <c r="E706">
        <v>78</v>
      </c>
      <c r="F706">
        <v>50</v>
      </c>
      <c r="G706" s="35">
        <v>51</v>
      </c>
      <c r="H706">
        <v>50</v>
      </c>
      <c r="I706">
        <v>70</v>
      </c>
      <c r="J706">
        <v>67</v>
      </c>
      <c r="K706">
        <v>68</v>
      </c>
      <c r="L706" s="26" t="str">
        <f>IFERROR(VLOOKUP(B706,Absen!$A$1:$C$501,2,FALSE),"No")</f>
        <v>No</v>
      </c>
      <c r="M706" s="44">
        <f t="shared" ref="M706:M769" si="32">IF(L706="no",K706,K706-10)*10%</f>
        <v>6.8000000000000007</v>
      </c>
      <c r="N706" s="35">
        <f t="shared" ref="N706:N769" si="33">SUM(E706*12.5%,F706*12.5%,H706*12.5%,I706*12.5%,G706*20%,J706*20%,M706)</f>
        <v>61.400000000000006</v>
      </c>
      <c r="O706" t="str">
        <f>VLOOKUP(N706,Helper!$B$30:$C$35,2,TRUE)</f>
        <v>C</v>
      </c>
      <c r="P706" s="26">
        <f>INDEX(Detail!$A$1:$A$1001,MATCH(B706,Detail!$G$1:$G$1001,0))</f>
        <v>37116</v>
      </c>
      <c r="Q706" s="3" t="str">
        <f>INDEX(Detail!$F$1:$F$1001,MATCH(Main!B706,Detail!$G$1:$G$1001,0))</f>
        <v>Solok</v>
      </c>
      <c r="R706" s="7">
        <f>INDEX(Detail!$C$1:$C$1001,MATCH(B706,Detail!$G$1:$G$1001,0),1)</f>
        <v>153</v>
      </c>
      <c r="S706" s="7">
        <f>INDEX(Detail!$D$1:$D$1001,MATCH(B706,Detail!$G$1:$G$1001,0),1)</f>
        <v>95</v>
      </c>
      <c r="T706" s="7" t="str">
        <f>INDEX(Detail!$E$1:$E$1001,MATCH(Main!B706,Detail!$G$1:$G$1001,0))</f>
        <v>Gang Joyoboyo No. 21</v>
      </c>
      <c r="U706" s="7" t="str">
        <f>INDEX(Detail!$B$1:$B$1001,MATCH(B706,Detail!$G$1:$G$1001,0),1)</f>
        <v>O+</v>
      </c>
    </row>
    <row r="707" spans="1:21" ht="15.75" x14ac:dyDescent="0.25">
      <c r="A707">
        <v>123</v>
      </c>
      <c r="B707" s="3" t="str">
        <f t="shared" si="31"/>
        <v>E0123</v>
      </c>
      <c r="C707" t="s">
        <v>1010</v>
      </c>
      <c r="D707" s="3" t="str">
        <f>VLOOKUP(B707,Detail!$G$1:$H$1001,2,FALSE)</f>
        <v>Maryanto Nugroho</v>
      </c>
      <c r="E707">
        <v>85</v>
      </c>
      <c r="F707">
        <v>67</v>
      </c>
      <c r="G707" s="35">
        <v>47</v>
      </c>
      <c r="H707">
        <v>54</v>
      </c>
      <c r="I707">
        <v>71</v>
      </c>
      <c r="J707">
        <v>63</v>
      </c>
      <c r="K707">
        <v>75</v>
      </c>
      <c r="L707" s="26" t="str">
        <f>IFERROR(VLOOKUP(B707,Absen!$A$1:$C$501,2,FALSE),"No")</f>
        <v>No</v>
      </c>
      <c r="M707" s="44">
        <f t="shared" si="32"/>
        <v>7.5</v>
      </c>
      <c r="N707" s="35">
        <f t="shared" si="33"/>
        <v>64.125</v>
      </c>
      <c r="O707" t="str">
        <f>VLOOKUP(N707,Helper!$B$30:$C$35,2,TRUE)</f>
        <v>C</v>
      </c>
      <c r="P707" s="26">
        <f>INDEX(Detail!$A$1:$A$1001,MATCH(B707,Detail!$G$1:$G$1001,0))</f>
        <v>37173</v>
      </c>
      <c r="Q707" s="3" t="str">
        <f>INDEX(Detail!$F$1:$F$1001,MATCH(Main!B707,Detail!$G$1:$G$1001,0))</f>
        <v>Tegal</v>
      </c>
      <c r="R707" s="7">
        <f>INDEX(Detail!$C$1:$C$1001,MATCH(B707,Detail!$G$1:$G$1001,0),1)</f>
        <v>159</v>
      </c>
      <c r="S707" s="7">
        <f>INDEX(Detail!$D$1:$D$1001,MATCH(B707,Detail!$G$1:$G$1001,0),1)</f>
        <v>75</v>
      </c>
      <c r="T707" s="7" t="str">
        <f>INDEX(Detail!$E$1:$E$1001,MATCH(Main!B707,Detail!$G$1:$G$1001,0))</f>
        <v xml:space="preserve">Gang PHH. Mustofa No. 8
</v>
      </c>
      <c r="U707" s="7" t="str">
        <f>INDEX(Detail!$B$1:$B$1001,MATCH(B707,Detail!$G$1:$G$1001,0),1)</f>
        <v>O+</v>
      </c>
    </row>
    <row r="708" spans="1:21" ht="15.75" x14ac:dyDescent="0.25">
      <c r="A708">
        <v>143</v>
      </c>
      <c r="B708" s="3" t="str">
        <f t="shared" si="31"/>
        <v>E0143</v>
      </c>
      <c r="C708" t="s">
        <v>1010</v>
      </c>
      <c r="D708" s="3" t="str">
        <f>VLOOKUP(B708,Detail!$G$1:$H$1001,2,FALSE)</f>
        <v>Tiara Wijayanti</v>
      </c>
      <c r="E708">
        <v>89</v>
      </c>
      <c r="F708">
        <v>46</v>
      </c>
      <c r="G708" s="35">
        <v>74</v>
      </c>
      <c r="H708">
        <v>74</v>
      </c>
      <c r="I708">
        <v>78</v>
      </c>
      <c r="J708">
        <v>93</v>
      </c>
      <c r="K708">
        <v>80</v>
      </c>
      <c r="L708" s="26" t="str">
        <f>IFERROR(VLOOKUP(B708,Absen!$A$1:$C$501,2,FALSE),"No")</f>
        <v>No</v>
      </c>
      <c r="M708" s="44">
        <f t="shared" si="32"/>
        <v>8</v>
      </c>
      <c r="N708" s="35">
        <f t="shared" si="33"/>
        <v>77.275000000000006</v>
      </c>
      <c r="O708" t="str">
        <f>VLOOKUP(N708,Helper!$B$30:$C$35,2,TRUE)</f>
        <v>B</v>
      </c>
      <c r="P708" s="26">
        <f>INDEX(Detail!$A$1:$A$1001,MATCH(B708,Detail!$G$1:$G$1001,0))</f>
        <v>37084</v>
      </c>
      <c r="Q708" s="3" t="str">
        <f>INDEX(Detail!$F$1:$F$1001,MATCH(Main!B708,Detail!$G$1:$G$1001,0))</f>
        <v>Subulussalam</v>
      </c>
      <c r="R708" s="7">
        <f>INDEX(Detail!$C$1:$C$1001,MATCH(B708,Detail!$G$1:$G$1001,0),1)</f>
        <v>156</v>
      </c>
      <c r="S708" s="7">
        <f>INDEX(Detail!$D$1:$D$1001,MATCH(B708,Detail!$G$1:$G$1001,0),1)</f>
        <v>78</v>
      </c>
      <c r="T708" s="7" t="str">
        <f>INDEX(Detail!$E$1:$E$1001,MATCH(Main!B708,Detail!$G$1:$G$1001,0))</f>
        <v xml:space="preserve">Gg. K.H. Wahid Hasyim No. 4
</v>
      </c>
      <c r="U708" s="7" t="str">
        <f>INDEX(Detail!$B$1:$B$1001,MATCH(B708,Detail!$G$1:$G$1001,0),1)</f>
        <v>O-</v>
      </c>
    </row>
    <row r="709" spans="1:21" ht="15.75" x14ac:dyDescent="0.25">
      <c r="A709">
        <v>145</v>
      </c>
      <c r="B709" s="3" t="str">
        <f t="shared" si="31"/>
        <v>E0145</v>
      </c>
      <c r="C709" t="s">
        <v>1010</v>
      </c>
      <c r="D709" s="3" t="str">
        <f>VLOOKUP(B709,Detail!$G$1:$H$1001,2,FALSE)</f>
        <v>Elma Mayasari</v>
      </c>
      <c r="E709">
        <v>56</v>
      </c>
      <c r="F709">
        <v>69</v>
      </c>
      <c r="G709" s="35">
        <v>57</v>
      </c>
      <c r="H709">
        <v>60</v>
      </c>
      <c r="I709">
        <v>84</v>
      </c>
      <c r="J709">
        <v>60</v>
      </c>
      <c r="K709">
        <v>73</v>
      </c>
      <c r="L709" s="26" t="str">
        <f>IFERROR(VLOOKUP(B709,Absen!$A$1:$C$501,2,FALSE),"No")</f>
        <v>No</v>
      </c>
      <c r="M709" s="44">
        <f t="shared" si="32"/>
        <v>7.3000000000000007</v>
      </c>
      <c r="N709" s="35">
        <f t="shared" si="33"/>
        <v>64.325000000000003</v>
      </c>
      <c r="O709" t="str">
        <f>VLOOKUP(N709,Helper!$B$30:$C$35,2,TRUE)</f>
        <v>C</v>
      </c>
      <c r="P709" s="26">
        <f>INDEX(Detail!$A$1:$A$1001,MATCH(B709,Detail!$G$1:$G$1001,0))</f>
        <v>38148</v>
      </c>
      <c r="Q709" s="3" t="str">
        <f>INDEX(Detail!$F$1:$F$1001,MATCH(Main!B709,Detail!$G$1:$G$1001,0))</f>
        <v>Mataram</v>
      </c>
      <c r="R709" s="7">
        <f>INDEX(Detail!$C$1:$C$1001,MATCH(B709,Detail!$G$1:$G$1001,0),1)</f>
        <v>175</v>
      </c>
      <c r="S709" s="7">
        <f>INDEX(Detail!$D$1:$D$1001,MATCH(B709,Detail!$G$1:$G$1001,0),1)</f>
        <v>91</v>
      </c>
      <c r="T709" s="7" t="str">
        <f>INDEX(Detail!$E$1:$E$1001,MATCH(Main!B709,Detail!$G$1:$G$1001,0))</f>
        <v>Jalan Otto Iskandardinata No. 85</v>
      </c>
      <c r="U709" s="7" t="str">
        <f>INDEX(Detail!$B$1:$B$1001,MATCH(B709,Detail!$G$1:$G$1001,0),1)</f>
        <v>B-</v>
      </c>
    </row>
    <row r="710" spans="1:21" ht="15.75" x14ac:dyDescent="0.25">
      <c r="A710">
        <v>146</v>
      </c>
      <c r="B710" s="3" t="str">
        <f t="shared" si="31"/>
        <v>E0146</v>
      </c>
      <c r="C710" t="s">
        <v>1010</v>
      </c>
      <c r="D710" s="3" t="str">
        <f>VLOOKUP(B710,Detail!$G$1:$H$1001,2,FALSE)</f>
        <v>Lili Hastuti</v>
      </c>
      <c r="E710">
        <v>51</v>
      </c>
      <c r="F710">
        <v>56</v>
      </c>
      <c r="G710" s="35">
        <v>75</v>
      </c>
      <c r="H710">
        <v>50</v>
      </c>
      <c r="I710">
        <v>92</v>
      </c>
      <c r="J710">
        <v>47</v>
      </c>
      <c r="K710">
        <v>65</v>
      </c>
      <c r="L710" s="26" t="str">
        <f>IFERROR(VLOOKUP(B710,Absen!$A$1:$C$501,2,FALSE),"No")</f>
        <v>No</v>
      </c>
      <c r="M710" s="44">
        <f t="shared" si="32"/>
        <v>6.5</v>
      </c>
      <c r="N710" s="35">
        <f t="shared" si="33"/>
        <v>62.024999999999999</v>
      </c>
      <c r="O710" t="str">
        <f>VLOOKUP(N710,Helper!$B$30:$C$35,2,TRUE)</f>
        <v>C</v>
      </c>
      <c r="P710" s="26">
        <f>INDEX(Detail!$A$1:$A$1001,MATCH(B710,Detail!$G$1:$G$1001,0))</f>
        <v>37574</v>
      </c>
      <c r="Q710" s="3" t="str">
        <f>INDEX(Detail!$F$1:$F$1001,MATCH(Main!B710,Detail!$G$1:$G$1001,0))</f>
        <v>Padang Sidempuan</v>
      </c>
      <c r="R710" s="7">
        <f>INDEX(Detail!$C$1:$C$1001,MATCH(B710,Detail!$G$1:$G$1001,0),1)</f>
        <v>158</v>
      </c>
      <c r="S710" s="7">
        <f>INDEX(Detail!$D$1:$D$1001,MATCH(B710,Detail!$G$1:$G$1001,0),1)</f>
        <v>92</v>
      </c>
      <c r="T710" s="7" t="str">
        <f>INDEX(Detail!$E$1:$E$1001,MATCH(Main!B710,Detail!$G$1:$G$1001,0))</f>
        <v>Gg. Cempaka No. 99</v>
      </c>
      <c r="U710" s="7" t="str">
        <f>INDEX(Detail!$B$1:$B$1001,MATCH(B710,Detail!$G$1:$G$1001,0),1)</f>
        <v>O-</v>
      </c>
    </row>
    <row r="711" spans="1:21" ht="15.75" x14ac:dyDescent="0.25">
      <c r="A711">
        <v>152</v>
      </c>
      <c r="B711" s="3" t="str">
        <f t="shared" si="31"/>
        <v>E0152</v>
      </c>
      <c r="C711" t="s">
        <v>1010</v>
      </c>
      <c r="D711" s="3" t="str">
        <f>VLOOKUP(B711,Detail!$G$1:$H$1001,2,FALSE)</f>
        <v>Kasusra Rahimah</v>
      </c>
      <c r="E711">
        <v>66</v>
      </c>
      <c r="F711">
        <v>55</v>
      </c>
      <c r="G711" s="35">
        <v>91</v>
      </c>
      <c r="H711">
        <v>71</v>
      </c>
      <c r="I711">
        <v>74</v>
      </c>
      <c r="J711">
        <v>84</v>
      </c>
      <c r="K711">
        <v>87</v>
      </c>
      <c r="L711" s="26" t="str">
        <f>IFERROR(VLOOKUP(B711,Absen!$A$1:$C$501,2,FALSE),"No")</f>
        <v>No</v>
      </c>
      <c r="M711" s="44">
        <f t="shared" si="32"/>
        <v>8.7000000000000011</v>
      </c>
      <c r="N711" s="35">
        <f t="shared" si="33"/>
        <v>76.95</v>
      </c>
      <c r="O711" t="str">
        <f>VLOOKUP(N711,Helper!$B$30:$C$35,2,TRUE)</f>
        <v>B</v>
      </c>
      <c r="P711" s="26">
        <f>INDEX(Detail!$A$1:$A$1001,MATCH(B711,Detail!$G$1:$G$1001,0))</f>
        <v>37703</v>
      </c>
      <c r="Q711" s="3" t="str">
        <f>INDEX(Detail!$F$1:$F$1001,MATCH(Main!B711,Detail!$G$1:$G$1001,0))</f>
        <v>Serang</v>
      </c>
      <c r="R711" s="7">
        <f>INDEX(Detail!$C$1:$C$1001,MATCH(B711,Detail!$G$1:$G$1001,0),1)</f>
        <v>168</v>
      </c>
      <c r="S711" s="7">
        <f>INDEX(Detail!$D$1:$D$1001,MATCH(B711,Detail!$G$1:$G$1001,0),1)</f>
        <v>64</v>
      </c>
      <c r="T711" s="7" t="str">
        <f>INDEX(Detail!$E$1:$E$1001,MATCH(Main!B711,Detail!$G$1:$G$1001,0))</f>
        <v xml:space="preserve">Gg. Cikutra Timur No. 7
</v>
      </c>
      <c r="U711" s="7" t="str">
        <f>INDEX(Detail!$B$1:$B$1001,MATCH(B711,Detail!$G$1:$G$1001,0),1)</f>
        <v>O-</v>
      </c>
    </row>
    <row r="712" spans="1:21" ht="15.75" x14ac:dyDescent="0.25">
      <c r="A712">
        <v>159</v>
      </c>
      <c r="B712" s="3" t="str">
        <f t="shared" si="31"/>
        <v>E0159</v>
      </c>
      <c r="C712" t="s">
        <v>1010</v>
      </c>
      <c r="D712" s="3" t="str">
        <f>VLOOKUP(B712,Detail!$G$1:$H$1001,2,FALSE)</f>
        <v>Hesti Agustina</v>
      </c>
      <c r="E712">
        <v>88</v>
      </c>
      <c r="F712">
        <v>59</v>
      </c>
      <c r="G712" s="35">
        <v>89</v>
      </c>
      <c r="H712">
        <v>53</v>
      </c>
      <c r="I712">
        <v>72</v>
      </c>
      <c r="J712">
        <v>74</v>
      </c>
      <c r="K712">
        <v>78</v>
      </c>
      <c r="L712" s="26">
        <f>IFERROR(VLOOKUP(B712,Absen!$A$1:$C$501,2,FALSE),"No")</f>
        <v>44857</v>
      </c>
      <c r="M712" s="44">
        <f t="shared" si="32"/>
        <v>6.8000000000000007</v>
      </c>
      <c r="N712" s="35">
        <f t="shared" si="33"/>
        <v>73.399999999999991</v>
      </c>
      <c r="O712" t="str">
        <f>VLOOKUP(N712,Helper!$B$30:$C$35,2,TRUE)</f>
        <v>B</v>
      </c>
      <c r="P712" s="26">
        <f>INDEX(Detail!$A$1:$A$1001,MATCH(B712,Detail!$G$1:$G$1001,0))</f>
        <v>37857</v>
      </c>
      <c r="Q712" s="3" t="str">
        <f>INDEX(Detail!$F$1:$F$1001,MATCH(Main!B712,Detail!$G$1:$G$1001,0))</f>
        <v>Tebingtinggi</v>
      </c>
      <c r="R712" s="7">
        <f>INDEX(Detail!$C$1:$C$1001,MATCH(B712,Detail!$G$1:$G$1001,0),1)</f>
        <v>151</v>
      </c>
      <c r="S712" s="7">
        <f>INDEX(Detail!$D$1:$D$1001,MATCH(B712,Detail!$G$1:$G$1001,0),1)</f>
        <v>85</v>
      </c>
      <c r="T712" s="7" t="str">
        <f>INDEX(Detail!$E$1:$E$1001,MATCH(Main!B712,Detail!$G$1:$G$1001,0))</f>
        <v>Gg. PHH. Mustofa No. 87</v>
      </c>
      <c r="U712" s="7" t="str">
        <f>INDEX(Detail!$B$1:$B$1001,MATCH(B712,Detail!$G$1:$G$1001,0),1)</f>
        <v>O+</v>
      </c>
    </row>
    <row r="713" spans="1:21" ht="15.75" x14ac:dyDescent="0.25">
      <c r="A713">
        <v>161</v>
      </c>
      <c r="B713" s="3" t="str">
        <f t="shared" si="31"/>
        <v>E0161</v>
      </c>
      <c r="C713" t="s">
        <v>1010</v>
      </c>
      <c r="D713" s="3" t="str">
        <f>VLOOKUP(B713,Detail!$G$1:$H$1001,2,FALSE)</f>
        <v>Halim Halimah</v>
      </c>
      <c r="E713">
        <v>80</v>
      </c>
      <c r="F713">
        <v>68</v>
      </c>
      <c r="G713" s="35">
        <v>39</v>
      </c>
      <c r="H713">
        <v>62</v>
      </c>
      <c r="I713">
        <v>88</v>
      </c>
      <c r="J713">
        <v>75</v>
      </c>
      <c r="K713">
        <v>82</v>
      </c>
      <c r="L713" s="26">
        <f>IFERROR(VLOOKUP(B713,Absen!$A$1:$C$501,2,FALSE),"No")</f>
        <v>44796</v>
      </c>
      <c r="M713" s="44">
        <f t="shared" si="32"/>
        <v>7.2</v>
      </c>
      <c r="N713" s="35">
        <f t="shared" si="33"/>
        <v>67.25</v>
      </c>
      <c r="O713" t="str">
        <f>VLOOKUP(N713,Helper!$B$30:$C$35,2,TRUE)</f>
        <v>C</v>
      </c>
      <c r="P713" s="26">
        <f>INDEX(Detail!$A$1:$A$1001,MATCH(B713,Detail!$G$1:$G$1001,0))</f>
        <v>37483</v>
      </c>
      <c r="Q713" s="3" t="str">
        <f>INDEX(Detail!$F$1:$F$1001,MATCH(Main!B713,Detail!$G$1:$G$1001,0))</f>
        <v>Pasuruan</v>
      </c>
      <c r="R713" s="7">
        <f>INDEX(Detail!$C$1:$C$1001,MATCH(B713,Detail!$G$1:$G$1001,0),1)</f>
        <v>159</v>
      </c>
      <c r="S713" s="7">
        <f>INDEX(Detail!$D$1:$D$1001,MATCH(B713,Detail!$G$1:$G$1001,0),1)</f>
        <v>65</v>
      </c>
      <c r="T713" s="7" t="str">
        <f>INDEX(Detail!$E$1:$E$1001,MATCH(Main!B713,Detail!$G$1:$G$1001,0))</f>
        <v>Gang Sadang Serang No. 63</v>
      </c>
      <c r="U713" s="7" t="str">
        <f>INDEX(Detail!$B$1:$B$1001,MATCH(B713,Detail!$G$1:$G$1001,0),1)</f>
        <v>B-</v>
      </c>
    </row>
    <row r="714" spans="1:21" ht="15.75" x14ac:dyDescent="0.25">
      <c r="A714">
        <v>175</v>
      </c>
      <c r="B714" s="3" t="str">
        <f t="shared" si="31"/>
        <v>E0175</v>
      </c>
      <c r="C714" t="s">
        <v>1010</v>
      </c>
      <c r="D714" s="3" t="str">
        <f>VLOOKUP(B714,Detail!$G$1:$H$1001,2,FALSE)</f>
        <v>Darmaji Zulaika</v>
      </c>
      <c r="E714">
        <v>68</v>
      </c>
      <c r="F714">
        <v>43</v>
      </c>
      <c r="G714" s="35">
        <v>46</v>
      </c>
      <c r="H714">
        <v>75</v>
      </c>
      <c r="I714">
        <v>66</v>
      </c>
      <c r="J714">
        <v>54</v>
      </c>
      <c r="K714">
        <v>68</v>
      </c>
      <c r="L714" s="26" t="str">
        <f>IFERROR(VLOOKUP(B714,Absen!$A$1:$C$501,2,FALSE),"No")</f>
        <v>No</v>
      </c>
      <c r="M714" s="44">
        <f t="shared" si="32"/>
        <v>6.8000000000000007</v>
      </c>
      <c r="N714" s="35">
        <f t="shared" si="33"/>
        <v>58.3</v>
      </c>
      <c r="O714" t="str">
        <f>VLOOKUP(N714,Helper!$B$30:$C$35,2,TRUE)</f>
        <v>D</v>
      </c>
      <c r="P714" s="26">
        <f>INDEX(Detail!$A$1:$A$1001,MATCH(B714,Detail!$G$1:$G$1001,0))</f>
        <v>37016</v>
      </c>
      <c r="Q714" s="3" t="str">
        <f>INDEX(Detail!$F$1:$F$1001,MATCH(Main!B714,Detail!$G$1:$G$1001,0))</f>
        <v>Gorontalo</v>
      </c>
      <c r="R714" s="7">
        <f>INDEX(Detail!$C$1:$C$1001,MATCH(B714,Detail!$G$1:$G$1001,0),1)</f>
        <v>168</v>
      </c>
      <c r="S714" s="7">
        <f>INDEX(Detail!$D$1:$D$1001,MATCH(B714,Detail!$G$1:$G$1001,0),1)</f>
        <v>90</v>
      </c>
      <c r="T714" s="7" t="str">
        <f>INDEX(Detail!$E$1:$E$1001,MATCH(Main!B714,Detail!$G$1:$G$1001,0))</f>
        <v>Gang Monginsidi No. 08</v>
      </c>
      <c r="U714" s="7" t="str">
        <f>INDEX(Detail!$B$1:$B$1001,MATCH(B714,Detail!$G$1:$G$1001,0),1)</f>
        <v>AB+</v>
      </c>
    </row>
    <row r="715" spans="1:21" ht="15.75" x14ac:dyDescent="0.25">
      <c r="A715">
        <v>176</v>
      </c>
      <c r="B715" s="3" t="str">
        <f t="shared" si="31"/>
        <v>E0176</v>
      </c>
      <c r="C715" t="s">
        <v>1010</v>
      </c>
      <c r="D715" s="3" t="str">
        <f>VLOOKUP(B715,Detail!$G$1:$H$1001,2,FALSE)</f>
        <v>Endra Yulianti</v>
      </c>
      <c r="E715">
        <v>65</v>
      </c>
      <c r="F715">
        <v>59</v>
      </c>
      <c r="G715" s="35">
        <v>53</v>
      </c>
      <c r="H715">
        <v>54</v>
      </c>
      <c r="I715">
        <v>64</v>
      </c>
      <c r="J715">
        <v>65</v>
      </c>
      <c r="K715">
        <v>88</v>
      </c>
      <c r="L715" s="26" t="str">
        <f>IFERROR(VLOOKUP(B715,Absen!$A$1:$C$501,2,FALSE),"No")</f>
        <v>No</v>
      </c>
      <c r="M715" s="44">
        <f t="shared" si="32"/>
        <v>8.8000000000000007</v>
      </c>
      <c r="N715" s="35">
        <f t="shared" si="33"/>
        <v>62.650000000000006</v>
      </c>
      <c r="O715" t="str">
        <f>VLOOKUP(N715,Helper!$B$30:$C$35,2,TRUE)</f>
        <v>C</v>
      </c>
      <c r="P715" s="26">
        <f>INDEX(Detail!$A$1:$A$1001,MATCH(B715,Detail!$G$1:$G$1001,0))</f>
        <v>37364</v>
      </c>
      <c r="Q715" s="3" t="str">
        <f>INDEX(Detail!$F$1:$F$1001,MATCH(Main!B715,Detail!$G$1:$G$1001,0))</f>
        <v>Padangpanjang</v>
      </c>
      <c r="R715" s="7">
        <f>INDEX(Detail!$C$1:$C$1001,MATCH(B715,Detail!$G$1:$G$1001,0),1)</f>
        <v>172</v>
      </c>
      <c r="S715" s="7">
        <f>INDEX(Detail!$D$1:$D$1001,MATCH(B715,Detail!$G$1:$G$1001,0),1)</f>
        <v>76</v>
      </c>
      <c r="T715" s="7" t="str">
        <f>INDEX(Detail!$E$1:$E$1001,MATCH(Main!B715,Detail!$G$1:$G$1001,0))</f>
        <v>Gg. Jend. A. Yani No. 66</v>
      </c>
      <c r="U715" s="7" t="str">
        <f>INDEX(Detail!$B$1:$B$1001,MATCH(B715,Detail!$G$1:$G$1001,0),1)</f>
        <v>O-</v>
      </c>
    </row>
    <row r="716" spans="1:21" ht="15.75" x14ac:dyDescent="0.25">
      <c r="A716">
        <v>178</v>
      </c>
      <c r="B716" s="3" t="str">
        <f t="shared" si="31"/>
        <v>E0178</v>
      </c>
      <c r="C716" t="s">
        <v>1010</v>
      </c>
      <c r="D716" s="3" t="str">
        <f>VLOOKUP(B716,Detail!$G$1:$H$1001,2,FALSE)</f>
        <v>Mala Padmasari</v>
      </c>
      <c r="E716">
        <v>60</v>
      </c>
      <c r="F716">
        <v>55</v>
      </c>
      <c r="G716" s="35">
        <v>61</v>
      </c>
      <c r="H716">
        <v>69</v>
      </c>
      <c r="I716">
        <v>79</v>
      </c>
      <c r="J716">
        <v>42</v>
      </c>
      <c r="K716">
        <v>60</v>
      </c>
      <c r="L716" s="26" t="str">
        <f>IFERROR(VLOOKUP(B716,Absen!$A$1:$C$501,2,FALSE),"No")</f>
        <v>No</v>
      </c>
      <c r="M716" s="44">
        <f t="shared" si="32"/>
        <v>6</v>
      </c>
      <c r="N716" s="35">
        <f t="shared" si="33"/>
        <v>59.475000000000001</v>
      </c>
      <c r="O716" t="str">
        <f>VLOOKUP(N716,Helper!$B$30:$C$35,2,TRUE)</f>
        <v>D</v>
      </c>
      <c r="P716" s="26">
        <f>INDEX(Detail!$A$1:$A$1001,MATCH(B716,Detail!$G$1:$G$1001,0))</f>
        <v>37441</v>
      </c>
      <c r="Q716" s="3" t="str">
        <f>INDEX(Detail!$F$1:$F$1001,MATCH(Main!B716,Detail!$G$1:$G$1001,0))</f>
        <v>Tegal</v>
      </c>
      <c r="R716" s="7">
        <f>INDEX(Detail!$C$1:$C$1001,MATCH(B716,Detail!$G$1:$G$1001,0),1)</f>
        <v>155</v>
      </c>
      <c r="S716" s="7">
        <f>INDEX(Detail!$D$1:$D$1001,MATCH(B716,Detail!$G$1:$G$1001,0),1)</f>
        <v>78</v>
      </c>
      <c r="T716" s="7" t="str">
        <f>INDEX(Detail!$E$1:$E$1001,MATCH(Main!B716,Detail!$G$1:$G$1001,0))</f>
        <v>Jl. Suryakencana No. 82</v>
      </c>
      <c r="U716" s="7" t="str">
        <f>INDEX(Detail!$B$1:$B$1001,MATCH(B716,Detail!$G$1:$G$1001,0),1)</f>
        <v>A-</v>
      </c>
    </row>
    <row r="717" spans="1:21" ht="15.75" x14ac:dyDescent="0.25">
      <c r="A717">
        <v>183</v>
      </c>
      <c r="B717" s="3" t="str">
        <f t="shared" si="31"/>
        <v>E0183</v>
      </c>
      <c r="C717" t="s">
        <v>1010</v>
      </c>
      <c r="D717" s="3" t="str">
        <f>VLOOKUP(B717,Detail!$G$1:$H$1001,2,FALSE)</f>
        <v>Artawan Sitorus</v>
      </c>
      <c r="E717">
        <v>86</v>
      </c>
      <c r="F717">
        <v>41</v>
      </c>
      <c r="G717" s="35">
        <v>81</v>
      </c>
      <c r="H717">
        <v>58</v>
      </c>
      <c r="I717">
        <v>95</v>
      </c>
      <c r="J717">
        <v>47</v>
      </c>
      <c r="K717">
        <v>96</v>
      </c>
      <c r="L717" s="26" t="str">
        <f>IFERROR(VLOOKUP(B717,Absen!$A$1:$C$501,2,FALSE),"No")</f>
        <v>No</v>
      </c>
      <c r="M717" s="44">
        <f t="shared" si="32"/>
        <v>9.6000000000000014</v>
      </c>
      <c r="N717" s="35">
        <f t="shared" si="33"/>
        <v>70.2</v>
      </c>
      <c r="O717" t="str">
        <f>VLOOKUP(N717,Helper!$B$30:$C$35,2,TRUE)</f>
        <v>B</v>
      </c>
      <c r="P717" s="26">
        <f>INDEX(Detail!$A$1:$A$1001,MATCH(B717,Detail!$G$1:$G$1001,0))</f>
        <v>37388</v>
      </c>
      <c r="Q717" s="3" t="str">
        <f>INDEX(Detail!$F$1:$F$1001,MATCH(Main!B717,Detail!$G$1:$G$1001,0))</f>
        <v>Kota Administrasi Jakarta Barat</v>
      </c>
      <c r="R717" s="7">
        <f>INDEX(Detail!$C$1:$C$1001,MATCH(B717,Detail!$G$1:$G$1001,0),1)</f>
        <v>154</v>
      </c>
      <c r="S717" s="7">
        <f>INDEX(Detail!$D$1:$D$1001,MATCH(B717,Detail!$G$1:$G$1001,0),1)</f>
        <v>80</v>
      </c>
      <c r="T717" s="7" t="str">
        <f>INDEX(Detail!$E$1:$E$1001,MATCH(Main!B717,Detail!$G$1:$G$1001,0))</f>
        <v>Jl. Bangka Raya No. 31</v>
      </c>
      <c r="U717" s="7" t="str">
        <f>INDEX(Detail!$B$1:$B$1001,MATCH(B717,Detail!$G$1:$G$1001,0),1)</f>
        <v>A-</v>
      </c>
    </row>
    <row r="718" spans="1:21" ht="15.75" x14ac:dyDescent="0.25">
      <c r="A718">
        <v>190</v>
      </c>
      <c r="B718" s="3" t="str">
        <f t="shared" si="31"/>
        <v>E0190</v>
      </c>
      <c r="C718" t="s">
        <v>1010</v>
      </c>
      <c r="D718" s="3" t="str">
        <f>VLOOKUP(B718,Detail!$G$1:$H$1001,2,FALSE)</f>
        <v>Tedi Suryatmi</v>
      </c>
      <c r="E718">
        <v>56</v>
      </c>
      <c r="F718">
        <v>62</v>
      </c>
      <c r="G718" s="35">
        <v>68</v>
      </c>
      <c r="H718">
        <v>55</v>
      </c>
      <c r="I718">
        <v>74</v>
      </c>
      <c r="J718">
        <v>74</v>
      </c>
      <c r="K718">
        <v>74</v>
      </c>
      <c r="L718" s="26" t="str">
        <f>IFERROR(VLOOKUP(B718,Absen!$A$1:$C$501,2,FALSE),"No")</f>
        <v>No</v>
      </c>
      <c r="M718" s="44">
        <f t="shared" si="32"/>
        <v>7.4</v>
      </c>
      <c r="N718" s="35">
        <f t="shared" si="33"/>
        <v>66.675000000000011</v>
      </c>
      <c r="O718" t="str">
        <f>VLOOKUP(N718,Helper!$B$30:$C$35,2,TRUE)</f>
        <v>C</v>
      </c>
      <c r="P718" s="26">
        <f>INDEX(Detail!$A$1:$A$1001,MATCH(B718,Detail!$G$1:$G$1001,0))</f>
        <v>38219</v>
      </c>
      <c r="Q718" s="3" t="str">
        <f>INDEX(Detail!$F$1:$F$1001,MATCH(Main!B718,Detail!$G$1:$G$1001,0))</f>
        <v>Batam</v>
      </c>
      <c r="R718" s="7">
        <f>INDEX(Detail!$C$1:$C$1001,MATCH(B718,Detail!$G$1:$G$1001,0),1)</f>
        <v>173</v>
      </c>
      <c r="S718" s="7">
        <f>INDEX(Detail!$D$1:$D$1001,MATCH(B718,Detail!$G$1:$G$1001,0),1)</f>
        <v>68</v>
      </c>
      <c r="T718" s="7" t="str">
        <f>INDEX(Detail!$E$1:$E$1001,MATCH(Main!B718,Detail!$G$1:$G$1001,0))</f>
        <v>Gg. Erlangga No. 38</v>
      </c>
      <c r="U718" s="7" t="str">
        <f>INDEX(Detail!$B$1:$B$1001,MATCH(B718,Detail!$G$1:$G$1001,0),1)</f>
        <v>AB-</v>
      </c>
    </row>
    <row r="719" spans="1:21" ht="15.75" x14ac:dyDescent="0.25">
      <c r="A719">
        <v>191</v>
      </c>
      <c r="B719" s="3" t="str">
        <f t="shared" si="31"/>
        <v>E0191</v>
      </c>
      <c r="C719" t="s">
        <v>1010</v>
      </c>
      <c r="D719" s="3" t="str">
        <f>VLOOKUP(B719,Detail!$G$1:$H$1001,2,FALSE)</f>
        <v>Putri Nuraini</v>
      </c>
      <c r="E719">
        <v>69</v>
      </c>
      <c r="F719">
        <v>53</v>
      </c>
      <c r="G719" s="35">
        <v>41</v>
      </c>
      <c r="H719">
        <v>68</v>
      </c>
      <c r="I719">
        <v>90</v>
      </c>
      <c r="J719">
        <v>49</v>
      </c>
      <c r="K719">
        <v>96</v>
      </c>
      <c r="L719" s="26" t="str">
        <f>IFERROR(VLOOKUP(B719,Absen!$A$1:$C$501,2,FALSE),"No")</f>
        <v>No</v>
      </c>
      <c r="M719" s="44">
        <f t="shared" si="32"/>
        <v>9.6000000000000014</v>
      </c>
      <c r="N719" s="35">
        <f t="shared" si="33"/>
        <v>62.6</v>
      </c>
      <c r="O719" t="str">
        <f>VLOOKUP(N719,Helper!$B$30:$C$35,2,TRUE)</f>
        <v>C</v>
      </c>
      <c r="P719" s="26">
        <f>INDEX(Detail!$A$1:$A$1001,MATCH(B719,Detail!$G$1:$G$1001,0))</f>
        <v>37259</v>
      </c>
      <c r="Q719" s="3" t="str">
        <f>INDEX(Detail!$F$1:$F$1001,MATCH(Main!B719,Detail!$G$1:$G$1001,0))</f>
        <v>Kupang</v>
      </c>
      <c r="R719" s="7">
        <f>INDEX(Detail!$C$1:$C$1001,MATCH(B719,Detail!$G$1:$G$1001,0),1)</f>
        <v>167</v>
      </c>
      <c r="S719" s="7">
        <f>INDEX(Detail!$D$1:$D$1001,MATCH(B719,Detail!$G$1:$G$1001,0),1)</f>
        <v>67</v>
      </c>
      <c r="T719" s="7" t="str">
        <f>INDEX(Detail!$E$1:$E$1001,MATCH(Main!B719,Detail!$G$1:$G$1001,0))</f>
        <v xml:space="preserve">Jl. Dipenogoro No. 8
</v>
      </c>
      <c r="U719" s="7" t="str">
        <f>INDEX(Detail!$B$1:$B$1001,MATCH(B719,Detail!$G$1:$G$1001,0),1)</f>
        <v>O+</v>
      </c>
    </row>
    <row r="720" spans="1:21" ht="15.75" x14ac:dyDescent="0.25">
      <c r="A720">
        <v>200</v>
      </c>
      <c r="B720" s="3" t="str">
        <f t="shared" si="31"/>
        <v>E0200</v>
      </c>
      <c r="C720" t="s">
        <v>1010</v>
      </c>
      <c r="D720" s="3" t="str">
        <f>VLOOKUP(B720,Detail!$G$1:$H$1001,2,FALSE)</f>
        <v>Ibrani Hidayanto</v>
      </c>
      <c r="E720">
        <v>88</v>
      </c>
      <c r="F720">
        <v>46</v>
      </c>
      <c r="G720" s="35">
        <v>50</v>
      </c>
      <c r="H720">
        <v>74</v>
      </c>
      <c r="I720">
        <v>53</v>
      </c>
      <c r="J720">
        <v>48</v>
      </c>
      <c r="K720">
        <v>64</v>
      </c>
      <c r="L720" s="26" t="str">
        <f>IFERROR(VLOOKUP(B720,Absen!$A$1:$C$501,2,FALSE),"No")</f>
        <v>No</v>
      </c>
      <c r="M720" s="44">
        <f t="shared" si="32"/>
        <v>6.4</v>
      </c>
      <c r="N720" s="35">
        <f t="shared" si="33"/>
        <v>58.625</v>
      </c>
      <c r="O720" t="str">
        <f>VLOOKUP(N720,Helper!$B$30:$C$35,2,TRUE)</f>
        <v>D</v>
      </c>
      <c r="P720" s="26">
        <f>INDEX(Detail!$A$1:$A$1001,MATCH(B720,Detail!$G$1:$G$1001,0))</f>
        <v>37018</v>
      </c>
      <c r="Q720" s="3" t="str">
        <f>INDEX(Detail!$F$1:$F$1001,MATCH(Main!B720,Detail!$G$1:$G$1001,0))</f>
        <v>Kediri</v>
      </c>
      <c r="R720" s="7">
        <f>INDEX(Detail!$C$1:$C$1001,MATCH(B720,Detail!$G$1:$G$1001,0),1)</f>
        <v>164</v>
      </c>
      <c r="S720" s="7">
        <f>INDEX(Detail!$D$1:$D$1001,MATCH(B720,Detail!$G$1:$G$1001,0),1)</f>
        <v>67</v>
      </c>
      <c r="T720" s="7" t="str">
        <f>INDEX(Detail!$E$1:$E$1001,MATCH(Main!B720,Detail!$G$1:$G$1001,0))</f>
        <v xml:space="preserve">Gg. Ciumbuleuit No. 9
</v>
      </c>
      <c r="U720" s="7" t="str">
        <f>INDEX(Detail!$B$1:$B$1001,MATCH(B720,Detail!$G$1:$G$1001,0),1)</f>
        <v>B-</v>
      </c>
    </row>
    <row r="721" spans="1:21" ht="15.75" x14ac:dyDescent="0.25">
      <c r="A721">
        <v>202</v>
      </c>
      <c r="B721" s="3" t="str">
        <f t="shared" si="31"/>
        <v>E0202</v>
      </c>
      <c r="C721" t="s">
        <v>1010</v>
      </c>
      <c r="D721" s="3" t="str">
        <f>VLOOKUP(B721,Detail!$G$1:$H$1001,2,FALSE)</f>
        <v>Martani Lailasari</v>
      </c>
      <c r="E721">
        <v>88</v>
      </c>
      <c r="F721">
        <v>41</v>
      </c>
      <c r="G721" s="35">
        <v>69</v>
      </c>
      <c r="H721">
        <v>69</v>
      </c>
      <c r="I721">
        <v>81</v>
      </c>
      <c r="J721">
        <v>64</v>
      </c>
      <c r="K721">
        <v>78</v>
      </c>
      <c r="L721" s="26">
        <f>IFERROR(VLOOKUP(B721,Absen!$A$1:$C$501,2,FALSE),"No")</f>
        <v>44848</v>
      </c>
      <c r="M721" s="44">
        <f t="shared" si="32"/>
        <v>6.8000000000000007</v>
      </c>
      <c r="N721" s="35">
        <f t="shared" si="33"/>
        <v>68.274999999999991</v>
      </c>
      <c r="O721" t="str">
        <f>VLOOKUP(N721,Helper!$B$30:$C$35,2,TRUE)</f>
        <v>C</v>
      </c>
      <c r="P721" s="26">
        <f>INDEX(Detail!$A$1:$A$1001,MATCH(B721,Detail!$G$1:$G$1001,0))</f>
        <v>37754</v>
      </c>
      <c r="Q721" s="3" t="str">
        <f>INDEX(Detail!$F$1:$F$1001,MATCH(Main!B721,Detail!$G$1:$G$1001,0))</f>
        <v>Manado</v>
      </c>
      <c r="R721" s="7">
        <f>INDEX(Detail!$C$1:$C$1001,MATCH(B721,Detail!$G$1:$G$1001,0),1)</f>
        <v>169</v>
      </c>
      <c r="S721" s="7">
        <f>INDEX(Detail!$D$1:$D$1001,MATCH(B721,Detail!$G$1:$G$1001,0),1)</f>
        <v>62</v>
      </c>
      <c r="T721" s="7" t="str">
        <f>INDEX(Detail!$E$1:$E$1001,MATCH(Main!B721,Detail!$G$1:$G$1001,0))</f>
        <v>Jl. Ir. H. Djuanda No. 05</v>
      </c>
      <c r="U721" s="7" t="str">
        <f>INDEX(Detail!$B$1:$B$1001,MATCH(B721,Detail!$G$1:$G$1001,0),1)</f>
        <v>A+</v>
      </c>
    </row>
    <row r="722" spans="1:21" ht="15.75" x14ac:dyDescent="0.25">
      <c r="A722">
        <v>218</v>
      </c>
      <c r="B722" s="3" t="str">
        <f t="shared" si="31"/>
        <v>E0218</v>
      </c>
      <c r="C722" t="s">
        <v>1010</v>
      </c>
      <c r="D722" s="3" t="str">
        <f>VLOOKUP(B722,Detail!$G$1:$H$1001,2,FALSE)</f>
        <v>Prasetyo Nashiruddin</v>
      </c>
      <c r="E722">
        <v>71</v>
      </c>
      <c r="F722">
        <v>67</v>
      </c>
      <c r="G722" s="35">
        <v>59</v>
      </c>
      <c r="H722">
        <v>55</v>
      </c>
      <c r="I722">
        <v>52</v>
      </c>
      <c r="J722">
        <v>79</v>
      </c>
      <c r="K722">
        <v>95</v>
      </c>
      <c r="L722" s="26" t="str">
        <f>IFERROR(VLOOKUP(B722,Absen!$A$1:$C$501,2,FALSE),"No")</f>
        <v>No</v>
      </c>
      <c r="M722" s="44">
        <f t="shared" si="32"/>
        <v>9.5</v>
      </c>
      <c r="N722" s="35">
        <f t="shared" si="33"/>
        <v>67.724999999999994</v>
      </c>
      <c r="O722" t="str">
        <f>VLOOKUP(N722,Helper!$B$30:$C$35,2,TRUE)</f>
        <v>C</v>
      </c>
      <c r="P722" s="26">
        <f>INDEX(Detail!$A$1:$A$1001,MATCH(B722,Detail!$G$1:$G$1001,0))</f>
        <v>37083</v>
      </c>
      <c r="Q722" s="3" t="str">
        <f>INDEX(Detail!$F$1:$F$1001,MATCH(Main!B722,Detail!$G$1:$G$1001,0))</f>
        <v>Manado</v>
      </c>
      <c r="R722" s="7">
        <f>INDEX(Detail!$C$1:$C$1001,MATCH(B722,Detail!$G$1:$G$1001,0),1)</f>
        <v>157</v>
      </c>
      <c r="S722" s="7">
        <f>INDEX(Detail!$D$1:$D$1001,MATCH(B722,Detail!$G$1:$G$1001,0),1)</f>
        <v>59</v>
      </c>
      <c r="T722" s="7" t="str">
        <f>INDEX(Detail!$E$1:$E$1001,MATCH(Main!B722,Detail!$G$1:$G$1001,0))</f>
        <v>Gang Rajawali Timur No. 87</v>
      </c>
      <c r="U722" s="7" t="str">
        <f>INDEX(Detail!$B$1:$B$1001,MATCH(B722,Detail!$G$1:$G$1001,0),1)</f>
        <v>AB+</v>
      </c>
    </row>
    <row r="723" spans="1:21" ht="15.75" x14ac:dyDescent="0.25">
      <c r="A723">
        <v>223</v>
      </c>
      <c r="B723" s="3" t="str">
        <f t="shared" si="31"/>
        <v>E0223</v>
      </c>
      <c r="C723" t="s">
        <v>1010</v>
      </c>
      <c r="D723" s="3" t="str">
        <f>VLOOKUP(B723,Detail!$G$1:$H$1001,2,FALSE)</f>
        <v>Kemba Napitupulu</v>
      </c>
      <c r="E723">
        <v>56</v>
      </c>
      <c r="F723">
        <v>49</v>
      </c>
      <c r="G723" s="35">
        <v>91</v>
      </c>
      <c r="H723">
        <v>73</v>
      </c>
      <c r="I723">
        <v>85</v>
      </c>
      <c r="J723">
        <v>64</v>
      </c>
      <c r="K723">
        <v>87</v>
      </c>
      <c r="L723" s="26" t="str">
        <f>IFERROR(VLOOKUP(B723,Absen!$A$1:$C$501,2,FALSE),"No")</f>
        <v>No</v>
      </c>
      <c r="M723" s="44">
        <f t="shared" si="32"/>
        <v>8.7000000000000011</v>
      </c>
      <c r="N723" s="35">
        <f t="shared" si="33"/>
        <v>72.575000000000003</v>
      </c>
      <c r="O723" t="str">
        <f>VLOOKUP(N723,Helper!$B$30:$C$35,2,TRUE)</f>
        <v>B</v>
      </c>
      <c r="P723" s="26">
        <f>INDEX(Detail!$A$1:$A$1001,MATCH(B723,Detail!$G$1:$G$1001,0))</f>
        <v>37536</v>
      </c>
      <c r="Q723" s="3" t="str">
        <f>INDEX(Detail!$F$1:$F$1001,MATCH(Main!B723,Detail!$G$1:$G$1001,0))</f>
        <v>Palopo</v>
      </c>
      <c r="R723" s="7">
        <f>INDEX(Detail!$C$1:$C$1001,MATCH(B723,Detail!$G$1:$G$1001,0),1)</f>
        <v>173</v>
      </c>
      <c r="S723" s="7">
        <f>INDEX(Detail!$D$1:$D$1001,MATCH(B723,Detail!$G$1:$G$1001,0),1)</f>
        <v>50</v>
      </c>
      <c r="T723" s="7" t="str">
        <f>INDEX(Detail!$E$1:$E$1001,MATCH(Main!B723,Detail!$G$1:$G$1001,0))</f>
        <v xml:space="preserve">Jl. Suryakencana No. 3
</v>
      </c>
      <c r="U723" s="7" t="str">
        <f>INDEX(Detail!$B$1:$B$1001,MATCH(B723,Detail!$G$1:$G$1001,0),1)</f>
        <v>AB+</v>
      </c>
    </row>
    <row r="724" spans="1:21" ht="15.75" x14ac:dyDescent="0.25">
      <c r="A724">
        <v>227</v>
      </c>
      <c r="B724" s="3" t="str">
        <f t="shared" si="31"/>
        <v>E0227</v>
      </c>
      <c r="C724" t="s">
        <v>1010</v>
      </c>
      <c r="D724" s="3" t="str">
        <f>VLOOKUP(B724,Detail!$G$1:$H$1001,2,FALSE)</f>
        <v>Calista Hutasoit</v>
      </c>
      <c r="E724">
        <v>91</v>
      </c>
      <c r="F724">
        <v>45</v>
      </c>
      <c r="G724" s="35">
        <v>51</v>
      </c>
      <c r="H724">
        <v>67</v>
      </c>
      <c r="I724">
        <v>82</v>
      </c>
      <c r="J724">
        <v>78</v>
      </c>
      <c r="K724">
        <v>95</v>
      </c>
      <c r="L724" s="26" t="str">
        <f>IFERROR(VLOOKUP(B724,Absen!$A$1:$C$501,2,FALSE),"No")</f>
        <v>No</v>
      </c>
      <c r="M724" s="44">
        <f t="shared" si="32"/>
        <v>9.5</v>
      </c>
      <c r="N724" s="35">
        <f t="shared" si="33"/>
        <v>70.925000000000011</v>
      </c>
      <c r="O724" t="str">
        <f>VLOOKUP(N724,Helper!$B$30:$C$35,2,TRUE)</f>
        <v>B</v>
      </c>
      <c r="P724" s="26">
        <f>INDEX(Detail!$A$1:$A$1001,MATCH(B724,Detail!$G$1:$G$1001,0))</f>
        <v>38017</v>
      </c>
      <c r="Q724" s="3" t="str">
        <f>INDEX(Detail!$F$1:$F$1001,MATCH(Main!B724,Detail!$G$1:$G$1001,0))</f>
        <v>Kota Administrasi Jakarta Timur</v>
      </c>
      <c r="R724" s="7">
        <f>INDEX(Detail!$C$1:$C$1001,MATCH(B724,Detail!$G$1:$G$1001,0),1)</f>
        <v>164</v>
      </c>
      <c r="S724" s="7">
        <f>INDEX(Detail!$D$1:$D$1001,MATCH(B724,Detail!$G$1:$G$1001,0),1)</f>
        <v>79</v>
      </c>
      <c r="T724" s="7" t="str">
        <f>INDEX(Detail!$E$1:$E$1001,MATCH(Main!B724,Detail!$G$1:$G$1001,0))</f>
        <v xml:space="preserve">Gang Medokan Ayu No. 6
</v>
      </c>
      <c r="U724" s="7" t="str">
        <f>INDEX(Detail!$B$1:$B$1001,MATCH(B724,Detail!$G$1:$G$1001,0),1)</f>
        <v>AB-</v>
      </c>
    </row>
    <row r="725" spans="1:21" ht="15.75" x14ac:dyDescent="0.25">
      <c r="A725">
        <v>242</v>
      </c>
      <c r="B725" s="3" t="str">
        <f t="shared" si="31"/>
        <v>E0242</v>
      </c>
      <c r="C725" t="s">
        <v>1010</v>
      </c>
      <c r="D725" s="3" t="str">
        <f>VLOOKUP(B725,Detail!$G$1:$H$1001,2,FALSE)</f>
        <v>Amelia Lailasari</v>
      </c>
      <c r="E725">
        <v>85</v>
      </c>
      <c r="F725">
        <v>57</v>
      </c>
      <c r="G725" s="35">
        <v>58</v>
      </c>
      <c r="H725">
        <v>52</v>
      </c>
      <c r="I725">
        <v>55</v>
      </c>
      <c r="J725">
        <v>89</v>
      </c>
      <c r="K725">
        <v>64</v>
      </c>
      <c r="L725" s="26" t="str">
        <f>IFERROR(VLOOKUP(B725,Absen!$A$1:$C$501,2,FALSE),"No")</f>
        <v>No</v>
      </c>
      <c r="M725" s="44">
        <f t="shared" si="32"/>
        <v>6.4</v>
      </c>
      <c r="N725" s="35">
        <f t="shared" si="33"/>
        <v>66.925000000000011</v>
      </c>
      <c r="O725" t="str">
        <f>VLOOKUP(N725,Helper!$B$30:$C$35,2,TRUE)</f>
        <v>C</v>
      </c>
      <c r="P725" s="26">
        <f>INDEX(Detail!$A$1:$A$1001,MATCH(B725,Detail!$G$1:$G$1001,0))</f>
        <v>37156</v>
      </c>
      <c r="Q725" s="3" t="str">
        <f>INDEX(Detail!$F$1:$F$1001,MATCH(Main!B725,Detail!$G$1:$G$1001,0))</f>
        <v>Mataram</v>
      </c>
      <c r="R725" s="7">
        <f>INDEX(Detail!$C$1:$C$1001,MATCH(B725,Detail!$G$1:$G$1001,0),1)</f>
        <v>180</v>
      </c>
      <c r="S725" s="7">
        <f>INDEX(Detail!$D$1:$D$1001,MATCH(B725,Detail!$G$1:$G$1001,0),1)</f>
        <v>79</v>
      </c>
      <c r="T725" s="7" t="str">
        <f>INDEX(Detail!$E$1:$E$1001,MATCH(Main!B725,Detail!$G$1:$G$1001,0))</f>
        <v xml:space="preserve">Jl. Ahmad Yani No. 4
</v>
      </c>
      <c r="U725" s="7" t="str">
        <f>INDEX(Detail!$B$1:$B$1001,MATCH(B725,Detail!$G$1:$G$1001,0),1)</f>
        <v>A+</v>
      </c>
    </row>
    <row r="726" spans="1:21" ht="15.75" x14ac:dyDescent="0.25">
      <c r="A726">
        <v>248</v>
      </c>
      <c r="B726" s="3" t="str">
        <f t="shared" si="31"/>
        <v>E0248</v>
      </c>
      <c r="C726" t="s">
        <v>1010</v>
      </c>
      <c r="D726" s="3" t="str">
        <f>VLOOKUP(B726,Detail!$G$1:$H$1001,2,FALSE)</f>
        <v>Hesti Tamba</v>
      </c>
      <c r="E726">
        <v>70</v>
      </c>
      <c r="F726">
        <v>47</v>
      </c>
      <c r="G726" s="35">
        <v>48</v>
      </c>
      <c r="H726">
        <v>58</v>
      </c>
      <c r="I726">
        <v>59</v>
      </c>
      <c r="J726">
        <v>88</v>
      </c>
      <c r="K726">
        <v>73</v>
      </c>
      <c r="L726" s="26" t="str">
        <f>IFERROR(VLOOKUP(B726,Absen!$A$1:$C$501,2,FALSE),"No")</f>
        <v>No</v>
      </c>
      <c r="M726" s="44">
        <f t="shared" si="32"/>
        <v>7.3000000000000007</v>
      </c>
      <c r="N726" s="35">
        <f t="shared" si="33"/>
        <v>63.75</v>
      </c>
      <c r="O726" t="str">
        <f>VLOOKUP(N726,Helper!$B$30:$C$35,2,TRUE)</f>
        <v>C</v>
      </c>
      <c r="P726" s="26">
        <f>INDEX(Detail!$A$1:$A$1001,MATCH(B726,Detail!$G$1:$G$1001,0))</f>
        <v>37271</v>
      </c>
      <c r="Q726" s="3" t="str">
        <f>INDEX(Detail!$F$1:$F$1001,MATCH(Main!B726,Detail!$G$1:$G$1001,0))</f>
        <v>Solok</v>
      </c>
      <c r="R726" s="7">
        <f>INDEX(Detail!$C$1:$C$1001,MATCH(B726,Detail!$G$1:$G$1001,0),1)</f>
        <v>169</v>
      </c>
      <c r="S726" s="7">
        <f>INDEX(Detail!$D$1:$D$1001,MATCH(B726,Detail!$G$1:$G$1001,0),1)</f>
        <v>90</v>
      </c>
      <c r="T726" s="7" t="str">
        <f>INDEX(Detail!$E$1:$E$1001,MATCH(Main!B726,Detail!$G$1:$G$1001,0))</f>
        <v xml:space="preserve">Jalan Peta No. 8
</v>
      </c>
      <c r="U726" s="7" t="str">
        <f>INDEX(Detail!$B$1:$B$1001,MATCH(B726,Detail!$G$1:$G$1001,0),1)</f>
        <v>B+</v>
      </c>
    </row>
    <row r="727" spans="1:21" ht="15.75" x14ac:dyDescent="0.25">
      <c r="A727">
        <v>254</v>
      </c>
      <c r="B727" s="3" t="str">
        <f t="shared" si="31"/>
        <v>E0254</v>
      </c>
      <c r="C727" t="s">
        <v>1010</v>
      </c>
      <c r="D727" s="3" t="str">
        <f>VLOOKUP(B727,Detail!$G$1:$H$1001,2,FALSE)</f>
        <v>Elma Maheswara</v>
      </c>
      <c r="E727">
        <v>77</v>
      </c>
      <c r="F727">
        <v>43</v>
      </c>
      <c r="G727" s="35">
        <v>90</v>
      </c>
      <c r="H727">
        <v>62</v>
      </c>
      <c r="I727">
        <v>60</v>
      </c>
      <c r="J727">
        <v>58</v>
      </c>
      <c r="K727">
        <v>62</v>
      </c>
      <c r="L727" s="26" t="str">
        <f>IFERROR(VLOOKUP(B727,Absen!$A$1:$C$501,2,FALSE),"No")</f>
        <v>No</v>
      </c>
      <c r="M727" s="44">
        <f t="shared" si="32"/>
        <v>6.2</v>
      </c>
      <c r="N727" s="35">
        <f t="shared" si="33"/>
        <v>66.05</v>
      </c>
      <c r="O727" t="str">
        <f>VLOOKUP(N727,Helper!$B$30:$C$35,2,TRUE)</f>
        <v>C</v>
      </c>
      <c r="P727" s="26">
        <f>INDEX(Detail!$A$1:$A$1001,MATCH(B727,Detail!$G$1:$G$1001,0))</f>
        <v>38141</v>
      </c>
      <c r="Q727" s="3" t="str">
        <f>INDEX(Detail!$F$1:$F$1001,MATCH(Main!B727,Detail!$G$1:$G$1001,0))</f>
        <v>Bogor</v>
      </c>
      <c r="R727" s="7">
        <f>INDEX(Detail!$C$1:$C$1001,MATCH(B727,Detail!$G$1:$G$1001,0),1)</f>
        <v>172</v>
      </c>
      <c r="S727" s="7">
        <f>INDEX(Detail!$D$1:$D$1001,MATCH(B727,Detail!$G$1:$G$1001,0),1)</f>
        <v>74</v>
      </c>
      <c r="T727" s="7" t="str">
        <f>INDEX(Detail!$E$1:$E$1001,MATCH(Main!B727,Detail!$G$1:$G$1001,0))</f>
        <v>Gang Soekarno Hatta No. 47</v>
      </c>
      <c r="U727" s="7" t="str">
        <f>INDEX(Detail!$B$1:$B$1001,MATCH(B727,Detail!$G$1:$G$1001,0),1)</f>
        <v>O-</v>
      </c>
    </row>
    <row r="728" spans="1:21" ht="15.75" x14ac:dyDescent="0.25">
      <c r="A728">
        <v>257</v>
      </c>
      <c r="B728" s="3" t="str">
        <f t="shared" si="31"/>
        <v>E0257</v>
      </c>
      <c r="C728" t="s">
        <v>1010</v>
      </c>
      <c r="D728" s="3" t="str">
        <f>VLOOKUP(B728,Detail!$G$1:$H$1001,2,FALSE)</f>
        <v>Keisha Firgantoro</v>
      </c>
      <c r="E728">
        <v>72</v>
      </c>
      <c r="F728">
        <v>43</v>
      </c>
      <c r="G728" s="35">
        <v>82</v>
      </c>
      <c r="H728">
        <v>63</v>
      </c>
      <c r="I728">
        <v>56</v>
      </c>
      <c r="J728">
        <v>44</v>
      </c>
      <c r="K728">
        <v>76</v>
      </c>
      <c r="L728" s="26">
        <f>IFERROR(VLOOKUP(B728,Absen!$A$1:$C$501,2,FALSE),"No")</f>
        <v>44827</v>
      </c>
      <c r="M728" s="44">
        <f t="shared" si="32"/>
        <v>6.6000000000000005</v>
      </c>
      <c r="N728" s="35">
        <f t="shared" si="33"/>
        <v>61.050000000000004</v>
      </c>
      <c r="O728" t="str">
        <f>VLOOKUP(N728,Helper!$B$30:$C$35,2,TRUE)</f>
        <v>C</v>
      </c>
      <c r="P728" s="26">
        <f>INDEX(Detail!$A$1:$A$1001,MATCH(B728,Detail!$G$1:$G$1001,0))</f>
        <v>37316</v>
      </c>
      <c r="Q728" s="3" t="str">
        <f>INDEX(Detail!$F$1:$F$1001,MATCH(Main!B728,Detail!$G$1:$G$1001,0))</f>
        <v>Pekanbaru</v>
      </c>
      <c r="R728" s="7">
        <f>INDEX(Detail!$C$1:$C$1001,MATCH(B728,Detail!$G$1:$G$1001,0),1)</f>
        <v>170</v>
      </c>
      <c r="S728" s="7">
        <f>INDEX(Detail!$D$1:$D$1001,MATCH(B728,Detail!$G$1:$G$1001,0),1)</f>
        <v>54</v>
      </c>
      <c r="T728" s="7" t="str">
        <f>INDEX(Detail!$E$1:$E$1001,MATCH(Main!B728,Detail!$G$1:$G$1001,0))</f>
        <v xml:space="preserve">Jl. Dr. Djunjunan No. 3
</v>
      </c>
      <c r="U728" s="7" t="str">
        <f>INDEX(Detail!$B$1:$B$1001,MATCH(B728,Detail!$G$1:$G$1001,0),1)</f>
        <v>A-</v>
      </c>
    </row>
    <row r="729" spans="1:21" ht="15.75" x14ac:dyDescent="0.25">
      <c r="A729">
        <v>264</v>
      </c>
      <c r="B729" s="3" t="str">
        <f t="shared" si="31"/>
        <v>E0264</v>
      </c>
      <c r="C729" t="s">
        <v>1010</v>
      </c>
      <c r="D729" s="3" t="str">
        <f>VLOOKUP(B729,Detail!$G$1:$H$1001,2,FALSE)</f>
        <v>Malik Mustofa</v>
      </c>
      <c r="E729">
        <v>88</v>
      </c>
      <c r="F729">
        <v>66</v>
      </c>
      <c r="G729" s="35">
        <v>78</v>
      </c>
      <c r="H729">
        <v>57</v>
      </c>
      <c r="I729">
        <v>86</v>
      </c>
      <c r="J729">
        <v>69</v>
      </c>
      <c r="K729">
        <v>65</v>
      </c>
      <c r="L729" s="26" t="str">
        <f>IFERROR(VLOOKUP(B729,Absen!$A$1:$C$501,2,FALSE),"No")</f>
        <v>No</v>
      </c>
      <c r="M729" s="44">
        <f t="shared" si="32"/>
        <v>6.5</v>
      </c>
      <c r="N729" s="35">
        <f t="shared" si="33"/>
        <v>73.025000000000006</v>
      </c>
      <c r="O729" t="str">
        <f>VLOOKUP(N729,Helper!$B$30:$C$35,2,TRUE)</f>
        <v>B</v>
      </c>
      <c r="P729" s="26">
        <f>INDEX(Detail!$A$1:$A$1001,MATCH(B729,Detail!$G$1:$G$1001,0))</f>
        <v>37605</v>
      </c>
      <c r="Q729" s="3" t="str">
        <f>INDEX(Detail!$F$1:$F$1001,MATCH(Main!B729,Detail!$G$1:$G$1001,0))</f>
        <v>Kupang</v>
      </c>
      <c r="R729" s="7">
        <f>INDEX(Detail!$C$1:$C$1001,MATCH(B729,Detail!$G$1:$G$1001,0),1)</f>
        <v>172</v>
      </c>
      <c r="S729" s="7">
        <f>INDEX(Detail!$D$1:$D$1001,MATCH(B729,Detail!$G$1:$G$1001,0),1)</f>
        <v>65</v>
      </c>
      <c r="T729" s="7" t="str">
        <f>INDEX(Detail!$E$1:$E$1001,MATCH(Main!B729,Detail!$G$1:$G$1001,0))</f>
        <v xml:space="preserve">Gang Dipenogoro No. 9
</v>
      </c>
      <c r="U729" s="7" t="str">
        <f>INDEX(Detail!$B$1:$B$1001,MATCH(B729,Detail!$G$1:$G$1001,0),1)</f>
        <v>O+</v>
      </c>
    </row>
    <row r="730" spans="1:21" ht="15.75" x14ac:dyDescent="0.25">
      <c r="A730">
        <v>267</v>
      </c>
      <c r="B730" s="3" t="str">
        <f t="shared" si="31"/>
        <v>E0267</v>
      </c>
      <c r="C730" t="s">
        <v>1010</v>
      </c>
      <c r="D730" s="3" t="str">
        <f>VLOOKUP(B730,Detail!$G$1:$H$1001,2,FALSE)</f>
        <v>Harjo Yulianti</v>
      </c>
      <c r="E730">
        <v>72</v>
      </c>
      <c r="F730">
        <v>52</v>
      </c>
      <c r="G730" s="35">
        <v>43</v>
      </c>
      <c r="H730">
        <v>71</v>
      </c>
      <c r="I730">
        <v>67</v>
      </c>
      <c r="J730">
        <v>49</v>
      </c>
      <c r="K730">
        <v>68</v>
      </c>
      <c r="L730" s="26">
        <f>IFERROR(VLOOKUP(B730,Absen!$A$1:$C$501,2,FALSE),"No")</f>
        <v>44821</v>
      </c>
      <c r="M730" s="44">
        <f t="shared" si="32"/>
        <v>5.8000000000000007</v>
      </c>
      <c r="N730" s="35">
        <f t="shared" si="33"/>
        <v>56.95</v>
      </c>
      <c r="O730" t="str">
        <f>VLOOKUP(N730,Helper!$B$30:$C$35,2,TRUE)</f>
        <v>D</v>
      </c>
      <c r="P730" s="26">
        <f>INDEX(Detail!$A$1:$A$1001,MATCH(B730,Detail!$G$1:$G$1001,0))</f>
        <v>38044</v>
      </c>
      <c r="Q730" s="3" t="str">
        <f>INDEX(Detail!$F$1:$F$1001,MATCH(Main!B730,Detail!$G$1:$G$1001,0))</f>
        <v>Yogyakarta</v>
      </c>
      <c r="R730" s="7">
        <f>INDEX(Detail!$C$1:$C$1001,MATCH(B730,Detail!$G$1:$G$1001,0),1)</f>
        <v>179</v>
      </c>
      <c r="S730" s="7">
        <f>INDEX(Detail!$D$1:$D$1001,MATCH(B730,Detail!$G$1:$G$1001,0),1)</f>
        <v>83</v>
      </c>
      <c r="T730" s="7" t="str">
        <f>INDEX(Detail!$E$1:$E$1001,MATCH(Main!B730,Detail!$G$1:$G$1001,0))</f>
        <v>Gang Ciwastra No. 42</v>
      </c>
      <c r="U730" s="7" t="str">
        <f>INDEX(Detail!$B$1:$B$1001,MATCH(B730,Detail!$G$1:$G$1001,0),1)</f>
        <v>A-</v>
      </c>
    </row>
    <row r="731" spans="1:21" ht="15.75" x14ac:dyDescent="0.25">
      <c r="A731">
        <v>285</v>
      </c>
      <c r="B731" s="3" t="str">
        <f t="shared" si="31"/>
        <v>E0285</v>
      </c>
      <c r="C731" t="s">
        <v>1010</v>
      </c>
      <c r="D731" s="3" t="str">
        <f>VLOOKUP(B731,Detail!$G$1:$H$1001,2,FALSE)</f>
        <v>Gaduh Gunawan</v>
      </c>
      <c r="E731">
        <v>95</v>
      </c>
      <c r="F731">
        <v>62</v>
      </c>
      <c r="G731" s="35">
        <v>38</v>
      </c>
      <c r="H731">
        <v>66</v>
      </c>
      <c r="I731">
        <v>67</v>
      </c>
      <c r="J731">
        <v>44</v>
      </c>
      <c r="K731">
        <v>64</v>
      </c>
      <c r="L731" s="26">
        <f>IFERROR(VLOOKUP(B731,Absen!$A$1:$C$501,2,FALSE),"No")</f>
        <v>44853</v>
      </c>
      <c r="M731" s="44">
        <f t="shared" si="32"/>
        <v>5.4</v>
      </c>
      <c r="N731" s="35">
        <f t="shared" si="33"/>
        <v>58.050000000000004</v>
      </c>
      <c r="O731" t="str">
        <f>VLOOKUP(N731,Helper!$B$30:$C$35,2,TRUE)</f>
        <v>D</v>
      </c>
      <c r="P731" s="26">
        <f>INDEX(Detail!$A$1:$A$1001,MATCH(B731,Detail!$G$1:$G$1001,0))</f>
        <v>38203</v>
      </c>
      <c r="Q731" s="3" t="str">
        <f>INDEX(Detail!$F$1:$F$1001,MATCH(Main!B731,Detail!$G$1:$G$1001,0))</f>
        <v>Tanjungbalai</v>
      </c>
      <c r="R731" s="7">
        <f>INDEX(Detail!$C$1:$C$1001,MATCH(B731,Detail!$G$1:$G$1001,0),1)</f>
        <v>172</v>
      </c>
      <c r="S731" s="7">
        <f>INDEX(Detail!$D$1:$D$1001,MATCH(B731,Detail!$G$1:$G$1001,0),1)</f>
        <v>64</v>
      </c>
      <c r="T731" s="7" t="str">
        <f>INDEX(Detail!$E$1:$E$1001,MATCH(Main!B731,Detail!$G$1:$G$1001,0))</f>
        <v>Jl. Yos Sudarso No. 26</v>
      </c>
      <c r="U731" s="7" t="str">
        <f>INDEX(Detail!$B$1:$B$1001,MATCH(B731,Detail!$G$1:$G$1001,0),1)</f>
        <v>AB+</v>
      </c>
    </row>
    <row r="732" spans="1:21" ht="15.75" x14ac:dyDescent="0.25">
      <c r="A732">
        <v>291</v>
      </c>
      <c r="B732" s="3" t="str">
        <f t="shared" si="31"/>
        <v>E0291</v>
      </c>
      <c r="C732" t="s">
        <v>1010</v>
      </c>
      <c r="D732" s="3" t="str">
        <f>VLOOKUP(B732,Detail!$G$1:$H$1001,2,FALSE)</f>
        <v>Tina Hidayanto</v>
      </c>
      <c r="E732">
        <v>72</v>
      </c>
      <c r="F732">
        <v>66</v>
      </c>
      <c r="G732" s="35">
        <v>89</v>
      </c>
      <c r="H732">
        <v>52</v>
      </c>
      <c r="I732">
        <v>95</v>
      </c>
      <c r="J732">
        <v>95</v>
      </c>
      <c r="K732">
        <v>64</v>
      </c>
      <c r="L732" s="26" t="str">
        <f>IFERROR(VLOOKUP(B732,Absen!$A$1:$C$501,2,FALSE),"No")</f>
        <v>No</v>
      </c>
      <c r="M732" s="44">
        <f t="shared" si="32"/>
        <v>6.4</v>
      </c>
      <c r="N732" s="35">
        <f t="shared" si="33"/>
        <v>78.825000000000003</v>
      </c>
      <c r="O732" t="str">
        <f>VLOOKUP(N732,Helper!$B$30:$C$35,2,TRUE)</f>
        <v>B</v>
      </c>
      <c r="P732" s="26">
        <f>INDEX(Detail!$A$1:$A$1001,MATCH(B732,Detail!$G$1:$G$1001,0))</f>
        <v>37447</v>
      </c>
      <c r="Q732" s="3" t="str">
        <f>INDEX(Detail!$F$1:$F$1001,MATCH(Main!B732,Detail!$G$1:$G$1001,0))</f>
        <v>Tarakan</v>
      </c>
      <c r="R732" s="7">
        <f>INDEX(Detail!$C$1:$C$1001,MATCH(B732,Detail!$G$1:$G$1001,0),1)</f>
        <v>180</v>
      </c>
      <c r="S732" s="7">
        <f>INDEX(Detail!$D$1:$D$1001,MATCH(B732,Detail!$G$1:$G$1001,0),1)</f>
        <v>76</v>
      </c>
      <c r="T732" s="7" t="str">
        <f>INDEX(Detail!$E$1:$E$1001,MATCH(Main!B732,Detail!$G$1:$G$1001,0))</f>
        <v xml:space="preserve">Jalan K.H. Wahid Hasyim No. 6
</v>
      </c>
      <c r="U732" s="7" t="str">
        <f>INDEX(Detail!$B$1:$B$1001,MATCH(B732,Detail!$G$1:$G$1001,0),1)</f>
        <v>AB-</v>
      </c>
    </row>
    <row r="733" spans="1:21" ht="15.75" x14ac:dyDescent="0.25">
      <c r="A733">
        <v>294</v>
      </c>
      <c r="B733" s="3" t="str">
        <f t="shared" si="31"/>
        <v>E0294</v>
      </c>
      <c r="C733" t="s">
        <v>1010</v>
      </c>
      <c r="D733" s="3" t="str">
        <f>VLOOKUP(B733,Detail!$G$1:$H$1001,2,FALSE)</f>
        <v>Laras Nainggolan</v>
      </c>
      <c r="E733">
        <v>82</v>
      </c>
      <c r="F733">
        <v>70</v>
      </c>
      <c r="G733" s="35">
        <v>34</v>
      </c>
      <c r="H733">
        <v>71</v>
      </c>
      <c r="I733">
        <v>81</v>
      </c>
      <c r="J733">
        <v>67</v>
      </c>
      <c r="K733">
        <v>74</v>
      </c>
      <c r="L733" s="26" t="str">
        <f>IFERROR(VLOOKUP(B733,Absen!$A$1:$C$501,2,FALSE),"No")</f>
        <v>No</v>
      </c>
      <c r="M733" s="44">
        <f t="shared" si="32"/>
        <v>7.4</v>
      </c>
      <c r="N733" s="35">
        <f t="shared" si="33"/>
        <v>65.599999999999994</v>
      </c>
      <c r="O733" t="str">
        <f>VLOOKUP(N733,Helper!$B$30:$C$35,2,TRUE)</f>
        <v>C</v>
      </c>
      <c r="P733" s="26">
        <f>INDEX(Detail!$A$1:$A$1001,MATCH(B733,Detail!$G$1:$G$1001,0))</f>
        <v>37273</v>
      </c>
      <c r="Q733" s="3" t="str">
        <f>INDEX(Detail!$F$1:$F$1001,MATCH(Main!B733,Detail!$G$1:$G$1001,0))</f>
        <v>Sawahlunto</v>
      </c>
      <c r="R733" s="7">
        <f>INDEX(Detail!$C$1:$C$1001,MATCH(B733,Detail!$G$1:$G$1001,0),1)</f>
        <v>156</v>
      </c>
      <c r="S733" s="7">
        <f>INDEX(Detail!$D$1:$D$1001,MATCH(B733,Detail!$G$1:$G$1001,0),1)</f>
        <v>62</v>
      </c>
      <c r="T733" s="7" t="str">
        <f>INDEX(Detail!$E$1:$E$1001,MATCH(Main!B733,Detail!$G$1:$G$1001,0))</f>
        <v xml:space="preserve">Jalan Raya Ujungberung No. 3
</v>
      </c>
      <c r="U733" s="7" t="str">
        <f>INDEX(Detail!$B$1:$B$1001,MATCH(B733,Detail!$G$1:$G$1001,0),1)</f>
        <v>O-</v>
      </c>
    </row>
    <row r="734" spans="1:21" ht="15.75" x14ac:dyDescent="0.25">
      <c r="A734">
        <v>305</v>
      </c>
      <c r="B734" s="3" t="str">
        <f t="shared" si="31"/>
        <v>E0305</v>
      </c>
      <c r="C734" t="s">
        <v>1010</v>
      </c>
      <c r="D734" s="3" t="str">
        <f>VLOOKUP(B734,Detail!$G$1:$H$1001,2,FALSE)</f>
        <v>Jaiman Megantara</v>
      </c>
      <c r="E734">
        <v>80</v>
      </c>
      <c r="F734">
        <v>48</v>
      </c>
      <c r="G734" s="35">
        <v>77</v>
      </c>
      <c r="H734">
        <v>56</v>
      </c>
      <c r="I734">
        <v>78</v>
      </c>
      <c r="J734">
        <v>40</v>
      </c>
      <c r="K734">
        <v>92</v>
      </c>
      <c r="L734" s="26" t="str">
        <f>IFERROR(VLOOKUP(B734,Absen!$A$1:$C$501,2,FALSE),"No")</f>
        <v>No</v>
      </c>
      <c r="M734" s="44">
        <f t="shared" si="32"/>
        <v>9.2000000000000011</v>
      </c>
      <c r="N734" s="35">
        <f t="shared" si="33"/>
        <v>65.349999999999994</v>
      </c>
      <c r="O734" t="str">
        <f>VLOOKUP(N734,Helper!$B$30:$C$35,2,TRUE)</f>
        <v>C</v>
      </c>
      <c r="P734" s="26">
        <f>INDEX(Detail!$A$1:$A$1001,MATCH(B734,Detail!$G$1:$G$1001,0))</f>
        <v>38314</v>
      </c>
      <c r="Q734" s="3" t="str">
        <f>INDEX(Detail!$F$1:$F$1001,MATCH(Main!B734,Detail!$G$1:$G$1001,0))</f>
        <v>Padang</v>
      </c>
      <c r="R734" s="7">
        <f>INDEX(Detail!$C$1:$C$1001,MATCH(B734,Detail!$G$1:$G$1001,0),1)</f>
        <v>167</v>
      </c>
      <c r="S734" s="7">
        <f>INDEX(Detail!$D$1:$D$1001,MATCH(B734,Detail!$G$1:$G$1001,0),1)</f>
        <v>76</v>
      </c>
      <c r="T734" s="7" t="str">
        <f>INDEX(Detail!$E$1:$E$1001,MATCH(Main!B734,Detail!$G$1:$G$1001,0))</f>
        <v>Gang Jayawijaya No. 49</v>
      </c>
      <c r="U734" s="7" t="str">
        <f>INDEX(Detail!$B$1:$B$1001,MATCH(B734,Detail!$G$1:$G$1001,0),1)</f>
        <v>A-</v>
      </c>
    </row>
    <row r="735" spans="1:21" ht="15.75" x14ac:dyDescent="0.25">
      <c r="A735">
        <v>308</v>
      </c>
      <c r="B735" s="3" t="str">
        <f t="shared" si="31"/>
        <v>E0308</v>
      </c>
      <c r="C735" t="s">
        <v>1010</v>
      </c>
      <c r="D735" s="3" t="str">
        <f>VLOOKUP(B735,Detail!$G$1:$H$1001,2,FALSE)</f>
        <v>Dalimin Situmorang</v>
      </c>
      <c r="E735">
        <v>86</v>
      </c>
      <c r="F735">
        <v>67</v>
      </c>
      <c r="G735" s="35">
        <v>51</v>
      </c>
      <c r="H735">
        <v>63</v>
      </c>
      <c r="I735">
        <v>94</v>
      </c>
      <c r="J735">
        <v>40</v>
      </c>
      <c r="K735">
        <v>60</v>
      </c>
      <c r="L735" s="26">
        <f>IFERROR(VLOOKUP(B735,Absen!$A$1:$C$501,2,FALSE),"No")</f>
        <v>44881</v>
      </c>
      <c r="M735" s="44">
        <f t="shared" si="32"/>
        <v>5</v>
      </c>
      <c r="N735" s="35">
        <f t="shared" si="33"/>
        <v>61.95</v>
      </c>
      <c r="O735" t="str">
        <f>VLOOKUP(N735,Helper!$B$30:$C$35,2,TRUE)</f>
        <v>C</v>
      </c>
      <c r="P735" s="26">
        <f>INDEX(Detail!$A$1:$A$1001,MATCH(B735,Detail!$G$1:$G$1001,0))</f>
        <v>37860</v>
      </c>
      <c r="Q735" s="3" t="str">
        <f>INDEX(Detail!$F$1:$F$1001,MATCH(Main!B735,Detail!$G$1:$G$1001,0))</f>
        <v>Yogyakarta</v>
      </c>
      <c r="R735" s="7">
        <f>INDEX(Detail!$C$1:$C$1001,MATCH(B735,Detail!$G$1:$G$1001,0),1)</f>
        <v>168</v>
      </c>
      <c r="S735" s="7">
        <f>INDEX(Detail!$D$1:$D$1001,MATCH(B735,Detail!$G$1:$G$1001,0),1)</f>
        <v>67</v>
      </c>
      <c r="T735" s="7" t="str">
        <f>INDEX(Detail!$E$1:$E$1001,MATCH(Main!B735,Detail!$G$1:$G$1001,0))</f>
        <v xml:space="preserve">Gang Tubagus Ismail No. 4
</v>
      </c>
      <c r="U735" s="7" t="str">
        <f>INDEX(Detail!$B$1:$B$1001,MATCH(B735,Detail!$G$1:$G$1001,0),1)</f>
        <v>A-</v>
      </c>
    </row>
    <row r="736" spans="1:21" ht="15.75" x14ac:dyDescent="0.25">
      <c r="A736">
        <v>310</v>
      </c>
      <c r="B736" s="3" t="str">
        <f t="shared" si="31"/>
        <v>E0310</v>
      </c>
      <c r="C736" t="s">
        <v>1010</v>
      </c>
      <c r="D736" s="3" t="str">
        <f>VLOOKUP(B736,Detail!$G$1:$H$1001,2,FALSE)</f>
        <v>Shania Maheswara</v>
      </c>
      <c r="E736">
        <v>83</v>
      </c>
      <c r="F736">
        <v>58</v>
      </c>
      <c r="G736" s="35">
        <v>67</v>
      </c>
      <c r="H736">
        <v>58</v>
      </c>
      <c r="I736">
        <v>81</v>
      </c>
      <c r="J736">
        <v>81</v>
      </c>
      <c r="K736">
        <v>97</v>
      </c>
      <c r="L736" s="26">
        <f>IFERROR(VLOOKUP(B736,Absen!$A$1:$C$501,2,FALSE),"No")</f>
        <v>44814</v>
      </c>
      <c r="M736" s="44">
        <f t="shared" si="32"/>
        <v>8.7000000000000011</v>
      </c>
      <c r="N736" s="35">
        <f t="shared" si="33"/>
        <v>73.3</v>
      </c>
      <c r="O736" t="str">
        <f>VLOOKUP(N736,Helper!$B$30:$C$35,2,TRUE)</f>
        <v>B</v>
      </c>
      <c r="P736" s="26">
        <f>INDEX(Detail!$A$1:$A$1001,MATCH(B736,Detail!$G$1:$G$1001,0))</f>
        <v>37464</v>
      </c>
      <c r="Q736" s="3" t="str">
        <f>INDEX(Detail!$F$1:$F$1001,MATCH(Main!B736,Detail!$G$1:$G$1001,0))</f>
        <v>Bima</v>
      </c>
      <c r="R736" s="7">
        <f>INDEX(Detail!$C$1:$C$1001,MATCH(B736,Detail!$G$1:$G$1001,0),1)</f>
        <v>155</v>
      </c>
      <c r="S736" s="7">
        <f>INDEX(Detail!$D$1:$D$1001,MATCH(B736,Detail!$G$1:$G$1001,0),1)</f>
        <v>89</v>
      </c>
      <c r="T736" s="7" t="str">
        <f>INDEX(Detail!$E$1:$E$1001,MATCH(Main!B736,Detail!$G$1:$G$1001,0))</f>
        <v xml:space="preserve">Jl. HOS. Cokroaminoto No. 4
</v>
      </c>
      <c r="U736" s="7" t="str">
        <f>INDEX(Detail!$B$1:$B$1001,MATCH(B736,Detail!$G$1:$G$1001,0),1)</f>
        <v>O+</v>
      </c>
    </row>
    <row r="737" spans="1:21" ht="15.75" x14ac:dyDescent="0.25">
      <c r="A737">
        <v>314</v>
      </c>
      <c r="B737" s="3" t="str">
        <f t="shared" si="31"/>
        <v>E0314</v>
      </c>
      <c r="C737" t="s">
        <v>1010</v>
      </c>
      <c r="D737" s="3" t="str">
        <f>VLOOKUP(B737,Detail!$G$1:$H$1001,2,FALSE)</f>
        <v>Danu Maulana</v>
      </c>
      <c r="E737">
        <v>52</v>
      </c>
      <c r="F737">
        <v>41</v>
      </c>
      <c r="G737" s="35">
        <v>51</v>
      </c>
      <c r="H737">
        <v>53</v>
      </c>
      <c r="I737">
        <v>63</v>
      </c>
      <c r="J737">
        <v>61</v>
      </c>
      <c r="K737">
        <v>91</v>
      </c>
      <c r="L737" s="26">
        <f>IFERROR(VLOOKUP(B737,Absen!$A$1:$C$501,2,FALSE),"No")</f>
        <v>44791</v>
      </c>
      <c r="M737" s="44">
        <f t="shared" si="32"/>
        <v>8.1</v>
      </c>
      <c r="N737" s="35">
        <f t="shared" si="33"/>
        <v>56.625000000000007</v>
      </c>
      <c r="O737" t="str">
        <f>VLOOKUP(N737,Helper!$B$30:$C$35,2,TRUE)</f>
        <v>D</v>
      </c>
      <c r="P737" s="26">
        <f>INDEX(Detail!$A$1:$A$1001,MATCH(B737,Detail!$G$1:$G$1001,0))</f>
        <v>38158</v>
      </c>
      <c r="Q737" s="3" t="str">
        <f>INDEX(Detail!$F$1:$F$1001,MATCH(Main!B737,Detail!$G$1:$G$1001,0))</f>
        <v>Makassar</v>
      </c>
      <c r="R737" s="7">
        <f>INDEX(Detail!$C$1:$C$1001,MATCH(B737,Detail!$G$1:$G$1001,0),1)</f>
        <v>155</v>
      </c>
      <c r="S737" s="7">
        <f>INDEX(Detail!$D$1:$D$1001,MATCH(B737,Detail!$G$1:$G$1001,0),1)</f>
        <v>61</v>
      </c>
      <c r="T737" s="7" t="str">
        <f>INDEX(Detail!$E$1:$E$1001,MATCH(Main!B737,Detail!$G$1:$G$1001,0))</f>
        <v xml:space="preserve">Jl. Indragiri No. 8
</v>
      </c>
      <c r="U737" s="7" t="str">
        <f>INDEX(Detail!$B$1:$B$1001,MATCH(B737,Detail!$G$1:$G$1001,0),1)</f>
        <v>O+</v>
      </c>
    </row>
    <row r="738" spans="1:21" ht="15.75" x14ac:dyDescent="0.25">
      <c r="A738">
        <v>316</v>
      </c>
      <c r="B738" s="3" t="str">
        <f t="shared" si="31"/>
        <v>E0316</v>
      </c>
      <c r="C738" t="s">
        <v>1010</v>
      </c>
      <c r="D738" s="3" t="str">
        <f>VLOOKUP(B738,Detail!$G$1:$H$1001,2,FALSE)</f>
        <v>Ridwan Wijayanti</v>
      </c>
      <c r="E738">
        <v>78</v>
      </c>
      <c r="F738">
        <v>49</v>
      </c>
      <c r="G738" s="35">
        <v>83</v>
      </c>
      <c r="H738">
        <v>67</v>
      </c>
      <c r="I738">
        <v>71</v>
      </c>
      <c r="J738">
        <v>49</v>
      </c>
      <c r="K738">
        <v>72</v>
      </c>
      <c r="L738" s="26">
        <f>IFERROR(VLOOKUP(B738,Absen!$A$1:$C$501,2,FALSE),"No")</f>
        <v>44831</v>
      </c>
      <c r="M738" s="44">
        <f t="shared" si="32"/>
        <v>6.2</v>
      </c>
      <c r="N738" s="35">
        <f t="shared" si="33"/>
        <v>65.725000000000009</v>
      </c>
      <c r="O738" t="str">
        <f>VLOOKUP(N738,Helper!$B$30:$C$35,2,TRUE)</f>
        <v>C</v>
      </c>
      <c r="P738" s="26">
        <f>INDEX(Detail!$A$1:$A$1001,MATCH(B738,Detail!$G$1:$G$1001,0))</f>
        <v>37685</v>
      </c>
      <c r="Q738" s="3" t="str">
        <f>INDEX(Detail!$F$1:$F$1001,MATCH(Main!B738,Detail!$G$1:$G$1001,0))</f>
        <v>Tebingtinggi</v>
      </c>
      <c r="R738" s="7">
        <f>INDEX(Detail!$C$1:$C$1001,MATCH(B738,Detail!$G$1:$G$1001,0),1)</f>
        <v>164</v>
      </c>
      <c r="S738" s="7">
        <f>INDEX(Detail!$D$1:$D$1001,MATCH(B738,Detail!$G$1:$G$1001,0),1)</f>
        <v>54</v>
      </c>
      <c r="T738" s="7" t="str">
        <f>INDEX(Detail!$E$1:$E$1001,MATCH(Main!B738,Detail!$G$1:$G$1001,0))</f>
        <v xml:space="preserve">Gang R.E Martadinata No. 8
</v>
      </c>
      <c r="U738" s="7" t="str">
        <f>INDEX(Detail!$B$1:$B$1001,MATCH(B738,Detail!$G$1:$G$1001,0),1)</f>
        <v>O+</v>
      </c>
    </row>
    <row r="739" spans="1:21" ht="15.75" x14ac:dyDescent="0.25">
      <c r="A739">
        <v>322</v>
      </c>
      <c r="B739" s="3" t="str">
        <f t="shared" si="31"/>
        <v>E0322</v>
      </c>
      <c r="C739" t="s">
        <v>1010</v>
      </c>
      <c r="D739" s="3" t="str">
        <f>VLOOKUP(B739,Detail!$G$1:$H$1001,2,FALSE)</f>
        <v>Candrakanta Wijayanti</v>
      </c>
      <c r="E739">
        <v>84</v>
      </c>
      <c r="F739">
        <v>73</v>
      </c>
      <c r="G739" s="35">
        <v>73</v>
      </c>
      <c r="H739">
        <v>75</v>
      </c>
      <c r="I739">
        <v>62</v>
      </c>
      <c r="J739">
        <v>64</v>
      </c>
      <c r="K739">
        <v>74</v>
      </c>
      <c r="L739" s="26" t="str">
        <f>IFERROR(VLOOKUP(B739,Absen!$A$1:$C$501,2,FALSE),"No")</f>
        <v>No</v>
      </c>
      <c r="M739" s="44">
        <f t="shared" si="32"/>
        <v>7.4</v>
      </c>
      <c r="N739" s="35">
        <f t="shared" si="33"/>
        <v>71.550000000000011</v>
      </c>
      <c r="O739" t="str">
        <f>VLOOKUP(N739,Helper!$B$30:$C$35,2,TRUE)</f>
        <v>B</v>
      </c>
      <c r="P739" s="26">
        <f>INDEX(Detail!$A$1:$A$1001,MATCH(B739,Detail!$G$1:$G$1001,0))</f>
        <v>38073</v>
      </c>
      <c r="Q739" s="3" t="str">
        <f>INDEX(Detail!$F$1:$F$1001,MATCH(Main!B739,Detail!$G$1:$G$1001,0))</f>
        <v>Denpasar</v>
      </c>
      <c r="R739" s="7">
        <f>INDEX(Detail!$C$1:$C$1001,MATCH(B739,Detail!$G$1:$G$1001,0),1)</f>
        <v>152</v>
      </c>
      <c r="S739" s="7">
        <f>INDEX(Detail!$D$1:$D$1001,MATCH(B739,Detail!$G$1:$G$1001,0),1)</f>
        <v>95</v>
      </c>
      <c r="T739" s="7" t="str">
        <f>INDEX(Detail!$E$1:$E$1001,MATCH(Main!B739,Detail!$G$1:$G$1001,0))</f>
        <v xml:space="preserve">Jl. Pasirkoja No. 3
</v>
      </c>
      <c r="U739" s="7" t="str">
        <f>INDEX(Detail!$B$1:$B$1001,MATCH(B739,Detail!$G$1:$G$1001,0),1)</f>
        <v>A-</v>
      </c>
    </row>
    <row r="740" spans="1:21" ht="15.75" x14ac:dyDescent="0.25">
      <c r="A740">
        <v>327</v>
      </c>
      <c r="B740" s="3" t="str">
        <f t="shared" si="31"/>
        <v>E0327</v>
      </c>
      <c r="C740" t="s">
        <v>1010</v>
      </c>
      <c r="D740" s="3" t="str">
        <f>VLOOKUP(B740,Detail!$G$1:$H$1001,2,FALSE)</f>
        <v>Aditya Nugroho</v>
      </c>
      <c r="E740">
        <v>67</v>
      </c>
      <c r="F740">
        <v>41</v>
      </c>
      <c r="G740" s="35">
        <v>48</v>
      </c>
      <c r="H740">
        <v>75</v>
      </c>
      <c r="I740">
        <v>76</v>
      </c>
      <c r="J740">
        <v>60</v>
      </c>
      <c r="K740">
        <v>89</v>
      </c>
      <c r="L740" s="26">
        <f>IFERROR(VLOOKUP(B740,Absen!$A$1:$C$501,2,FALSE),"No")</f>
        <v>44872</v>
      </c>
      <c r="M740" s="44">
        <f t="shared" si="32"/>
        <v>7.9</v>
      </c>
      <c r="N740" s="35">
        <f t="shared" si="33"/>
        <v>61.875</v>
      </c>
      <c r="O740" t="str">
        <f>VLOOKUP(N740,Helper!$B$30:$C$35,2,TRUE)</f>
        <v>C</v>
      </c>
      <c r="P740" s="26">
        <f>INDEX(Detail!$A$1:$A$1001,MATCH(B740,Detail!$G$1:$G$1001,0))</f>
        <v>37183</v>
      </c>
      <c r="Q740" s="3" t="str">
        <f>INDEX(Detail!$F$1:$F$1001,MATCH(Main!B740,Detail!$G$1:$G$1001,0))</f>
        <v>Mojokerto</v>
      </c>
      <c r="R740" s="7">
        <f>INDEX(Detail!$C$1:$C$1001,MATCH(B740,Detail!$G$1:$G$1001,0),1)</f>
        <v>175</v>
      </c>
      <c r="S740" s="7">
        <f>INDEX(Detail!$D$1:$D$1001,MATCH(B740,Detail!$G$1:$G$1001,0),1)</f>
        <v>80</v>
      </c>
      <c r="T740" s="7" t="str">
        <f>INDEX(Detail!$E$1:$E$1001,MATCH(Main!B740,Detail!$G$1:$G$1001,0))</f>
        <v>Gg. Ir. H. Djuanda No. 33</v>
      </c>
      <c r="U740" s="7" t="str">
        <f>INDEX(Detail!$B$1:$B$1001,MATCH(B740,Detail!$G$1:$G$1001,0),1)</f>
        <v>AB-</v>
      </c>
    </row>
    <row r="741" spans="1:21" ht="15.75" x14ac:dyDescent="0.25">
      <c r="A741">
        <v>335</v>
      </c>
      <c r="B741" s="3" t="str">
        <f t="shared" si="31"/>
        <v>E0335</v>
      </c>
      <c r="C741" t="s">
        <v>1010</v>
      </c>
      <c r="D741" s="3" t="str">
        <f>VLOOKUP(B741,Detail!$G$1:$H$1001,2,FALSE)</f>
        <v>Gasti Mahendra</v>
      </c>
      <c r="E741">
        <v>83</v>
      </c>
      <c r="F741">
        <v>44</v>
      </c>
      <c r="G741" s="35">
        <v>42</v>
      </c>
      <c r="H741">
        <v>50</v>
      </c>
      <c r="I741">
        <v>77</v>
      </c>
      <c r="J741">
        <v>58</v>
      </c>
      <c r="K741">
        <v>61</v>
      </c>
      <c r="L741" s="26">
        <f>IFERROR(VLOOKUP(B741,Absen!$A$1:$C$501,2,FALSE),"No")</f>
        <v>44858</v>
      </c>
      <c r="M741" s="44">
        <f t="shared" si="32"/>
        <v>5.1000000000000005</v>
      </c>
      <c r="N741" s="35">
        <f t="shared" si="33"/>
        <v>56.85</v>
      </c>
      <c r="O741" t="str">
        <f>VLOOKUP(N741,Helper!$B$30:$C$35,2,TRUE)</f>
        <v>D</v>
      </c>
      <c r="P741" s="26">
        <f>INDEX(Detail!$A$1:$A$1001,MATCH(B741,Detail!$G$1:$G$1001,0))</f>
        <v>37330</v>
      </c>
      <c r="Q741" s="3" t="str">
        <f>INDEX(Detail!$F$1:$F$1001,MATCH(Main!B741,Detail!$G$1:$G$1001,0))</f>
        <v>Padang Sidempuan</v>
      </c>
      <c r="R741" s="7">
        <f>INDEX(Detail!$C$1:$C$1001,MATCH(B741,Detail!$G$1:$G$1001,0),1)</f>
        <v>167</v>
      </c>
      <c r="S741" s="7">
        <f>INDEX(Detail!$D$1:$D$1001,MATCH(B741,Detail!$G$1:$G$1001,0),1)</f>
        <v>45</v>
      </c>
      <c r="T741" s="7" t="str">
        <f>INDEX(Detail!$E$1:$E$1001,MATCH(Main!B741,Detail!$G$1:$G$1001,0))</f>
        <v xml:space="preserve">Gang Antapani Lama No. 7
</v>
      </c>
      <c r="U741" s="7" t="str">
        <f>INDEX(Detail!$B$1:$B$1001,MATCH(B741,Detail!$G$1:$G$1001,0),1)</f>
        <v>O+</v>
      </c>
    </row>
    <row r="742" spans="1:21" ht="15.75" x14ac:dyDescent="0.25">
      <c r="A742">
        <v>338</v>
      </c>
      <c r="B742" s="3" t="str">
        <f t="shared" si="31"/>
        <v>E0338</v>
      </c>
      <c r="C742" t="s">
        <v>1010</v>
      </c>
      <c r="D742" s="3" t="str">
        <f>VLOOKUP(B742,Detail!$G$1:$H$1001,2,FALSE)</f>
        <v>Kartika Hutapea</v>
      </c>
      <c r="E742">
        <v>74</v>
      </c>
      <c r="F742">
        <v>75</v>
      </c>
      <c r="G742" s="35">
        <v>83</v>
      </c>
      <c r="H742">
        <v>65</v>
      </c>
      <c r="I742">
        <v>60</v>
      </c>
      <c r="J742">
        <v>97</v>
      </c>
      <c r="K742">
        <v>69</v>
      </c>
      <c r="L742" s="26" t="str">
        <f>IFERROR(VLOOKUP(B742,Absen!$A$1:$C$501,2,FALSE),"No")</f>
        <v>No</v>
      </c>
      <c r="M742" s="44">
        <f t="shared" si="32"/>
        <v>6.9</v>
      </c>
      <c r="N742" s="35">
        <f t="shared" si="33"/>
        <v>77.150000000000006</v>
      </c>
      <c r="O742" t="str">
        <f>VLOOKUP(N742,Helper!$B$30:$C$35,2,TRUE)</f>
        <v>B</v>
      </c>
      <c r="P742" s="26">
        <f>INDEX(Detail!$A$1:$A$1001,MATCH(B742,Detail!$G$1:$G$1001,0))</f>
        <v>37903</v>
      </c>
      <c r="Q742" s="3" t="str">
        <f>INDEX(Detail!$F$1:$F$1001,MATCH(Main!B742,Detail!$G$1:$G$1001,0))</f>
        <v>Palu</v>
      </c>
      <c r="R742" s="7">
        <f>INDEX(Detail!$C$1:$C$1001,MATCH(B742,Detail!$G$1:$G$1001,0),1)</f>
        <v>158</v>
      </c>
      <c r="S742" s="7">
        <f>INDEX(Detail!$D$1:$D$1001,MATCH(B742,Detail!$G$1:$G$1001,0),1)</f>
        <v>50</v>
      </c>
      <c r="T742" s="7" t="str">
        <f>INDEX(Detail!$E$1:$E$1001,MATCH(Main!B742,Detail!$G$1:$G$1001,0))</f>
        <v>Jl. Veteran No. 85</v>
      </c>
      <c r="U742" s="7" t="str">
        <f>INDEX(Detail!$B$1:$B$1001,MATCH(B742,Detail!$G$1:$G$1001,0),1)</f>
        <v>O+</v>
      </c>
    </row>
    <row r="743" spans="1:21" ht="15.75" x14ac:dyDescent="0.25">
      <c r="A743">
        <v>345</v>
      </c>
      <c r="B743" s="3" t="str">
        <f t="shared" ref="B743:B806" si="34">CONCATENATE("E",TEXT(A743,"0000"))</f>
        <v>E0345</v>
      </c>
      <c r="C743" t="s">
        <v>1010</v>
      </c>
      <c r="D743" s="3" t="str">
        <f>VLOOKUP(B743,Detail!$G$1:$H$1001,2,FALSE)</f>
        <v>Teddy Aryani</v>
      </c>
      <c r="E743">
        <v>56</v>
      </c>
      <c r="F743">
        <v>61</v>
      </c>
      <c r="G743" s="35">
        <v>92</v>
      </c>
      <c r="H743">
        <v>56</v>
      </c>
      <c r="I743">
        <v>83</v>
      </c>
      <c r="J743">
        <v>78</v>
      </c>
      <c r="K743">
        <v>61</v>
      </c>
      <c r="L743" s="26">
        <f>IFERROR(VLOOKUP(B743,Absen!$A$1:$C$501,2,FALSE),"No")</f>
        <v>44799</v>
      </c>
      <c r="M743" s="44">
        <f t="shared" si="32"/>
        <v>5.1000000000000005</v>
      </c>
      <c r="N743" s="35">
        <f t="shared" si="33"/>
        <v>71.099999999999994</v>
      </c>
      <c r="O743" t="str">
        <f>VLOOKUP(N743,Helper!$B$30:$C$35,2,TRUE)</f>
        <v>B</v>
      </c>
      <c r="P743" s="26">
        <f>INDEX(Detail!$A$1:$A$1001,MATCH(B743,Detail!$G$1:$G$1001,0))</f>
        <v>38223</v>
      </c>
      <c r="Q743" s="3" t="str">
        <f>INDEX(Detail!$F$1:$F$1001,MATCH(Main!B743,Detail!$G$1:$G$1001,0))</f>
        <v>Meulaboh</v>
      </c>
      <c r="R743" s="7">
        <f>INDEX(Detail!$C$1:$C$1001,MATCH(B743,Detail!$G$1:$G$1001,0),1)</f>
        <v>173</v>
      </c>
      <c r="S743" s="7">
        <f>INDEX(Detail!$D$1:$D$1001,MATCH(B743,Detail!$G$1:$G$1001,0),1)</f>
        <v>89</v>
      </c>
      <c r="T743" s="7" t="str">
        <f>INDEX(Detail!$E$1:$E$1001,MATCH(Main!B743,Detail!$G$1:$G$1001,0))</f>
        <v xml:space="preserve">Jalan Indragiri No. 9
</v>
      </c>
      <c r="U743" s="7" t="str">
        <f>INDEX(Detail!$B$1:$B$1001,MATCH(B743,Detail!$G$1:$G$1001,0),1)</f>
        <v>O-</v>
      </c>
    </row>
    <row r="744" spans="1:21" ht="15.75" x14ac:dyDescent="0.25">
      <c r="A744">
        <v>350</v>
      </c>
      <c r="B744" s="3" t="str">
        <f t="shared" si="34"/>
        <v>E0350</v>
      </c>
      <c r="C744" t="s">
        <v>1010</v>
      </c>
      <c r="D744" s="3" t="str">
        <f>VLOOKUP(B744,Detail!$G$1:$H$1001,2,FALSE)</f>
        <v>Kayla Nuraini</v>
      </c>
      <c r="E744">
        <v>70</v>
      </c>
      <c r="F744">
        <v>64</v>
      </c>
      <c r="G744" s="35">
        <v>74</v>
      </c>
      <c r="H744">
        <v>52</v>
      </c>
      <c r="I744">
        <v>54</v>
      </c>
      <c r="J744">
        <v>70</v>
      </c>
      <c r="K744">
        <v>77</v>
      </c>
      <c r="L744" s="26" t="str">
        <f>IFERROR(VLOOKUP(B744,Absen!$A$1:$C$501,2,FALSE),"No")</f>
        <v>No</v>
      </c>
      <c r="M744" s="44">
        <f t="shared" si="32"/>
        <v>7.7</v>
      </c>
      <c r="N744" s="35">
        <f t="shared" si="33"/>
        <v>66.5</v>
      </c>
      <c r="O744" t="str">
        <f>VLOOKUP(N744,Helper!$B$30:$C$35,2,TRUE)</f>
        <v>C</v>
      </c>
      <c r="P744" s="26">
        <f>INDEX(Detail!$A$1:$A$1001,MATCH(B744,Detail!$G$1:$G$1001,0))</f>
        <v>37352</v>
      </c>
      <c r="Q744" s="3" t="str">
        <f>INDEX(Detail!$F$1:$F$1001,MATCH(Main!B744,Detail!$G$1:$G$1001,0))</f>
        <v>Tangerang Selatan</v>
      </c>
      <c r="R744" s="7">
        <f>INDEX(Detail!$C$1:$C$1001,MATCH(B744,Detail!$G$1:$G$1001,0),1)</f>
        <v>166</v>
      </c>
      <c r="S744" s="7">
        <f>INDEX(Detail!$D$1:$D$1001,MATCH(B744,Detail!$G$1:$G$1001,0),1)</f>
        <v>61</v>
      </c>
      <c r="T744" s="7" t="str">
        <f>INDEX(Detail!$E$1:$E$1001,MATCH(Main!B744,Detail!$G$1:$G$1001,0))</f>
        <v>Jalan Cihampelas No. 91</v>
      </c>
      <c r="U744" s="7" t="str">
        <f>INDEX(Detail!$B$1:$B$1001,MATCH(B744,Detail!$G$1:$G$1001,0),1)</f>
        <v>AB+</v>
      </c>
    </row>
    <row r="745" spans="1:21" ht="15.75" x14ac:dyDescent="0.25">
      <c r="A745">
        <v>353</v>
      </c>
      <c r="B745" s="3" t="str">
        <f t="shared" si="34"/>
        <v>E0353</v>
      </c>
      <c r="C745" t="s">
        <v>1010</v>
      </c>
      <c r="D745" s="3" t="str">
        <f>VLOOKUP(B745,Detail!$G$1:$H$1001,2,FALSE)</f>
        <v>Edison Maheswara</v>
      </c>
      <c r="E745">
        <v>91</v>
      </c>
      <c r="F745">
        <v>48</v>
      </c>
      <c r="G745" s="35">
        <v>35</v>
      </c>
      <c r="H745">
        <v>53</v>
      </c>
      <c r="I745">
        <v>52</v>
      </c>
      <c r="J745">
        <v>84</v>
      </c>
      <c r="K745">
        <v>96</v>
      </c>
      <c r="L745" s="26">
        <f>IFERROR(VLOOKUP(B745,Absen!$A$1:$C$501,2,FALSE),"No")</f>
        <v>44801</v>
      </c>
      <c r="M745" s="44">
        <f t="shared" si="32"/>
        <v>8.6</v>
      </c>
      <c r="N745" s="35">
        <f t="shared" si="33"/>
        <v>62.9</v>
      </c>
      <c r="O745" t="str">
        <f>VLOOKUP(N745,Helper!$B$30:$C$35,2,TRUE)</f>
        <v>C</v>
      </c>
      <c r="P745" s="26">
        <f>INDEX(Detail!$A$1:$A$1001,MATCH(B745,Detail!$G$1:$G$1001,0))</f>
        <v>38042</v>
      </c>
      <c r="Q745" s="3" t="str">
        <f>INDEX(Detail!$F$1:$F$1001,MATCH(Main!B745,Detail!$G$1:$G$1001,0))</f>
        <v>Pagaralam</v>
      </c>
      <c r="R745" s="7">
        <f>INDEX(Detail!$C$1:$C$1001,MATCH(B745,Detail!$G$1:$G$1001,0),1)</f>
        <v>174</v>
      </c>
      <c r="S745" s="7">
        <f>INDEX(Detail!$D$1:$D$1001,MATCH(B745,Detail!$G$1:$G$1001,0),1)</f>
        <v>52</v>
      </c>
      <c r="T745" s="7" t="str">
        <f>INDEX(Detail!$E$1:$E$1001,MATCH(Main!B745,Detail!$G$1:$G$1001,0))</f>
        <v xml:space="preserve">Jl. Asia Afrika No. 1
</v>
      </c>
      <c r="U745" s="7" t="str">
        <f>INDEX(Detail!$B$1:$B$1001,MATCH(B745,Detail!$G$1:$G$1001,0),1)</f>
        <v>A-</v>
      </c>
    </row>
    <row r="746" spans="1:21" ht="15.75" x14ac:dyDescent="0.25">
      <c r="A746">
        <v>365</v>
      </c>
      <c r="B746" s="3" t="str">
        <f t="shared" si="34"/>
        <v>E0365</v>
      </c>
      <c r="C746" t="s">
        <v>1010</v>
      </c>
      <c r="D746" s="3" t="str">
        <f>VLOOKUP(B746,Detail!$G$1:$H$1001,2,FALSE)</f>
        <v>Okta Sitohang</v>
      </c>
      <c r="E746">
        <v>66</v>
      </c>
      <c r="F746">
        <v>51</v>
      </c>
      <c r="G746" s="35">
        <v>32</v>
      </c>
      <c r="H746">
        <v>51</v>
      </c>
      <c r="I746">
        <v>57</v>
      </c>
      <c r="J746">
        <v>73</v>
      </c>
      <c r="K746">
        <v>88</v>
      </c>
      <c r="L746" s="26">
        <f>IFERROR(VLOOKUP(B746,Absen!$A$1:$C$501,2,FALSE),"No")</f>
        <v>44907</v>
      </c>
      <c r="M746" s="44">
        <f t="shared" si="32"/>
        <v>7.8000000000000007</v>
      </c>
      <c r="N746" s="35">
        <f t="shared" si="33"/>
        <v>56.924999999999997</v>
      </c>
      <c r="O746" t="str">
        <f>VLOOKUP(N746,Helper!$B$30:$C$35,2,TRUE)</f>
        <v>D</v>
      </c>
      <c r="P746" s="26">
        <f>INDEX(Detail!$A$1:$A$1001,MATCH(B746,Detail!$G$1:$G$1001,0))</f>
        <v>38449</v>
      </c>
      <c r="Q746" s="3" t="str">
        <f>INDEX(Detail!$F$1:$F$1001,MATCH(Main!B746,Detail!$G$1:$G$1001,0))</f>
        <v>Pagaralam</v>
      </c>
      <c r="R746" s="7">
        <f>INDEX(Detail!$C$1:$C$1001,MATCH(B746,Detail!$G$1:$G$1001,0),1)</f>
        <v>150</v>
      </c>
      <c r="S746" s="7">
        <f>INDEX(Detail!$D$1:$D$1001,MATCH(B746,Detail!$G$1:$G$1001,0),1)</f>
        <v>81</v>
      </c>
      <c r="T746" s="7" t="str">
        <f>INDEX(Detail!$E$1:$E$1001,MATCH(Main!B746,Detail!$G$1:$G$1001,0))</f>
        <v xml:space="preserve">Jl. Sukabumi No. 4
</v>
      </c>
      <c r="U746" s="7" t="str">
        <f>INDEX(Detail!$B$1:$B$1001,MATCH(B746,Detail!$G$1:$G$1001,0),1)</f>
        <v>B-</v>
      </c>
    </row>
    <row r="747" spans="1:21" ht="15.75" x14ac:dyDescent="0.25">
      <c r="A747">
        <v>366</v>
      </c>
      <c r="B747" s="3" t="str">
        <f t="shared" si="34"/>
        <v>E0366</v>
      </c>
      <c r="C747" t="s">
        <v>1010</v>
      </c>
      <c r="D747" s="3" t="str">
        <f>VLOOKUP(B747,Detail!$G$1:$H$1001,2,FALSE)</f>
        <v>Argono Wastuti</v>
      </c>
      <c r="E747">
        <v>76</v>
      </c>
      <c r="F747">
        <v>58</v>
      </c>
      <c r="G747" s="35">
        <v>85</v>
      </c>
      <c r="H747">
        <v>63</v>
      </c>
      <c r="I747">
        <v>82</v>
      </c>
      <c r="J747">
        <v>55</v>
      </c>
      <c r="K747">
        <v>60</v>
      </c>
      <c r="L747" s="26">
        <f>IFERROR(VLOOKUP(B747,Absen!$A$1:$C$501,2,FALSE),"No")</f>
        <v>44915</v>
      </c>
      <c r="M747" s="44">
        <f t="shared" si="32"/>
        <v>5</v>
      </c>
      <c r="N747" s="35">
        <f t="shared" si="33"/>
        <v>67.875</v>
      </c>
      <c r="O747" t="str">
        <f>VLOOKUP(N747,Helper!$B$30:$C$35,2,TRUE)</f>
        <v>C</v>
      </c>
      <c r="P747" s="26">
        <f>INDEX(Detail!$A$1:$A$1001,MATCH(B747,Detail!$G$1:$G$1001,0))</f>
        <v>37016</v>
      </c>
      <c r="Q747" s="3" t="str">
        <f>INDEX(Detail!$F$1:$F$1001,MATCH(Main!B747,Detail!$G$1:$G$1001,0))</f>
        <v>Pagaralam</v>
      </c>
      <c r="R747" s="7">
        <f>INDEX(Detail!$C$1:$C$1001,MATCH(B747,Detail!$G$1:$G$1001,0),1)</f>
        <v>176</v>
      </c>
      <c r="S747" s="7">
        <f>INDEX(Detail!$D$1:$D$1001,MATCH(B747,Detail!$G$1:$G$1001,0),1)</f>
        <v>61</v>
      </c>
      <c r="T747" s="7" t="str">
        <f>INDEX(Detail!$E$1:$E$1001,MATCH(Main!B747,Detail!$G$1:$G$1001,0))</f>
        <v xml:space="preserve">Jl. Astana Anyar No. 2
</v>
      </c>
      <c r="U747" s="7" t="str">
        <f>INDEX(Detail!$B$1:$B$1001,MATCH(B747,Detail!$G$1:$G$1001,0),1)</f>
        <v>A-</v>
      </c>
    </row>
    <row r="748" spans="1:21" ht="15.75" x14ac:dyDescent="0.25">
      <c r="A748">
        <v>367</v>
      </c>
      <c r="B748" s="3" t="str">
        <f t="shared" si="34"/>
        <v>E0367</v>
      </c>
      <c r="C748" t="s">
        <v>1010</v>
      </c>
      <c r="D748" s="3" t="str">
        <f>VLOOKUP(B748,Detail!$G$1:$H$1001,2,FALSE)</f>
        <v>Setya Kuswoyo</v>
      </c>
      <c r="E748">
        <v>95</v>
      </c>
      <c r="F748">
        <v>58</v>
      </c>
      <c r="G748" s="35">
        <v>60</v>
      </c>
      <c r="H748">
        <v>74</v>
      </c>
      <c r="I748">
        <v>59</v>
      </c>
      <c r="J748">
        <v>40</v>
      </c>
      <c r="K748">
        <v>61</v>
      </c>
      <c r="L748" s="26" t="str">
        <f>IFERROR(VLOOKUP(B748,Absen!$A$1:$C$501,2,FALSE),"No")</f>
        <v>No</v>
      </c>
      <c r="M748" s="44">
        <f t="shared" si="32"/>
        <v>6.1000000000000005</v>
      </c>
      <c r="N748" s="35">
        <f t="shared" si="33"/>
        <v>61.85</v>
      </c>
      <c r="O748" t="str">
        <f>VLOOKUP(N748,Helper!$B$30:$C$35,2,TRUE)</f>
        <v>C</v>
      </c>
      <c r="P748" s="26">
        <f>INDEX(Detail!$A$1:$A$1001,MATCH(B748,Detail!$G$1:$G$1001,0))</f>
        <v>37375</v>
      </c>
      <c r="Q748" s="3" t="str">
        <f>INDEX(Detail!$F$1:$F$1001,MATCH(Main!B748,Detail!$G$1:$G$1001,0))</f>
        <v>Batu</v>
      </c>
      <c r="R748" s="7">
        <f>INDEX(Detail!$C$1:$C$1001,MATCH(B748,Detail!$G$1:$G$1001,0),1)</f>
        <v>180</v>
      </c>
      <c r="S748" s="7">
        <f>INDEX(Detail!$D$1:$D$1001,MATCH(B748,Detail!$G$1:$G$1001,0),1)</f>
        <v>68</v>
      </c>
      <c r="T748" s="7" t="str">
        <f>INDEX(Detail!$E$1:$E$1001,MATCH(Main!B748,Detail!$G$1:$G$1001,0))</f>
        <v xml:space="preserve">Jalan Wonoayu No. 0
</v>
      </c>
      <c r="U748" s="7" t="str">
        <f>INDEX(Detail!$B$1:$B$1001,MATCH(B748,Detail!$G$1:$G$1001,0),1)</f>
        <v>B+</v>
      </c>
    </row>
    <row r="749" spans="1:21" ht="15.75" x14ac:dyDescent="0.25">
      <c r="A749">
        <v>381</v>
      </c>
      <c r="B749" s="3" t="str">
        <f t="shared" si="34"/>
        <v>E0381</v>
      </c>
      <c r="C749" t="s">
        <v>1010</v>
      </c>
      <c r="D749" s="3" t="str">
        <f>VLOOKUP(B749,Detail!$G$1:$H$1001,2,FALSE)</f>
        <v>Saadat Salahudin</v>
      </c>
      <c r="E749">
        <v>72</v>
      </c>
      <c r="F749">
        <v>70</v>
      </c>
      <c r="G749" s="35">
        <v>34</v>
      </c>
      <c r="H749">
        <v>54</v>
      </c>
      <c r="I749">
        <v>95</v>
      </c>
      <c r="J749">
        <v>85</v>
      </c>
      <c r="K749">
        <v>82</v>
      </c>
      <c r="L749" s="26">
        <f>IFERROR(VLOOKUP(B749,Absen!$A$1:$C$501,2,FALSE),"No")</f>
        <v>44833</v>
      </c>
      <c r="M749" s="44">
        <f t="shared" si="32"/>
        <v>7.2</v>
      </c>
      <c r="N749" s="35">
        <f t="shared" si="33"/>
        <v>67.375</v>
      </c>
      <c r="O749" t="str">
        <f>VLOOKUP(N749,Helper!$B$30:$C$35,2,TRUE)</f>
        <v>C</v>
      </c>
      <c r="P749" s="26">
        <f>INDEX(Detail!$A$1:$A$1001,MATCH(B749,Detail!$G$1:$G$1001,0))</f>
        <v>37595</v>
      </c>
      <c r="Q749" s="3" t="str">
        <f>INDEX(Detail!$F$1:$F$1001,MATCH(Main!B749,Detail!$G$1:$G$1001,0))</f>
        <v>Bukittinggi</v>
      </c>
      <c r="R749" s="7">
        <f>INDEX(Detail!$C$1:$C$1001,MATCH(B749,Detail!$G$1:$G$1001,0),1)</f>
        <v>154</v>
      </c>
      <c r="S749" s="7">
        <f>INDEX(Detail!$D$1:$D$1001,MATCH(B749,Detail!$G$1:$G$1001,0),1)</f>
        <v>60</v>
      </c>
      <c r="T749" s="7" t="str">
        <f>INDEX(Detail!$E$1:$E$1001,MATCH(Main!B749,Detail!$G$1:$G$1001,0))</f>
        <v xml:space="preserve">Gang HOS. Cokroaminoto No. 5
</v>
      </c>
      <c r="U749" s="7" t="str">
        <f>INDEX(Detail!$B$1:$B$1001,MATCH(B749,Detail!$G$1:$G$1001,0),1)</f>
        <v>A+</v>
      </c>
    </row>
    <row r="750" spans="1:21" ht="15.75" x14ac:dyDescent="0.25">
      <c r="A750">
        <v>385</v>
      </c>
      <c r="B750" s="3" t="str">
        <f t="shared" si="34"/>
        <v>E0385</v>
      </c>
      <c r="C750" t="s">
        <v>1010</v>
      </c>
      <c r="D750" s="3" t="str">
        <f>VLOOKUP(B750,Detail!$G$1:$H$1001,2,FALSE)</f>
        <v>Cayadi Aryani</v>
      </c>
      <c r="E750">
        <v>77</v>
      </c>
      <c r="F750">
        <v>53</v>
      </c>
      <c r="G750" s="35">
        <v>35</v>
      </c>
      <c r="H750">
        <v>71</v>
      </c>
      <c r="I750">
        <v>91</v>
      </c>
      <c r="J750">
        <v>63</v>
      </c>
      <c r="K750">
        <v>62</v>
      </c>
      <c r="L750" s="26">
        <f>IFERROR(VLOOKUP(B750,Absen!$A$1:$C$501,2,FALSE),"No")</f>
        <v>44868</v>
      </c>
      <c r="M750" s="44">
        <f t="shared" si="32"/>
        <v>5.2</v>
      </c>
      <c r="N750" s="35">
        <f t="shared" si="33"/>
        <v>61.300000000000004</v>
      </c>
      <c r="O750" t="str">
        <f>VLOOKUP(N750,Helper!$B$30:$C$35,2,TRUE)</f>
        <v>C</v>
      </c>
      <c r="P750" s="26">
        <f>INDEX(Detail!$A$1:$A$1001,MATCH(B750,Detail!$G$1:$G$1001,0))</f>
        <v>38184</v>
      </c>
      <c r="Q750" s="3" t="str">
        <f>INDEX(Detail!$F$1:$F$1001,MATCH(Main!B750,Detail!$G$1:$G$1001,0))</f>
        <v>Kotamobagu</v>
      </c>
      <c r="R750" s="7">
        <f>INDEX(Detail!$C$1:$C$1001,MATCH(B750,Detail!$G$1:$G$1001,0),1)</f>
        <v>176</v>
      </c>
      <c r="S750" s="7">
        <f>INDEX(Detail!$D$1:$D$1001,MATCH(B750,Detail!$G$1:$G$1001,0),1)</f>
        <v>55</v>
      </c>
      <c r="T750" s="7" t="str">
        <f>INDEX(Detail!$E$1:$E$1001,MATCH(Main!B750,Detail!$G$1:$G$1001,0))</f>
        <v>Gg. Tubagus Ismail No. 22</v>
      </c>
      <c r="U750" s="7" t="str">
        <f>INDEX(Detail!$B$1:$B$1001,MATCH(B750,Detail!$G$1:$G$1001,0),1)</f>
        <v>B-</v>
      </c>
    </row>
    <row r="751" spans="1:21" ht="15.75" x14ac:dyDescent="0.25">
      <c r="A751">
        <v>386</v>
      </c>
      <c r="B751" s="3" t="str">
        <f t="shared" si="34"/>
        <v>E0386</v>
      </c>
      <c r="C751" t="s">
        <v>1010</v>
      </c>
      <c r="D751" s="3" t="str">
        <f>VLOOKUP(B751,Detail!$G$1:$H$1001,2,FALSE)</f>
        <v>Jaswadi Waskita</v>
      </c>
      <c r="E751">
        <v>54</v>
      </c>
      <c r="F751">
        <v>56</v>
      </c>
      <c r="G751" s="35">
        <v>95</v>
      </c>
      <c r="H751">
        <v>67</v>
      </c>
      <c r="I751">
        <v>67</v>
      </c>
      <c r="J751">
        <v>68</v>
      </c>
      <c r="K751">
        <v>91</v>
      </c>
      <c r="L751" s="26">
        <f>IFERROR(VLOOKUP(B751,Absen!$A$1:$C$501,2,FALSE),"No")</f>
        <v>44854</v>
      </c>
      <c r="M751" s="44">
        <f t="shared" si="32"/>
        <v>8.1</v>
      </c>
      <c r="N751" s="35">
        <f t="shared" si="33"/>
        <v>71.2</v>
      </c>
      <c r="O751" t="str">
        <f>VLOOKUP(N751,Helper!$B$30:$C$35,2,TRUE)</f>
        <v>B</v>
      </c>
      <c r="P751" s="26">
        <f>INDEX(Detail!$A$1:$A$1001,MATCH(B751,Detail!$G$1:$G$1001,0))</f>
        <v>38433</v>
      </c>
      <c r="Q751" s="3" t="str">
        <f>INDEX(Detail!$F$1:$F$1001,MATCH(Main!B751,Detail!$G$1:$G$1001,0))</f>
        <v>Subulussalam</v>
      </c>
      <c r="R751" s="7">
        <f>INDEX(Detail!$C$1:$C$1001,MATCH(B751,Detail!$G$1:$G$1001,0),1)</f>
        <v>178</v>
      </c>
      <c r="S751" s="7">
        <f>INDEX(Detail!$D$1:$D$1001,MATCH(B751,Detail!$G$1:$G$1001,0),1)</f>
        <v>69</v>
      </c>
      <c r="T751" s="7" t="str">
        <f>INDEX(Detail!$E$1:$E$1001,MATCH(Main!B751,Detail!$G$1:$G$1001,0))</f>
        <v>Jl. Laswi No. 24</v>
      </c>
      <c r="U751" s="7" t="str">
        <f>INDEX(Detail!$B$1:$B$1001,MATCH(B751,Detail!$G$1:$G$1001,0),1)</f>
        <v>AB+</v>
      </c>
    </row>
    <row r="752" spans="1:21" ht="15.75" x14ac:dyDescent="0.25">
      <c r="A752">
        <v>387</v>
      </c>
      <c r="B752" s="3" t="str">
        <f t="shared" si="34"/>
        <v>E0387</v>
      </c>
      <c r="C752" t="s">
        <v>1010</v>
      </c>
      <c r="D752" s="3" t="str">
        <f>VLOOKUP(B752,Detail!$G$1:$H$1001,2,FALSE)</f>
        <v>Uchita Hutasoit</v>
      </c>
      <c r="E752">
        <v>62</v>
      </c>
      <c r="F752">
        <v>67</v>
      </c>
      <c r="G752" s="35">
        <v>77</v>
      </c>
      <c r="H752">
        <v>61</v>
      </c>
      <c r="I752">
        <v>74</v>
      </c>
      <c r="J752">
        <v>92</v>
      </c>
      <c r="K752">
        <v>72</v>
      </c>
      <c r="L752" s="26" t="str">
        <f>IFERROR(VLOOKUP(B752,Absen!$A$1:$C$501,2,FALSE),"No")</f>
        <v>No</v>
      </c>
      <c r="M752" s="44">
        <f t="shared" si="32"/>
        <v>7.2</v>
      </c>
      <c r="N752" s="35">
        <f t="shared" si="33"/>
        <v>74</v>
      </c>
      <c r="O752" t="str">
        <f>VLOOKUP(N752,Helper!$B$30:$C$35,2,TRUE)</f>
        <v>B</v>
      </c>
      <c r="P752" s="26">
        <f>INDEX(Detail!$A$1:$A$1001,MATCH(B752,Detail!$G$1:$G$1001,0))</f>
        <v>37531</v>
      </c>
      <c r="Q752" s="3" t="str">
        <f>INDEX(Detail!$F$1:$F$1001,MATCH(Main!B752,Detail!$G$1:$G$1001,0))</f>
        <v>Prabumulih</v>
      </c>
      <c r="R752" s="7">
        <f>INDEX(Detail!$C$1:$C$1001,MATCH(B752,Detail!$G$1:$G$1001,0),1)</f>
        <v>166</v>
      </c>
      <c r="S752" s="7">
        <f>INDEX(Detail!$D$1:$D$1001,MATCH(B752,Detail!$G$1:$G$1001,0),1)</f>
        <v>80</v>
      </c>
      <c r="T752" s="7" t="str">
        <f>INDEX(Detail!$E$1:$E$1001,MATCH(Main!B752,Detail!$G$1:$G$1001,0))</f>
        <v>Jl. Dipatiukur No. 28</v>
      </c>
      <c r="U752" s="7" t="str">
        <f>INDEX(Detail!$B$1:$B$1001,MATCH(B752,Detail!$G$1:$G$1001,0),1)</f>
        <v>B-</v>
      </c>
    </row>
    <row r="753" spans="1:21" ht="15.75" x14ac:dyDescent="0.25">
      <c r="A753">
        <v>390</v>
      </c>
      <c r="B753" s="3" t="str">
        <f t="shared" si="34"/>
        <v>E0390</v>
      </c>
      <c r="C753" t="s">
        <v>1010</v>
      </c>
      <c r="D753" s="3" t="str">
        <f>VLOOKUP(B753,Detail!$G$1:$H$1001,2,FALSE)</f>
        <v>Setya Prayoga</v>
      </c>
      <c r="E753">
        <v>87</v>
      </c>
      <c r="F753">
        <v>52</v>
      </c>
      <c r="G753" s="35">
        <v>81</v>
      </c>
      <c r="H753">
        <v>69</v>
      </c>
      <c r="I753">
        <v>64</v>
      </c>
      <c r="J753">
        <v>96</v>
      </c>
      <c r="K753">
        <v>89</v>
      </c>
      <c r="L753" s="26" t="str">
        <f>IFERROR(VLOOKUP(B753,Absen!$A$1:$C$501,2,FALSE),"No")</f>
        <v>No</v>
      </c>
      <c r="M753" s="44">
        <f t="shared" si="32"/>
        <v>8.9</v>
      </c>
      <c r="N753" s="35">
        <f t="shared" si="33"/>
        <v>78.300000000000011</v>
      </c>
      <c r="O753" t="str">
        <f>VLOOKUP(N753,Helper!$B$30:$C$35,2,TRUE)</f>
        <v>B</v>
      </c>
      <c r="P753" s="26">
        <f>INDEX(Detail!$A$1:$A$1001,MATCH(B753,Detail!$G$1:$G$1001,0))</f>
        <v>37690</v>
      </c>
      <c r="Q753" s="3" t="str">
        <f>INDEX(Detail!$F$1:$F$1001,MATCH(Main!B753,Detail!$G$1:$G$1001,0))</f>
        <v>Meulaboh</v>
      </c>
      <c r="R753" s="7">
        <f>INDEX(Detail!$C$1:$C$1001,MATCH(B753,Detail!$G$1:$G$1001,0),1)</f>
        <v>158</v>
      </c>
      <c r="S753" s="7">
        <f>INDEX(Detail!$D$1:$D$1001,MATCH(B753,Detail!$G$1:$G$1001,0),1)</f>
        <v>64</v>
      </c>
      <c r="T753" s="7" t="str">
        <f>INDEX(Detail!$E$1:$E$1001,MATCH(Main!B753,Detail!$G$1:$G$1001,0))</f>
        <v>Gg. W.R. Supratman No. 58</v>
      </c>
      <c r="U753" s="7" t="str">
        <f>INDEX(Detail!$B$1:$B$1001,MATCH(B753,Detail!$G$1:$G$1001,0),1)</f>
        <v>B-</v>
      </c>
    </row>
    <row r="754" spans="1:21" ht="15.75" x14ac:dyDescent="0.25">
      <c r="A754">
        <v>395</v>
      </c>
      <c r="B754" s="3" t="str">
        <f t="shared" si="34"/>
        <v>E0395</v>
      </c>
      <c r="C754" t="s">
        <v>1010</v>
      </c>
      <c r="D754" s="3" t="str">
        <f>VLOOKUP(B754,Detail!$G$1:$H$1001,2,FALSE)</f>
        <v>Bambang Nasyiah</v>
      </c>
      <c r="E754">
        <v>78</v>
      </c>
      <c r="F754">
        <v>63</v>
      </c>
      <c r="G754" s="35">
        <v>79</v>
      </c>
      <c r="H754">
        <v>74</v>
      </c>
      <c r="I754">
        <v>85</v>
      </c>
      <c r="J754">
        <v>60</v>
      </c>
      <c r="K754">
        <v>90</v>
      </c>
      <c r="L754" s="26">
        <f>IFERROR(VLOOKUP(B754,Absen!$A$1:$C$501,2,FALSE),"No")</f>
        <v>44803</v>
      </c>
      <c r="M754" s="44">
        <f t="shared" si="32"/>
        <v>8</v>
      </c>
      <c r="N754" s="35">
        <f t="shared" si="33"/>
        <v>73.3</v>
      </c>
      <c r="O754" t="str">
        <f>VLOOKUP(N754,Helper!$B$30:$C$35,2,TRUE)</f>
        <v>B</v>
      </c>
      <c r="P754" s="26">
        <f>INDEX(Detail!$A$1:$A$1001,MATCH(B754,Detail!$G$1:$G$1001,0))</f>
        <v>37593</v>
      </c>
      <c r="Q754" s="3" t="str">
        <f>INDEX(Detail!$F$1:$F$1001,MATCH(Main!B754,Detail!$G$1:$G$1001,0))</f>
        <v>Pematangsiantar</v>
      </c>
      <c r="R754" s="7">
        <f>INDEX(Detail!$C$1:$C$1001,MATCH(B754,Detail!$G$1:$G$1001,0),1)</f>
        <v>167</v>
      </c>
      <c r="S754" s="7">
        <f>INDEX(Detail!$D$1:$D$1001,MATCH(B754,Detail!$G$1:$G$1001,0),1)</f>
        <v>60</v>
      </c>
      <c r="T754" s="7" t="str">
        <f>INDEX(Detail!$E$1:$E$1001,MATCH(Main!B754,Detail!$G$1:$G$1001,0))</f>
        <v>Gang Jend. Sudirman No. 95</v>
      </c>
      <c r="U754" s="7" t="str">
        <f>INDEX(Detail!$B$1:$B$1001,MATCH(B754,Detail!$G$1:$G$1001,0),1)</f>
        <v>AB-</v>
      </c>
    </row>
    <row r="755" spans="1:21" ht="15.75" x14ac:dyDescent="0.25">
      <c r="A755">
        <v>402</v>
      </c>
      <c r="B755" s="3" t="str">
        <f t="shared" si="34"/>
        <v>E0402</v>
      </c>
      <c r="C755" t="s">
        <v>1010</v>
      </c>
      <c r="D755" s="3" t="str">
        <f>VLOOKUP(B755,Detail!$G$1:$H$1001,2,FALSE)</f>
        <v>Saiful Safitri</v>
      </c>
      <c r="E755">
        <v>93</v>
      </c>
      <c r="F755">
        <v>40</v>
      </c>
      <c r="G755" s="35">
        <v>60</v>
      </c>
      <c r="H755">
        <v>64</v>
      </c>
      <c r="I755">
        <v>71</v>
      </c>
      <c r="J755">
        <v>56</v>
      </c>
      <c r="K755">
        <v>76</v>
      </c>
      <c r="L755" s="26">
        <f>IFERROR(VLOOKUP(B755,Absen!$A$1:$C$501,2,FALSE),"No")</f>
        <v>44781</v>
      </c>
      <c r="M755" s="44">
        <f t="shared" si="32"/>
        <v>6.6000000000000005</v>
      </c>
      <c r="N755" s="35">
        <f t="shared" si="33"/>
        <v>63.300000000000004</v>
      </c>
      <c r="O755" t="str">
        <f>VLOOKUP(N755,Helper!$B$30:$C$35,2,TRUE)</f>
        <v>C</v>
      </c>
      <c r="P755" s="26">
        <f>INDEX(Detail!$A$1:$A$1001,MATCH(B755,Detail!$G$1:$G$1001,0))</f>
        <v>37219</v>
      </c>
      <c r="Q755" s="3" t="str">
        <f>INDEX(Detail!$F$1:$F$1001,MATCH(Main!B755,Detail!$G$1:$G$1001,0))</f>
        <v>Binjai</v>
      </c>
      <c r="R755" s="7">
        <f>INDEX(Detail!$C$1:$C$1001,MATCH(B755,Detail!$G$1:$G$1001,0),1)</f>
        <v>164</v>
      </c>
      <c r="S755" s="7">
        <f>INDEX(Detail!$D$1:$D$1001,MATCH(B755,Detail!$G$1:$G$1001,0),1)</f>
        <v>49</v>
      </c>
      <c r="T755" s="7" t="str">
        <f>INDEX(Detail!$E$1:$E$1001,MATCH(Main!B755,Detail!$G$1:$G$1001,0))</f>
        <v xml:space="preserve">Gang Rawamangun No. 2
</v>
      </c>
      <c r="U755" s="7" t="str">
        <f>INDEX(Detail!$B$1:$B$1001,MATCH(B755,Detail!$G$1:$G$1001,0),1)</f>
        <v>B-</v>
      </c>
    </row>
    <row r="756" spans="1:21" ht="15.75" x14ac:dyDescent="0.25">
      <c r="A756">
        <v>409</v>
      </c>
      <c r="B756" s="3" t="str">
        <f t="shared" si="34"/>
        <v>E0409</v>
      </c>
      <c r="C756" t="s">
        <v>1010</v>
      </c>
      <c r="D756" s="3" t="str">
        <f>VLOOKUP(B756,Detail!$G$1:$H$1001,2,FALSE)</f>
        <v>Tina Pradipta</v>
      </c>
      <c r="E756">
        <v>82</v>
      </c>
      <c r="F756">
        <v>62</v>
      </c>
      <c r="G756" s="35">
        <v>75</v>
      </c>
      <c r="H756">
        <v>63</v>
      </c>
      <c r="I756">
        <v>71</v>
      </c>
      <c r="J756">
        <v>40</v>
      </c>
      <c r="K756">
        <v>80</v>
      </c>
      <c r="L756" s="26" t="str">
        <f>IFERROR(VLOOKUP(B756,Absen!$A$1:$C$501,2,FALSE),"No")</f>
        <v>No</v>
      </c>
      <c r="M756" s="44">
        <f t="shared" si="32"/>
        <v>8</v>
      </c>
      <c r="N756" s="35">
        <f t="shared" si="33"/>
        <v>65.75</v>
      </c>
      <c r="O756" t="str">
        <f>VLOOKUP(N756,Helper!$B$30:$C$35,2,TRUE)</f>
        <v>C</v>
      </c>
      <c r="P756" s="26">
        <f>INDEX(Detail!$A$1:$A$1001,MATCH(B756,Detail!$G$1:$G$1001,0))</f>
        <v>37672</v>
      </c>
      <c r="Q756" s="3" t="str">
        <f>INDEX(Detail!$F$1:$F$1001,MATCH(Main!B756,Detail!$G$1:$G$1001,0))</f>
        <v>Samarinda</v>
      </c>
      <c r="R756" s="7">
        <f>INDEX(Detail!$C$1:$C$1001,MATCH(B756,Detail!$G$1:$G$1001,0),1)</f>
        <v>171</v>
      </c>
      <c r="S756" s="7">
        <f>INDEX(Detail!$D$1:$D$1001,MATCH(B756,Detail!$G$1:$G$1001,0),1)</f>
        <v>59</v>
      </c>
      <c r="T756" s="7" t="str">
        <f>INDEX(Detail!$E$1:$E$1001,MATCH(Main!B756,Detail!$G$1:$G$1001,0))</f>
        <v xml:space="preserve">Jl. Suniaraja No. 3
</v>
      </c>
      <c r="U756" s="7" t="str">
        <f>INDEX(Detail!$B$1:$B$1001,MATCH(B756,Detail!$G$1:$G$1001,0),1)</f>
        <v>AB+</v>
      </c>
    </row>
    <row r="757" spans="1:21" ht="15.75" x14ac:dyDescent="0.25">
      <c r="A757">
        <v>419</v>
      </c>
      <c r="B757" s="3" t="str">
        <f t="shared" si="34"/>
        <v>E0419</v>
      </c>
      <c r="C757" t="s">
        <v>1010</v>
      </c>
      <c r="D757" s="3" t="str">
        <f>VLOOKUP(B757,Detail!$G$1:$H$1001,2,FALSE)</f>
        <v>Salwa Utama</v>
      </c>
      <c r="E757">
        <v>58</v>
      </c>
      <c r="F757">
        <v>69</v>
      </c>
      <c r="G757" s="35">
        <v>65</v>
      </c>
      <c r="H757">
        <v>72</v>
      </c>
      <c r="I757">
        <v>60</v>
      </c>
      <c r="J757">
        <v>54</v>
      </c>
      <c r="K757">
        <v>83</v>
      </c>
      <c r="L757" s="26">
        <f>IFERROR(VLOOKUP(B757,Absen!$A$1:$C$501,2,FALSE),"No")</f>
        <v>44917</v>
      </c>
      <c r="M757" s="44">
        <f t="shared" si="32"/>
        <v>7.3000000000000007</v>
      </c>
      <c r="N757" s="35">
        <f t="shared" si="33"/>
        <v>63.474999999999994</v>
      </c>
      <c r="O757" t="str">
        <f>VLOOKUP(N757,Helper!$B$30:$C$35,2,TRUE)</f>
        <v>C</v>
      </c>
      <c r="P757" s="26">
        <f>INDEX(Detail!$A$1:$A$1001,MATCH(B757,Detail!$G$1:$G$1001,0))</f>
        <v>37998</v>
      </c>
      <c r="Q757" s="3" t="str">
        <f>INDEX(Detail!$F$1:$F$1001,MATCH(Main!B757,Detail!$G$1:$G$1001,0))</f>
        <v>Subulussalam</v>
      </c>
      <c r="R757" s="7">
        <f>INDEX(Detail!$C$1:$C$1001,MATCH(B757,Detail!$G$1:$G$1001,0),1)</f>
        <v>153</v>
      </c>
      <c r="S757" s="7">
        <f>INDEX(Detail!$D$1:$D$1001,MATCH(B757,Detail!$G$1:$G$1001,0),1)</f>
        <v>48</v>
      </c>
      <c r="T757" s="7" t="str">
        <f>INDEX(Detail!$E$1:$E$1001,MATCH(Main!B757,Detail!$G$1:$G$1001,0))</f>
        <v>Jalan BKR No. 90</v>
      </c>
      <c r="U757" s="7" t="str">
        <f>INDEX(Detail!$B$1:$B$1001,MATCH(B757,Detail!$G$1:$G$1001,0),1)</f>
        <v>B+</v>
      </c>
    </row>
    <row r="758" spans="1:21" ht="15.75" x14ac:dyDescent="0.25">
      <c r="A758">
        <v>429</v>
      </c>
      <c r="B758" s="3" t="str">
        <f t="shared" si="34"/>
        <v>E0429</v>
      </c>
      <c r="C758" t="s">
        <v>1010</v>
      </c>
      <c r="D758" s="3" t="str">
        <f>VLOOKUP(B758,Detail!$G$1:$H$1001,2,FALSE)</f>
        <v>Jumari Namaga</v>
      </c>
      <c r="E758">
        <v>70</v>
      </c>
      <c r="F758">
        <v>44</v>
      </c>
      <c r="G758" s="35">
        <v>42</v>
      </c>
      <c r="H758">
        <v>60</v>
      </c>
      <c r="I758">
        <v>70</v>
      </c>
      <c r="J758">
        <v>44</v>
      </c>
      <c r="K758">
        <v>94</v>
      </c>
      <c r="L758" s="26">
        <f>IFERROR(VLOOKUP(B758,Absen!$A$1:$C$501,2,FALSE),"No")</f>
        <v>44753</v>
      </c>
      <c r="M758" s="44">
        <f t="shared" si="32"/>
        <v>8.4</v>
      </c>
      <c r="N758" s="35">
        <f t="shared" si="33"/>
        <v>56.1</v>
      </c>
      <c r="O758" t="str">
        <f>VLOOKUP(N758,Helper!$B$30:$C$35,2,TRUE)</f>
        <v>D</v>
      </c>
      <c r="P758" s="26">
        <f>INDEX(Detail!$A$1:$A$1001,MATCH(B758,Detail!$G$1:$G$1001,0))</f>
        <v>38336</v>
      </c>
      <c r="Q758" s="3" t="str">
        <f>INDEX(Detail!$F$1:$F$1001,MATCH(Main!B758,Detail!$G$1:$G$1001,0))</f>
        <v>Banda Aceh</v>
      </c>
      <c r="R758" s="7">
        <f>INDEX(Detail!$C$1:$C$1001,MATCH(B758,Detail!$G$1:$G$1001,0),1)</f>
        <v>173</v>
      </c>
      <c r="S758" s="7">
        <f>INDEX(Detail!$D$1:$D$1001,MATCH(B758,Detail!$G$1:$G$1001,0),1)</f>
        <v>80</v>
      </c>
      <c r="T758" s="7" t="str">
        <f>INDEX(Detail!$E$1:$E$1001,MATCH(Main!B758,Detail!$G$1:$G$1001,0))</f>
        <v xml:space="preserve">Gang Kutai No. 8
</v>
      </c>
      <c r="U758" s="7" t="str">
        <f>INDEX(Detail!$B$1:$B$1001,MATCH(B758,Detail!$G$1:$G$1001,0),1)</f>
        <v>B+</v>
      </c>
    </row>
    <row r="759" spans="1:21" ht="15.75" x14ac:dyDescent="0.25">
      <c r="A759">
        <v>433</v>
      </c>
      <c r="B759" s="3" t="str">
        <f t="shared" si="34"/>
        <v>E0433</v>
      </c>
      <c r="C759" t="s">
        <v>1010</v>
      </c>
      <c r="D759" s="3" t="str">
        <f>VLOOKUP(B759,Detail!$G$1:$H$1001,2,FALSE)</f>
        <v>Dwi Sihotang</v>
      </c>
      <c r="E759">
        <v>69</v>
      </c>
      <c r="F759">
        <v>54</v>
      </c>
      <c r="G759" s="35">
        <v>37</v>
      </c>
      <c r="H759">
        <v>74</v>
      </c>
      <c r="I759">
        <v>59</v>
      </c>
      <c r="J759">
        <v>60</v>
      </c>
      <c r="K759">
        <v>65</v>
      </c>
      <c r="L759" s="26" t="str">
        <f>IFERROR(VLOOKUP(B759,Absen!$A$1:$C$501,2,FALSE),"No")</f>
        <v>No</v>
      </c>
      <c r="M759" s="44">
        <f t="shared" si="32"/>
        <v>6.5</v>
      </c>
      <c r="N759" s="35">
        <f t="shared" si="33"/>
        <v>57.9</v>
      </c>
      <c r="O759" t="str">
        <f>VLOOKUP(N759,Helper!$B$30:$C$35,2,TRUE)</f>
        <v>D</v>
      </c>
      <c r="P759" s="26">
        <f>INDEX(Detail!$A$1:$A$1001,MATCH(B759,Detail!$G$1:$G$1001,0))</f>
        <v>37088</v>
      </c>
      <c r="Q759" s="3" t="str">
        <f>INDEX(Detail!$F$1:$F$1001,MATCH(Main!B759,Detail!$G$1:$G$1001,0))</f>
        <v>Bogor</v>
      </c>
      <c r="R759" s="7">
        <f>INDEX(Detail!$C$1:$C$1001,MATCH(B759,Detail!$G$1:$G$1001,0),1)</f>
        <v>160</v>
      </c>
      <c r="S759" s="7">
        <f>INDEX(Detail!$D$1:$D$1001,MATCH(B759,Detail!$G$1:$G$1001,0),1)</f>
        <v>95</v>
      </c>
      <c r="T759" s="7" t="str">
        <f>INDEX(Detail!$E$1:$E$1001,MATCH(Main!B759,Detail!$G$1:$G$1001,0))</f>
        <v>Gang Ir. H. Djuanda No. 36</v>
      </c>
      <c r="U759" s="7" t="str">
        <f>INDEX(Detail!$B$1:$B$1001,MATCH(B759,Detail!$G$1:$G$1001,0),1)</f>
        <v>B-</v>
      </c>
    </row>
    <row r="760" spans="1:21" ht="15.75" x14ac:dyDescent="0.25">
      <c r="A760">
        <v>450</v>
      </c>
      <c r="B760" s="3" t="str">
        <f t="shared" si="34"/>
        <v>E0450</v>
      </c>
      <c r="C760" t="s">
        <v>1010</v>
      </c>
      <c r="D760" s="3" t="str">
        <f>VLOOKUP(B760,Detail!$G$1:$H$1001,2,FALSE)</f>
        <v>Baktiono Firgantoro</v>
      </c>
      <c r="E760">
        <v>73</v>
      </c>
      <c r="F760">
        <v>75</v>
      </c>
      <c r="G760" s="35">
        <v>81</v>
      </c>
      <c r="H760">
        <v>60</v>
      </c>
      <c r="I760">
        <v>78</v>
      </c>
      <c r="J760">
        <v>96</v>
      </c>
      <c r="K760">
        <v>82</v>
      </c>
      <c r="L760" s="26" t="str">
        <f>IFERROR(VLOOKUP(B760,Absen!$A$1:$C$501,2,FALSE),"No")</f>
        <v>No</v>
      </c>
      <c r="M760" s="44">
        <f t="shared" si="32"/>
        <v>8.2000000000000011</v>
      </c>
      <c r="N760" s="35">
        <f t="shared" si="33"/>
        <v>79.350000000000009</v>
      </c>
      <c r="O760" t="str">
        <f>VLOOKUP(N760,Helper!$B$30:$C$35,2,TRUE)</f>
        <v>B</v>
      </c>
      <c r="P760" s="26">
        <f>INDEX(Detail!$A$1:$A$1001,MATCH(B760,Detail!$G$1:$G$1001,0))</f>
        <v>38434</v>
      </c>
      <c r="Q760" s="3" t="str">
        <f>INDEX(Detail!$F$1:$F$1001,MATCH(Main!B760,Detail!$G$1:$G$1001,0))</f>
        <v>Denpasar</v>
      </c>
      <c r="R760" s="7">
        <f>INDEX(Detail!$C$1:$C$1001,MATCH(B760,Detail!$G$1:$G$1001,0),1)</f>
        <v>171</v>
      </c>
      <c r="S760" s="7">
        <f>INDEX(Detail!$D$1:$D$1001,MATCH(B760,Detail!$G$1:$G$1001,0),1)</f>
        <v>48</v>
      </c>
      <c r="T760" s="7" t="str">
        <f>INDEX(Detail!$E$1:$E$1001,MATCH(Main!B760,Detail!$G$1:$G$1001,0))</f>
        <v>Jl. Moch. Ramdan No. 35</v>
      </c>
      <c r="U760" s="7" t="str">
        <f>INDEX(Detail!$B$1:$B$1001,MATCH(B760,Detail!$G$1:$G$1001,0),1)</f>
        <v>A+</v>
      </c>
    </row>
    <row r="761" spans="1:21" ht="15.75" x14ac:dyDescent="0.25">
      <c r="A761">
        <v>452</v>
      </c>
      <c r="B761" s="3" t="str">
        <f t="shared" si="34"/>
        <v>E0452</v>
      </c>
      <c r="C761" t="s">
        <v>1010</v>
      </c>
      <c r="D761" s="3" t="str">
        <f>VLOOKUP(B761,Detail!$G$1:$H$1001,2,FALSE)</f>
        <v>Darmanto Damanik</v>
      </c>
      <c r="E761">
        <v>81</v>
      </c>
      <c r="F761">
        <v>61</v>
      </c>
      <c r="G761" s="35">
        <v>64</v>
      </c>
      <c r="H761">
        <v>56</v>
      </c>
      <c r="I761">
        <v>71</v>
      </c>
      <c r="J761">
        <v>83</v>
      </c>
      <c r="K761">
        <v>77</v>
      </c>
      <c r="L761" s="26">
        <f>IFERROR(VLOOKUP(B761,Absen!$A$1:$C$501,2,FALSE),"No")</f>
        <v>44881</v>
      </c>
      <c r="M761" s="44">
        <f t="shared" si="32"/>
        <v>6.7</v>
      </c>
      <c r="N761" s="35">
        <f t="shared" si="33"/>
        <v>69.724999999999994</v>
      </c>
      <c r="O761" t="str">
        <f>VLOOKUP(N761,Helper!$B$30:$C$35,2,TRUE)</f>
        <v>C</v>
      </c>
      <c r="P761" s="26">
        <f>INDEX(Detail!$A$1:$A$1001,MATCH(B761,Detail!$G$1:$G$1001,0))</f>
        <v>37907</v>
      </c>
      <c r="Q761" s="3" t="str">
        <f>INDEX(Detail!$F$1:$F$1001,MATCH(Main!B761,Detail!$G$1:$G$1001,0))</f>
        <v>Yogyakarta</v>
      </c>
      <c r="R761" s="7">
        <f>INDEX(Detail!$C$1:$C$1001,MATCH(B761,Detail!$G$1:$G$1001,0),1)</f>
        <v>169</v>
      </c>
      <c r="S761" s="7">
        <f>INDEX(Detail!$D$1:$D$1001,MATCH(B761,Detail!$G$1:$G$1001,0),1)</f>
        <v>70</v>
      </c>
      <c r="T761" s="7" t="str">
        <f>INDEX(Detail!$E$1:$E$1001,MATCH(Main!B761,Detail!$G$1:$G$1001,0))</f>
        <v>Jalan Otto Iskandardinata No. 30</v>
      </c>
      <c r="U761" s="7" t="str">
        <f>INDEX(Detail!$B$1:$B$1001,MATCH(B761,Detail!$G$1:$G$1001,0),1)</f>
        <v>O-</v>
      </c>
    </row>
    <row r="762" spans="1:21" ht="15.75" x14ac:dyDescent="0.25">
      <c r="A762">
        <v>459</v>
      </c>
      <c r="B762" s="3" t="str">
        <f t="shared" si="34"/>
        <v>E0459</v>
      </c>
      <c r="C762" t="s">
        <v>1010</v>
      </c>
      <c r="D762" s="3" t="str">
        <f>VLOOKUP(B762,Detail!$G$1:$H$1001,2,FALSE)</f>
        <v>Muhammad Thamrin</v>
      </c>
      <c r="E762">
        <v>79</v>
      </c>
      <c r="F762">
        <v>51</v>
      </c>
      <c r="G762" s="35">
        <v>53</v>
      </c>
      <c r="H762">
        <v>59</v>
      </c>
      <c r="I762">
        <v>68</v>
      </c>
      <c r="J762">
        <v>45</v>
      </c>
      <c r="K762">
        <v>99</v>
      </c>
      <c r="L762" s="26">
        <f>IFERROR(VLOOKUP(B762,Absen!$A$1:$C$501,2,FALSE),"No")</f>
        <v>44781</v>
      </c>
      <c r="M762" s="44">
        <f t="shared" si="32"/>
        <v>8.9</v>
      </c>
      <c r="N762" s="35">
        <f t="shared" si="33"/>
        <v>60.625</v>
      </c>
      <c r="O762" t="str">
        <f>VLOOKUP(N762,Helper!$B$30:$C$35,2,TRUE)</f>
        <v>C</v>
      </c>
      <c r="P762" s="26">
        <f>INDEX(Detail!$A$1:$A$1001,MATCH(B762,Detail!$G$1:$G$1001,0))</f>
        <v>37500</v>
      </c>
      <c r="Q762" s="3" t="str">
        <f>INDEX(Detail!$F$1:$F$1001,MATCH(Main!B762,Detail!$G$1:$G$1001,0))</f>
        <v>Palu</v>
      </c>
      <c r="R762" s="7">
        <f>INDEX(Detail!$C$1:$C$1001,MATCH(B762,Detail!$G$1:$G$1001,0),1)</f>
        <v>160</v>
      </c>
      <c r="S762" s="7">
        <f>INDEX(Detail!$D$1:$D$1001,MATCH(B762,Detail!$G$1:$G$1001,0),1)</f>
        <v>90</v>
      </c>
      <c r="T762" s="7" t="str">
        <f>INDEX(Detail!$E$1:$E$1001,MATCH(Main!B762,Detail!$G$1:$G$1001,0))</f>
        <v>Gg. Gardujati No. 57</v>
      </c>
      <c r="U762" s="7" t="str">
        <f>INDEX(Detail!$B$1:$B$1001,MATCH(B762,Detail!$G$1:$G$1001,0),1)</f>
        <v>AB-</v>
      </c>
    </row>
    <row r="763" spans="1:21" ht="15.75" x14ac:dyDescent="0.25">
      <c r="A763">
        <v>462</v>
      </c>
      <c r="B763" s="3" t="str">
        <f t="shared" si="34"/>
        <v>E0462</v>
      </c>
      <c r="C763" t="s">
        <v>1010</v>
      </c>
      <c r="D763" s="3" t="str">
        <f>VLOOKUP(B763,Detail!$G$1:$H$1001,2,FALSE)</f>
        <v>Ifa Setiawan</v>
      </c>
      <c r="E763">
        <v>85</v>
      </c>
      <c r="F763">
        <v>53</v>
      </c>
      <c r="G763" s="35">
        <v>47</v>
      </c>
      <c r="H763">
        <v>57</v>
      </c>
      <c r="I763">
        <v>71</v>
      </c>
      <c r="J763">
        <v>68</v>
      </c>
      <c r="K763">
        <v>75</v>
      </c>
      <c r="L763" s="26" t="str">
        <f>IFERROR(VLOOKUP(B763,Absen!$A$1:$C$501,2,FALSE),"No")</f>
        <v>No</v>
      </c>
      <c r="M763" s="44">
        <f t="shared" si="32"/>
        <v>7.5</v>
      </c>
      <c r="N763" s="35">
        <f t="shared" si="33"/>
        <v>63.75</v>
      </c>
      <c r="O763" t="str">
        <f>VLOOKUP(N763,Helper!$B$30:$C$35,2,TRUE)</f>
        <v>C</v>
      </c>
      <c r="P763" s="26">
        <f>INDEX(Detail!$A$1:$A$1001,MATCH(B763,Detail!$G$1:$G$1001,0))</f>
        <v>37910</v>
      </c>
      <c r="Q763" s="3" t="str">
        <f>INDEX(Detail!$F$1:$F$1001,MATCH(Main!B763,Detail!$G$1:$G$1001,0))</f>
        <v>Bitung</v>
      </c>
      <c r="R763" s="7">
        <f>INDEX(Detail!$C$1:$C$1001,MATCH(B763,Detail!$G$1:$G$1001,0),1)</f>
        <v>158</v>
      </c>
      <c r="S763" s="7">
        <f>INDEX(Detail!$D$1:$D$1001,MATCH(B763,Detail!$G$1:$G$1001,0),1)</f>
        <v>63</v>
      </c>
      <c r="T763" s="7" t="str">
        <f>INDEX(Detail!$E$1:$E$1001,MATCH(Main!B763,Detail!$G$1:$G$1001,0))</f>
        <v xml:space="preserve">Jl. W.R. Supratman No. 0
</v>
      </c>
      <c r="U763" s="7" t="str">
        <f>INDEX(Detail!$B$1:$B$1001,MATCH(B763,Detail!$G$1:$G$1001,0),1)</f>
        <v>O+</v>
      </c>
    </row>
    <row r="764" spans="1:21" ht="15.75" x14ac:dyDescent="0.25">
      <c r="A764">
        <v>464</v>
      </c>
      <c r="B764" s="3" t="str">
        <f t="shared" si="34"/>
        <v>E0464</v>
      </c>
      <c r="C764" t="s">
        <v>1010</v>
      </c>
      <c r="D764" s="3" t="str">
        <f>VLOOKUP(B764,Detail!$G$1:$H$1001,2,FALSE)</f>
        <v>Julia Kusmawati</v>
      </c>
      <c r="E764">
        <v>86</v>
      </c>
      <c r="F764">
        <v>52</v>
      </c>
      <c r="G764" s="35">
        <v>69</v>
      </c>
      <c r="H764">
        <v>65</v>
      </c>
      <c r="I764">
        <v>63</v>
      </c>
      <c r="J764">
        <v>67</v>
      </c>
      <c r="K764">
        <v>64</v>
      </c>
      <c r="L764" s="26">
        <f>IFERROR(VLOOKUP(B764,Absen!$A$1:$C$501,2,FALSE),"No")</f>
        <v>44789</v>
      </c>
      <c r="M764" s="44">
        <f t="shared" si="32"/>
        <v>5.4</v>
      </c>
      <c r="N764" s="35">
        <f t="shared" si="33"/>
        <v>65.849999999999994</v>
      </c>
      <c r="O764" t="str">
        <f>VLOOKUP(N764,Helper!$B$30:$C$35,2,TRUE)</f>
        <v>C</v>
      </c>
      <c r="P764" s="26">
        <f>INDEX(Detail!$A$1:$A$1001,MATCH(B764,Detail!$G$1:$G$1001,0))</f>
        <v>37718</v>
      </c>
      <c r="Q764" s="3" t="str">
        <f>INDEX(Detail!$F$1:$F$1001,MATCH(Main!B764,Detail!$G$1:$G$1001,0))</f>
        <v>Kotamobagu</v>
      </c>
      <c r="R764" s="7">
        <f>INDEX(Detail!$C$1:$C$1001,MATCH(B764,Detail!$G$1:$G$1001,0),1)</f>
        <v>152</v>
      </c>
      <c r="S764" s="7">
        <f>INDEX(Detail!$D$1:$D$1001,MATCH(B764,Detail!$G$1:$G$1001,0),1)</f>
        <v>92</v>
      </c>
      <c r="T764" s="7" t="str">
        <f>INDEX(Detail!$E$1:$E$1001,MATCH(Main!B764,Detail!$G$1:$G$1001,0))</f>
        <v>Jl. Merdeka No. 40</v>
      </c>
      <c r="U764" s="7" t="str">
        <f>INDEX(Detail!$B$1:$B$1001,MATCH(B764,Detail!$G$1:$G$1001,0),1)</f>
        <v>A+</v>
      </c>
    </row>
    <row r="765" spans="1:21" ht="15.75" x14ac:dyDescent="0.25">
      <c r="A765">
        <v>469</v>
      </c>
      <c r="B765" s="3" t="str">
        <f t="shared" si="34"/>
        <v>E0469</v>
      </c>
      <c r="C765" t="s">
        <v>1010</v>
      </c>
      <c r="D765" s="3" t="str">
        <f>VLOOKUP(B765,Detail!$G$1:$H$1001,2,FALSE)</f>
        <v>Jaswadi Rahayu</v>
      </c>
      <c r="E765">
        <v>60</v>
      </c>
      <c r="F765">
        <v>49</v>
      </c>
      <c r="G765" s="35">
        <v>81</v>
      </c>
      <c r="H765">
        <v>54</v>
      </c>
      <c r="I765">
        <v>58</v>
      </c>
      <c r="J765">
        <v>44</v>
      </c>
      <c r="K765">
        <v>91</v>
      </c>
      <c r="L765" s="26">
        <f>IFERROR(VLOOKUP(B765,Absen!$A$1:$C$501,2,FALSE),"No")</f>
        <v>44777</v>
      </c>
      <c r="M765" s="44">
        <f t="shared" si="32"/>
        <v>8.1</v>
      </c>
      <c r="N765" s="35">
        <f t="shared" si="33"/>
        <v>60.725000000000001</v>
      </c>
      <c r="O765" t="str">
        <f>VLOOKUP(N765,Helper!$B$30:$C$35,2,TRUE)</f>
        <v>C</v>
      </c>
      <c r="P765" s="26">
        <f>INDEX(Detail!$A$1:$A$1001,MATCH(B765,Detail!$G$1:$G$1001,0))</f>
        <v>37806</v>
      </c>
      <c r="Q765" s="3" t="str">
        <f>INDEX(Detail!$F$1:$F$1001,MATCH(Main!B765,Detail!$G$1:$G$1001,0))</f>
        <v>Payakumbuh</v>
      </c>
      <c r="R765" s="7">
        <f>INDEX(Detail!$C$1:$C$1001,MATCH(B765,Detail!$G$1:$G$1001,0),1)</f>
        <v>168</v>
      </c>
      <c r="S765" s="7">
        <f>INDEX(Detail!$D$1:$D$1001,MATCH(B765,Detail!$G$1:$G$1001,0),1)</f>
        <v>47</v>
      </c>
      <c r="T765" s="7" t="str">
        <f>INDEX(Detail!$E$1:$E$1001,MATCH(Main!B765,Detail!$G$1:$G$1001,0))</f>
        <v>Jalan Raya Ujungberung No. 34</v>
      </c>
      <c r="U765" s="7" t="str">
        <f>INDEX(Detail!$B$1:$B$1001,MATCH(B765,Detail!$G$1:$G$1001,0),1)</f>
        <v>O+</v>
      </c>
    </row>
    <row r="766" spans="1:21" ht="15.75" x14ac:dyDescent="0.25">
      <c r="A766">
        <v>478</v>
      </c>
      <c r="B766" s="3" t="str">
        <f t="shared" si="34"/>
        <v>E0478</v>
      </c>
      <c r="C766" t="s">
        <v>1010</v>
      </c>
      <c r="D766" s="3" t="str">
        <f>VLOOKUP(B766,Detail!$G$1:$H$1001,2,FALSE)</f>
        <v>Mursita Sirait</v>
      </c>
      <c r="E766">
        <v>82</v>
      </c>
      <c r="F766">
        <v>73</v>
      </c>
      <c r="G766" s="35">
        <v>91</v>
      </c>
      <c r="H766">
        <v>57</v>
      </c>
      <c r="I766">
        <v>60</v>
      </c>
      <c r="J766">
        <v>75</v>
      </c>
      <c r="K766">
        <v>73</v>
      </c>
      <c r="L766" s="26" t="str">
        <f>IFERROR(VLOOKUP(B766,Absen!$A$1:$C$501,2,FALSE),"No")</f>
        <v>No</v>
      </c>
      <c r="M766" s="44">
        <f t="shared" si="32"/>
        <v>7.3000000000000007</v>
      </c>
      <c r="N766" s="35">
        <f t="shared" si="33"/>
        <v>74.5</v>
      </c>
      <c r="O766" t="str">
        <f>VLOOKUP(N766,Helper!$B$30:$C$35,2,TRUE)</f>
        <v>B</v>
      </c>
      <c r="P766" s="26">
        <f>INDEX(Detail!$A$1:$A$1001,MATCH(B766,Detail!$G$1:$G$1001,0))</f>
        <v>37618</v>
      </c>
      <c r="Q766" s="3" t="str">
        <f>INDEX(Detail!$F$1:$F$1001,MATCH(Main!B766,Detail!$G$1:$G$1001,0))</f>
        <v>Sibolga</v>
      </c>
      <c r="R766" s="7">
        <f>INDEX(Detail!$C$1:$C$1001,MATCH(B766,Detail!$G$1:$G$1001,0),1)</f>
        <v>159</v>
      </c>
      <c r="S766" s="7">
        <f>INDEX(Detail!$D$1:$D$1001,MATCH(B766,Detail!$G$1:$G$1001,0),1)</f>
        <v>68</v>
      </c>
      <c r="T766" s="7" t="str">
        <f>INDEX(Detail!$E$1:$E$1001,MATCH(Main!B766,Detail!$G$1:$G$1001,0))</f>
        <v>Gang Ronggowarsito No. 54</v>
      </c>
      <c r="U766" s="7" t="str">
        <f>INDEX(Detail!$B$1:$B$1001,MATCH(B766,Detail!$G$1:$G$1001,0),1)</f>
        <v>O+</v>
      </c>
    </row>
    <row r="767" spans="1:21" ht="15.75" x14ac:dyDescent="0.25">
      <c r="A767">
        <v>492</v>
      </c>
      <c r="B767" s="3" t="str">
        <f t="shared" si="34"/>
        <v>E0492</v>
      </c>
      <c r="C767" t="s">
        <v>1010</v>
      </c>
      <c r="D767" s="3" t="str">
        <f>VLOOKUP(B767,Detail!$G$1:$H$1001,2,FALSE)</f>
        <v>Halim Hakim</v>
      </c>
      <c r="E767">
        <v>65</v>
      </c>
      <c r="F767">
        <v>70</v>
      </c>
      <c r="G767" s="35">
        <v>39</v>
      </c>
      <c r="H767">
        <v>53</v>
      </c>
      <c r="I767">
        <v>77</v>
      </c>
      <c r="J767">
        <v>87</v>
      </c>
      <c r="K767">
        <v>68</v>
      </c>
      <c r="L767" s="26">
        <f>IFERROR(VLOOKUP(B767,Absen!$A$1:$C$501,2,FALSE),"No")</f>
        <v>44812</v>
      </c>
      <c r="M767" s="44">
        <f t="shared" si="32"/>
        <v>5.8000000000000007</v>
      </c>
      <c r="N767" s="35">
        <f t="shared" si="33"/>
        <v>64.125</v>
      </c>
      <c r="O767" t="str">
        <f>VLOOKUP(N767,Helper!$B$30:$C$35,2,TRUE)</f>
        <v>C</v>
      </c>
      <c r="P767" s="26">
        <f>INDEX(Detail!$A$1:$A$1001,MATCH(B767,Detail!$G$1:$G$1001,0))</f>
        <v>38273</v>
      </c>
      <c r="Q767" s="3" t="str">
        <f>INDEX(Detail!$F$1:$F$1001,MATCH(Main!B767,Detail!$G$1:$G$1001,0))</f>
        <v>Banjarbaru</v>
      </c>
      <c r="R767" s="7">
        <f>INDEX(Detail!$C$1:$C$1001,MATCH(B767,Detail!$G$1:$G$1001,0),1)</f>
        <v>163</v>
      </c>
      <c r="S767" s="7">
        <f>INDEX(Detail!$D$1:$D$1001,MATCH(B767,Detail!$G$1:$G$1001,0),1)</f>
        <v>89</v>
      </c>
      <c r="T767" s="7" t="str">
        <f>INDEX(Detail!$E$1:$E$1001,MATCH(Main!B767,Detail!$G$1:$G$1001,0))</f>
        <v>Jl. Sukajadi No. 74</v>
      </c>
      <c r="U767" s="7" t="str">
        <f>INDEX(Detail!$B$1:$B$1001,MATCH(B767,Detail!$G$1:$G$1001,0),1)</f>
        <v>B-</v>
      </c>
    </row>
    <row r="768" spans="1:21" ht="15.75" x14ac:dyDescent="0.25">
      <c r="A768">
        <v>499</v>
      </c>
      <c r="B768" s="3" t="str">
        <f t="shared" si="34"/>
        <v>E0499</v>
      </c>
      <c r="C768" t="s">
        <v>1010</v>
      </c>
      <c r="D768" s="3" t="str">
        <f>VLOOKUP(B768,Detail!$G$1:$H$1001,2,FALSE)</f>
        <v>Dacin Yulianti</v>
      </c>
      <c r="E768">
        <v>68</v>
      </c>
      <c r="F768">
        <v>53</v>
      </c>
      <c r="G768" s="35">
        <v>70</v>
      </c>
      <c r="H768">
        <v>57</v>
      </c>
      <c r="I768">
        <v>62</v>
      </c>
      <c r="J768">
        <v>68</v>
      </c>
      <c r="K768">
        <v>71</v>
      </c>
      <c r="L768" s="26" t="str">
        <f>IFERROR(VLOOKUP(B768,Absen!$A$1:$C$501,2,FALSE),"No")</f>
        <v>No</v>
      </c>
      <c r="M768" s="44">
        <f t="shared" si="32"/>
        <v>7.1000000000000005</v>
      </c>
      <c r="N768" s="35">
        <f t="shared" si="33"/>
        <v>64.7</v>
      </c>
      <c r="O768" t="str">
        <f>VLOOKUP(N768,Helper!$B$30:$C$35,2,TRUE)</f>
        <v>C</v>
      </c>
      <c r="P768" s="26">
        <f>INDEX(Detail!$A$1:$A$1001,MATCH(B768,Detail!$G$1:$G$1001,0))</f>
        <v>37385</v>
      </c>
      <c r="Q768" s="3" t="str">
        <f>INDEX(Detail!$F$1:$F$1001,MATCH(Main!B768,Detail!$G$1:$G$1001,0))</f>
        <v>Bandar Lampung</v>
      </c>
      <c r="R768" s="7">
        <f>INDEX(Detail!$C$1:$C$1001,MATCH(B768,Detail!$G$1:$G$1001,0),1)</f>
        <v>156</v>
      </c>
      <c r="S768" s="7">
        <f>INDEX(Detail!$D$1:$D$1001,MATCH(B768,Detail!$G$1:$G$1001,0),1)</f>
        <v>85</v>
      </c>
      <c r="T768" s="7" t="str">
        <f>INDEX(Detail!$E$1:$E$1001,MATCH(Main!B768,Detail!$G$1:$G$1001,0))</f>
        <v xml:space="preserve">Gg. Moch. Ramdan No. 8
</v>
      </c>
      <c r="U768" s="7" t="str">
        <f>INDEX(Detail!$B$1:$B$1001,MATCH(B768,Detail!$G$1:$G$1001,0),1)</f>
        <v>A-</v>
      </c>
    </row>
    <row r="769" spans="1:21" ht="15.75" x14ac:dyDescent="0.25">
      <c r="A769">
        <v>504</v>
      </c>
      <c r="B769" s="3" t="str">
        <f t="shared" si="34"/>
        <v>E0504</v>
      </c>
      <c r="C769" t="s">
        <v>1010</v>
      </c>
      <c r="D769" s="3" t="str">
        <f>VLOOKUP(B769,Detail!$G$1:$H$1001,2,FALSE)</f>
        <v>Paiman Santoso</v>
      </c>
      <c r="E769">
        <v>69</v>
      </c>
      <c r="F769">
        <v>54</v>
      </c>
      <c r="G769" s="35">
        <v>49</v>
      </c>
      <c r="H769">
        <v>58</v>
      </c>
      <c r="I769">
        <v>68</v>
      </c>
      <c r="J769">
        <v>53</v>
      </c>
      <c r="K769">
        <v>94</v>
      </c>
      <c r="L769" s="26" t="str">
        <f>IFERROR(VLOOKUP(B769,Absen!$A$1:$C$501,2,FALSE),"No")</f>
        <v>No</v>
      </c>
      <c r="M769" s="44">
        <f t="shared" si="32"/>
        <v>9.4</v>
      </c>
      <c r="N769" s="35">
        <f t="shared" si="33"/>
        <v>60.924999999999997</v>
      </c>
      <c r="O769" t="str">
        <f>VLOOKUP(N769,Helper!$B$30:$C$35,2,TRUE)</f>
        <v>C</v>
      </c>
      <c r="P769" s="26">
        <f>INDEX(Detail!$A$1:$A$1001,MATCH(B769,Detail!$G$1:$G$1001,0))</f>
        <v>37137</v>
      </c>
      <c r="Q769" s="3" t="str">
        <f>INDEX(Detail!$F$1:$F$1001,MATCH(Main!B769,Detail!$G$1:$G$1001,0))</f>
        <v>Banda Aceh</v>
      </c>
      <c r="R769" s="7">
        <f>INDEX(Detail!$C$1:$C$1001,MATCH(B769,Detail!$G$1:$G$1001,0),1)</f>
        <v>162</v>
      </c>
      <c r="S769" s="7">
        <f>INDEX(Detail!$D$1:$D$1001,MATCH(B769,Detail!$G$1:$G$1001,0),1)</f>
        <v>46</v>
      </c>
      <c r="T769" s="7" t="str">
        <f>INDEX(Detail!$E$1:$E$1001,MATCH(Main!B769,Detail!$G$1:$G$1001,0))</f>
        <v>Jl. Otto Iskandardinata No. 35</v>
      </c>
      <c r="U769" s="7" t="str">
        <f>INDEX(Detail!$B$1:$B$1001,MATCH(B769,Detail!$G$1:$G$1001,0),1)</f>
        <v>AB+</v>
      </c>
    </row>
    <row r="770" spans="1:21" ht="15.75" x14ac:dyDescent="0.25">
      <c r="A770">
        <v>509</v>
      </c>
      <c r="B770" s="3" t="str">
        <f t="shared" si="34"/>
        <v>E0509</v>
      </c>
      <c r="C770" t="s">
        <v>1010</v>
      </c>
      <c r="D770" s="3" t="str">
        <f>VLOOKUP(B770,Detail!$G$1:$H$1001,2,FALSE)</f>
        <v>Cakrabuana Pranowo</v>
      </c>
      <c r="E770">
        <v>93</v>
      </c>
      <c r="F770">
        <v>41</v>
      </c>
      <c r="G770" s="35">
        <v>70</v>
      </c>
      <c r="H770">
        <v>65</v>
      </c>
      <c r="I770">
        <v>50</v>
      </c>
      <c r="J770">
        <v>58</v>
      </c>
      <c r="K770">
        <v>76</v>
      </c>
      <c r="L770" s="26">
        <f>IFERROR(VLOOKUP(B770,Absen!$A$1:$C$501,2,FALSE),"No")</f>
        <v>44889</v>
      </c>
      <c r="M770" s="44">
        <f t="shared" ref="M770:M833" si="35">IF(L770="no",K770,K770-10)*10%</f>
        <v>6.6000000000000005</v>
      </c>
      <c r="N770" s="35">
        <f t="shared" ref="N770:N833" si="36">SUM(E770*12.5%,F770*12.5%,H770*12.5%,I770*12.5%,G770*20%,J770*20%,M770)</f>
        <v>63.325000000000003</v>
      </c>
      <c r="O770" t="str">
        <f>VLOOKUP(N770,Helper!$B$30:$C$35,2,TRUE)</f>
        <v>C</v>
      </c>
      <c r="P770" s="26">
        <f>INDEX(Detail!$A$1:$A$1001,MATCH(B770,Detail!$G$1:$G$1001,0))</f>
        <v>38359</v>
      </c>
      <c r="Q770" s="3" t="str">
        <f>INDEX(Detail!$F$1:$F$1001,MATCH(Main!B770,Detail!$G$1:$G$1001,0))</f>
        <v>Manado</v>
      </c>
      <c r="R770" s="7">
        <f>INDEX(Detail!$C$1:$C$1001,MATCH(B770,Detail!$G$1:$G$1001,0),1)</f>
        <v>175</v>
      </c>
      <c r="S770" s="7">
        <f>INDEX(Detail!$D$1:$D$1001,MATCH(B770,Detail!$G$1:$G$1001,0),1)</f>
        <v>50</v>
      </c>
      <c r="T770" s="7" t="str">
        <f>INDEX(Detail!$E$1:$E$1001,MATCH(Main!B770,Detail!$G$1:$G$1001,0))</f>
        <v xml:space="preserve">Gang Asia Afrika No. 8
</v>
      </c>
      <c r="U770" s="7" t="str">
        <f>INDEX(Detail!$B$1:$B$1001,MATCH(B770,Detail!$G$1:$G$1001,0),1)</f>
        <v>AB+</v>
      </c>
    </row>
    <row r="771" spans="1:21" ht="15.75" x14ac:dyDescent="0.25">
      <c r="A771">
        <v>519</v>
      </c>
      <c r="B771" s="3" t="str">
        <f t="shared" si="34"/>
        <v>E0519</v>
      </c>
      <c r="C771" t="s">
        <v>1010</v>
      </c>
      <c r="D771" s="3" t="str">
        <f>VLOOKUP(B771,Detail!$G$1:$H$1001,2,FALSE)</f>
        <v>Raditya Marpaung</v>
      </c>
      <c r="E771">
        <v>71</v>
      </c>
      <c r="F771">
        <v>43</v>
      </c>
      <c r="G771" s="35">
        <v>77</v>
      </c>
      <c r="H771">
        <v>72</v>
      </c>
      <c r="I771">
        <v>84</v>
      </c>
      <c r="J771">
        <v>71</v>
      </c>
      <c r="K771">
        <v>76</v>
      </c>
      <c r="L771" s="26" t="str">
        <f>IFERROR(VLOOKUP(B771,Absen!$A$1:$C$501,2,FALSE),"No")</f>
        <v>No</v>
      </c>
      <c r="M771" s="44">
        <f t="shared" si="35"/>
        <v>7.6000000000000005</v>
      </c>
      <c r="N771" s="35">
        <f t="shared" si="36"/>
        <v>70.95</v>
      </c>
      <c r="O771" t="str">
        <f>VLOOKUP(N771,Helper!$B$30:$C$35,2,TRUE)</f>
        <v>B</v>
      </c>
      <c r="P771" s="26">
        <f>INDEX(Detail!$A$1:$A$1001,MATCH(B771,Detail!$G$1:$G$1001,0))</f>
        <v>37149</v>
      </c>
      <c r="Q771" s="3" t="str">
        <f>INDEX(Detail!$F$1:$F$1001,MATCH(Main!B771,Detail!$G$1:$G$1001,0))</f>
        <v>Bandung</v>
      </c>
      <c r="R771" s="7">
        <f>INDEX(Detail!$C$1:$C$1001,MATCH(B771,Detail!$G$1:$G$1001,0),1)</f>
        <v>170</v>
      </c>
      <c r="S771" s="7">
        <f>INDEX(Detail!$D$1:$D$1001,MATCH(B771,Detail!$G$1:$G$1001,0),1)</f>
        <v>50</v>
      </c>
      <c r="T771" s="7" t="str">
        <f>INDEX(Detail!$E$1:$E$1001,MATCH(Main!B771,Detail!$G$1:$G$1001,0))</f>
        <v>Gang Cikapayang No. 69</v>
      </c>
      <c r="U771" s="7" t="str">
        <f>INDEX(Detail!$B$1:$B$1001,MATCH(B771,Detail!$G$1:$G$1001,0),1)</f>
        <v>O-</v>
      </c>
    </row>
    <row r="772" spans="1:21" ht="15.75" x14ac:dyDescent="0.25">
      <c r="A772">
        <v>520</v>
      </c>
      <c r="B772" s="3" t="str">
        <f t="shared" si="34"/>
        <v>E0520</v>
      </c>
      <c r="C772" t="s">
        <v>1010</v>
      </c>
      <c r="D772" s="3" t="str">
        <f>VLOOKUP(B772,Detail!$G$1:$H$1001,2,FALSE)</f>
        <v>Salimah Wastuti</v>
      </c>
      <c r="E772">
        <v>60</v>
      </c>
      <c r="F772">
        <v>52</v>
      </c>
      <c r="G772" s="35">
        <v>44</v>
      </c>
      <c r="H772">
        <v>60</v>
      </c>
      <c r="I772">
        <v>85</v>
      </c>
      <c r="J772">
        <v>93</v>
      </c>
      <c r="K772">
        <v>85</v>
      </c>
      <c r="L772" s="26">
        <f>IFERROR(VLOOKUP(B772,Absen!$A$1:$C$501,2,FALSE),"No")</f>
        <v>44770</v>
      </c>
      <c r="M772" s="44">
        <f t="shared" si="35"/>
        <v>7.5</v>
      </c>
      <c r="N772" s="35">
        <f t="shared" si="36"/>
        <v>67.025000000000006</v>
      </c>
      <c r="O772" t="str">
        <f>VLOOKUP(N772,Helper!$B$30:$C$35,2,TRUE)</f>
        <v>C</v>
      </c>
      <c r="P772" s="26">
        <f>INDEX(Detail!$A$1:$A$1001,MATCH(B772,Detail!$G$1:$G$1001,0))</f>
        <v>38124</v>
      </c>
      <c r="Q772" s="3" t="str">
        <f>INDEX(Detail!$F$1:$F$1001,MATCH(Main!B772,Detail!$G$1:$G$1001,0))</f>
        <v>Sukabumi</v>
      </c>
      <c r="R772" s="7">
        <f>INDEX(Detail!$C$1:$C$1001,MATCH(B772,Detail!$G$1:$G$1001,0),1)</f>
        <v>166</v>
      </c>
      <c r="S772" s="7">
        <f>INDEX(Detail!$D$1:$D$1001,MATCH(B772,Detail!$G$1:$G$1001,0),1)</f>
        <v>46</v>
      </c>
      <c r="T772" s="7" t="str">
        <f>INDEX(Detail!$E$1:$E$1001,MATCH(Main!B772,Detail!$G$1:$G$1001,0))</f>
        <v>Gang Kendalsari No. 87</v>
      </c>
      <c r="U772" s="7" t="str">
        <f>INDEX(Detail!$B$1:$B$1001,MATCH(B772,Detail!$G$1:$G$1001,0),1)</f>
        <v>B+</v>
      </c>
    </row>
    <row r="773" spans="1:21" ht="15.75" x14ac:dyDescent="0.25">
      <c r="A773">
        <v>522</v>
      </c>
      <c r="B773" s="3" t="str">
        <f t="shared" si="34"/>
        <v>E0522</v>
      </c>
      <c r="C773" t="s">
        <v>1010</v>
      </c>
      <c r="D773" s="3" t="str">
        <f>VLOOKUP(B773,Detail!$G$1:$H$1001,2,FALSE)</f>
        <v>Rosman Susanti</v>
      </c>
      <c r="E773">
        <v>88</v>
      </c>
      <c r="F773">
        <v>42</v>
      </c>
      <c r="G773" s="35">
        <v>60</v>
      </c>
      <c r="H773">
        <v>62</v>
      </c>
      <c r="I773">
        <v>69</v>
      </c>
      <c r="J773">
        <v>62</v>
      </c>
      <c r="K773">
        <v>67</v>
      </c>
      <c r="L773" s="26">
        <f>IFERROR(VLOOKUP(B773,Absen!$A$1:$C$501,2,FALSE),"No")</f>
        <v>44841</v>
      </c>
      <c r="M773" s="44">
        <f t="shared" si="35"/>
        <v>5.7</v>
      </c>
      <c r="N773" s="35">
        <f t="shared" si="36"/>
        <v>62.725000000000001</v>
      </c>
      <c r="O773" t="str">
        <f>VLOOKUP(N773,Helper!$B$30:$C$35,2,TRUE)</f>
        <v>C</v>
      </c>
      <c r="P773" s="26">
        <f>INDEX(Detail!$A$1:$A$1001,MATCH(B773,Detail!$G$1:$G$1001,0))</f>
        <v>37681</v>
      </c>
      <c r="Q773" s="3" t="str">
        <f>INDEX(Detail!$F$1:$F$1001,MATCH(Main!B773,Detail!$G$1:$G$1001,0))</f>
        <v>Depok</v>
      </c>
      <c r="R773" s="7">
        <f>INDEX(Detail!$C$1:$C$1001,MATCH(B773,Detail!$G$1:$G$1001,0),1)</f>
        <v>162</v>
      </c>
      <c r="S773" s="7">
        <f>INDEX(Detail!$D$1:$D$1001,MATCH(B773,Detail!$G$1:$G$1001,0),1)</f>
        <v>49</v>
      </c>
      <c r="T773" s="7" t="str">
        <f>INDEX(Detail!$E$1:$E$1001,MATCH(Main!B773,Detail!$G$1:$G$1001,0))</f>
        <v>Jl. Otto Iskandardinata No. 46</v>
      </c>
      <c r="U773" s="7" t="str">
        <f>INDEX(Detail!$B$1:$B$1001,MATCH(B773,Detail!$G$1:$G$1001,0),1)</f>
        <v>A-</v>
      </c>
    </row>
    <row r="774" spans="1:21" ht="15.75" x14ac:dyDescent="0.25">
      <c r="A774">
        <v>540</v>
      </c>
      <c r="B774" s="3" t="str">
        <f t="shared" si="34"/>
        <v>E0540</v>
      </c>
      <c r="C774" t="s">
        <v>1010</v>
      </c>
      <c r="D774" s="3" t="str">
        <f>VLOOKUP(B774,Detail!$G$1:$H$1001,2,FALSE)</f>
        <v>Nugraha Natsir</v>
      </c>
      <c r="E774">
        <v>54</v>
      </c>
      <c r="F774">
        <v>48</v>
      </c>
      <c r="G774" s="35">
        <v>71</v>
      </c>
      <c r="H774">
        <v>72</v>
      </c>
      <c r="I774">
        <v>61</v>
      </c>
      <c r="J774">
        <v>68</v>
      </c>
      <c r="K774">
        <v>95</v>
      </c>
      <c r="L774" s="26">
        <f>IFERROR(VLOOKUP(B774,Absen!$A$1:$C$501,2,FALSE),"No")</f>
        <v>44878</v>
      </c>
      <c r="M774" s="44">
        <f t="shared" si="35"/>
        <v>8.5</v>
      </c>
      <c r="N774" s="35">
        <f t="shared" si="36"/>
        <v>65.675000000000011</v>
      </c>
      <c r="O774" t="str">
        <f>VLOOKUP(N774,Helper!$B$30:$C$35,2,TRUE)</f>
        <v>C</v>
      </c>
      <c r="P774" s="26">
        <f>INDEX(Detail!$A$1:$A$1001,MATCH(B774,Detail!$G$1:$G$1001,0))</f>
        <v>38028</v>
      </c>
      <c r="Q774" s="3" t="str">
        <f>INDEX(Detail!$F$1:$F$1001,MATCH(Main!B774,Detail!$G$1:$G$1001,0))</f>
        <v>Tomohon</v>
      </c>
      <c r="R774" s="7">
        <f>INDEX(Detail!$C$1:$C$1001,MATCH(B774,Detail!$G$1:$G$1001,0),1)</f>
        <v>171</v>
      </c>
      <c r="S774" s="7">
        <f>INDEX(Detail!$D$1:$D$1001,MATCH(B774,Detail!$G$1:$G$1001,0),1)</f>
        <v>73</v>
      </c>
      <c r="T774" s="7" t="str">
        <f>INDEX(Detail!$E$1:$E$1001,MATCH(Main!B774,Detail!$G$1:$G$1001,0))</f>
        <v>Gg. Joyoboyo No. 02</v>
      </c>
      <c r="U774" s="7" t="str">
        <f>INDEX(Detail!$B$1:$B$1001,MATCH(B774,Detail!$G$1:$G$1001,0),1)</f>
        <v>O-</v>
      </c>
    </row>
    <row r="775" spans="1:21" ht="15.75" x14ac:dyDescent="0.25">
      <c r="A775">
        <v>543</v>
      </c>
      <c r="B775" s="3" t="str">
        <f t="shared" si="34"/>
        <v>E0543</v>
      </c>
      <c r="C775" t="s">
        <v>1010</v>
      </c>
      <c r="D775" s="3" t="str">
        <f>VLOOKUP(B775,Detail!$G$1:$H$1001,2,FALSE)</f>
        <v>Lembah Nababan</v>
      </c>
      <c r="E775">
        <v>70</v>
      </c>
      <c r="F775">
        <v>73</v>
      </c>
      <c r="G775" s="35">
        <v>92</v>
      </c>
      <c r="H775">
        <v>50</v>
      </c>
      <c r="I775">
        <v>79</v>
      </c>
      <c r="J775">
        <v>49</v>
      </c>
      <c r="K775">
        <v>66</v>
      </c>
      <c r="L775" s="26">
        <f>IFERROR(VLOOKUP(B775,Absen!$A$1:$C$501,2,FALSE),"No")</f>
        <v>44763</v>
      </c>
      <c r="M775" s="44">
        <f t="shared" si="35"/>
        <v>5.6000000000000005</v>
      </c>
      <c r="N775" s="35">
        <f t="shared" si="36"/>
        <v>67.8</v>
      </c>
      <c r="O775" t="str">
        <f>VLOOKUP(N775,Helper!$B$30:$C$35,2,TRUE)</f>
        <v>C</v>
      </c>
      <c r="P775" s="26">
        <f>INDEX(Detail!$A$1:$A$1001,MATCH(B775,Detail!$G$1:$G$1001,0))</f>
        <v>37140</v>
      </c>
      <c r="Q775" s="3" t="str">
        <f>INDEX(Detail!$F$1:$F$1001,MATCH(Main!B775,Detail!$G$1:$G$1001,0))</f>
        <v>Pangkalpinang</v>
      </c>
      <c r="R775" s="7">
        <f>INDEX(Detail!$C$1:$C$1001,MATCH(B775,Detail!$G$1:$G$1001,0),1)</f>
        <v>178</v>
      </c>
      <c r="S775" s="7">
        <f>INDEX(Detail!$D$1:$D$1001,MATCH(B775,Detail!$G$1:$G$1001,0),1)</f>
        <v>91</v>
      </c>
      <c r="T775" s="7" t="str">
        <f>INDEX(Detail!$E$1:$E$1001,MATCH(Main!B775,Detail!$G$1:$G$1001,0))</f>
        <v xml:space="preserve">Gg. M.H Thamrin No. 8
</v>
      </c>
      <c r="U775" s="7" t="str">
        <f>INDEX(Detail!$B$1:$B$1001,MATCH(B775,Detail!$G$1:$G$1001,0),1)</f>
        <v>AB-</v>
      </c>
    </row>
    <row r="776" spans="1:21" ht="15.75" x14ac:dyDescent="0.25">
      <c r="A776">
        <v>544</v>
      </c>
      <c r="B776" s="3" t="str">
        <f t="shared" si="34"/>
        <v>E0544</v>
      </c>
      <c r="C776" t="s">
        <v>1010</v>
      </c>
      <c r="D776" s="3" t="str">
        <f>VLOOKUP(B776,Detail!$G$1:$H$1001,2,FALSE)</f>
        <v>Ifa Yolanda</v>
      </c>
      <c r="E776">
        <v>69</v>
      </c>
      <c r="F776">
        <v>75</v>
      </c>
      <c r="G776" s="35">
        <v>52</v>
      </c>
      <c r="H776">
        <v>72</v>
      </c>
      <c r="I776">
        <v>90</v>
      </c>
      <c r="J776">
        <v>42</v>
      </c>
      <c r="K776">
        <v>76</v>
      </c>
      <c r="L776" s="26" t="str">
        <f>IFERROR(VLOOKUP(B776,Absen!$A$1:$C$501,2,FALSE),"No")</f>
        <v>No</v>
      </c>
      <c r="M776" s="44">
        <f t="shared" si="35"/>
        <v>7.6000000000000005</v>
      </c>
      <c r="N776" s="35">
        <f t="shared" si="36"/>
        <v>64.649999999999991</v>
      </c>
      <c r="O776" t="str">
        <f>VLOOKUP(N776,Helper!$B$30:$C$35,2,TRUE)</f>
        <v>C</v>
      </c>
      <c r="P776" s="26">
        <f>INDEX(Detail!$A$1:$A$1001,MATCH(B776,Detail!$G$1:$G$1001,0))</f>
        <v>38092</v>
      </c>
      <c r="Q776" s="3" t="str">
        <f>INDEX(Detail!$F$1:$F$1001,MATCH(Main!B776,Detail!$G$1:$G$1001,0))</f>
        <v>Madiun</v>
      </c>
      <c r="R776" s="7">
        <f>INDEX(Detail!$C$1:$C$1001,MATCH(B776,Detail!$G$1:$G$1001,0),1)</f>
        <v>171</v>
      </c>
      <c r="S776" s="7">
        <f>INDEX(Detail!$D$1:$D$1001,MATCH(B776,Detail!$G$1:$G$1001,0),1)</f>
        <v>62</v>
      </c>
      <c r="T776" s="7" t="str">
        <f>INDEX(Detail!$E$1:$E$1001,MATCH(Main!B776,Detail!$G$1:$G$1001,0))</f>
        <v xml:space="preserve">Jl. Astana Anyar No. 9
</v>
      </c>
      <c r="U776" s="7" t="str">
        <f>INDEX(Detail!$B$1:$B$1001,MATCH(B776,Detail!$G$1:$G$1001,0),1)</f>
        <v>A-</v>
      </c>
    </row>
    <row r="777" spans="1:21" ht="15.75" x14ac:dyDescent="0.25">
      <c r="A777">
        <v>549</v>
      </c>
      <c r="B777" s="3" t="str">
        <f t="shared" si="34"/>
        <v>E0549</v>
      </c>
      <c r="C777" t="s">
        <v>1010</v>
      </c>
      <c r="D777" s="3" t="str">
        <f>VLOOKUP(B777,Detail!$G$1:$H$1001,2,FALSE)</f>
        <v>Adiarja Zulaika</v>
      </c>
      <c r="E777">
        <v>95</v>
      </c>
      <c r="F777">
        <v>53</v>
      </c>
      <c r="G777" s="35">
        <v>93</v>
      </c>
      <c r="H777">
        <v>64</v>
      </c>
      <c r="I777">
        <v>59</v>
      </c>
      <c r="J777">
        <v>76</v>
      </c>
      <c r="K777">
        <v>95</v>
      </c>
      <c r="L777" s="26" t="str">
        <f>IFERROR(VLOOKUP(B777,Absen!$A$1:$C$501,2,FALSE),"No")</f>
        <v>No</v>
      </c>
      <c r="M777" s="44">
        <f t="shared" si="35"/>
        <v>9.5</v>
      </c>
      <c r="N777" s="35">
        <f t="shared" si="36"/>
        <v>77.174999999999997</v>
      </c>
      <c r="O777" t="str">
        <f>VLOOKUP(N777,Helper!$B$30:$C$35,2,TRUE)</f>
        <v>B</v>
      </c>
      <c r="P777" s="26">
        <f>INDEX(Detail!$A$1:$A$1001,MATCH(B777,Detail!$G$1:$G$1001,0))</f>
        <v>37449</v>
      </c>
      <c r="Q777" s="3" t="str">
        <f>INDEX(Detail!$F$1:$F$1001,MATCH(Main!B777,Detail!$G$1:$G$1001,0))</f>
        <v>Cimahi</v>
      </c>
      <c r="R777" s="7">
        <f>INDEX(Detail!$C$1:$C$1001,MATCH(B777,Detail!$G$1:$G$1001,0),1)</f>
        <v>167</v>
      </c>
      <c r="S777" s="7">
        <f>INDEX(Detail!$D$1:$D$1001,MATCH(B777,Detail!$G$1:$G$1001,0),1)</f>
        <v>45</v>
      </c>
      <c r="T777" s="7" t="str">
        <f>INDEX(Detail!$E$1:$E$1001,MATCH(Main!B777,Detail!$G$1:$G$1001,0))</f>
        <v xml:space="preserve">Gg. Pasirkoja No. 5
</v>
      </c>
      <c r="U777" s="7" t="str">
        <f>INDEX(Detail!$B$1:$B$1001,MATCH(B777,Detail!$G$1:$G$1001,0),1)</f>
        <v>B+</v>
      </c>
    </row>
    <row r="778" spans="1:21" ht="15.75" x14ac:dyDescent="0.25">
      <c r="A778">
        <v>556</v>
      </c>
      <c r="B778" s="3" t="str">
        <f t="shared" si="34"/>
        <v>E0556</v>
      </c>
      <c r="C778" t="s">
        <v>1010</v>
      </c>
      <c r="D778" s="3" t="str">
        <f>VLOOKUP(B778,Detail!$G$1:$H$1001,2,FALSE)</f>
        <v>Bancar Siregar</v>
      </c>
      <c r="E778">
        <v>82</v>
      </c>
      <c r="F778">
        <v>42</v>
      </c>
      <c r="G778" s="35">
        <v>50</v>
      </c>
      <c r="H778">
        <v>50</v>
      </c>
      <c r="I778">
        <v>71</v>
      </c>
      <c r="J778">
        <v>79</v>
      </c>
      <c r="K778">
        <v>77</v>
      </c>
      <c r="L778" s="26" t="str">
        <f>IFERROR(VLOOKUP(B778,Absen!$A$1:$C$501,2,FALSE),"No")</f>
        <v>No</v>
      </c>
      <c r="M778" s="44">
        <f t="shared" si="35"/>
        <v>7.7</v>
      </c>
      <c r="N778" s="35">
        <f t="shared" si="36"/>
        <v>64.125</v>
      </c>
      <c r="O778" t="str">
        <f>VLOOKUP(N778,Helper!$B$30:$C$35,2,TRUE)</f>
        <v>C</v>
      </c>
      <c r="P778" s="26">
        <f>INDEX(Detail!$A$1:$A$1001,MATCH(B778,Detail!$G$1:$G$1001,0))</f>
        <v>38024</v>
      </c>
      <c r="Q778" s="3" t="str">
        <f>INDEX(Detail!$F$1:$F$1001,MATCH(Main!B778,Detail!$G$1:$G$1001,0))</f>
        <v>Subulussalam</v>
      </c>
      <c r="R778" s="7">
        <f>INDEX(Detail!$C$1:$C$1001,MATCH(B778,Detail!$G$1:$G$1001,0),1)</f>
        <v>170</v>
      </c>
      <c r="S778" s="7">
        <f>INDEX(Detail!$D$1:$D$1001,MATCH(B778,Detail!$G$1:$G$1001,0),1)</f>
        <v>63</v>
      </c>
      <c r="T778" s="7" t="str">
        <f>INDEX(Detail!$E$1:$E$1001,MATCH(Main!B778,Detail!$G$1:$G$1001,0))</f>
        <v>Jalan Pasteur No. 62</v>
      </c>
      <c r="U778" s="7" t="str">
        <f>INDEX(Detail!$B$1:$B$1001,MATCH(B778,Detail!$G$1:$G$1001,0),1)</f>
        <v>O-</v>
      </c>
    </row>
    <row r="779" spans="1:21" ht="15.75" x14ac:dyDescent="0.25">
      <c r="A779">
        <v>560</v>
      </c>
      <c r="B779" s="3" t="str">
        <f t="shared" si="34"/>
        <v>E0560</v>
      </c>
      <c r="C779" t="s">
        <v>1010</v>
      </c>
      <c r="D779" s="3" t="str">
        <f>VLOOKUP(B779,Detail!$G$1:$H$1001,2,FALSE)</f>
        <v>Elma Hartati</v>
      </c>
      <c r="E779">
        <v>62</v>
      </c>
      <c r="F779">
        <v>66</v>
      </c>
      <c r="G779" s="35">
        <v>81</v>
      </c>
      <c r="H779">
        <v>66</v>
      </c>
      <c r="I779">
        <v>94</v>
      </c>
      <c r="J779">
        <v>91</v>
      </c>
      <c r="K779">
        <v>88</v>
      </c>
      <c r="L779" s="26" t="str">
        <f>IFERROR(VLOOKUP(B779,Absen!$A$1:$C$501,2,FALSE),"No")</f>
        <v>No</v>
      </c>
      <c r="M779" s="44">
        <f t="shared" si="35"/>
        <v>8.8000000000000007</v>
      </c>
      <c r="N779" s="35">
        <f t="shared" si="36"/>
        <v>79.2</v>
      </c>
      <c r="O779" t="str">
        <f>VLOOKUP(N779,Helper!$B$30:$C$35,2,TRUE)</f>
        <v>B</v>
      </c>
      <c r="P779" s="26">
        <f>INDEX(Detail!$A$1:$A$1001,MATCH(B779,Detail!$G$1:$G$1001,0))</f>
        <v>38175</v>
      </c>
      <c r="Q779" s="3" t="str">
        <f>INDEX(Detail!$F$1:$F$1001,MATCH(Main!B779,Detail!$G$1:$G$1001,0))</f>
        <v>Tarakan</v>
      </c>
      <c r="R779" s="7">
        <f>INDEX(Detail!$C$1:$C$1001,MATCH(B779,Detail!$G$1:$G$1001,0),1)</f>
        <v>155</v>
      </c>
      <c r="S779" s="7">
        <f>INDEX(Detail!$D$1:$D$1001,MATCH(B779,Detail!$G$1:$G$1001,0),1)</f>
        <v>76</v>
      </c>
      <c r="T779" s="7" t="str">
        <f>INDEX(Detail!$E$1:$E$1001,MATCH(Main!B779,Detail!$G$1:$G$1001,0))</f>
        <v xml:space="preserve">Jl. Monginsidi No. 4
</v>
      </c>
      <c r="U779" s="7" t="str">
        <f>INDEX(Detail!$B$1:$B$1001,MATCH(B779,Detail!$G$1:$G$1001,0),1)</f>
        <v>AB-</v>
      </c>
    </row>
    <row r="780" spans="1:21" ht="15.75" x14ac:dyDescent="0.25">
      <c r="A780">
        <v>567</v>
      </c>
      <c r="B780" s="3" t="str">
        <f t="shared" si="34"/>
        <v>E0567</v>
      </c>
      <c r="C780" t="s">
        <v>1010</v>
      </c>
      <c r="D780" s="3" t="str">
        <f>VLOOKUP(B780,Detail!$G$1:$H$1001,2,FALSE)</f>
        <v>Viktor Novitasari</v>
      </c>
      <c r="E780">
        <v>75</v>
      </c>
      <c r="F780">
        <v>51</v>
      </c>
      <c r="G780" s="35">
        <v>77</v>
      </c>
      <c r="H780">
        <v>51</v>
      </c>
      <c r="I780">
        <v>61</v>
      </c>
      <c r="J780">
        <v>78</v>
      </c>
      <c r="K780">
        <v>62</v>
      </c>
      <c r="L780" s="26">
        <f>IFERROR(VLOOKUP(B780,Absen!$A$1:$C$501,2,FALSE),"No")</f>
        <v>44760</v>
      </c>
      <c r="M780" s="44">
        <f t="shared" si="35"/>
        <v>5.2</v>
      </c>
      <c r="N780" s="35">
        <f t="shared" si="36"/>
        <v>65.95</v>
      </c>
      <c r="O780" t="str">
        <f>VLOOKUP(N780,Helper!$B$30:$C$35,2,TRUE)</f>
        <v>C</v>
      </c>
      <c r="P780" s="26">
        <f>INDEX(Detail!$A$1:$A$1001,MATCH(B780,Detail!$G$1:$G$1001,0))</f>
        <v>37530</v>
      </c>
      <c r="Q780" s="3" t="str">
        <f>INDEX(Detail!$F$1:$F$1001,MATCH(Main!B780,Detail!$G$1:$G$1001,0))</f>
        <v>Tarakan</v>
      </c>
      <c r="R780" s="7">
        <f>INDEX(Detail!$C$1:$C$1001,MATCH(B780,Detail!$G$1:$G$1001,0),1)</f>
        <v>155</v>
      </c>
      <c r="S780" s="7">
        <f>INDEX(Detail!$D$1:$D$1001,MATCH(B780,Detail!$G$1:$G$1001,0),1)</f>
        <v>72</v>
      </c>
      <c r="T780" s="7" t="str">
        <f>INDEX(Detail!$E$1:$E$1001,MATCH(Main!B780,Detail!$G$1:$G$1001,0))</f>
        <v>Jalan S. Parman No. 75</v>
      </c>
      <c r="U780" s="7" t="str">
        <f>INDEX(Detail!$B$1:$B$1001,MATCH(B780,Detail!$G$1:$G$1001,0),1)</f>
        <v>B+</v>
      </c>
    </row>
    <row r="781" spans="1:21" ht="15.75" x14ac:dyDescent="0.25">
      <c r="A781">
        <v>569</v>
      </c>
      <c r="B781" s="3" t="str">
        <f t="shared" si="34"/>
        <v>E0569</v>
      </c>
      <c r="C781" t="s">
        <v>1010</v>
      </c>
      <c r="D781" s="3" t="str">
        <f>VLOOKUP(B781,Detail!$G$1:$H$1001,2,FALSE)</f>
        <v>Endah Yuniar</v>
      </c>
      <c r="E781">
        <v>58</v>
      </c>
      <c r="F781">
        <v>48</v>
      </c>
      <c r="G781" s="35">
        <v>31</v>
      </c>
      <c r="H781">
        <v>55</v>
      </c>
      <c r="I781">
        <v>86</v>
      </c>
      <c r="J781">
        <v>66</v>
      </c>
      <c r="K781">
        <v>60</v>
      </c>
      <c r="L781" s="26" t="str">
        <f>IFERROR(VLOOKUP(B781,Absen!$A$1:$C$501,2,FALSE),"No")</f>
        <v>No</v>
      </c>
      <c r="M781" s="44">
        <f t="shared" si="35"/>
        <v>6</v>
      </c>
      <c r="N781" s="35">
        <f t="shared" si="36"/>
        <v>56.275000000000006</v>
      </c>
      <c r="O781" t="str">
        <f>VLOOKUP(N781,Helper!$B$30:$C$35,2,TRUE)</f>
        <v>D</v>
      </c>
      <c r="P781" s="26">
        <f>INDEX(Detail!$A$1:$A$1001,MATCH(B781,Detail!$G$1:$G$1001,0))</f>
        <v>38260</v>
      </c>
      <c r="Q781" s="3" t="str">
        <f>INDEX(Detail!$F$1:$F$1001,MATCH(Main!B781,Detail!$G$1:$G$1001,0))</f>
        <v>Pekalongan</v>
      </c>
      <c r="R781" s="7">
        <f>INDEX(Detail!$C$1:$C$1001,MATCH(B781,Detail!$G$1:$G$1001,0),1)</f>
        <v>153</v>
      </c>
      <c r="S781" s="7">
        <f>INDEX(Detail!$D$1:$D$1001,MATCH(B781,Detail!$G$1:$G$1001,0),1)</f>
        <v>69</v>
      </c>
      <c r="T781" s="7" t="str">
        <f>INDEX(Detail!$E$1:$E$1001,MATCH(Main!B781,Detail!$G$1:$G$1001,0))</f>
        <v>Gang Astana Anyar No. 20</v>
      </c>
      <c r="U781" s="7" t="str">
        <f>INDEX(Detail!$B$1:$B$1001,MATCH(B781,Detail!$G$1:$G$1001,0),1)</f>
        <v>B+</v>
      </c>
    </row>
    <row r="782" spans="1:21" ht="15.75" x14ac:dyDescent="0.25">
      <c r="A782">
        <v>572</v>
      </c>
      <c r="B782" s="3" t="str">
        <f t="shared" si="34"/>
        <v>E0572</v>
      </c>
      <c r="C782" t="s">
        <v>1010</v>
      </c>
      <c r="D782" s="3" t="str">
        <f>VLOOKUP(B782,Detail!$G$1:$H$1001,2,FALSE)</f>
        <v>Nardi Maryadi</v>
      </c>
      <c r="E782">
        <v>81</v>
      </c>
      <c r="F782">
        <v>73</v>
      </c>
      <c r="G782" s="35">
        <v>40</v>
      </c>
      <c r="H782">
        <v>71</v>
      </c>
      <c r="I782">
        <v>62</v>
      </c>
      <c r="J782">
        <v>72</v>
      </c>
      <c r="K782">
        <v>75</v>
      </c>
      <c r="L782" s="26">
        <f>IFERROR(VLOOKUP(B782,Absen!$A$1:$C$501,2,FALSE),"No")</f>
        <v>44861</v>
      </c>
      <c r="M782" s="44">
        <f t="shared" si="35"/>
        <v>6.5</v>
      </c>
      <c r="N782" s="35">
        <f t="shared" si="36"/>
        <v>64.775000000000006</v>
      </c>
      <c r="O782" t="str">
        <f>VLOOKUP(N782,Helper!$B$30:$C$35,2,TRUE)</f>
        <v>C</v>
      </c>
      <c r="P782" s="26">
        <f>INDEX(Detail!$A$1:$A$1001,MATCH(B782,Detail!$G$1:$G$1001,0))</f>
        <v>38140</v>
      </c>
      <c r="Q782" s="3" t="str">
        <f>INDEX(Detail!$F$1:$F$1001,MATCH(Main!B782,Detail!$G$1:$G$1001,0))</f>
        <v>Tanjungpinang</v>
      </c>
      <c r="R782" s="7">
        <f>INDEX(Detail!$C$1:$C$1001,MATCH(B782,Detail!$G$1:$G$1001,0),1)</f>
        <v>164</v>
      </c>
      <c r="S782" s="7">
        <f>INDEX(Detail!$D$1:$D$1001,MATCH(B782,Detail!$G$1:$G$1001,0),1)</f>
        <v>47</v>
      </c>
      <c r="T782" s="7" t="str">
        <f>INDEX(Detail!$E$1:$E$1001,MATCH(Main!B782,Detail!$G$1:$G$1001,0))</f>
        <v xml:space="preserve">Jalan Dipatiukur No. 0
</v>
      </c>
      <c r="U782" s="7" t="str">
        <f>INDEX(Detail!$B$1:$B$1001,MATCH(B782,Detail!$G$1:$G$1001,0),1)</f>
        <v>AB-</v>
      </c>
    </row>
    <row r="783" spans="1:21" ht="15.75" x14ac:dyDescent="0.25">
      <c r="A783">
        <v>574</v>
      </c>
      <c r="B783" s="3" t="str">
        <f t="shared" si="34"/>
        <v>E0574</v>
      </c>
      <c r="C783" t="s">
        <v>1010</v>
      </c>
      <c r="D783" s="3" t="str">
        <f>VLOOKUP(B783,Detail!$G$1:$H$1001,2,FALSE)</f>
        <v>Farah Pertiwi</v>
      </c>
      <c r="E783">
        <v>90</v>
      </c>
      <c r="F783">
        <v>48</v>
      </c>
      <c r="G783" s="35">
        <v>52</v>
      </c>
      <c r="H783">
        <v>71</v>
      </c>
      <c r="I783">
        <v>76</v>
      </c>
      <c r="J783">
        <v>53</v>
      </c>
      <c r="K783">
        <v>95</v>
      </c>
      <c r="L783" s="26" t="str">
        <f>IFERROR(VLOOKUP(B783,Absen!$A$1:$C$501,2,FALSE),"No")</f>
        <v>No</v>
      </c>
      <c r="M783" s="44">
        <f t="shared" si="35"/>
        <v>9.5</v>
      </c>
      <c r="N783" s="35">
        <f t="shared" si="36"/>
        <v>66.125</v>
      </c>
      <c r="O783" t="str">
        <f>VLOOKUP(N783,Helper!$B$30:$C$35,2,TRUE)</f>
        <v>C</v>
      </c>
      <c r="P783" s="26">
        <f>INDEX(Detail!$A$1:$A$1001,MATCH(B783,Detail!$G$1:$G$1001,0))</f>
        <v>37670</v>
      </c>
      <c r="Q783" s="3" t="str">
        <f>INDEX(Detail!$F$1:$F$1001,MATCH(Main!B783,Detail!$G$1:$G$1001,0))</f>
        <v>Tangerang Selatan</v>
      </c>
      <c r="R783" s="7">
        <f>INDEX(Detail!$C$1:$C$1001,MATCH(B783,Detail!$G$1:$G$1001,0),1)</f>
        <v>150</v>
      </c>
      <c r="S783" s="7">
        <f>INDEX(Detail!$D$1:$D$1001,MATCH(B783,Detail!$G$1:$G$1001,0),1)</f>
        <v>50</v>
      </c>
      <c r="T783" s="7" t="str">
        <f>INDEX(Detail!$E$1:$E$1001,MATCH(Main!B783,Detail!$G$1:$G$1001,0))</f>
        <v>Gg. BKR No. 13</v>
      </c>
      <c r="U783" s="7" t="str">
        <f>INDEX(Detail!$B$1:$B$1001,MATCH(B783,Detail!$G$1:$G$1001,0),1)</f>
        <v>AB-</v>
      </c>
    </row>
    <row r="784" spans="1:21" ht="15.75" x14ac:dyDescent="0.25">
      <c r="A784">
        <v>578</v>
      </c>
      <c r="B784" s="3" t="str">
        <f t="shared" si="34"/>
        <v>E0578</v>
      </c>
      <c r="C784" t="s">
        <v>1010</v>
      </c>
      <c r="D784" s="3" t="str">
        <f>VLOOKUP(B784,Detail!$G$1:$H$1001,2,FALSE)</f>
        <v>Rafi Lazuardi</v>
      </c>
      <c r="E784">
        <v>76</v>
      </c>
      <c r="F784">
        <v>47</v>
      </c>
      <c r="G784" s="35">
        <v>64</v>
      </c>
      <c r="H784">
        <v>66</v>
      </c>
      <c r="I784">
        <v>86</v>
      </c>
      <c r="J784">
        <v>67</v>
      </c>
      <c r="K784">
        <v>92</v>
      </c>
      <c r="L784" s="26">
        <f>IFERROR(VLOOKUP(B784,Absen!$A$1:$C$501,2,FALSE),"No")</f>
        <v>44767</v>
      </c>
      <c r="M784" s="44">
        <f t="shared" si="35"/>
        <v>8.2000000000000011</v>
      </c>
      <c r="N784" s="35">
        <f t="shared" si="36"/>
        <v>68.774999999999991</v>
      </c>
      <c r="O784" t="str">
        <f>VLOOKUP(N784,Helper!$B$30:$C$35,2,TRUE)</f>
        <v>C</v>
      </c>
      <c r="P784" s="26">
        <f>INDEX(Detail!$A$1:$A$1001,MATCH(B784,Detail!$G$1:$G$1001,0))</f>
        <v>37918</v>
      </c>
      <c r="Q784" s="3" t="str">
        <f>INDEX(Detail!$F$1:$F$1001,MATCH(Main!B784,Detail!$G$1:$G$1001,0))</f>
        <v>Purwokerto</v>
      </c>
      <c r="R784" s="7">
        <f>INDEX(Detail!$C$1:$C$1001,MATCH(B784,Detail!$G$1:$G$1001,0),1)</f>
        <v>159</v>
      </c>
      <c r="S784" s="7">
        <f>INDEX(Detail!$D$1:$D$1001,MATCH(B784,Detail!$G$1:$G$1001,0),1)</f>
        <v>52</v>
      </c>
      <c r="T784" s="7" t="str">
        <f>INDEX(Detail!$E$1:$E$1001,MATCH(Main!B784,Detail!$G$1:$G$1001,0))</f>
        <v xml:space="preserve">Gang Suryakencana No. 2
</v>
      </c>
      <c r="U784" s="7" t="str">
        <f>INDEX(Detail!$B$1:$B$1001,MATCH(B784,Detail!$G$1:$G$1001,0),1)</f>
        <v>AB-</v>
      </c>
    </row>
    <row r="785" spans="1:21" ht="15.75" x14ac:dyDescent="0.25">
      <c r="A785">
        <v>581</v>
      </c>
      <c r="B785" s="3" t="str">
        <f t="shared" si="34"/>
        <v>E0581</v>
      </c>
      <c r="C785" t="s">
        <v>1010</v>
      </c>
      <c r="D785" s="3" t="str">
        <f>VLOOKUP(B785,Detail!$G$1:$H$1001,2,FALSE)</f>
        <v>Jaga Maulana</v>
      </c>
      <c r="E785">
        <v>54</v>
      </c>
      <c r="F785">
        <v>52</v>
      </c>
      <c r="G785" s="35">
        <v>36</v>
      </c>
      <c r="H785">
        <v>67</v>
      </c>
      <c r="I785">
        <v>78</v>
      </c>
      <c r="J785">
        <v>53</v>
      </c>
      <c r="K785">
        <v>69</v>
      </c>
      <c r="L785" s="26">
        <f>IFERROR(VLOOKUP(B785,Absen!$A$1:$C$501,2,FALSE),"No")</f>
        <v>44748</v>
      </c>
      <c r="M785" s="44">
        <f t="shared" si="35"/>
        <v>5.9</v>
      </c>
      <c r="N785" s="35">
        <f t="shared" si="36"/>
        <v>55.075000000000003</v>
      </c>
      <c r="O785" t="str">
        <f>VLOOKUP(N785,Helper!$B$30:$C$35,2,TRUE)</f>
        <v>D</v>
      </c>
      <c r="P785" s="26">
        <f>INDEX(Detail!$A$1:$A$1001,MATCH(B785,Detail!$G$1:$G$1001,0))</f>
        <v>37333</v>
      </c>
      <c r="Q785" s="3" t="str">
        <f>INDEX(Detail!$F$1:$F$1001,MATCH(Main!B785,Detail!$G$1:$G$1001,0))</f>
        <v>Depok</v>
      </c>
      <c r="R785" s="7">
        <f>INDEX(Detail!$C$1:$C$1001,MATCH(B785,Detail!$G$1:$G$1001,0),1)</f>
        <v>171</v>
      </c>
      <c r="S785" s="7">
        <f>INDEX(Detail!$D$1:$D$1001,MATCH(B785,Detail!$G$1:$G$1001,0),1)</f>
        <v>65</v>
      </c>
      <c r="T785" s="7" t="str">
        <f>INDEX(Detail!$E$1:$E$1001,MATCH(Main!B785,Detail!$G$1:$G$1001,0))</f>
        <v xml:space="preserve">Jl. Rajawali Barat No. 7
</v>
      </c>
      <c r="U785" s="7" t="str">
        <f>INDEX(Detail!$B$1:$B$1001,MATCH(B785,Detail!$G$1:$G$1001,0),1)</f>
        <v>O+</v>
      </c>
    </row>
    <row r="786" spans="1:21" ht="15.75" x14ac:dyDescent="0.25">
      <c r="A786">
        <v>586</v>
      </c>
      <c r="B786" s="3" t="str">
        <f t="shared" si="34"/>
        <v>E0586</v>
      </c>
      <c r="C786" t="s">
        <v>1010</v>
      </c>
      <c r="D786" s="3" t="str">
        <f>VLOOKUP(B786,Detail!$G$1:$H$1001,2,FALSE)</f>
        <v>Mila Mahendra</v>
      </c>
      <c r="E786">
        <v>94</v>
      </c>
      <c r="F786">
        <v>73</v>
      </c>
      <c r="G786" s="35">
        <v>62</v>
      </c>
      <c r="H786">
        <v>54</v>
      </c>
      <c r="I786">
        <v>62</v>
      </c>
      <c r="J786">
        <v>48</v>
      </c>
      <c r="K786">
        <v>66</v>
      </c>
      <c r="L786" s="26" t="str">
        <f>IFERROR(VLOOKUP(B786,Absen!$A$1:$C$501,2,FALSE),"No")</f>
        <v>No</v>
      </c>
      <c r="M786" s="44">
        <f t="shared" si="35"/>
        <v>6.6000000000000005</v>
      </c>
      <c r="N786" s="35">
        <f t="shared" si="36"/>
        <v>63.975000000000001</v>
      </c>
      <c r="O786" t="str">
        <f>VLOOKUP(N786,Helper!$B$30:$C$35,2,TRUE)</f>
        <v>C</v>
      </c>
      <c r="P786" s="26">
        <f>INDEX(Detail!$A$1:$A$1001,MATCH(B786,Detail!$G$1:$G$1001,0))</f>
        <v>37057</v>
      </c>
      <c r="Q786" s="3" t="str">
        <f>INDEX(Detail!$F$1:$F$1001,MATCH(Main!B786,Detail!$G$1:$G$1001,0))</f>
        <v>Samarinda</v>
      </c>
      <c r="R786" s="7">
        <f>INDEX(Detail!$C$1:$C$1001,MATCH(B786,Detail!$G$1:$G$1001,0),1)</f>
        <v>169</v>
      </c>
      <c r="S786" s="7">
        <f>INDEX(Detail!$D$1:$D$1001,MATCH(B786,Detail!$G$1:$G$1001,0),1)</f>
        <v>87</v>
      </c>
      <c r="T786" s="7" t="str">
        <f>INDEX(Detail!$E$1:$E$1001,MATCH(Main!B786,Detail!$G$1:$G$1001,0))</f>
        <v>Gg. Peta No. 79</v>
      </c>
      <c r="U786" s="7" t="str">
        <f>INDEX(Detail!$B$1:$B$1001,MATCH(B786,Detail!$G$1:$G$1001,0),1)</f>
        <v>O+</v>
      </c>
    </row>
    <row r="787" spans="1:21" ht="15.75" x14ac:dyDescent="0.25">
      <c r="A787">
        <v>591</v>
      </c>
      <c r="B787" s="3" t="str">
        <f t="shared" si="34"/>
        <v>E0591</v>
      </c>
      <c r="C787" t="s">
        <v>1010</v>
      </c>
      <c r="D787" s="3" t="str">
        <f>VLOOKUP(B787,Detail!$G$1:$H$1001,2,FALSE)</f>
        <v>Almira Hassanah</v>
      </c>
      <c r="E787">
        <v>71</v>
      </c>
      <c r="F787">
        <v>46</v>
      </c>
      <c r="G787" s="35">
        <v>76</v>
      </c>
      <c r="H787">
        <v>60</v>
      </c>
      <c r="I787">
        <v>56</v>
      </c>
      <c r="J787">
        <v>96</v>
      </c>
      <c r="K787">
        <v>85</v>
      </c>
      <c r="L787" s="26">
        <f>IFERROR(VLOOKUP(B787,Absen!$A$1:$C$501,2,FALSE),"No")</f>
        <v>44758</v>
      </c>
      <c r="M787" s="44">
        <f t="shared" si="35"/>
        <v>7.5</v>
      </c>
      <c r="N787" s="35">
        <f t="shared" si="36"/>
        <v>71.025000000000006</v>
      </c>
      <c r="O787" t="str">
        <f>VLOOKUP(N787,Helper!$B$30:$C$35,2,TRUE)</f>
        <v>B</v>
      </c>
      <c r="P787" s="26">
        <f>INDEX(Detail!$A$1:$A$1001,MATCH(B787,Detail!$G$1:$G$1001,0))</f>
        <v>37977</v>
      </c>
      <c r="Q787" s="3" t="str">
        <f>INDEX(Detail!$F$1:$F$1001,MATCH(Main!B787,Detail!$G$1:$G$1001,0))</f>
        <v>Tangerang</v>
      </c>
      <c r="R787" s="7">
        <f>INDEX(Detail!$C$1:$C$1001,MATCH(B787,Detail!$G$1:$G$1001,0),1)</f>
        <v>173</v>
      </c>
      <c r="S787" s="7">
        <f>INDEX(Detail!$D$1:$D$1001,MATCH(B787,Detail!$G$1:$G$1001,0),1)</f>
        <v>75</v>
      </c>
      <c r="T787" s="7" t="str">
        <f>INDEX(Detail!$E$1:$E$1001,MATCH(Main!B787,Detail!$G$1:$G$1001,0))</f>
        <v xml:space="preserve">Gg. Peta No. 3
</v>
      </c>
      <c r="U787" s="7" t="str">
        <f>INDEX(Detail!$B$1:$B$1001,MATCH(B787,Detail!$G$1:$G$1001,0),1)</f>
        <v>O+</v>
      </c>
    </row>
    <row r="788" spans="1:21" ht="15.75" x14ac:dyDescent="0.25">
      <c r="A788">
        <v>595</v>
      </c>
      <c r="B788" s="3" t="str">
        <f t="shared" si="34"/>
        <v>E0595</v>
      </c>
      <c r="C788" t="s">
        <v>1010</v>
      </c>
      <c r="D788" s="3" t="str">
        <f>VLOOKUP(B788,Detail!$G$1:$H$1001,2,FALSE)</f>
        <v>Satya Budiman</v>
      </c>
      <c r="E788">
        <v>58</v>
      </c>
      <c r="F788">
        <v>48</v>
      </c>
      <c r="G788" s="35">
        <v>79</v>
      </c>
      <c r="H788">
        <v>75</v>
      </c>
      <c r="I788">
        <v>84</v>
      </c>
      <c r="J788">
        <v>41</v>
      </c>
      <c r="K788">
        <v>78</v>
      </c>
      <c r="L788" s="26">
        <f>IFERROR(VLOOKUP(B788,Absen!$A$1:$C$501,2,FALSE),"No")</f>
        <v>44856</v>
      </c>
      <c r="M788" s="44">
        <f t="shared" si="35"/>
        <v>6.8000000000000007</v>
      </c>
      <c r="N788" s="35">
        <f t="shared" si="36"/>
        <v>63.924999999999997</v>
      </c>
      <c r="O788" t="str">
        <f>VLOOKUP(N788,Helper!$B$30:$C$35,2,TRUE)</f>
        <v>C</v>
      </c>
      <c r="P788" s="26">
        <f>INDEX(Detail!$A$1:$A$1001,MATCH(B788,Detail!$G$1:$G$1001,0))</f>
        <v>37544</v>
      </c>
      <c r="Q788" s="3" t="str">
        <f>INDEX(Detail!$F$1:$F$1001,MATCH(Main!B788,Detail!$G$1:$G$1001,0))</f>
        <v>Padang Sidempuan</v>
      </c>
      <c r="R788" s="7">
        <f>INDEX(Detail!$C$1:$C$1001,MATCH(B788,Detail!$G$1:$G$1001,0),1)</f>
        <v>160</v>
      </c>
      <c r="S788" s="7">
        <f>INDEX(Detail!$D$1:$D$1001,MATCH(B788,Detail!$G$1:$G$1001,0),1)</f>
        <v>56</v>
      </c>
      <c r="T788" s="7" t="str">
        <f>INDEX(Detail!$E$1:$E$1001,MATCH(Main!B788,Detail!$G$1:$G$1001,0))</f>
        <v>Gg. Sukabumi No. 75</v>
      </c>
      <c r="U788" s="7" t="str">
        <f>INDEX(Detail!$B$1:$B$1001,MATCH(B788,Detail!$G$1:$G$1001,0),1)</f>
        <v>B+</v>
      </c>
    </row>
    <row r="789" spans="1:21" ht="15.75" x14ac:dyDescent="0.25">
      <c r="A789">
        <v>605</v>
      </c>
      <c r="B789" s="3" t="str">
        <f t="shared" si="34"/>
        <v>E0605</v>
      </c>
      <c r="C789" t="s">
        <v>1010</v>
      </c>
      <c r="D789" s="3" t="str">
        <f>VLOOKUP(B789,Detail!$G$1:$H$1001,2,FALSE)</f>
        <v>Fitria Gunawan</v>
      </c>
      <c r="E789">
        <v>82</v>
      </c>
      <c r="F789">
        <v>64</v>
      </c>
      <c r="G789" s="35">
        <v>55</v>
      </c>
      <c r="H789">
        <v>58</v>
      </c>
      <c r="I789">
        <v>63</v>
      </c>
      <c r="J789">
        <v>97</v>
      </c>
      <c r="K789">
        <v>80</v>
      </c>
      <c r="L789" s="26">
        <f>IFERROR(VLOOKUP(B789,Absen!$A$1:$C$501,2,FALSE),"No")</f>
        <v>44857</v>
      </c>
      <c r="M789" s="44">
        <f t="shared" si="35"/>
        <v>7</v>
      </c>
      <c r="N789" s="35">
        <f t="shared" si="36"/>
        <v>70.775000000000006</v>
      </c>
      <c r="O789" t="str">
        <f>VLOOKUP(N789,Helper!$B$30:$C$35,2,TRUE)</f>
        <v>B</v>
      </c>
      <c r="P789" s="26">
        <f>INDEX(Detail!$A$1:$A$1001,MATCH(B789,Detail!$G$1:$G$1001,0))</f>
        <v>37855</v>
      </c>
      <c r="Q789" s="3" t="str">
        <f>INDEX(Detail!$F$1:$F$1001,MATCH(Main!B789,Detail!$G$1:$G$1001,0))</f>
        <v>Kota Administrasi Jakarta Pusat</v>
      </c>
      <c r="R789" s="7">
        <f>INDEX(Detail!$C$1:$C$1001,MATCH(B789,Detail!$G$1:$G$1001,0),1)</f>
        <v>162</v>
      </c>
      <c r="S789" s="7">
        <f>INDEX(Detail!$D$1:$D$1001,MATCH(B789,Detail!$G$1:$G$1001,0),1)</f>
        <v>46</v>
      </c>
      <c r="T789" s="7" t="str">
        <f>INDEX(Detail!$E$1:$E$1001,MATCH(Main!B789,Detail!$G$1:$G$1001,0))</f>
        <v xml:space="preserve">Jl. Kebonjati No. 5
</v>
      </c>
      <c r="U789" s="7" t="str">
        <f>INDEX(Detail!$B$1:$B$1001,MATCH(B789,Detail!$G$1:$G$1001,0),1)</f>
        <v>A+</v>
      </c>
    </row>
    <row r="790" spans="1:21" ht="15.75" x14ac:dyDescent="0.25">
      <c r="A790">
        <v>608</v>
      </c>
      <c r="B790" s="3" t="str">
        <f t="shared" si="34"/>
        <v>E0608</v>
      </c>
      <c r="C790" t="s">
        <v>1010</v>
      </c>
      <c r="D790" s="3" t="str">
        <f>VLOOKUP(B790,Detail!$G$1:$H$1001,2,FALSE)</f>
        <v>Mutia Suartini</v>
      </c>
      <c r="E790">
        <v>68</v>
      </c>
      <c r="F790">
        <v>43</v>
      </c>
      <c r="G790" s="35">
        <v>77</v>
      </c>
      <c r="H790">
        <v>72</v>
      </c>
      <c r="I790">
        <v>77</v>
      </c>
      <c r="J790">
        <v>73</v>
      </c>
      <c r="K790">
        <v>100</v>
      </c>
      <c r="L790" s="26" t="str">
        <f>IFERROR(VLOOKUP(B790,Absen!$A$1:$C$501,2,FALSE),"No")</f>
        <v>No</v>
      </c>
      <c r="M790" s="44">
        <f t="shared" si="35"/>
        <v>10</v>
      </c>
      <c r="N790" s="35">
        <f t="shared" si="36"/>
        <v>72.5</v>
      </c>
      <c r="O790" t="str">
        <f>VLOOKUP(N790,Helper!$B$30:$C$35,2,TRUE)</f>
        <v>B</v>
      </c>
      <c r="P790" s="26">
        <f>INDEX(Detail!$A$1:$A$1001,MATCH(B790,Detail!$G$1:$G$1001,0))</f>
        <v>37668</v>
      </c>
      <c r="Q790" s="3" t="str">
        <f>INDEX(Detail!$F$1:$F$1001,MATCH(Main!B790,Detail!$G$1:$G$1001,0))</f>
        <v>Singkawang</v>
      </c>
      <c r="R790" s="7">
        <f>INDEX(Detail!$C$1:$C$1001,MATCH(B790,Detail!$G$1:$G$1001,0),1)</f>
        <v>174</v>
      </c>
      <c r="S790" s="7">
        <f>INDEX(Detail!$D$1:$D$1001,MATCH(B790,Detail!$G$1:$G$1001,0),1)</f>
        <v>49</v>
      </c>
      <c r="T790" s="7" t="str">
        <f>INDEX(Detail!$E$1:$E$1001,MATCH(Main!B790,Detail!$G$1:$G$1001,0))</f>
        <v>Gang Rawamangun No. 98</v>
      </c>
      <c r="U790" s="7" t="str">
        <f>INDEX(Detail!$B$1:$B$1001,MATCH(B790,Detail!$G$1:$G$1001,0),1)</f>
        <v>O-</v>
      </c>
    </row>
    <row r="791" spans="1:21" ht="15.75" x14ac:dyDescent="0.25">
      <c r="A791">
        <v>622</v>
      </c>
      <c r="B791" s="3" t="str">
        <f t="shared" si="34"/>
        <v>E0622</v>
      </c>
      <c r="C791" t="s">
        <v>1010</v>
      </c>
      <c r="D791" s="3" t="str">
        <f>VLOOKUP(B791,Detail!$G$1:$H$1001,2,FALSE)</f>
        <v>Jagaraga Wahyuni</v>
      </c>
      <c r="E791">
        <v>59</v>
      </c>
      <c r="F791">
        <v>63</v>
      </c>
      <c r="G791" s="35">
        <v>44</v>
      </c>
      <c r="H791">
        <v>57</v>
      </c>
      <c r="I791">
        <v>95</v>
      </c>
      <c r="J791">
        <v>72</v>
      </c>
      <c r="K791">
        <v>60</v>
      </c>
      <c r="L791" s="26">
        <f>IFERROR(VLOOKUP(B791,Absen!$A$1:$C$501,2,FALSE),"No")</f>
        <v>44838</v>
      </c>
      <c r="M791" s="44">
        <f t="shared" si="35"/>
        <v>5</v>
      </c>
      <c r="N791" s="35">
        <f t="shared" si="36"/>
        <v>62.449999999999996</v>
      </c>
      <c r="O791" t="str">
        <f>VLOOKUP(N791,Helper!$B$30:$C$35,2,TRUE)</f>
        <v>C</v>
      </c>
      <c r="P791" s="26">
        <f>INDEX(Detail!$A$1:$A$1001,MATCH(B791,Detail!$G$1:$G$1001,0))</f>
        <v>37172</v>
      </c>
      <c r="Q791" s="3" t="str">
        <f>INDEX(Detail!$F$1:$F$1001,MATCH(Main!B791,Detail!$G$1:$G$1001,0))</f>
        <v>Madiun</v>
      </c>
      <c r="R791" s="7">
        <f>INDEX(Detail!$C$1:$C$1001,MATCH(B791,Detail!$G$1:$G$1001,0),1)</f>
        <v>177</v>
      </c>
      <c r="S791" s="7">
        <f>INDEX(Detail!$D$1:$D$1001,MATCH(B791,Detail!$G$1:$G$1001,0),1)</f>
        <v>69</v>
      </c>
      <c r="T791" s="7" t="str">
        <f>INDEX(Detail!$E$1:$E$1001,MATCH(Main!B791,Detail!$G$1:$G$1001,0))</f>
        <v>Gang Moch. Ramdan No. 09</v>
      </c>
      <c r="U791" s="7" t="str">
        <f>INDEX(Detail!$B$1:$B$1001,MATCH(B791,Detail!$G$1:$G$1001,0),1)</f>
        <v>O+</v>
      </c>
    </row>
    <row r="792" spans="1:21" ht="15.75" x14ac:dyDescent="0.25">
      <c r="A792">
        <v>630</v>
      </c>
      <c r="B792" s="3" t="str">
        <f t="shared" si="34"/>
        <v>E0630</v>
      </c>
      <c r="C792" t="s">
        <v>1010</v>
      </c>
      <c r="D792" s="3" t="str">
        <f>VLOOKUP(B792,Detail!$G$1:$H$1001,2,FALSE)</f>
        <v>Ratih Santoso</v>
      </c>
      <c r="E792">
        <v>63</v>
      </c>
      <c r="F792">
        <v>67</v>
      </c>
      <c r="G792" s="35">
        <v>32</v>
      </c>
      <c r="H792">
        <v>55</v>
      </c>
      <c r="I792">
        <v>56</v>
      </c>
      <c r="J792">
        <v>100</v>
      </c>
      <c r="K792">
        <v>65</v>
      </c>
      <c r="L792" s="26" t="str">
        <f>IFERROR(VLOOKUP(B792,Absen!$A$1:$C$501,2,FALSE),"No")</f>
        <v>No</v>
      </c>
      <c r="M792" s="44">
        <f t="shared" si="35"/>
        <v>6.5</v>
      </c>
      <c r="N792" s="35">
        <f t="shared" si="36"/>
        <v>63.024999999999999</v>
      </c>
      <c r="O792" t="str">
        <f>VLOOKUP(N792,Helper!$B$30:$C$35,2,TRUE)</f>
        <v>C</v>
      </c>
      <c r="P792" s="26">
        <f>INDEX(Detail!$A$1:$A$1001,MATCH(B792,Detail!$G$1:$G$1001,0))</f>
        <v>37998</v>
      </c>
      <c r="Q792" s="3" t="str">
        <f>INDEX(Detail!$F$1:$F$1001,MATCH(Main!B792,Detail!$G$1:$G$1001,0))</f>
        <v>Tarakan</v>
      </c>
      <c r="R792" s="7">
        <f>INDEX(Detail!$C$1:$C$1001,MATCH(B792,Detail!$G$1:$G$1001,0),1)</f>
        <v>168</v>
      </c>
      <c r="S792" s="7">
        <f>INDEX(Detail!$D$1:$D$1001,MATCH(B792,Detail!$G$1:$G$1001,0),1)</f>
        <v>56</v>
      </c>
      <c r="T792" s="7" t="str">
        <f>INDEX(Detail!$E$1:$E$1001,MATCH(Main!B792,Detail!$G$1:$G$1001,0))</f>
        <v>Jalan Tubagus Ismail No. 99</v>
      </c>
      <c r="U792" s="7" t="str">
        <f>INDEX(Detail!$B$1:$B$1001,MATCH(B792,Detail!$G$1:$G$1001,0),1)</f>
        <v>O+</v>
      </c>
    </row>
    <row r="793" spans="1:21" ht="15.75" x14ac:dyDescent="0.25">
      <c r="A793">
        <v>636</v>
      </c>
      <c r="B793" s="3" t="str">
        <f t="shared" si="34"/>
        <v>E0636</v>
      </c>
      <c r="C793" t="s">
        <v>1010</v>
      </c>
      <c r="D793" s="3" t="str">
        <f>VLOOKUP(B793,Detail!$G$1:$H$1001,2,FALSE)</f>
        <v>Rina Samosir</v>
      </c>
      <c r="E793">
        <v>57</v>
      </c>
      <c r="F793">
        <v>56</v>
      </c>
      <c r="G793" s="35">
        <v>59</v>
      </c>
      <c r="H793">
        <v>52</v>
      </c>
      <c r="I793">
        <v>58</v>
      </c>
      <c r="J793">
        <v>83</v>
      </c>
      <c r="K793">
        <v>93</v>
      </c>
      <c r="L793" s="26">
        <f>IFERROR(VLOOKUP(B793,Absen!$A$1:$C$501,2,FALSE),"No")</f>
        <v>44808</v>
      </c>
      <c r="M793" s="44">
        <f t="shared" si="35"/>
        <v>8.3000000000000007</v>
      </c>
      <c r="N793" s="35">
        <f t="shared" si="36"/>
        <v>64.575000000000003</v>
      </c>
      <c r="O793" t="str">
        <f>VLOOKUP(N793,Helper!$B$30:$C$35,2,TRUE)</f>
        <v>C</v>
      </c>
      <c r="P793" s="26">
        <f>INDEX(Detail!$A$1:$A$1001,MATCH(B793,Detail!$G$1:$G$1001,0))</f>
        <v>37615</v>
      </c>
      <c r="Q793" s="3" t="str">
        <f>INDEX(Detail!$F$1:$F$1001,MATCH(Main!B793,Detail!$G$1:$G$1001,0))</f>
        <v>Sungai Penuh</v>
      </c>
      <c r="R793" s="7">
        <f>INDEX(Detail!$C$1:$C$1001,MATCH(B793,Detail!$G$1:$G$1001,0),1)</f>
        <v>151</v>
      </c>
      <c r="S793" s="7">
        <f>INDEX(Detail!$D$1:$D$1001,MATCH(B793,Detail!$G$1:$G$1001,0),1)</f>
        <v>58</v>
      </c>
      <c r="T793" s="7" t="str">
        <f>INDEX(Detail!$E$1:$E$1001,MATCH(Main!B793,Detail!$G$1:$G$1001,0))</f>
        <v xml:space="preserve">Gg. Gedebage Selatan No. 6
</v>
      </c>
      <c r="U793" s="7" t="str">
        <f>INDEX(Detail!$B$1:$B$1001,MATCH(B793,Detail!$G$1:$G$1001,0),1)</f>
        <v>AB+</v>
      </c>
    </row>
    <row r="794" spans="1:21" ht="15.75" x14ac:dyDescent="0.25">
      <c r="A794">
        <v>639</v>
      </c>
      <c r="B794" s="3" t="str">
        <f t="shared" si="34"/>
        <v>E0639</v>
      </c>
      <c r="C794" t="s">
        <v>1010</v>
      </c>
      <c r="D794" s="3" t="str">
        <f>VLOOKUP(B794,Detail!$G$1:$H$1001,2,FALSE)</f>
        <v>Balamantri Kuswandari</v>
      </c>
      <c r="E794">
        <v>79</v>
      </c>
      <c r="F794">
        <v>48</v>
      </c>
      <c r="G794" s="35">
        <v>31</v>
      </c>
      <c r="H794">
        <v>50</v>
      </c>
      <c r="I794">
        <v>87</v>
      </c>
      <c r="J794">
        <v>58</v>
      </c>
      <c r="K794">
        <v>77</v>
      </c>
      <c r="L794" s="26">
        <f>IFERROR(VLOOKUP(B794,Absen!$A$1:$C$501,2,FALSE),"No")</f>
        <v>44815</v>
      </c>
      <c r="M794" s="44">
        <f t="shared" si="35"/>
        <v>6.7</v>
      </c>
      <c r="N794" s="35">
        <f t="shared" si="36"/>
        <v>57.500000000000007</v>
      </c>
      <c r="O794" t="str">
        <f>VLOOKUP(N794,Helper!$B$30:$C$35,2,TRUE)</f>
        <v>D</v>
      </c>
      <c r="P794" s="26">
        <f>INDEX(Detail!$A$1:$A$1001,MATCH(B794,Detail!$G$1:$G$1001,0))</f>
        <v>37084</v>
      </c>
      <c r="Q794" s="3" t="str">
        <f>INDEX(Detail!$F$1:$F$1001,MATCH(Main!B794,Detail!$G$1:$G$1001,0))</f>
        <v>Mojokerto</v>
      </c>
      <c r="R794" s="7">
        <f>INDEX(Detail!$C$1:$C$1001,MATCH(B794,Detail!$G$1:$G$1001,0),1)</f>
        <v>151</v>
      </c>
      <c r="S794" s="7">
        <f>INDEX(Detail!$D$1:$D$1001,MATCH(B794,Detail!$G$1:$G$1001,0),1)</f>
        <v>94</v>
      </c>
      <c r="T794" s="7" t="str">
        <f>INDEX(Detail!$E$1:$E$1001,MATCH(Main!B794,Detail!$G$1:$G$1001,0))</f>
        <v>Jalan Rajiman No. 79</v>
      </c>
      <c r="U794" s="7" t="str">
        <f>INDEX(Detail!$B$1:$B$1001,MATCH(B794,Detail!$G$1:$G$1001,0),1)</f>
        <v>A+</v>
      </c>
    </row>
    <row r="795" spans="1:21" ht="15.75" x14ac:dyDescent="0.25">
      <c r="A795">
        <v>643</v>
      </c>
      <c r="B795" s="3" t="str">
        <f t="shared" si="34"/>
        <v>E0643</v>
      </c>
      <c r="C795" t="s">
        <v>1010</v>
      </c>
      <c r="D795" s="3" t="str">
        <f>VLOOKUP(B795,Detail!$G$1:$H$1001,2,FALSE)</f>
        <v>Tasdik Riyanti</v>
      </c>
      <c r="E795">
        <v>51</v>
      </c>
      <c r="F795">
        <v>53</v>
      </c>
      <c r="G795" s="35">
        <v>52</v>
      </c>
      <c r="H795">
        <v>59</v>
      </c>
      <c r="I795">
        <v>85</v>
      </c>
      <c r="J795">
        <v>66</v>
      </c>
      <c r="K795">
        <v>74</v>
      </c>
      <c r="L795" s="26" t="str">
        <f>IFERROR(VLOOKUP(B795,Absen!$A$1:$C$501,2,FALSE),"No")</f>
        <v>No</v>
      </c>
      <c r="M795" s="44">
        <f t="shared" si="35"/>
        <v>7.4</v>
      </c>
      <c r="N795" s="35">
        <f t="shared" si="36"/>
        <v>62</v>
      </c>
      <c r="O795" t="str">
        <f>VLOOKUP(N795,Helper!$B$30:$C$35,2,TRUE)</f>
        <v>C</v>
      </c>
      <c r="P795" s="26">
        <f>INDEX(Detail!$A$1:$A$1001,MATCH(B795,Detail!$G$1:$G$1001,0))</f>
        <v>38441</v>
      </c>
      <c r="Q795" s="3" t="str">
        <f>INDEX(Detail!$F$1:$F$1001,MATCH(Main!B795,Detail!$G$1:$G$1001,0))</f>
        <v>Subulussalam</v>
      </c>
      <c r="R795" s="7">
        <f>INDEX(Detail!$C$1:$C$1001,MATCH(B795,Detail!$G$1:$G$1001,0),1)</f>
        <v>164</v>
      </c>
      <c r="S795" s="7">
        <f>INDEX(Detail!$D$1:$D$1001,MATCH(B795,Detail!$G$1:$G$1001,0),1)</f>
        <v>83</v>
      </c>
      <c r="T795" s="7" t="str">
        <f>INDEX(Detail!$E$1:$E$1001,MATCH(Main!B795,Detail!$G$1:$G$1001,0))</f>
        <v>Gg. KH Amin Jasuta No. 08</v>
      </c>
      <c r="U795" s="7" t="str">
        <f>INDEX(Detail!$B$1:$B$1001,MATCH(B795,Detail!$G$1:$G$1001,0),1)</f>
        <v>O-</v>
      </c>
    </row>
    <row r="796" spans="1:21" ht="15.75" x14ac:dyDescent="0.25">
      <c r="A796">
        <v>652</v>
      </c>
      <c r="B796" s="3" t="str">
        <f t="shared" si="34"/>
        <v>E0652</v>
      </c>
      <c r="C796" t="s">
        <v>1010</v>
      </c>
      <c r="D796" s="3" t="str">
        <f>VLOOKUP(B796,Detail!$G$1:$H$1001,2,FALSE)</f>
        <v>Kayun Dongoran</v>
      </c>
      <c r="E796">
        <v>89</v>
      </c>
      <c r="F796">
        <v>49</v>
      </c>
      <c r="G796" s="35">
        <v>83</v>
      </c>
      <c r="H796">
        <v>54</v>
      </c>
      <c r="I796">
        <v>90</v>
      </c>
      <c r="J796">
        <v>57</v>
      </c>
      <c r="K796">
        <v>70</v>
      </c>
      <c r="L796" s="26" t="str">
        <f>IFERROR(VLOOKUP(B796,Absen!$A$1:$C$501,2,FALSE),"No")</f>
        <v>No</v>
      </c>
      <c r="M796" s="44">
        <f t="shared" si="35"/>
        <v>7</v>
      </c>
      <c r="N796" s="35">
        <f t="shared" si="36"/>
        <v>70.25</v>
      </c>
      <c r="O796" t="str">
        <f>VLOOKUP(N796,Helper!$B$30:$C$35,2,TRUE)</f>
        <v>B</v>
      </c>
      <c r="P796" s="26">
        <f>INDEX(Detail!$A$1:$A$1001,MATCH(B796,Detail!$G$1:$G$1001,0))</f>
        <v>37246</v>
      </c>
      <c r="Q796" s="3" t="str">
        <f>INDEX(Detail!$F$1:$F$1001,MATCH(Main!B796,Detail!$G$1:$G$1001,0))</f>
        <v>Madiun</v>
      </c>
      <c r="R796" s="7">
        <f>INDEX(Detail!$C$1:$C$1001,MATCH(B796,Detail!$G$1:$G$1001,0),1)</f>
        <v>151</v>
      </c>
      <c r="S796" s="7">
        <f>INDEX(Detail!$D$1:$D$1001,MATCH(B796,Detail!$G$1:$G$1001,0),1)</f>
        <v>93</v>
      </c>
      <c r="T796" s="7" t="str">
        <f>INDEX(Detail!$E$1:$E$1001,MATCH(Main!B796,Detail!$G$1:$G$1001,0))</f>
        <v>Gg. Kutisari Selatan No. 05</v>
      </c>
      <c r="U796" s="7" t="str">
        <f>INDEX(Detail!$B$1:$B$1001,MATCH(B796,Detail!$G$1:$G$1001,0),1)</f>
        <v>AB-</v>
      </c>
    </row>
    <row r="797" spans="1:21" ht="15.75" x14ac:dyDescent="0.25">
      <c r="A797">
        <v>669</v>
      </c>
      <c r="B797" s="3" t="str">
        <f t="shared" si="34"/>
        <v>E0669</v>
      </c>
      <c r="C797" t="s">
        <v>1010</v>
      </c>
      <c r="D797" s="3" t="str">
        <f>VLOOKUP(B797,Detail!$G$1:$H$1001,2,FALSE)</f>
        <v>Galiono Waluyo</v>
      </c>
      <c r="E797">
        <v>79</v>
      </c>
      <c r="F797">
        <v>46</v>
      </c>
      <c r="G797" s="35">
        <v>60</v>
      </c>
      <c r="H797">
        <v>61</v>
      </c>
      <c r="I797">
        <v>50</v>
      </c>
      <c r="J797">
        <v>51</v>
      </c>
      <c r="K797">
        <v>65</v>
      </c>
      <c r="L797" s="26">
        <f>IFERROR(VLOOKUP(B797,Absen!$A$1:$C$501,2,FALSE),"No")</f>
        <v>44886</v>
      </c>
      <c r="M797" s="44">
        <f t="shared" si="35"/>
        <v>5.5</v>
      </c>
      <c r="N797" s="35">
        <f t="shared" si="36"/>
        <v>57.2</v>
      </c>
      <c r="O797" t="str">
        <f>VLOOKUP(N797,Helper!$B$30:$C$35,2,TRUE)</f>
        <v>D</v>
      </c>
      <c r="P797" s="26">
        <f>INDEX(Detail!$A$1:$A$1001,MATCH(B797,Detail!$G$1:$G$1001,0))</f>
        <v>37540</v>
      </c>
      <c r="Q797" s="3" t="str">
        <f>INDEX(Detail!$F$1:$F$1001,MATCH(Main!B797,Detail!$G$1:$G$1001,0))</f>
        <v>Salatiga</v>
      </c>
      <c r="R797" s="7">
        <f>INDEX(Detail!$C$1:$C$1001,MATCH(B797,Detail!$G$1:$G$1001,0),1)</f>
        <v>158</v>
      </c>
      <c r="S797" s="7">
        <f>INDEX(Detail!$D$1:$D$1001,MATCH(B797,Detail!$G$1:$G$1001,0),1)</f>
        <v>60</v>
      </c>
      <c r="T797" s="7" t="str">
        <f>INDEX(Detail!$E$1:$E$1001,MATCH(Main!B797,Detail!$G$1:$G$1001,0))</f>
        <v>Gg. Asia Afrika No. 12</v>
      </c>
      <c r="U797" s="7" t="str">
        <f>INDEX(Detail!$B$1:$B$1001,MATCH(B797,Detail!$G$1:$G$1001,0),1)</f>
        <v>AB-</v>
      </c>
    </row>
    <row r="798" spans="1:21" ht="15.75" x14ac:dyDescent="0.25">
      <c r="A798">
        <v>685</v>
      </c>
      <c r="B798" s="3" t="str">
        <f t="shared" si="34"/>
        <v>E0685</v>
      </c>
      <c r="C798" t="s">
        <v>1010</v>
      </c>
      <c r="D798" s="3" t="str">
        <f>VLOOKUP(B798,Detail!$G$1:$H$1001,2,FALSE)</f>
        <v>Tira Natsir</v>
      </c>
      <c r="E798">
        <v>61</v>
      </c>
      <c r="F798">
        <v>43</v>
      </c>
      <c r="G798" s="35">
        <v>85</v>
      </c>
      <c r="H798">
        <v>62</v>
      </c>
      <c r="I798">
        <v>65</v>
      </c>
      <c r="J798">
        <v>97</v>
      </c>
      <c r="K798">
        <v>91</v>
      </c>
      <c r="L798" s="26">
        <f>IFERROR(VLOOKUP(B798,Absen!$A$1:$C$501,2,FALSE),"No")</f>
        <v>44850</v>
      </c>
      <c r="M798" s="44">
        <f t="shared" si="35"/>
        <v>8.1</v>
      </c>
      <c r="N798" s="35">
        <f t="shared" si="36"/>
        <v>73.375</v>
      </c>
      <c r="O798" t="str">
        <f>VLOOKUP(N798,Helper!$B$30:$C$35,2,TRUE)</f>
        <v>B</v>
      </c>
      <c r="P798" s="26">
        <f>INDEX(Detail!$A$1:$A$1001,MATCH(B798,Detail!$G$1:$G$1001,0))</f>
        <v>37680</v>
      </c>
      <c r="Q798" s="3" t="str">
        <f>INDEX(Detail!$F$1:$F$1001,MATCH(Main!B798,Detail!$G$1:$G$1001,0))</f>
        <v>Singkawang</v>
      </c>
      <c r="R798" s="7">
        <f>INDEX(Detail!$C$1:$C$1001,MATCH(B798,Detail!$G$1:$G$1001,0),1)</f>
        <v>175</v>
      </c>
      <c r="S798" s="7">
        <f>INDEX(Detail!$D$1:$D$1001,MATCH(B798,Detail!$G$1:$G$1001,0),1)</f>
        <v>57</v>
      </c>
      <c r="T798" s="7" t="str">
        <f>INDEX(Detail!$E$1:$E$1001,MATCH(Main!B798,Detail!$G$1:$G$1001,0))</f>
        <v>Gg. Stasiun Wonokromo No. 18</v>
      </c>
      <c r="U798" s="7" t="str">
        <f>INDEX(Detail!$B$1:$B$1001,MATCH(B798,Detail!$G$1:$G$1001,0),1)</f>
        <v>B+</v>
      </c>
    </row>
    <row r="799" spans="1:21" ht="15.75" x14ac:dyDescent="0.25">
      <c r="A799">
        <v>700</v>
      </c>
      <c r="B799" s="3" t="str">
        <f t="shared" si="34"/>
        <v>E0700</v>
      </c>
      <c r="C799" t="s">
        <v>1010</v>
      </c>
      <c r="D799" s="3" t="str">
        <f>VLOOKUP(B799,Detail!$G$1:$H$1001,2,FALSE)</f>
        <v>Jessica Hakim</v>
      </c>
      <c r="E799">
        <v>93</v>
      </c>
      <c r="F799">
        <v>63</v>
      </c>
      <c r="G799" s="35">
        <v>71</v>
      </c>
      <c r="H799">
        <v>50</v>
      </c>
      <c r="I799">
        <v>79</v>
      </c>
      <c r="J799">
        <v>62</v>
      </c>
      <c r="K799">
        <v>86</v>
      </c>
      <c r="L799" s="26" t="str">
        <f>IFERROR(VLOOKUP(B799,Absen!$A$1:$C$501,2,FALSE),"No")</f>
        <v>No</v>
      </c>
      <c r="M799" s="44">
        <f t="shared" si="35"/>
        <v>8.6</v>
      </c>
      <c r="N799" s="35">
        <f t="shared" si="36"/>
        <v>70.825000000000003</v>
      </c>
      <c r="O799" t="str">
        <f>VLOOKUP(N799,Helper!$B$30:$C$35,2,TRUE)</f>
        <v>B</v>
      </c>
      <c r="P799" s="26">
        <f>INDEX(Detail!$A$1:$A$1001,MATCH(B799,Detail!$G$1:$G$1001,0))</f>
        <v>37109</v>
      </c>
      <c r="Q799" s="3" t="str">
        <f>INDEX(Detail!$F$1:$F$1001,MATCH(Main!B799,Detail!$G$1:$G$1001,0))</f>
        <v>Parepare</v>
      </c>
      <c r="R799" s="7">
        <f>INDEX(Detail!$C$1:$C$1001,MATCH(B799,Detail!$G$1:$G$1001,0),1)</f>
        <v>178</v>
      </c>
      <c r="S799" s="7">
        <f>INDEX(Detail!$D$1:$D$1001,MATCH(B799,Detail!$G$1:$G$1001,0),1)</f>
        <v>73</v>
      </c>
      <c r="T799" s="7" t="str">
        <f>INDEX(Detail!$E$1:$E$1001,MATCH(Main!B799,Detail!$G$1:$G$1001,0))</f>
        <v>Jl. Siliwangi No. 84</v>
      </c>
      <c r="U799" s="7" t="str">
        <f>INDEX(Detail!$B$1:$B$1001,MATCH(B799,Detail!$G$1:$G$1001,0),1)</f>
        <v>A-</v>
      </c>
    </row>
    <row r="800" spans="1:21" ht="15.75" x14ac:dyDescent="0.25">
      <c r="A800">
        <v>703</v>
      </c>
      <c r="B800" s="3" t="str">
        <f t="shared" si="34"/>
        <v>E0703</v>
      </c>
      <c r="C800" t="s">
        <v>1010</v>
      </c>
      <c r="D800" s="3" t="str">
        <f>VLOOKUP(B800,Detail!$G$1:$H$1001,2,FALSE)</f>
        <v>Hadi Yuliarti</v>
      </c>
      <c r="E800">
        <v>69</v>
      </c>
      <c r="F800">
        <v>50</v>
      </c>
      <c r="G800" s="35">
        <v>42</v>
      </c>
      <c r="H800">
        <v>64</v>
      </c>
      <c r="I800">
        <v>68</v>
      </c>
      <c r="J800">
        <v>56</v>
      </c>
      <c r="K800">
        <v>93</v>
      </c>
      <c r="L800" s="26" t="str">
        <f>IFERROR(VLOOKUP(B800,Absen!$A$1:$C$501,2,FALSE),"No")</f>
        <v>No</v>
      </c>
      <c r="M800" s="44">
        <f t="shared" si="35"/>
        <v>9.3000000000000007</v>
      </c>
      <c r="N800" s="35">
        <f t="shared" si="36"/>
        <v>60.275000000000006</v>
      </c>
      <c r="O800" t="str">
        <f>VLOOKUP(N800,Helper!$B$30:$C$35,2,TRUE)</f>
        <v>C</v>
      </c>
      <c r="P800" s="26">
        <f>INDEX(Detail!$A$1:$A$1001,MATCH(B800,Detail!$G$1:$G$1001,0))</f>
        <v>38230</v>
      </c>
      <c r="Q800" s="3" t="str">
        <f>INDEX(Detail!$F$1:$F$1001,MATCH(Main!B800,Detail!$G$1:$G$1001,0))</f>
        <v>Bandar Lampung</v>
      </c>
      <c r="R800" s="7">
        <f>INDEX(Detail!$C$1:$C$1001,MATCH(B800,Detail!$G$1:$G$1001,0),1)</f>
        <v>153</v>
      </c>
      <c r="S800" s="7">
        <f>INDEX(Detail!$D$1:$D$1001,MATCH(B800,Detail!$G$1:$G$1001,0),1)</f>
        <v>82</v>
      </c>
      <c r="T800" s="7" t="str">
        <f>INDEX(Detail!$E$1:$E$1001,MATCH(Main!B800,Detail!$G$1:$G$1001,0))</f>
        <v xml:space="preserve">Gang Pasir Koja No. 1
</v>
      </c>
      <c r="U800" s="7" t="str">
        <f>INDEX(Detail!$B$1:$B$1001,MATCH(B800,Detail!$G$1:$G$1001,0),1)</f>
        <v>B+</v>
      </c>
    </row>
    <row r="801" spans="1:21" ht="15.75" x14ac:dyDescent="0.25">
      <c r="A801">
        <v>708</v>
      </c>
      <c r="B801" s="3" t="str">
        <f t="shared" si="34"/>
        <v>E0708</v>
      </c>
      <c r="C801" t="s">
        <v>1010</v>
      </c>
      <c r="D801" s="3" t="str">
        <f>VLOOKUP(B801,Detail!$G$1:$H$1001,2,FALSE)</f>
        <v>Sadina Prabowo</v>
      </c>
      <c r="E801">
        <v>95</v>
      </c>
      <c r="F801">
        <v>70</v>
      </c>
      <c r="G801" s="35">
        <v>67</v>
      </c>
      <c r="H801">
        <v>71</v>
      </c>
      <c r="I801">
        <v>54</v>
      </c>
      <c r="J801">
        <v>90</v>
      </c>
      <c r="K801">
        <v>73</v>
      </c>
      <c r="L801" s="26">
        <f>IFERROR(VLOOKUP(B801,Absen!$A$1:$C$501,2,FALSE),"No")</f>
        <v>44808</v>
      </c>
      <c r="M801" s="44">
        <f t="shared" si="35"/>
        <v>6.3000000000000007</v>
      </c>
      <c r="N801" s="35">
        <f t="shared" si="36"/>
        <v>73.95</v>
      </c>
      <c r="O801" t="str">
        <f>VLOOKUP(N801,Helper!$B$30:$C$35,2,TRUE)</f>
        <v>B</v>
      </c>
      <c r="P801" s="26">
        <f>INDEX(Detail!$A$1:$A$1001,MATCH(B801,Detail!$G$1:$G$1001,0))</f>
        <v>37996</v>
      </c>
      <c r="Q801" s="3" t="str">
        <f>INDEX(Detail!$F$1:$F$1001,MATCH(Main!B801,Detail!$G$1:$G$1001,0))</f>
        <v>Kota Administrasi Jakarta Timur</v>
      </c>
      <c r="R801" s="7">
        <f>INDEX(Detail!$C$1:$C$1001,MATCH(B801,Detail!$G$1:$G$1001,0),1)</f>
        <v>176</v>
      </c>
      <c r="S801" s="7">
        <f>INDEX(Detail!$D$1:$D$1001,MATCH(B801,Detail!$G$1:$G$1001,0),1)</f>
        <v>75</v>
      </c>
      <c r="T801" s="7" t="str">
        <f>INDEX(Detail!$E$1:$E$1001,MATCH(Main!B801,Detail!$G$1:$G$1001,0))</f>
        <v xml:space="preserve">Gang Kutai No. 3
</v>
      </c>
      <c r="U801" s="7" t="str">
        <f>INDEX(Detail!$B$1:$B$1001,MATCH(B801,Detail!$G$1:$G$1001,0),1)</f>
        <v>AB+</v>
      </c>
    </row>
    <row r="802" spans="1:21" ht="15.75" x14ac:dyDescent="0.25">
      <c r="A802">
        <v>721</v>
      </c>
      <c r="B802" s="3" t="str">
        <f t="shared" si="34"/>
        <v>E0721</v>
      </c>
      <c r="C802" t="s">
        <v>1010</v>
      </c>
      <c r="D802" s="3" t="str">
        <f>VLOOKUP(B802,Detail!$G$1:$H$1001,2,FALSE)</f>
        <v>Kamaria Wijayanti</v>
      </c>
      <c r="E802">
        <v>73</v>
      </c>
      <c r="F802">
        <v>75</v>
      </c>
      <c r="G802" s="35">
        <v>71</v>
      </c>
      <c r="H802">
        <v>64</v>
      </c>
      <c r="I802">
        <v>66</v>
      </c>
      <c r="J802">
        <v>66</v>
      </c>
      <c r="K802">
        <v>80</v>
      </c>
      <c r="L802" s="26">
        <f>IFERROR(VLOOKUP(B802,Absen!$A$1:$C$501,2,FALSE),"No")</f>
        <v>44813</v>
      </c>
      <c r="M802" s="44">
        <f t="shared" si="35"/>
        <v>7</v>
      </c>
      <c r="N802" s="35">
        <f t="shared" si="36"/>
        <v>69.150000000000006</v>
      </c>
      <c r="O802" t="str">
        <f>VLOOKUP(N802,Helper!$B$30:$C$35,2,TRUE)</f>
        <v>C</v>
      </c>
      <c r="P802" s="26">
        <f>INDEX(Detail!$A$1:$A$1001,MATCH(B802,Detail!$G$1:$G$1001,0))</f>
        <v>38437</v>
      </c>
      <c r="Q802" s="3" t="str">
        <f>INDEX(Detail!$F$1:$F$1001,MATCH(Main!B802,Detail!$G$1:$G$1001,0))</f>
        <v>Kota Administrasi Jakarta Barat</v>
      </c>
      <c r="R802" s="7">
        <f>INDEX(Detail!$C$1:$C$1001,MATCH(B802,Detail!$G$1:$G$1001,0),1)</f>
        <v>159</v>
      </c>
      <c r="S802" s="7">
        <f>INDEX(Detail!$D$1:$D$1001,MATCH(B802,Detail!$G$1:$G$1001,0),1)</f>
        <v>76</v>
      </c>
      <c r="T802" s="7" t="str">
        <f>INDEX(Detail!$E$1:$E$1001,MATCH(Main!B802,Detail!$G$1:$G$1001,0))</f>
        <v>Jalan Antapani Lama No. 17</v>
      </c>
      <c r="U802" s="7" t="str">
        <f>INDEX(Detail!$B$1:$B$1001,MATCH(B802,Detail!$G$1:$G$1001,0),1)</f>
        <v>A+</v>
      </c>
    </row>
    <row r="803" spans="1:21" ht="15.75" x14ac:dyDescent="0.25">
      <c r="A803">
        <v>724</v>
      </c>
      <c r="B803" s="3" t="str">
        <f t="shared" si="34"/>
        <v>E0724</v>
      </c>
      <c r="C803" t="s">
        <v>1010</v>
      </c>
      <c r="D803" s="3" t="str">
        <f>VLOOKUP(B803,Detail!$G$1:$H$1001,2,FALSE)</f>
        <v>Cindy Sitompul</v>
      </c>
      <c r="E803">
        <v>72</v>
      </c>
      <c r="F803">
        <v>67</v>
      </c>
      <c r="G803" s="35">
        <v>66</v>
      </c>
      <c r="H803">
        <v>55</v>
      </c>
      <c r="I803">
        <v>52</v>
      </c>
      <c r="J803">
        <v>48</v>
      </c>
      <c r="K803">
        <v>94</v>
      </c>
      <c r="L803" s="26">
        <f>IFERROR(VLOOKUP(B803,Absen!$A$1:$C$501,2,FALSE),"No")</f>
        <v>44832</v>
      </c>
      <c r="M803" s="44">
        <f t="shared" si="35"/>
        <v>8.4</v>
      </c>
      <c r="N803" s="35">
        <f t="shared" si="36"/>
        <v>61.95</v>
      </c>
      <c r="O803" t="str">
        <f>VLOOKUP(N803,Helper!$B$30:$C$35,2,TRUE)</f>
        <v>C</v>
      </c>
      <c r="P803" s="26">
        <f>INDEX(Detail!$A$1:$A$1001,MATCH(B803,Detail!$G$1:$G$1001,0))</f>
        <v>38012</v>
      </c>
      <c r="Q803" s="3" t="str">
        <f>INDEX(Detail!$F$1:$F$1001,MATCH(Main!B803,Detail!$G$1:$G$1001,0))</f>
        <v>Banjarbaru</v>
      </c>
      <c r="R803" s="7">
        <f>INDEX(Detail!$C$1:$C$1001,MATCH(B803,Detail!$G$1:$G$1001,0),1)</f>
        <v>155</v>
      </c>
      <c r="S803" s="7">
        <f>INDEX(Detail!$D$1:$D$1001,MATCH(B803,Detail!$G$1:$G$1001,0),1)</f>
        <v>53</v>
      </c>
      <c r="T803" s="7" t="str">
        <f>INDEX(Detail!$E$1:$E$1001,MATCH(Main!B803,Detail!$G$1:$G$1001,0))</f>
        <v>Jl. Asia Afrika No. 30</v>
      </c>
      <c r="U803" s="7" t="str">
        <f>INDEX(Detail!$B$1:$B$1001,MATCH(B803,Detail!$G$1:$G$1001,0),1)</f>
        <v>AB-</v>
      </c>
    </row>
    <row r="804" spans="1:21" ht="15.75" x14ac:dyDescent="0.25">
      <c r="A804">
        <v>734</v>
      </c>
      <c r="B804" s="3" t="str">
        <f t="shared" si="34"/>
        <v>E0734</v>
      </c>
      <c r="C804" t="s">
        <v>1010</v>
      </c>
      <c r="D804" s="3" t="str">
        <f>VLOOKUP(B804,Detail!$G$1:$H$1001,2,FALSE)</f>
        <v>Perkasa Lailasari</v>
      </c>
      <c r="E804">
        <v>89</v>
      </c>
      <c r="F804">
        <v>42</v>
      </c>
      <c r="G804" s="35">
        <v>36</v>
      </c>
      <c r="H804">
        <v>74</v>
      </c>
      <c r="I804">
        <v>88</v>
      </c>
      <c r="J804">
        <v>47</v>
      </c>
      <c r="K804">
        <v>76</v>
      </c>
      <c r="L804" s="26" t="str">
        <f>IFERROR(VLOOKUP(B804,Absen!$A$1:$C$501,2,FALSE),"No")</f>
        <v>No</v>
      </c>
      <c r="M804" s="44">
        <f t="shared" si="35"/>
        <v>7.6000000000000005</v>
      </c>
      <c r="N804" s="35">
        <f t="shared" si="36"/>
        <v>60.825000000000003</v>
      </c>
      <c r="O804" t="str">
        <f>VLOOKUP(N804,Helper!$B$30:$C$35,2,TRUE)</f>
        <v>C</v>
      </c>
      <c r="P804" s="26">
        <f>INDEX(Detail!$A$1:$A$1001,MATCH(B804,Detail!$G$1:$G$1001,0))</f>
        <v>37436</v>
      </c>
      <c r="Q804" s="3" t="str">
        <f>INDEX(Detail!$F$1:$F$1001,MATCH(Main!B804,Detail!$G$1:$G$1001,0))</f>
        <v>Jayapura</v>
      </c>
      <c r="R804" s="7">
        <f>INDEX(Detail!$C$1:$C$1001,MATCH(B804,Detail!$G$1:$G$1001,0),1)</f>
        <v>155</v>
      </c>
      <c r="S804" s="7">
        <f>INDEX(Detail!$D$1:$D$1001,MATCH(B804,Detail!$G$1:$G$1001,0),1)</f>
        <v>58</v>
      </c>
      <c r="T804" s="7" t="str">
        <f>INDEX(Detail!$E$1:$E$1001,MATCH(Main!B804,Detail!$G$1:$G$1001,0))</f>
        <v xml:space="preserve">Jalan Antapani Lama No. 7
</v>
      </c>
      <c r="U804" s="7" t="str">
        <f>INDEX(Detail!$B$1:$B$1001,MATCH(B804,Detail!$G$1:$G$1001,0),1)</f>
        <v>O-</v>
      </c>
    </row>
    <row r="805" spans="1:21" ht="15.75" x14ac:dyDescent="0.25">
      <c r="A805">
        <v>743</v>
      </c>
      <c r="B805" s="3" t="str">
        <f t="shared" si="34"/>
        <v>E0743</v>
      </c>
      <c r="C805" t="s">
        <v>1010</v>
      </c>
      <c r="D805" s="3" t="str">
        <f>VLOOKUP(B805,Detail!$G$1:$H$1001,2,FALSE)</f>
        <v>Adinata Saefullah</v>
      </c>
      <c r="E805">
        <v>56</v>
      </c>
      <c r="F805">
        <v>60</v>
      </c>
      <c r="G805" s="35">
        <v>45</v>
      </c>
      <c r="H805">
        <v>58</v>
      </c>
      <c r="I805">
        <v>74</v>
      </c>
      <c r="J805">
        <v>60</v>
      </c>
      <c r="K805">
        <v>95</v>
      </c>
      <c r="L805" s="26">
        <f>IFERROR(VLOOKUP(B805,Absen!$A$1:$C$501,2,FALSE),"No")</f>
        <v>44780</v>
      </c>
      <c r="M805" s="44">
        <f t="shared" si="35"/>
        <v>8.5</v>
      </c>
      <c r="N805" s="35">
        <f t="shared" si="36"/>
        <v>60.5</v>
      </c>
      <c r="O805" t="str">
        <f>VLOOKUP(N805,Helper!$B$30:$C$35,2,TRUE)</f>
        <v>C</v>
      </c>
      <c r="P805" s="26">
        <f>INDEX(Detail!$A$1:$A$1001,MATCH(B805,Detail!$G$1:$G$1001,0))</f>
        <v>38132</v>
      </c>
      <c r="Q805" s="3" t="str">
        <f>INDEX(Detail!$F$1:$F$1001,MATCH(Main!B805,Detail!$G$1:$G$1001,0))</f>
        <v>Samarinda</v>
      </c>
      <c r="R805" s="7">
        <f>INDEX(Detail!$C$1:$C$1001,MATCH(B805,Detail!$G$1:$G$1001,0),1)</f>
        <v>151</v>
      </c>
      <c r="S805" s="7">
        <f>INDEX(Detail!$D$1:$D$1001,MATCH(B805,Detail!$G$1:$G$1001,0),1)</f>
        <v>59</v>
      </c>
      <c r="T805" s="7" t="str">
        <f>INDEX(Detail!$E$1:$E$1001,MATCH(Main!B805,Detail!$G$1:$G$1001,0))</f>
        <v>Gang Gegerkalong Hilir No. 08</v>
      </c>
      <c r="U805" s="7" t="str">
        <f>INDEX(Detail!$B$1:$B$1001,MATCH(B805,Detail!$G$1:$G$1001,0),1)</f>
        <v>B+</v>
      </c>
    </row>
    <row r="806" spans="1:21" ht="15.75" x14ac:dyDescent="0.25">
      <c r="A806">
        <v>754</v>
      </c>
      <c r="B806" s="3" t="str">
        <f t="shared" si="34"/>
        <v>E0754</v>
      </c>
      <c r="C806" t="s">
        <v>1010</v>
      </c>
      <c r="D806" s="3" t="str">
        <f>VLOOKUP(B806,Detail!$G$1:$H$1001,2,FALSE)</f>
        <v>Mursinin Dabukke</v>
      </c>
      <c r="E806">
        <v>86</v>
      </c>
      <c r="F806">
        <v>59</v>
      </c>
      <c r="G806" s="35">
        <v>90</v>
      </c>
      <c r="H806">
        <v>64</v>
      </c>
      <c r="I806">
        <v>82</v>
      </c>
      <c r="J806">
        <v>88</v>
      </c>
      <c r="K806">
        <v>97</v>
      </c>
      <c r="L806" s="26">
        <f>IFERROR(VLOOKUP(B806,Absen!$A$1:$C$501,2,FALSE),"No")</f>
        <v>44860</v>
      </c>
      <c r="M806" s="44">
        <f t="shared" si="35"/>
        <v>8.7000000000000011</v>
      </c>
      <c r="N806" s="35">
        <f t="shared" si="36"/>
        <v>80.674999999999997</v>
      </c>
      <c r="O806" t="str">
        <f>VLOOKUP(N806,Helper!$B$30:$C$35,2,TRUE)</f>
        <v>A</v>
      </c>
      <c r="P806" s="26">
        <f>INDEX(Detail!$A$1:$A$1001,MATCH(B806,Detail!$G$1:$G$1001,0))</f>
        <v>38092</v>
      </c>
      <c r="Q806" s="3" t="str">
        <f>INDEX(Detail!$F$1:$F$1001,MATCH(Main!B806,Detail!$G$1:$G$1001,0))</f>
        <v>Parepare</v>
      </c>
      <c r="R806" s="7">
        <f>INDEX(Detail!$C$1:$C$1001,MATCH(B806,Detail!$G$1:$G$1001,0),1)</f>
        <v>160</v>
      </c>
      <c r="S806" s="7">
        <f>INDEX(Detail!$D$1:$D$1001,MATCH(B806,Detail!$G$1:$G$1001,0),1)</f>
        <v>59</v>
      </c>
      <c r="T806" s="7" t="str">
        <f>INDEX(Detail!$E$1:$E$1001,MATCH(Main!B806,Detail!$G$1:$G$1001,0))</f>
        <v xml:space="preserve">Gang Bangka Raya No. 7
</v>
      </c>
      <c r="U806" s="7" t="str">
        <f>INDEX(Detail!$B$1:$B$1001,MATCH(B806,Detail!$G$1:$G$1001,0),1)</f>
        <v>B+</v>
      </c>
    </row>
    <row r="807" spans="1:21" ht="15.75" x14ac:dyDescent="0.25">
      <c r="A807">
        <v>756</v>
      </c>
      <c r="B807" s="3" t="str">
        <f t="shared" ref="B807:B837" si="37">CONCATENATE("E",TEXT(A807,"0000"))</f>
        <v>E0756</v>
      </c>
      <c r="C807" t="s">
        <v>1010</v>
      </c>
      <c r="D807" s="3" t="str">
        <f>VLOOKUP(B807,Detail!$G$1:$H$1001,2,FALSE)</f>
        <v>Xanana Nababan</v>
      </c>
      <c r="E807">
        <v>62</v>
      </c>
      <c r="F807">
        <v>51</v>
      </c>
      <c r="G807" s="35">
        <v>46</v>
      </c>
      <c r="H807">
        <v>67</v>
      </c>
      <c r="I807">
        <v>83</v>
      </c>
      <c r="J807">
        <v>56</v>
      </c>
      <c r="K807">
        <v>90</v>
      </c>
      <c r="L807" s="26">
        <f>IFERROR(VLOOKUP(B807,Absen!$A$1:$C$501,2,FALSE),"No")</f>
        <v>44883</v>
      </c>
      <c r="M807" s="44">
        <f t="shared" si="35"/>
        <v>8</v>
      </c>
      <c r="N807" s="35">
        <f t="shared" si="36"/>
        <v>61.275000000000006</v>
      </c>
      <c r="O807" t="str">
        <f>VLOOKUP(N807,Helper!$B$30:$C$35,2,TRUE)</f>
        <v>C</v>
      </c>
      <c r="P807" s="26">
        <f>INDEX(Detail!$A$1:$A$1001,MATCH(B807,Detail!$G$1:$G$1001,0))</f>
        <v>38359</v>
      </c>
      <c r="Q807" s="3" t="str">
        <f>INDEX(Detail!$F$1:$F$1001,MATCH(Main!B807,Detail!$G$1:$G$1001,0))</f>
        <v>Blitar</v>
      </c>
      <c r="R807" s="7">
        <f>INDEX(Detail!$C$1:$C$1001,MATCH(B807,Detail!$G$1:$G$1001,0),1)</f>
        <v>176</v>
      </c>
      <c r="S807" s="7">
        <f>INDEX(Detail!$D$1:$D$1001,MATCH(B807,Detail!$G$1:$G$1001,0),1)</f>
        <v>71</v>
      </c>
      <c r="T807" s="7" t="str">
        <f>INDEX(Detail!$E$1:$E$1001,MATCH(Main!B807,Detail!$G$1:$G$1001,0))</f>
        <v>Jl. Dipenogoro No. 36</v>
      </c>
      <c r="U807" s="7" t="str">
        <f>INDEX(Detail!$B$1:$B$1001,MATCH(B807,Detail!$G$1:$G$1001,0),1)</f>
        <v>AB+</v>
      </c>
    </row>
    <row r="808" spans="1:21" ht="15.75" x14ac:dyDescent="0.25">
      <c r="A808">
        <v>765</v>
      </c>
      <c r="B808" s="3" t="str">
        <f t="shared" si="37"/>
        <v>E0765</v>
      </c>
      <c r="C808" t="s">
        <v>1010</v>
      </c>
      <c r="D808" s="3" t="str">
        <f>VLOOKUP(B808,Detail!$G$1:$H$1001,2,FALSE)</f>
        <v>Digdaya Mustofa</v>
      </c>
      <c r="E808">
        <v>89</v>
      </c>
      <c r="F808">
        <v>65</v>
      </c>
      <c r="G808" s="35">
        <v>68</v>
      </c>
      <c r="H808">
        <v>74</v>
      </c>
      <c r="I808">
        <v>50</v>
      </c>
      <c r="J808">
        <v>48</v>
      </c>
      <c r="K808">
        <v>87</v>
      </c>
      <c r="L808" s="26" t="str">
        <f>IFERROR(VLOOKUP(B808,Absen!$A$1:$C$501,2,FALSE),"No")</f>
        <v>No</v>
      </c>
      <c r="M808" s="44">
        <f t="shared" si="35"/>
        <v>8.7000000000000011</v>
      </c>
      <c r="N808" s="35">
        <f t="shared" si="36"/>
        <v>66.650000000000006</v>
      </c>
      <c r="O808" t="str">
        <f>VLOOKUP(N808,Helper!$B$30:$C$35,2,TRUE)</f>
        <v>C</v>
      </c>
      <c r="P808" s="26">
        <f>INDEX(Detail!$A$1:$A$1001,MATCH(B808,Detail!$G$1:$G$1001,0))</f>
        <v>37637</v>
      </c>
      <c r="Q808" s="3" t="str">
        <f>INDEX(Detail!$F$1:$F$1001,MATCH(Main!B808,Detail!$G$1:$G$1001,0))</f>
        <v>Tidore Kepulauan</v>
      </c>
      <c r="R808" s="7">
        <f>INDEX(Detail!$C$1:$C$1001,MATCH(B808,Detail!$G$1:$G$1001,0),1)</f>
        <v>172</v>
      </c>
      <c r="S808" s="7">
        <f>INDEX(Detail!$D$1:$D$1001,MATCH(B808,Detail!$G$1:$G$1001,0),1)</f>
        <v>94</v>
      </c>
      <c r="T808" s="7" t="str">
        <f>INDEX(Detail!$E$1:$E$1001,MATCH(Main!B808,Detail!$G$1:$G$1001,0))</f>
        <v xml:space="preserve">Gang Gardujati No. 4
</v>
      </c>
      <c r="U808" s="7" t="str">
        <f>INDEX(Detail!$B$1:$B$1001,MATCH(B808,Detail!$G$1:$G$1001,0),1)</f>
        <v>B-</v>
      </c>
    </row>
    <row r="809" spans="1:21" ht="15.75" x14ac:dyDescent="0.25">
      <c r="A809">
        <v>768</v>
      </c>
      <c r="B809" s="3" t="str">
        <f t="shared" si="37"/>
        <v>E0768</v>
      </c>
      <c r="C809" t="s">
        <v>1010</v>
      </c>
      <c r="D809" s="3" t="str">
        <f>VLOOKUP(B809,Detail!$G$1:$H$1001,2,FALSE)</f>
        <v>Marwata Susanti</v>
      </c>
      <c r="E809">
        <v>63</v>
      </c>
      <c r="F809">
        <v>67</v>
      </c>
      <c r="G809" s="35">
        <v>57</v>
      </c>
      <c r="H809">
        <v>68</v>
      </c>
      <c r="I809">
        <v>85</v>
      </c>
      <c r="J809">
        <v>75</v>
      </c>
      <c r="K809">
        <v>68</v>
      </c>
      <c r="L809" s="26">
        <f>IFERROR(VLOOKUP(B809,Absen!$A$1:$C$501,2,FALSE),"No")</f>
        <v>44796</v>
      </c>
      <c r="M809" s="44">
        <f t="shared" si="35"/>
        <v>5.8000000000000007</v>
      </c>
      <c r="N809" s="35">
        <f t="shared" si="36"/>
        <v>67.575000000000003</v>
      </c>
      <c r="O809" t="str">
        <f>VLOOKUP(N809,Helper!$B$30:$C$35,2,TRUE)</f>
        <v>C</v>
      </c>
      <c r="P809" s="26">
        <f>INDEX(Detail!$A$1:$A$1001,MATCH(B809,Detail!$G$1:$G$1001,0))</f>
        <v>37920</v>
      </c>
      <c r="Q809" s="3" t="str">
        <f>INDEX(Detail!$F$1:$F$1001,MATCH(Main!B809,Detail!$G$1:$G$1001,0))</f>
        <v>Padangpanjang</v>
      </c>
      <c r="R809" s="7">
        <f>INDEX(Detail!$C$1:$C$1001,MATCH(B809,Detail!$G$1:$G$1001,0),1)</f>
        <v>178</v>
      </c>
      <c r="S809" s="7">
        <f>INDEX(Detail!$D$1:$D$1001,MATCH(B809,Detail!$G$1:$G$1001,0),1)</f>
        <v>68</v>
      </c>
      <c r="T809" s="7" t="str">
        <f>INDEX(Detail!$E$1:$E$1001,MATCH(Main!B809,Detail!$G$1:$G$1001,0))</f>
        <v>Jalan Pasir Koja No. 95</v>
      </c>
      <c r="U809" s="7" t="str">
        <f>INDEX(Detail!$B$1:$B$1001,MATCH(B809,Detail!$G$1:$G$1001,0),1)</f>
        <v>B+</v>
      </c>
    </row>
    <row r="810" spans="1:21" ht="15.75" x14ac:dyDescent="0.25">
      <c r="A810">
        <v>771</v>
      </c>
      <c r="B810" s="3" t="str">
        <f t="shared" si="37"/>
        <v>E0771</v>
      </c>
      <c r="C810" t="s">
        <v>1010</v>
      </c>
      <c r="D810" s="3" t="str">
        <f>VLOOKUP(B810,Detail!$G$1:$H$1001,2,FALSE)</f>
        <v>Mumpuni Napitupulu</v>
      </c>
      <c r="E810">
        <v>93</v>
      </c>
      <c r="F810">
        <v>47</v>
      </c>
      <c r="G810" s="35">
        <v>43</v>
      </c>
      <c r="H810">
        <v>68</v>
      </c>
      <c r="I810">
        <v>64</v>
      </c>
      <c r="J810">
        <v>71</v>
      </c>
      <c r="K810">
        <v>98</v>
      </c>
      <c r="L810" s="26">
        <f>IFERROR(VLOOKUP(B810,Absen!$A$1:$C$501,2,FALSE),"No")</f>
        <v>44845</v>
      </c>
      <c r="M810" s="44">
        <f t="shared" si="35"/>
        <v>8.8000000000000007</v>
      </c>
      <c r="N810" s="35">
        <f t="shared" si="36"/>
        <v>65.600000000000009</v>
      </c>
      <c r="O810" t="str">
        <f>VLOOKUP(N810,Helper!$B$30:$C$35,2,TRUE)</f>
        <v>C</v>
      </c>
      <c r="P810" s="26">
        <f>INDEX(Detail!$A$1:$A$1001,MATCH(B810,Detail!$G$1:$G$1001,0))</f>
        <v>38130</v>
      </c>
      <c r="Q810" s="3" t="str">
        <f>INDEX(Detail!$F$1:$F$1001,MATCH(Main!B810,Detail!$G$1:$G$1001,0))</f>
        <v>Blitar</v>
      </c>
      <c r="R810" s="7">
        <f>INDEX(Detail!$C$1:$C$1001,MATCH(B810,Detail!$G$1:$G$1001,0),1)</f>
        <v>161</v>
      </c>
      <c r="S810" s="7">
        <f>INDEX(Detail!$D$1:$D$1001,MATCH(B810,Detail!$G$1:$G$1001,0),1)</f>
        <v>86</v>
      </c>
      <c r="T810" s="7" t="str">
        <f>INDEX(Detail!$E$1:$E$1001,MATCH(Main!B810,Detail!$G$1:$G$1001,0))</f>
        <v>Jalan Pasirkoja No. 20</v>
      </c>
      <c r="U810" s="7" t="str">
        <f>INDEX(Detail!$B$1:$B$1001,MATCH(B810,Detail!$G$1:$G$1001,0),1)</f>
        <v>O+</v>
      </c>
    </row>
    <row r="811" spans="1:21" ht="15.75" x14ac:dyDescent="0.25">
      <c r="A811">
        <v>781</v>
      </c>
      <c r="B811" s="3" t="str">
        <f t="shared" si="37"/>
        <v>E0781</v>
      </c>
      <c r="C811" t="s">
        <v>1010</v>
      </c>
      <c r="D811" s="3" t="str">
        <f>VLOOKUP(B811,Detail!$G$1:$H$1001,2,FALSE)</f>
        <v>Lidya Hutagalung</v>
      </c>
      <c r="E811">
        <v>87</v>
      </c>
      <c r="F811">
        <v>68</v>
      </c>
      <c r="G811" s="35">
        <v>90</v>
      </c>
      <c r="H811">
        <v>56</v>
      </c>
      <c r="I811">
        <v>94</v>
      </c>
      <c r="J811">
        <v>64</v>
      </c>
      <c r="K811">
        <v>100</v>
      </c>
      <c r="L811" s="26">
        <f>IFERROR(VLOOKUP(B811,Absen!$A$1:$C$501,2,FALSE),"No")</f>
        <v>44889</v>
      </c>
      <c r="M811" s="44">
        <f t="shared" si="35"/>
        <v>9</v>
      </c>
      <c r="N811" s="35">
        <f t="shared" si="36"/>
        <v>77.924999999999997</v>
      </c>
      <c r="O811" t="str">
        <f>VLOOKUP(N811,Helper!$B$30:$C$35,2,TRUE)</f>
        <v>B</v>
      </c>
      <c r="P811" s="26">
        <f>INDEX(Detail!$A$1:$A$1001,MATCH(B811,Detail!$G$1:$G$1001,0))</f>
        <v>37508</v>
      </c>
      <c r="Q811" s="3" t="str">
        <f>INDEX(Detail!$F$1:$F$1001,MATCH(Main!B811,Detail!$G$1:$G$1001,0))</f>
        <v>Cirebon</v>
      </c>
      <c r="R811" s="7">
        <f>INDEX(Detail!$C$1:$C$1001,MATCH(B811,Detail!$G$1:$G$1001,0),1)</f>
        <v>176</v>
      </c>
      <c r="S811" s="7">
        <f>INDEX(Detail!$D$1:$D$1001,MATCH(B811,Detail!$G$1:$G$1001,0),1)</f>
        <v>89</v>
      </c>
      <c r="T811" s="7" t="str">
        <f>INDEX(Detail!$E$1:$E$1001,MATCH(Main!B811,Detail!$G$1:$G$1001,0))</f>
        <v xml:space="preserve">Jalan Veteran No. 3
</v>
      </c>
      <c r="U811" s="7" t="str">
        <f>INDEX(Detail!$B$1:$B$1001,MATCH(B811,Detail!$G$1:$G$1001,0),1)</f>
        <v>B-</v>
      </c>
    </row>
    <row r="812" spans="1:21" ht="15.75" x14ac:dyDescent="0.25">
      <c r="A812">
        <v>790</v>
      </c>
      <c r="B812" s="3" t="str">
        <f t="shared" si="37"/>
        <v>E0790</v>
      </c>
      <c r="C812" t="s">
        <v>1010</v>
      </c>
      <c r="D812" s="3" t="str">
        <f>VLOOKUP(B812,Detail!$G$1:$H$1001,2,FALSE)</f>
        <v>Chandra Latupono</v>
      </c>
      <c r="E812">
        <v>57</v>
      </c>
      <c r="F812">
        <v>57</v>
      </c>
      <c r="G812" s="35">
        <v>82</v>
      </c>
      <c r="H812">
        <v>62</v>
      </c>
      <c r="I812">
        <v>60</v>
      </c>
      <c r="J812">
        <v>76</v>
      </c>
      <c r="K812">
        <v>93</v>
      </c>
      <c r="L812" s="26">
        <f>IFERROR(VLOOKUP(B812,Absen!$A$1:$C$501,2,FALSE),"No")</f>
        <v>44801</v>
      </c>
      <c r="M812" s="44">
        <f t="shared" si="35"/>
        <v>8.3000000000000007</v>
      </c>
      <c r="N812" s="35">
        <f t="shared" si="36"/>
        <v>69.400000000000006</v>
      </c>
      <c r="O812" t="str">
        <f>VLOOKUP(N812,Helper!$B$30:$C$35,2,TRUE)</f>
        <v>C</v>
      </c>
      <c r="P812" s="26">
        <f>INDEX(Detail!$A$1:$A$1001,MATCH(B812,Detail!$G$1:$G$1001,0))</f>
        <v>37072</v>
      </c>
      <c r="Q812" s="3" t="str">
        <f>INDEX(Detail!$F$1:$F$1001,MATCH(Main!B812,Detail!$G$1:$G$1001,0))</f>
        <v>Palembang</v>
      </c>
      <c r="R812" s="7">
        <f>INDEX(Detail!$C$1:$C$1001,MATCH(B812,Detail!$G$1:$G$1001,0),1)</f>
        <v>168</v>
      </c>
      <c r="S812" s="7">
        <f>INDEX(Detail!$D$1:$D$1001,MATCH(B812,Detail!$G$1:$G$1001,0),1)</f>
        <v>52</v>
      </c>
      <c r="T812" s="7" t="str">
        <f>INDEX(Detail!$E$1:$E$1001,MATCH(Main!B812,Detail!$G$1:$G$1001,0))</f>
        <v>Gg. Sukabumi No. 67</v>
      </c>
      <c r="U812" s="7" t="str">
        <f>INDEX(Detail!$B$1:$B$1001,MATCH(B812,Detail!$G$1:$G$1001,0),1)</f>
        <v>B-</v>
      </c>
    </row>
    <row r="813" spans="1:21" ht="15.75" x14ac:dyDescent="0.25">
      <c r="A813">
        <v>796</v>
      </c>
      <c r="B813" s="3" t="str">
        <f t="shared" si="37"/>
        <v>E0796</v>
      </c>
      <c r="C813" t="s">
        <v>1010</v>
      </c>
      <c r="D813" s="3" t="str">
        <f>VLOOKUP(B813,Detail!$G$1:$H$1001,2,FALSE)</f>
        <v>Sabar Tamba</v>
      </c>
      <c r="E813">
        <v>71</v>
      </c>
      <c r="F813">
        <v>70</v>
      </c>
      <c r="G813" s="35">
        <v>51</v>
      </c>
      <c r="H813">
        <v>73</v>
      </c>
      <c r="I813">
        <v>60</v>
      </c>
      <c r="J813">
        <v>95</v>
      </c>
      <c r="K813">
        <v>83</v>
      </c>
      <c r="L813" s="26" t="str">
        <f>IFERROR(VLOOKUP(B813,Absen!$A$1:$C$501,2,FALSE),"No")</f>
        <v>No</v>
      </c>
      <c r="M813" s="44">
        <f t="shared" si="35"/>
        <v>8.3000000000000007</v>
      </c>
      <c r="N813" s="35">
        <f t="shared" si="36"/>
        <v>71.75</v>
      </c>
      <c r="O813" t="str">
        <f>VLOOKUP(N813,Helper!$B$30:$C$35,2,TRUE)</f>
        <v>B</v>
      </c>
      <c r="P813" s="26">
        <f>INDEX(Detail!$A$1:$A$1001,MATCH(B813,Detail!$G$1:$G$1001,0))</f>
        <v>38120</v>
      </c>
      <c r="Q813" s="3" t="str">
        <f>INDEX(Detail!$F$1:$F$1001,MATCH(Main!B813,Detail!$G$1:$G$1001,0))</f>
        <v>Palopo</v>
      </c>
      <c r="R813" s="7">
        <f>INDEX(Detail!$C$1:$C$1001,MATCH(B813,Detail!$G$1:$G$1001,0),1)</f>
        <v>178</v>
      </c>
      <c r="S813" s="7">
        <f>INDEX(Detail!$D$1:$D$1001,MATCH(B813,Detail!$G$1:$G$1001,0),1)</f>
        <v>89</v>
      </c>
      <c r="T813" s="7" t="str">
        <f>INDEX(Detail!$E$1:$E$1001,MATCH(Main!B813,Detail!$G$1:$G$1001,0))</f>
        <v xml:space="preserve">Jalan Tubagus Ismail No. 7
</v>
      </c>
      <c r="U813" s="7" t="str">
        <f>INDEX(Detail!$B$1:$B$1001,MATCH(B813,Detail!$G$1:$G$1001,0),1)</f>
        <v>B+</v>
      </c>
    </row>
    <row r="814" spans="1:21" ht="15.75" x14ac:dyDescent="0.25">
      <c r="A814">
        <v>798</v>
      </c>
      <c r="B814" s="3" t="str">
        <f t="shared" si="37"/>
        <v>E0798</v>
      </c>
      <c r="C814" t="s">
        <v>1010</v>
      </c>
      <c r="D814" s="3" t="str">
        <f>VLOOKUP(B814,Detail!$G$1:$H$1001,2,FALSE)</f>
        <v>Jasmani Nurdiyanti</v>
      </c>
      <c r="E814">
        <v>64</v>
      </c>
      <c r="F814">
        <v>49</v>
      </c>
      <c r="G814" s="35">
        <v>39</v>
      </c>
      <c r="H814">
        <v>53</v>
      </c>
      <c r="I814">
        <v>70</v>
      </c>
      <c r="J814">
        <v>54</v>
      </c>
      <c r="K814">
        <v>72</v>
      </c>
      <c r="L814" s="26" t="str">
        <f>IFERROR(VLOOKUP(B814,Absen!$A$1:$C$501,2,FALSE),"No")</f>
        <v>No</v>
      </c>
      <c r="M814" s="44">
        <f t="shared" si="35"/>
        <v>7.2</v>
      </c>
      <c r="N814" s="35">
        <f t="shared" si="36"/>
        <v>55.3</v>
      </c>
      <c r="O814" t="str">
        <f>VLOOKUP(N814,Helper!$B$30:$C$35,2,TRUE)</f>
        <v>D</v>
      </c>
      <c r="P814" s="26">
        <f>INDEX(Detail!$A$1:$A$1001,MATCH(B814,Detail!$G$1:$G$1001,0))</f>
        <v>37479</v>
      </c>
      <c r="Q814" s="3" t="str">
        <f>INDEX(Detail!$F$1:$F$1001,MATCH(Main!B814,Detail!$G$1:$G$1001,0))</f>
        <v>Pekalongan</v>
      </c>
      <c r="R814" s="7">
        <f>INDEX(Detail!$C$1:$C$1001,MATCH(B814,Detail!$G$1:$G$1001,0),1)</f>
        <v>158</v>
      </c>
      <c r="S814" s="7">
        <f>INDEX(Detail!$D$1:$D$1001,MATCH(B814,Detail!$G$1:$G$1001,0),1)</f>
        <v>45</v>
      </c>
      <c r="T814" s="7" t="str">
        <f>INDEX(Detail!$E$1:$E$1001,MATCH(Main!B814,Detail!$G$1:$G$1001,0))</f>
        <v>Jl. Erlangga No. 49</v>
      </c>
      <c r="U814" s="7" t="str">
        <f>INDEX(Detail!$B$1:$B$1001,MATCH(B814,Detail!$G$1:$G$1001,0),1)</f>
        <v>O-</v>
      </c>
    </row>
    <row r="815" spans="1:21" ht="15.75" x14ac:dyDescent="0.25">
      <c r="A815">
        <v>799</v>
      </c>
      <c r="B815" s="3" t="str">
        <f t="shared" si="37"/>
        <v>E0799</v>
      </c>
      <c r="C815" t="s">
        <v>1010</v>
      </c>
      <c r="D815" s="3" t="str">
        <f>VLOOKUP(B815,Detail!$G$1:$H$1001,2,FALSE)</f>
        <v>Adiarja Nasyiah</v>
      </c>
      <c r="E815">
        <v>92</v>
      </c>
      <c r="F815">
        <v>47</v>
      </c>
      <c r="G815" s="35">
        <v>68</v>
      </c>
      <c r="H815">
        <v>72</v>
      </c>
      <c r="I815">
        <v>91</v>
      </c>
      <c r="J815">
        <v>64</v>
      </c>
      <c r="K815">
        <v>88</v>
      </c>
      <c r="L815" s="26" t="str">
        <f>IFERROR(VLOOKUP(B815,Absen!$A$1:$C$501,2,FALSE),"No")</f>
        <v>No</v>
      </c>
      <c r="M815" s="44">
        <f t="shared" si="35"/>
        <v>8.8000000000000007</v>
      </c>
      <c r="N815" s="35">
        <f t="shared" si="36"/>
        <v>72.95</v>
      </c>
      <c r="O815" t="str">
        <f>VLOOKUP(N815,Helper!$B$30:$C$35,2,TRUE)</f>
        <v>B</v>
      </c>
      <c r="P815" s="26">
        <f>INDEX(Detail!$A$1:$A$1001,MATCH(B815,Detail!$G$1:$G$1001,0))</f>
        <v>38239</v>
      </c>
      <c r="Q815" s="3" t="str">
        <f>INDEX(Detail!$F$1:$F$1001,MATCH(Main!B815,Detail!$G$1:$G$1001,0))</f>
        <v>Ternate</v>
      </c>
      <c r="R815" s="7">
        <f>INDEX(Detail!$C$1:$C$1001,MATCH(B815,Detail!$G$1:$G$1001,0),1)</f>
        <v>152</v>
      </c>
      <c r="S815" s="7">
        <f>INDEX(Detail!$D$1:$D$1001,MATCH(B815,Detail!$G$1:$G$1001,0),1)</f>
        <v>83</v>
      </c>
      <c r="T815" s="7" t="str">
        <f>INDEX(Detail!$E$1:$E$1001,MATCH(Main!B815,Detail!$G$1:$G$1001,0))</f>
        <v xml:space="preserve">Gang Laswi No. 9
</v>
      </c>
      <c r="U815" s="7" t="str">
        <f>INDEX(Detail!$B$1:$B$1001,MATCH(B815,Detail!$G$1:$G$1001,0),1)</f>
        <v>A+</v>
      </c>
    </row>
    <row r="816" spans="1:21" ht="15.75" x14ac:dyDescent="0.25">
      <c r="A816">
        <v>806</v>
      </c>
      <c r="B816" s="3" t="str">
        <f t="shared" si="37"/>
        <v>E0806</v>
      </c>
      <c r="C816" t="s">
        <v>1010</v>
      </c>
      <c r="D816" s="3" t="str">
        <f>VLOOKUP(B816,Detail!$G$1:$H$1001,2,FALSE)</f>
        <v>Adiarja Sihotang</v>
      </c>
      <c r="E816">
        <v>52</v>
      </c>
      <c r="F816">
        <v>65</v>
      </c>
      <c r="G816" s="35">
        <v>87</v>
      </c>
      <c r="H816">
        <v>74</v>
      </c>
      <c r="I816">
        <v>92</v>
      </c>
      <c r="J816">
        <v>82</v>
      </c>
      <c r="K816">
        <v>86</v>
      </c>
      <c r="L816" s="26" t="str">
        <f>IFERROR(VLOOKUP(B816,Absen!$A$1:$C$501,2,FALSE),"No")</f>
        <v>No</v>
      </c>
      <c r="M816" s="44">
        <f t="shared" si="35"/>
        <v>8.6</v>
      </c>
      <c r="N816" s="35">
        <f t="shared" si="36"/>
        <v>77.775000000000006</v>
      </c>
      <c r="O816" t="str">
        <f>VLOOKUP(N816,Helper!$B$30:$C$35,2,TRUE)</f>
        <v>B</v>
      </c>
      <c r="P816" s="26">
        <f>INDEX(Detail!$A$1:$A$1001,MATCH(B816,Detail!$G$1:$G$1001,0))</f>
        <v>37973</v>
      </c>
      <c r="Q816" s="3" t="str">
        <f>INDEX(Detail!$F$1:$F$1001,MATCH(Main!B816,Detail!$G$1:$G$1001,0))</f>
        <v>Denpasar</v>
      </c>
      <c r="R816" s="7">
        <f>INDEX(Detail!$C$1:$C$1001,MATCH(B816,Detail!$G$1:$G$1001,0),1)</f>
        <v>162</v>
      </c>
      <c r="S816" s="7">
        <f>INDEX(Detail!$D$1:$D$1001,MATCH(B816,Detail!$G$1:$G$1001,0),1)</f>
        <v>82</v>
      </c>
      <c r="T816" s="7" t="str">
        <f>INDEX(Detail!$E$1:$E$1001,MATCH(Main!B816,Detail!$G$1:$G$1001,0))</f>
        <v>Jl. Rungkut Industri No. 10</v>
      </c>
      <c r="U816" s="7" t="str">
        <f>INDEX(Detail!$B$1:$B$1001,MATCH(B816,Detail!$G$1:$G$1001,0),1)</f>
        <v>A-</v>
      </c>
    </row>
    <row r="817" spans="1:21" ht="15.75" x14ac:dyDescent="0.25">
      <c r="A817">
        <v>808</v>
      </c>
      <c r="B817" s="3" t="str">
        <f t="shared" si="37"/>
        <v>E0808</v>
      </c>
      <c r="C817" t="s">
        <v>1010</v>
      </c>
      <c r="D817" s="3" t="str">
        <f>VLOOKUP(B817,Detail!$G$1:$H$1001,2,FALSE)</f>
        <v>Prasetyo Situmorang</v>
      </c>
      <c r="E817">
        <v>62</v>
      </c>
      <c r="F817">
        <v>57</v>
      </c>
      <c r="G817" s="35">
        <v>42</v>
      </c>
      <c r="H817">
        <v>66</v>
      </c>
      <c r="I817">
        <v>62</v>
      </c>
      <c r="J817">
        <v>78</v>
      </c>
      <c r="K817">
        <v>84</v>
      </c>
      <c r="L817" s="26">
        <f>IFERROR(VLOOKUP(B817,Absen!$A$1:$C$501,2,FALSE),"No")</f>
        <v>44915</v>
      </c>
      <c r="M817" s="44">
        <f t="shared" si="35"/>
        <v>7.4</v>
      </c>
      <c r="N817" s="35">
        <f t="shared" si="36"/>
        <v>62.274999999999999</v>
      </c>
      <c r="O817" t="str">
        <f>VLOOKUP(N817,Helper!$B$30:$C$35,2,TRUE)</f>
        <v>C</v>
      </c>
      <c r="P817" s="26">
        <f>INDEX(Detail!$A$1:$A$1001,MATCH(B817,Detail!$G$1:$G$1001,0))</f>
        <v>37667</v>
      </c>
      <c r="Q817" s="3" t="str">
        <f>INDEX(Detail!$F$1:$F$1001,MATCH(Main!B817,Detail!$G$1:$G$1001,0))</f>
        <v>Prabumulih</v>
      </c>
      <c r="R817" s="7">
        <f>INDEX(Detail!$C$1:$C$1001,MATCH(B817,Detail!$G$1:$G$1001,0),1)</f>
        <v>175</v>
      </c>
      <c r="S817" s="7">
        <f>INDEX(Detail!$D$1:$D$1001,MATCH(B817,Detail!$G$1:$G$1001,0),1)</f>
        <v>69</v>
      </c>
      <c r="T817" s="7" t="str">
        <f>INDEX(Detail!$E$1:$E$1001,MATCH(Main!B817,Detail!$G$1:$G$1001,0))</f>
        <v>Jalan Indragiri No. 95</v>
      </c>
      <c r="U817" s="7" t="str">
        <f>INDEX(Detail!$B$1:$B$1001,MATCH(B817,Detail!$G$1:$G$1001,0),1)</f>
        <v>AB+</v>
      </c>
    </row>
    <row r="818" spans="1:21" ht="15.75" x14ac:dyDescent="0.25">
      <c r="A818">
        <v>824</v>
      </c>
      <c r="B818" s="3" t="str">
        <f t="shared" si="37"/>
        <v>E0824</v>
      </c>
      <c r="C818" t="s">
        <v>1010</v>
      </c>
      <c r="D818" s="3" t="str">
        <f>VLOOKUP(B818,Detail!$G$1:$H$1001,2,FALSE)</f>
        <v>Yunita Namaga</v>
      </c>
      <c r="E818">
        <v>89</v>
      </c>
      <c r="F818">
        <v>71</v>
      </c>
      <c r="G818" s="35">
        <v>87</v>
      </c>
      <c r="H818">
        <v>70</v>
      </c>
      <c r="I818">
        <v>80</v>
      </c>
      <c r="J818">
        <v>92</v>
      </c>
      <c r="K818">
        <v>88</v>
      </c>
      <c r="L818" s="26" t="str">
        <f>IFERROR(VLOOKUP(B818,Absen!$A$1:$C$501,2,FALSE),"No")</f>
        <v>No</v>
      </c>
      <c r="M818" s="44">
        <f t="shared" si="35"/>
        <v>8.8000000000000007</v>
      </c>
      <c r="N818" s="35">
        <f t="shared" si="36"/>
        <v>83.350000000000009</v>
      </c>
      <c r="O818" t="str">
        <f>VLOOKUP(N818,Helper!$B$30:$C$35,2,TRUE)</f>
        <v>A</v>
      </c>
      <c r="P818" s="26">
        <f>INDEX(Detail!$A$1:$A$1001,MATCH(B818,Detail!$G$1:$G$1001,0))</f>
        <v>37130</v>
      </c>
      <c r="Q818" s="3" t="str">
        <f>INDEX(Detail!$F$1:$F$1001,MATCH(Main!B818,Detail!$G$1:$G$1001,0))</f>
        <v>Malang</v>
      </c>
      <c r="R818" s="7">
        <f>INDEX(Detail!$C$1:$C$1001,MATCH(B818,Detail!$G$1:$G$1001,0),1)</f>
        <v>151</v>
      </c>
      <c r="S818" s="7">
        <f>INDEX(Detail!$D$1:$D$1001,MATCH(B818,Detail!$G$1:$G$1001,0),1)</f>
        <v>69</v>
      </c>
      <c r="T818" s="7" t="str">
        <f>INDEX(Detail!$E$1:$E$1001,MATCH(Main!B818,Detail!$G$1:$G$1001,0))</f>
        <v xml:space="preserve">Gg. Laswi No. 6
</v>
      </c>
      <c r="U818" s="7" t="str">
        <f>INDEX(Detail!$B$1:$B$1001,MATCH(B818,Detail!$G$1:$G$1001,0),1)</f>
        <v>AB+</v>
      </c>
    </row>
    <row r="819" spans="1:21" ht="15.75" x14ac:dyDescent="0.25">
      <c r="A819">
        <v>826</v>
      </c>
      <c r="B819" s="3" t="str">
        <f t="shared" si="37"/>
        <v>E0826</v>
      </c>
      <c r="C819" t="s">
        <v>1010</v>
      </c>
      <c r="D819" s="3" t="str">
        <f>VLOOKUP(B819,Detail!$G$1:$H$1001,2,FALSE)</f>
        <v>Gamani Wibisono</v>
      </c>
      <c r="E819">
        <v>79</v>
      </c>
      <c r="F819">
        <v>53</v>
      </c>
      <c r="G819" s="35">
        <v>69</v>
      </c>
      <c r="H819">
        <v>65</v>
      </c>
      <c r="I819">
        <v>80</v>
      </c>
      <c r="J819">
        <v>100</v>
      </c>
      <c r="K819">
        <v>70</v>
      </c>
      <c r="L819" s="26" t="str">
        <f>IFERROR(VLOOKUP(B819,Absen!$A$1:$C$501,2,FALSE),"No")</f>
        <v>No</v>
      </c>
      <c r="M819" s="44">
        <f t="shared" si="35"/>
        <v>7</v>
      </c>
      <c r="N819" s="35">
        <f t="shared" si="36"/>
        <v>75.424999999999997</v>
      </c>
      <c r="O819" t="str">
        <f>VLOOKUP(N819,Helper!$B$30:$C$35,2,TRUE)</f>
        <v>B</v>
      </c>
      <c r="P819" s="26">
        <f>INDEX(Detail!$A$1:$A$1001,MATCH(B819,Detail!$G$1:$G$1001,0))</f>
        <v>37431</v>
      </c>
      <c r="Q819" s="3" t="str">
        <f>INDEX(Detail!$F$1:$F$1001,MATCH(Main!B819,Detail!$G$1:$G$1001,0))</f>
        <v>Tasikmalaya</v>
      </c>
      <c r="R819" s="7">
        <f>INDEX(Detail!$C$1:$C$1001,MATCH(B819,Detail!$G$1:$G$1001,0),1)</f>
        <v>169</v>
      </c>
      <c r="S819" s="7">
        <f>INDEX(Detail!$D$1:$D$1001,MATCH(B819,Detail!$G$1:$G$1001,0),1)</f>
        <v>94</v>
      </c>
      <c r="T819" s="7" t="str">
        <f>INDEX(Detail!$E$1:$E$1001,MATCH(Main!B819,Detail!$G$1:$G$1001,0))</f>
        <v xml:space="preserve">Gg. Kiaracondong No. 9
</v>
      </c>
      <c r="U819" s="7" t="str">
        <f>INDEX(Detail!$B$1:$B$1001,MATCH(B819,Detail!$G$1:$G$1001,0),1)</f>
        <v>O-</v>
      </c>
    </row>
    <row r="820" spans="1:21" ht="15.75" x14ac:dyDescent="0.25">
      <c r="A820">
        <v>827</v>
      </c>
      <c r="B820" s="3" t="str">
        <f t="shared" si="37"/>
        <v>E0827</v>
      </c>
      <c r="C820" t="s">
        <v>1010</v>
      </c>
      <c r="D820" s="3" t="str">
        <f>VLOOKUP(B820,Detail!$G$1:$H$1001,2,FALSE)</f>
        <v>Melinda Utama</v>
      </c>
      <c r="E820">
        <v>56</v>
      </c>
      <c r="F820">
        <v>49</v>
      </c>
      <c r="G820" s="35">
        <v>88</v>
      </c>
      <c r="H820">
        <v>50</v>
      </c>
      <c r="I820">
        <v>53</v>
      </c>
      <c r="J820">
        <v>70</v>
      </c>
      <c r="K820">
        <v>75</v>
      </c>
      <c r="L820" s="26" t="str">
        <f>IFERROR(VLOOKUP(B820,Absen!$A$1:$C$501,2,FALSE),"No")</f>
        <v>No</v>
      </c>
      <c r="M820" s="44">
        <f t="shared" si="35"/>
        <v>7.5</v>
      </c>
      <c r="N820" s="35">
        <f t="shared" si="36"/>
        <v>65.099999999999994</v>
      </c>
      <c r="O820" t="str">
        <f>VLOOKUP(N820,Helper!$B$30:$C$35,2,TRUE)</f>
        <v>C</v>
      </c>
      <c r="P820" s="26">
        <f>INDEX(Detail!$A$1:$A$1001,MATCH(B820,Detail!$G$1:$G$1001,0))</f>
        <v>37607</v>
      </c>
      <c r="Q820" s="3" t="str">
        <f>INDEX(Detail!$F$1:$F$1001,MATCH(Main!B820,Detail!$G$1:$G$1001,0))</f>
        <v>Sabang</v>
      </c>
      <c r="R820" s="7">
        <f>INDEX(Detail!$C$1:$C$1001,MATCH(B820,Detail!$G$1:$G$1001,0),1)</f>
        <v>172</v>
      </c>
      <c r="S820" s="7">
        <f>INDEX(Detail!$D$1:$D$1001,MATCH(B820,Detail!$G$1:$G$1001,0),1)</f>
        <v>85</v>
      </c>
      <c r="T820" s="7" t="str">
        <f>INDEX(Detail!$E$1:$E$1001,MATCH(Main!B820,Detail!$G$1:$G$1001,0))</f>
        <v>Gang Sadang Serang No. 87</v>
      </c>
      <c r="U820" s="7" t="str">
        <f>INDEX(Detail!$B$1:$B$1001,MATCH(B820,Detail!$G$1:$G$1001,0),1)</f>
        <v>B-</v>
      </c>
    </row>
    <row r="821" spans="1:21" ht="15.75" x14ac:dyDescent="0.25">
      <c r="A821">
        <v>833</v>
      </c>
      <c r="B821" s="3" t="str">
        <f t="shared" si="37"/>
        <v>E0833</v>
      </c>
      <c r="C821" t="s">
        <v>1010</v>
      </c>
      <c r="D821" s="3" t="str">
        <f>VLOOKUP(B821,Detail!$G$1:$H$1001,2,FALSE)</f>
        <v>Julia Kuswandari</v>
      </c>
      <c r="E821">
        <v>68</v>
      </c>
      <c r="F821">
        <v>60</v>
      </c>
      <c r="G821" s="35">
        <v>30</v>
      </c>
      <c r="H821">
        <v>67</v>
      </c>
      <c r="I821">
        <v>91</v>
      </c>
      <c r="J821">
        <v>91</v>
      </c>
      <c r="K821">
        <v>81</v>
      </c>
      <c r="L821" s="26">
        <f>IFERROR(VLOOKUP(B821,Absen!$A$1:$C$501,2,FALSE),"No")</f>
        <v>44890</v>
      </c>
      <c r="M821" s="44">
        <f t="shared" si="35"/>
        <v>7.1000000000000005</v>
      </c>
      <c r="N821" s="35">
        <f t="shared" si="36"/>
        <v>67.05</v>
      </c>
      <c r="O821" t="str">
        <f>VLOOKUP(N821,Helper!$B$30:$C$35,2,TRUE)</f>
        <v>C</v>
      </c>
      <c r="P821" s="26">
        <f>INDEX(Detail!$A$1:$A$1001,MATCH(B821,Detail!$G$1:$G$1001,0))</f>
        <v>37472</v>
      </c>
      <c r="Q821" s="3" t="str">
        <f>INDEX(Detail!$F$1:$F$1001,MATCH(Main!B821,Detail!$G$1:$G$1001,0))</f>
        <v>Banda Aceh</v>
      </c>
      <c r="R821" s="7">
        <f>INDEX(Detail!$C$1:$C$1001,MATCH(B821,Detail!$G$1:$G$1001,0),1)</f>
        <v>165</v>
      </c>
      <c r="S821" s="7">
        <f>INDEX(Detail!$D$1:$D$1001,MATCH(B821,Detail!$G$1:$G$1001,0),1)</f>
        <v>50</v>
      </c>
      <c r="T821" s="7" t="str">
        <f>INDEX(Detail!$E$1:$E$1001,MATCH(Main!B821,Detail!$G$1:$G$1001,0))</f>
        <v>Gang BKR No. 89</v>
      </c>
      <c r="U821" s="7" t="str">
        <f>INDEX(Detail!$B$1:$B$1001,MATCH(B821,Detail!$G$1:$G$1001,0),1)</f>
        <v>O+</v>
      </c>
    </row>
    <row r="822" spans="1:21" ht="15.75" x14ac:dyDescent="0.25">
      <c r="A822">
        <v>848</v>
      </c>
      <c r="B822" s="3" t="str">
        <f t="shared" si="37"/>
        <v>E0848</v>
      </c>
      <c r="C822" t="s">
        <v>1010</v>
      </c>
      <c r="D822" s="3" t="str">
        <f>VLOOKUP(B822,Detail!$G$1:$H$1001,2,FALSE)</f>
        <v>Shania Pertiwi</v>
      </c>
      <c r="E822">
        <v>92</v>
      </c>
      <c r="F822">
        <v>58</v>
      </c>
      <c r="G822" s="35">
        <v>47</v>
      </c>
      <c r="H822">
        <v>54</v>
      </c>
      <c r="I822">
        <v>51</v>
      </c>
      <c r="J822">
        <v>79</v>
      </c>
      <c r="K822">
        <v>71</v>
      </c>
      <c r="L822" s="26">
        <f>IFERROR(VLOOKUP(B822,Absen!$A$1:$C$501,2,FALSE),"No")</f>
        <v>44811</v>
      </c>
      <c r="M822" s="44">
        <f t="shared" si="35"/>
        <v>6.1000000000000005</v>
      </c>
      <c r="N822" s="35">
        <f t="shared" si="36"/>
        <v>63.175000000000004</v>
      </c>
      <c r="O822" t="str">
        <f>VLOOKUP(N822,Helper!$B$30:$C$35,2,TRUE)</f>
        <v>C</v>
      </c>
      <c r="P822" s="26">
        <f>INDEX(Detail!$A$1:$A$1001,MATCH(B822,Detail!$G$1:$G$1001,0))</f>
        <v>37259</v>
      </c>
      <c r="Q822" s="3" t="str">
        <f>INDEX(Detail!$F$1:$F$1001,MATCH(Main!B822,Detail!$G$1:$G$1001,0))</f>
        <v>Surakarta</v>
      </c>
      <c r="R822" s="7">
        <f>INDEX(Detail!$C$1:$C$1001,MATCH(B822,Detail!$G$1:$G$1001,0),1)</f>
        <v>155</v>
      </c>
      <c r="S822" s="7">
        <f>INDEX(Detail!$D$1:$D$1001,MATCH(B822,Detail!$G$1:$G$1001,0),1)</f>
        <v>82</v>
      </c>
      <c r="T822" s="7" t="str">
        <f>INDEX(Detail!$E$1:$E$1001,MATCH(Main!B822,Detail!$G$1:$G$1001,0))</f>
        <v>Jl. Bangka Raya No. 78</v>
      </c>
      <c r="U822" s="7" t="str">
        <f>INDEX(Detail!$B$1:$B$1001,MATCH(B822,Detail!$G$1:$G$1001,0),1)</f>
        <v>AB+</v>
      </c>
    </row>
    <row r="823" spans="1:21" ht="15.75" x14ac:dyDescent="0.25">
      <c r="A823">
        <v>851</v>
      </c>
      <c r="B823" s="3" t="str">
        <f t="shared" si="37"/>
        <v>E0851</v>
      </c>
      <c r="C823" t="s">
        <v>1010</v>
      </c>
      <c r="D823" s="3" t="str">
        <f>VLOOKUP(B823,Detail!$G$1:$H$1001,2,FALSE)</f>
        <v>Darmaji Budiman</v>
      </c>
      <c r="E823">
        <v>58</v>
      </c>
      <c r="F823">
        <v>55</v>
      </c>
      <c r="G823" s="35">
        <v>78</v>
      </c>
      <c r="H823">
        <v>62</v>
      </c>
      <c r="I823">
        <v>65</v>
      </c>
      <c r="J823">
        <v>99</v>
      </c>
      <c r="K823">
        <v>88</v>
      </c>
      <c r="L823" s="26" t="str">
        <f>IFERROR(VLOOKUP(B823,Absen!$A$1:$C$501,2,FALSE),"No")</f>
        <v>No</v>
      </c>
      <c r="M823" s="44">
        <f t="shared" si="35"/>
        <v>8.8000000000000007</v>
      </c>
      <c r="N823" s="35">
        <f t="shared" si="36"/>
        <v>74.2</v>
      </c>
      <c r="O823" t="str">
        <f>VLOOKUP(N823,Helper!$B$30:$C$35,2,TRUE)</f>
        <v>B</v>
      </c>
      <c r="P823" s="26">
        <f>INDEX(Detail!$A$1:$A$1001,MATCH(B823,Detail!$G$1:$G$1001,0))</f>
        <v>37598</v>
      </c>
      <c r="Q823" s="3" t="str">
        <f>INDEX(Detail!$F$1:$F$1001,MATCH(Main!B823,Detail!$G$1:$G$1001,0))</f>
        <v>Pontianak</v>
      </c>
      <c r="R823" s="7">
        <f>INDEX(Detail!$C$1:$C$1001,MATCH(B823,Detail!$G$1:$G$1001,0),1)</f>
        <v>157</v>
      </c>
      <c r="S823" s="7">
        <f>INDEX(Detail!$D$1:$D$1001,MATCH(B823,Detail!$G$1:$G$1001,0),1)</f>
        <v>88</v>
      </c>
      <c r="T823" s="7" t="str">
        <f>INDEX(Detail!$E$1:$E$1001,MATCH(Main!B823,Detail!$G$1:$G$1001,0))</f>
        <v>Gg. Joyoboyo No. 46</v>
      </c>
      <c r="U823" s="7" t="str">
        <f>INDEX(Detail!$B$1:$B$1001,MATCH(B823,Detail!$G$1:$G$1001,0),1)</f>
        <v>AB+</v>
      </c>
    </row>
    <row r="824" spans="1:21" ht="15.75" x14ac:dyDescent="0.25">
      <c r="A824">
        <v>852</v>
      </c>
      <c r="B824" s="3" t="str">
        <f t="shared" si="37"/>
        <v>E0852</v>
      </c>
      <c r="C824" t="s">
        <v>1010</v>
      </c>
      <c r="D824" s="3" t="str">
        <f>VLOOKUP(B824,Detail!$G$1:$H$1001,2,FALSE)</f>
        <v>Bambang Haryanto</v>
      </c>
      <c r="E824">
        <v>78</v>
      </c>
      <c r="F824">
        <v>65</v>
      </c>
      <c r="G824" s="35">
        <v>69</v>
      </c>
      <c r="H824">
        <v>73</v>
      </c>
      <c r="I824">
        <v>90</v>
      </c>
      <c r="J824">
        <v>66</v>
      </c>
      <c r="K824">
        <v>89</v>
      </c>
      <c r="L824" s="26">
        <f>IFERROR(VLOOKUP(B824,Absen!$A$1:$C$501,2,FALSE),"No")</f>
        <v>44811</v>
      </c>
      <c r="M824" s="44">
        <f t="shared" si="35"/>
        <v>7.9</v>
      </c>
      <c r="N824" s="35">
        <f t="shared" si="36"/>
        <v>73.150000000000006</v>
      </c>
      <c r="O824" t="str">
        <f>VLOOKUP(N824,Helper!$B$30:$C$35,2,TRUE)</f>
        <v>B</v>
      </c>
      <c r="P824" s="26">
        <f>INDEX(Detail!$A$1:$A$1001,MATCH(B824,Detail!$G$1:$G$1001,0))</f>
        <v>37466</v>
      </c>
      <c r="Q824" s="3" t="str">
        <f>INDEX(Detail!$F$1:$F$1001,MATCH(Main!B824,Detail!$G$1:$G$1001,0))</f>
        <v>Bau-Bau</v>
      </c>
      <c r="R824" s="7">
        <f>INDEX(Detail!$C$1:$C$1001,MATCH(B824,Detail!$G$1:$G$1001,0),1)</f>
        <v>157</v>
      </c>
      <c r="S824" s="7">
        <f>INDEX(Detail!$D$1:$D$1001,MATCH(B824,Detail!$G$1:$G$1001,0),1)</f>
        <v>60</v>
      </c>
      <c r="T824" s="7" t="str">
        <f>INDEX(Detail!$E$1:$E$1001,MATCH(Main!B824,Detail!$G$1:$G$1001,0))</f>
        <v>Gg. Astana Anyar No. 64</v>
      </c>
      <c r="U824" s="7" t="str">
        <f>INDEX(Detail!$B$1:$B$1001,MATCH(B824,Detail!$G$1:$G$1001,0),1)</f>
        <v>AB+</v>
      </c>
    </row>
    <row r="825" spans="1:21" ht="15.75" x14ac:dyDescent="0.25">
      <c r="A825">
        <v>874</v>
      </c>
      <c r="B825" s="3" t="str">
        <f t="shared" si="37"/>
        <v>E0874</v>
      </c>
      <c r="C825" t="s">
        <v>1010</v>
      </c>
      <c r="D825" s="3" t="str">
        <f>VLOOKUP(B825,Detail!$G$1:$H$1001,2,FALSE)</f>
        <v>Danu Mulyani</v>
      </c>
      <c r="E825">
        <v>55</v>
      </c>
      <c r="F825">
        <v>48</v>
      </c>
      <c r="G825" s="35">
        <v>48</v>
      </c>
      <c r="H825">
        <v>72</v>
      </c>
      <c r="I825">
        <v>54</v>
      </c>
      <c r="J825">
        <v>82</v>
      </c>
      <c r="K825">
        <v>97</v>
      </c>
      <c r="L825" s="26" t="str">
        <f>IFERROR(VLOOKUP(B825,Absen!$A$1:$C$501,2,FALSE),"No")</f>
        <v>No</v>
      </c>
      <c r="M825" s="44">
        <f t="shared" si="35"/>
        <v>9.7000000000000011</v>
      </c>
      <c r="N825" s="35">
        <f t="shared" si="36"/>
        <v>64.325000000000003</v>
      </c>
      <c r="O825" t="str">
        <f>VLOOKUP(N825,Helper!$B$30:$C$35,2,TRUE)</f>
        <v>C</v>
      </c>
      <c r="P825" s="26">
        <f>INDEX(Detail!$A$1:$A$1001,MATCH(B825,Detail!$G$1:$G$1001,0))</f>
        <v>37674</v>
      </c>
      <c r="Q825" s="3" t="str">
        <f>INDEX(Detail!$F$1:$F$1001,MATCH(Main!B825,Detail!$G$1:$G$1001,0))</f>
        <v>Pariaman</v>
      </c>
      <c r="R825" s="7">
        <f>INDEX(Detail!$C$1:$C$1001,MATCH(B825,Detail!$G$1:$G$1001,0),1)</f>
        <v>160</v>
      </c>
      <c r="S825" s="7">
        <f>INDEX(Detail!$D$1:$D$1001,MATCH(B825,Detail!$G$1:$G$1001,0),1)</f>
        <v>57</v>
      </c>
      <c r="T825" s="7" t="str">
        <f>INDEX(Detail!$E$1:$E$1001,MATCH(Main!B825,Detail!$G$1:$G$1001,0))</f>
        <v>Jalan Ronggowarsito No. 39</v>
      </c>
      <c r="U825" s="7" t="str">
        <f>INDEX(Detail!$B$1:$B$1001,MATCH(B825,Detail!$G$1:$G$1001,0),1)</f>
        <v>B+</v>
      </c>
    </row>
    <row r="826" spans="1:21" ht="15.75" x14ac:dyDescent="0.25">
      <c r="A826">
        <v>894</v>
      </c>
      <c r="B826" s="3" t="str">
        <f t="shared" si="37"/>
        <v>E0894</v>
      </c>
      <c r="C826" t="s">
        <v>1010</v>
      </c>
      <c r="D826" s="3" t="str">
        <f>VLOOKUP(B826,Detail!$G$1:$H$1001,2,FALSE)</f>
        <v>Harimurti Iswahyudi</v>
      </c>
      <c r="E826">
        <v>67</v>
      </c>
      <c r="F826">
        <v>65</v>
      </c>
      <c r="G826" s="35">
        <v>65</v>
      </c>
      <c r="H826">
        <v>60</v>
      </c>
      <c r="I826">
        <v>63</v>
      </c>
      <c r="J826">
        <v>99</v>
      </c>
      <c r="K826">
        <v>96</v>
      </c>
      <c r="L826" s="26" t="str">
        <f>IFERROR(VLOOKUP(B826,Absen!$A$1:$C$501,2,FALSE),"No")</f>
        <v>No</v>
      </c>
      <c r="M826" s="44">
        <f t="shared" si="35"/>
        <v>9.6000000000000014</v>
      </c>
      <c r="N826" s="35">
        <f t="shared" si="36"/>
        <v>74.275000000000006</v>
      </c>
      <c r="O826" t="str">
        <f>VLOOKUP(N826,Helper!$B$30:$C$35,2,TRUE)</f>
        <v>B</v>
      </c>
      <c r="P826" s="26">
        <f>INDEX(Detail!$A$1:$A$1001,MATCH(B826,Detail!$G$1:$G$1001,0))</f>
        <v>37754</v>
      </c>
      <c r="Q826" s="3" t="str">
        <f>INDEX(Detail!$F$1:$F$1001,MATCH(Main!B826,Detail!$G$1:$G$1001,0))</f>
        <v>Magelang</v>
      </c>
      <c r="R826" s="7">
        <f>INDEX(Detail!$C$1:$C$1001,MATCH(B826,Detail!$G$1:$G$1001,0),1)</f>
        <v>163</v>
      </c>
      <c r="S826" s="7">
        <f>INDEX(Detail!$D$1:$D$1001,MATCH(B826,Detail!$G$1:$G$1001,0),1)</f>
        <v>76</v>
      </c>
      <c r="T826" s="7" t="str">
        <f>INDEX(Detail!$E$1:$E$1001,MATCH(Main!B826,Detail!$G$1:$G$1001,0))</f>
        <v xml:space="preserve">Gg. Kebonjati No. 4
</v>
      </c>
      <c r="U826" s="7" t="str">
        <f>INDEX(Detail!$B$1:$B$1001,MATCH(B826,Detail!$G$1:$G$1001,0),1)</f>
        <v>A-</v>
      </c>
    </row>
    <row r="827" spans="1:21" ht="15.75" x14ac:dyDescent="0.25">
      <c r="A827">
        <v>909</v>
      </c>
      <c r="B827" s="3" t="str">
        <f t="shared" si="37"/>
        <v>E0909</v>
      </c>
      <c r="C827" t="s">
        <v>1010</v>
      </c>
      <c r="D827" s="3" t="str">
        <f>VLOOKUP(B827,Detail!$G$1:$H$1001,2,FALSE)</f>
        <v>Dariati Samosir</v>
      </c>
      <c r="E827">
        <v>52</v>
      </c>
      <c r="F827">
        <v>45</v>
      </c>
      <c r="G827" s="35">
        <v>36</v>
      </c>
      <c r="H827">
        <v>57</v>
      </c>
      <c r="I827">
        <v>82</v>
      </c>
      <c r="J827">
        <v>57</v>
      </c>
      <c r="K827">
        <v>69</v>
      </c>
      <c r="L827" s="26" t="str">
        <f>IFERROR(VLOOKUP(B827,Absen!$A$1:$C$501,2,FALSE),"No")</f>
        <v>No</v>
      </c>
      <c r="M827" s="44">
        <f t="shared" si="35"/>
        <v>6.9</v>
      </c>
      <c r="N827" s="35">
        <f t="shared" si="36"/>
        <v>55</v>
      </c>
      <c r="O827" t="str">
        <f>VLOOKUP(N827,Helper!$B$30:$C$35,2,TRUE)</f>
        <v>D</v>
      </c>
      <c r="P827" s="26">
        <f>INDEX(Detail!$A$1:$A$1001,MATCH(B827,Detail!$G$1:$G$1001,0))</f>
        <v>37425</v>
      </c>
      <c r="Q827" s="3" t="str">
        <f>INDEX(Detail!$F$1:$F$1001,MATCH(Main!B827,Detail!$G$1:$G$1001,0))</f>
        <v>Semarang</v>
      </c>
      <c r="R827" s="7">
        <f>INDEX(Detail!$C$1:$C$1001,MATCH(B827,Detail!$G$1:$G$1001,0),1)</f>
        <v>170</v>
      </c>
      <c r="S827" s="7">
        <f>INDEX(Detail!$D$1:$D$1001,MATCH(B827,Detail!$G$1:$G$1001,0),1)</f>
        <v>65</v>
      </c>
      <c r="T827" s="7" t="str">
        <f>INDEX(Detail!$E$1:$E$1001,MATCH(Main!B827,Detail!$G$1:$G$1001,0))</f>
        <v xml:space="preserve">Gang Sukajadi No. 1
</v>
      </c>
      <c r="U827" s="7" t="str">
        <f>INDEX(Detail!$B$1:$B$1001,MATCH(B827,Detail!$G$1:$G$1001,0),1)</f>
        <v>O-</v>
      </c>
    </row>
    <row r="828" spans="1:21" ht="15.75" x14ac:dyDescent="0.25">
      <c r="A828">
        <v>919</v>
      </c>
      <c r="B828" s="3" t="str">
        <f t="shared" si="37"/>
        <v>E0919</v>
      </c>
      <c r="C828" t="s">
        <v>1010</v>
      </c>
      <c r="D828" s="3" t="str">
        <f>VLOOKUP(B828,Detail!$G$1:$H$1001,2,FALSE)</f>
        <v>Karman Hidayat</v>
      </c>
      <c r="E828">
        <v>75</v>
      </c>
      <c r="F828">
        <v>56</v>
      </c>
      <c r="G828" s="35">
        <v>56</v>
      </c>
      <c r="H828">
        <v>52</v>
      </c>
      <c r="I828">
        <v>76</v>
      </c>
      <c r="J828">
        <v>75</v>
      </c>
      <c r="K828">
        <v>72</v>
      </c>
      <c r="L828" s="26">
        <f>IFERROR(VLOOKUP(B828,Absen!$A$1:$C$501,2,FALSE),"No")</f>
        <v>44857</v>
      </c>
      <c r="M828" s="44">
        <f t="shared" si="35"/>
        <v>6.2</v>
      </c>
      <c r="N828" s="35">
        <f t="shared" si="36"/>
        <v>64.775000000000006</v>
      </c>
      <c r="O828" t="str">
        <f>VLOOKUP(N828,Helper!$B$30:$C$35,2,TRUE)</f>
        <v>C</v>
      </c>
      <c r="P828" s="26">
        <f>INDEX(Detail!$A$1:$A$1001,MATCH(B828,Detail!$G$1:$G$1001,0))</f>
        <v>37921</v>
      </c>
      <c r="Q828" s="3" t="str">
        <f>INDEX(Detail!$F$1:$F$1001,MATCH(Main!B828,Detail!$G$1:$G$1001,0))</f>
        <v>Kota Administrasi Jakarta Pusat</v>
      </c>
      <c r="R828" s="7">
        <f>INDEX(Detail!$C$1:$C$1001,MATCH(B828,Detail!$G$1:$G$1001,0),1)</f>
        <v>154</v>
      </c>
      <c r="S828" s="7">
        <f>INDEX(Detail!$D$1:$D$1001,MATCH(B828,Detail!$G$1:$G$1001,0),1)</f>
        <v>73</v>
      </c>
      <c r="T828" s="7" t="str">
        <f>INDEX(Detail!$E$1:$E$1001,MATCH(Main!B828,Detail!$G$1:$G$1001,0))</f>
        <v>Jalan Rajawali Timur No. 19</v>
      </c>
      <c r="U828" s="7" t="str">
        <f>INDEX(Detail!$B$1:$B$1001,MATCH(B828,Detail!$G$1:$G$1001,0),1)</f>
        <v>O+</v>
      </c>
    </row>
    <row r="829" spans="1:21" ht="15.75" x14ac:dyDescent="0.25">
      <c r="A829">
        <v>933</v>
      </c>
      <c r="B829" s="3" t="str">
        <f t="shared" si="37"/>
        <v>E0933</v>
      </c>
      <c r="C829" t="s">
        <v>1010</v>
      </c>
      <c r="D829" s="3" t="str">
        <f>VLOOKUP(B829,Detail!$G$1:$H$1001,2,FALSE)</f>
        <v>Prima Saefullah</v>
      </c>
      <c r="E829">
        <v>59</v>
      </c>
      <c r="F829">
        <v>69</v>
      </c>
      <c r="G829" s="35">
        <v>47</v>
      </c>
      <c r="H829">
        <v>58</v>
      </c>
      <c r="I829">
        <v>85</v>
      </c>
      <c r="J829">
        <v>46</v>
      </c>
      <c r="K829">
        <v>77</v>
      </c>
      <c r="L829" s="26" t="str">
        <f>IFERROR(VLOOKUP(B829,Absen!$A$1:$C$501,2,FALSE),"No")</f>
        <v>No</v>
      </c>
      <c r="M829" s="44">
        <f t="shared" si="35"/>
        <v>7.7</v>
      </c>
      <c r="N829" s="35">
        <f t="shared" si="36"/>
        <v>60.175000000000004</v>
      </c>
      <c r="O829" t="str">
        <f>VLOOKUP(N829,Helper!$B$30:$C$35,2,TRUE)</f>
        <v>C</v>
      </c>
      <c r="P829" s="26">
        <f>INDEX(Detail!$A$1:$A$1001,MATCH(B829,Detail!$G$1:$G$1001,0))</f>
        <v>37672</v>
      </c>
      <c r="Q829" s="3" t="str">
        <f>INDEX(Detail!$F$1:$F$1001,MATCH(Main!B829,Detail!$G$1:$G$1001,0))</f>
        <v>Pagaralam</v>
      </c>
      <c r="R829" s="7">
        <f>INDEX(Detail!$C$1:$C$1001,MATCH(B829,Detail!$G$1:$G$1001,0),1)</f>
        <v>176</v>
      </c>
      <c r="S829" s="7">
        <f>INDEX(Detail!$D$1:$D$1001,MATCH(B829,Detail!$G$1:$G$1001,0),1)</f>
        <v>72</v>
      </c>
      <c r="T829" s="7" t="str">
        <f>INDEX(Detail!$E$1:$E$1001,MATCH(Main!B829,Detail!$G$1:$G$1001,0))</f>
        <v>Jalan Cihampelas No. 50</v>
      </c>
      <c r="U829" s="7" t="str">
        <f>INDEX(Detail!$B$1:$B$1001,MATCH(B829,Detail!$G$1:$G$1001,0),1)</f>
        <v>AB+</v>
      </c>
    </row>
    <row r="830" spans="1:21" ht="15.75" x14ac:dyDescent="0.25">
      <c r="A830">
        <v>944</v>
      </c>
      <c r="B830" s="3" t="str">
        <f t="shared" si="37"/>
        <v>E0944</v>
      </c>
      <c r="C830" t="s">
        <v>1010</v>
      </c>
      <c r="D830" s="3" t="str">
        <f>VLOOKUP(B830,Detail!$G$1:$H$1001,2,FALSE)</f>
        <v>Ikhsan Maheswara</v>
      </c>
      <c r="E830">
        <v>81</v>
      </c>
      <c r="F830">
        <v>62</v>
      </c>
      <c r="G830" s="35">
        <v>65</v>
      </c>
      <c r="H830">
        <v>73</v>
      </c>
      <c r="I830">
        <v>55</v>
      </c>
      <c r="J830">
        <v>45</v>
      </c>
      <c r="K830">
        <v>74</v>
      </c>
      <c r="L830" s="26">
        <f>IFERROR(VLOOKUP(B830,Absen!$A$1:$C$501,2,FALSE),"No")</f>
        <v>44823</v>
      </c>
      <c r="M830" s="44">
        <f t="shared" si="35"/>
        <v>6.4</v>
      </c>
      <c r="N830" s="35">
        <f t="shared" si="36"/>
        <v>62.274999999999999</v>
      </c>
      <c r="O830" t="str">
        <f>VLOOKUP(N830,Helper!$B$30:$C$35,2,TRUE)</f>
        <v>C</v>
      </c>
      <c r="P830" s="26">
        <f>INDEX(Detail!$A$1:$A$1001,MATCH(B830,Detail!$G$1:$G$1001,0))</f>
        <v>37972</v>
      </c>
      <c r="Q830" s="3" t="str">
        <f>INDEX(Detail!$F$1:$F$1001,MATCH(Main!B830,Detail!$G$1:$G$1001,0))</f>
        <v>Jambi</v>
      </c>
      <c r="R830" s="7">
        <f>INDEX(Detail!$C$1:$C$1001,MATCH(B830,Detail!$G$1:$G$1001,0),1)</f>
        <v>175</v>
      </c>
      <c r="S830" s="7">
        <f>INDEX(Detail!$D$1:$D$1001,MATCH(B830,Detail!$G$1:$G$1001,0),1)</f>
        <v>48</v>
      </c>
      <c r="T830" s="7" t="str">
        <f>INDEX(Detail!$E$1:$E$1001,MATCH(Main!B830,Detail!$G$1:$G$1001,0))</f>
        <v xml:space="preserve">Jalan H.J Maemunah No. 5
</v>
      </c>
      <c r="U830" s="7" t="str">
        <f>INDEX(Detail!$B$1:$B$1001,MATCH(B830,Detail!$G$1:$G$1001,0),1)</f>
        <v>A-</v>
      </c>
    </row>
    <row r="831" spans="1:21" ht="15.75" x14ac:dyDescent="0.25">
      <c r="A831">
        <v>947</v>
      </c>
      <c r="B831" s="3" t="str">
        <f t="shared" si="37"/>
        <v>E0947</v>
      </c>
      <c r="C831" t="s">
        <v>1010</v>
      </c>
      <c r="D831" s="3" t="str">
        <f>VLOOKUP(B831,Detail!$G$1:$H$1001,2,FALSE)</f>
        <v>Labuh Purnawati</v>
      </c>
      <c r="E831">
        <v>93</v>
      </c>
      <c r="F831">
        <v>53</v>
      </c>
      <c r="G831" s="35">
        <v>39</v>
      </c>
      <c r="H831">
        <v>57</v>
      </c>
      <c r="I831">
        <v>70</v>
      </c>
      <c r="J831">
        <v>88</v>
      </c>
      <c r="K831">
        <v>69</v>
      </c>
      <c r="L831" s="26" t="str">
        <f>IFERROR(VLOOKUP(B831,Absen!$A$1:$C$501,2,FALSE),"No")</f>
        <v>No</v>
      </c>
      <c r="M831" s="44">
        <f t="shared" si="35"/>
        <v>6.9</v>
      </c>
      <c r="N831" s="35">
        <f t="shared" si="36"/>
        <v>66.424999999999997</v>
      </c>
      <c r="O831" t="str">
        <f>VLOOKUP(N831,Helper!$B$30:$C$35,2,TRUE)</f>
        <v>C</v>
      </c>
      <c r="P831" s="26">
        <f>INDEX(Detail!$A$1:$A$1001,MATCH(B831,Detail!$G$1:$G$1001,0))</f>
        <v>37650</v>
      </c>
      <c r="Q831" s="3" t="str">
        <f>INDEX(Detail!$F$1:$F$1001,MATCH(Main!B831,Detail!$G$1:$G$1001,0))</f>
        <v>Bitung</v>
      </c>
      <c r="R831" s="7">
        <f>INDEX(Detail!$C$1:$C$1001,MATCH(B831,Detail!$G$1:$G$1001,0),1)</f>
        <v>171</v>
      </c>
      <c r="S831" s="7">
        <f>INDEX(Detail!$D$1:$D$1001,MATCH(B831,Detail!$G$1:$G$1001,0),1)</f>
        <v>87</v>
      </c>
      <c r="T831" s="7" t="str">
        <f>INDEX(Detail!$E$1:$E$1001,MATCH(Main!B831,Detail!$G$1:$G$1001,0))</f>
        <v>Gg. Yos Sudarso No. 38</v>
      </c>
      <c r="U831" s="7" t="str">
        <f>INDEX(Detail!$B$1:$B$1001,MATCH(B831,Detail!$G$1:$G$1001,0),1)</f>
        <v>B+</v>
      </c>
    </row>
    <row r="832" spans="1:21" ht="15.75" x14ac:dyDescent="0.25">
      <c r="A832">
        <v>961</v>
      </c>
      <c r="B832" s="3" t="str">
        <f t="shared" si="37"/>
        <v>E0961</v>
      </c>
      <c r="C832" t="s">
        <v>1010</v>
      </c>
      <c r="D832" s="3" t="str">
        <f>VLOOKUP(B832,Detail!$G$1:$H$1001,2,FALSE)</f>
        <v>Gantar Prayoga</v>
      </c>
      <c r="E832">
        <v>54</v>
      </c>
      <c r="F832">
        <v>45</v>
      </c>
      <c r="G832" s="35">
        <v>32</v>
      </c>
      <c r="H832">
        <v>72</v>
      </c>
      <c r="I832">
        <v>80</v>
      </c>
      <c r="J832">
        <v>75</v>
      </c>
      <c r="K832">
        <v>95</v>
      </c>
      <c r="L832" s="26" t="str">
        <f>IFERROR(VLOOKUP(B832,Absen!$A$1:$C$501,2,FALSE),"No")</f>
        <v>No</v>
      </c>
      <c r="M832" s="44">
        <f t="shared" si="35"/>
        <v>9.5</v>
      </c>
      <c r="N832" s="35">
        <f t="shared" si="36"/>
        <v>62.274999999999999</v>
      </c>
      <c r="O832" t="str">
        <f>VLOOKUP(N832,Helper!$B$30:$C$35,2,TRUE)</f>
        <v>C</v>
      </c>
      <c r="P832" s="26">
        <f>INDEX(Detail!$A$1:$A$1001,MATCH(B832,Detail!$G$1:$G$1001,0))</f>
        <v>37453</v>
      </c>
      <c r="Q832" s="3" t="str">
        <f>INDEX(Detail!$F$1:$F$1001,MATCH(Main!B832,Detail!$G$1:$G$1001,0))</f>
        <v>Ambon</v>
      </c>
      <c r="R832" s="7">
        <f>INDEX(Detail!$C$1:$C$1001,MATCH(B832,Detail!$G$1:$G$1001,0),1)</f>
        <v>175</v>
      </c>
      <c r="S832" s="7">
        <f>INDEX(Detail!$D$1:$D$1001,MATCH(B832,Detail!$G$1:$G$1001,0),1)</f>
        <v>86</v>
      </c>
      <c r="T832" s="7" t="str">
        <f>INDEX(Detail!$E$1:$E$1001,MATCH(Main!B832,Detail!$G$1:$G$1001,0))</f>
        <v xml:space="preserve">Jl. Abdul Muis No. 6
</v>
      </c>
      <c r="U832" s="7" t="str">
        <f>INDEX(Detail!$B$1:$B$1001,MATCH(B832,Detail!$G$1:$G$1001,0),1)</f>
        <v>B+</v>
      </c>
    </row>
    <row r="833" spans="1:21" ht="15.75" x14ac:dyDescent="0.25">
      <c r="A833">
        <v>967</v>
      </c>
      <c r="B833" s="3" t="str">
        <f t="shared" si="37"/>
        <v>E0967</v>
      </c>
      <c r="C833" t="s">
        <v>1010</v>
      </c>
      <c r="D833" s="3" t="str">
        <f>VLOOKUP(B833,Detail!$G$1:$H$1001,2,FALSE)</f>
        <v>Hana Prasetya</v>
      </c>
      <c r="E833">
        <v>83</v>
      </c>
      <c r="F833">
        <v>48</v>
      </c>
      <c r="G833" s="35">
        <v>39</v>
      </c>
      <c r="H833">
        <v>62</v>
      </c>
      <c r="I833">
        <v>62</v>
      </c>
      <c r="J833">
        <v>85</v>
      </c>
      <c r="K833">
        <v>91</v>
      </c>
      <c r="L833" s="26">
        <f>IFERROR(VLOOKUP(B833,Absen!$A$1:$C$501,2,FALSE),"No")</f>
        <v>44840</v>
      </c>
      <c r="M833" s="44">
        <f t="shared" si="35"/>
        <v>8.1</v>
      </c>
      <c r="N833" s="35">
        <f t="shared" si="36"/>
        <v>64.774999999999991</v>
      </c>
      <c r="O833" t="str">
        <f>VLOOKUP(N833,Helper!$B$30:$C$35,2,TRUE)</f>
        <v>C</v>
      </c>
      <c r="P833" s="26">
        <f>INDEX(Detail!$A$1:$A$1001,MATCH(B833,Detail!$G$1:$G$1001,0))</f>
        <v>38134</v>
      </c>
      <c r="Q833" s="3" t="str">
        <f>INDEX(Detail!$F$1:$F$1001,MATCH(Main!B833,Detail!$G$1:$G$1001,0))</f>
        <v>Bau-Bau</v>
      </c>
      <c r="R833" s="7">
        <f>INDEX(Detail!$C$1:$C$1001,MATCH(B833,Detail!$G$1:$G$1001,0),1)</f>
        <v>170</v>
      </c>
      <c r="S833" s="7">
        <f>INDEX(Detail!$D$1:$D$1001,MATCH(B833,Detail!$G$1:$G$1001,0),1)</f>
        <v>52</v>
      </c>
      <c r="T833" s="7" t="str">
        <f>INDEX(Detail!$E$1:$E$1001,MATCH(Main!B833,Detail!$G$1:$G$1001,0))</f>
        <v xml:space="preserve">Gg. Bangka Raya No. 9
</v>
      </c>
      <c r="U833" s="7" t="str">
        <f>INDEX(Detail!$B$1:$B$1001,MATCH(B833,Detail!$G$1:$G$1001,0),1)</f>
        <v>B-</v>
      </c>
    </row>
    <row r="834" spans="1:21" ht="15.75" x14ac:dyDescent="0.25">
      <c r="A834">
        <v>968</v>
      </c>
      <c r="B834" s="3" t="str">
        <f t="shared" si="37"/>
        <v>E0968</v>
      </c>
      <c r="C834" t="s">
        <v>1010</v>
      </c>
      <c r="D834" s="3" t="str">
        <f>VLOOKUP(B834,Detail!$G$1:$H$1001,2,FALSE)</f>
        <v>Eva Puspita</v>
      </c>
      <c r="E834">
        <v>88</v>
      </c>
      <c r="F834">
        <v>44</v>
      </c>
      <c r="G834" s="35">
        <v>85</v>
      </c>
      <c r="H834">
        <v>54</v>
      </c>
      <c r="I834">
        <v>55</v>
      </c>
      <c r="J834">
        <v>81</v>
      </c>
      <c r="K834">
        <v>64</v>
      </c>
      <c r="L834" s="26" t="str">
        <f>IFERROR(VLOOKUP(B834,Absen!$A$1:$C$501,2,FALSE),"No")</f>
        <v>No</v>
      </c>
      <c r="M834" s="44">
        <f t="shared" ref="M834:M897" si="38">IF(L834="no",K834,K834-10)*10%</f>
        <v>6.4</v>
      </c>
      <c r="N834" s="35">
        <f t="shared" ref="N834:N897" si="39">SUM(E834*12.5%,F834*12.5%,H834*12.5%,I834*12.5%,G834*20%,J834*20%,M834)</f>
        <v>69.725000000000009</v>
      </c>
      <c r="O834" t="str">
        <f>VLOOKUP(N834,Helper!$B$30:$C$35,2,TRUE)</f>
        <v>C</v>
      </c>
      <c r="P834" s="26">
        <f>INDEX(Detail!$A$1:$A$1001,MATCH(B834,Detail!$G$1:$G$1001,0))</f>
        <v>37552</v>
      </c>
      <c r="Q834" s="3" t="str">
        <f>INDEX(Detail!$F$1:$F$1001,MATCH(Main!B834,Detail!$G$1:$G$1001,0))</f>
        <v>Bau-Bau</v>
      </c>
      <c r="R834" s="7">
        <f>INDEX(Detail!$C$1:$C$1001,MATCH(B834,Detail!$G$1:$G$1001,0),1)</f>
        <v>160</v>
      </c>
      <c r="S834" s="7">
        <f>INDEX(Detail!$D$1:$D$1001,MATCH(B834,Detail!$G$1:$G$1001,0),1)</f>
        <v>51</v>
      </c>
      <c r="T834" s="7" t="str">
        <f>INDEX(Detail!$E$1:$E$1001,MATCH(Main!B834,Detail!$G$1:$G$1001,0))</f>
        <v>Jl. Ir. H. Djuanda No. 77</v>
      </c>
      <c r="U834" s="7" t="str">
        <f>INDEX(Detail!$B$1:$B$1001,MATCH(B834,Detail!$G$1:$G$1001,0),1)</f>
        <v>O+</v>
      </c>
    </row>
    <row r="835" spans="1:21" ht="15.75" x14ac:dyDescent="0.25">
      <c r="A835">
        <v>975</v>
      </c>
      <c r="B835" s="3" t="str">
        <f t="shared" si="37"/>
        <v>E0975</v>
      </c>
      <c r="C835" t="s">
        <v>1010</v>
      </c>
      <c r="D835" s="3" t="str">
        <f>VLOOKUP(B835,Detail!$G$1:$H$1001,2,FALSE)</f>
        <v>Simon Widiastuti</v>
      </c>
      <c r="E835">
        <v>65</v>
      </c>
      <c r="F835">
        <v>48</v>
      </c>
      <c r="G835" s="35">
        <v>85</v>
      </c>
      <c r="H835">
        <v>68</v>
      </c>
      <c r="I835">
        <v>84</v>
      </c>
      <c r="J835">
        <v>70</v>
      </c>
      <c r="K835">
        <v>64</v>
      </c>
      <c r="L835" s="26" t="str">
        <f>IFERROR(VLOOKUP(B835,Absen!$A$1:$C$501,2,FALSE),"No")</f>
        <v>No</v>
      </c>
      <c r="M835" s="44">
        <f t="shared" si="38"/>
        <v>6.4</v>
      </c>
      <c r="N835" s="35">
        <f t="shared" si="39"/>
        <v>70.525000000000006</v>
      </c>
      <c r="O835" t="str">
        <f>VLOOKUP(N835,Helper!$B$30:$C$35,2,TRUE)</f>
        <v>B</v>
      </c>
      <c r="P835" s="26">
        <f>INDEX(Detail!$A$1:$A$1001,MATCH(B835,Detail!$G$1:$G$1001,0))</f>
        <v>38373</v>
      </c>
      <c r="Q835" s="3" t="str">
        <f>INDEX(Detail!$F$1:$F$1001,MATCH(Main!B835,Detail!$G$1:$G$1001,0))</f>
        <v>Magelang</v>
      </c>
      <c r="R835" s="7">
        <f>INDEX(Detail!$C$1:$C$1001,MATCH(B835,Detail!$G$1:$G$1001,0),1)</f>
        <v>180</v>
      </c>
      <c r="S835" s="7">
        <f>INDEX(Detail!$D$1:$D$1001,MATCH(B835,Detail!$G$1:$G$1001,0),1)</f>
        <v>91</v>
      </c>
      <c r="T835" s="7" t="str">
        <f>INDEX(Detail!$E$1:$E$1001,MATCH(Main!B835,Detail!$G$1:$G$1001,0))</f>
        <v>Jalan Rumah Sakit No. 66</v>
      </c>
      <c r="U835" s="7" t="str">
        <f>INDEX(Detail!$B$1:$B$1001,MATCH(B835,Detail!$G$1:$G$1001,0),1)</f>
        <v>A+</v>
      </c>
    </row>
    <row r="836" spans="1:21" ht="15.75" x14ac:dyDescent="0.25">
      <c r="A836">
        <v>981</v>
      </c>
      <c r="B836" s="3" t="str">
        <f t="shared" si="37"/>
        <v>E0981</v>
      </c>
      <c r="C836" t="s">
        <v>1010</v>
      </c>
      <c r="D836" s="3" t="str">
        <f>VLOOKUP(B836,Detail!$G$1:$H$1001,2,FALSE)</f>
        <v>Amelia Manullang</v>
      </c>
      <c r="E836">
        <v>79</v>
      </c>
      <c r="F836">
        <v>41</v>
      </c>
      <c r="G836" s="35">
        <v>91</v>
      </c>
      <c r="H836">
        <v>57</v>
      </c>
      <c r="I836">
        <v>78</v>
      </c>
      <c r="J836">
        <v>89</v>
      </c>
      <c r="K836">
        <v>96</v>
      </c>
      <c r="L836" s="26" t="str">
        <f>IFERROR(VLOOKUP(B836,Absen!$A$1:$C$501,2,FALSE),"No")</f>
        <v>No</v>
      </c>
      <c r="M836" s="44">
        <f t="shared" si="38"/>
        <v>9.6000000000000014</v>
      </c>
      <c r="N836" s="35">
        <f t="shared" si="39"/>
        <v>77.474999999999994</v>
      </c>
      <c r="O836" t="str">
        <f>VLOOKUP(N836,Helper!$B$30:$C$35,2,TRUE)</f>
        <v>B</v>
      </c>
      <c r="P836" s="26">
        <f>INDEX(Detail!$A$1:$A$1001,MATCH(B836,Detail!$G$1:$G$1001,0))</f>
        <v>37267</v>
      </c>
      <c r="Q836" s="3" t="str">
        <f>INDEX(Detail!$F$1:$F$1001,MATCH(Main!B836,Detail!$G$1:$G$1001,0))</f>
        <v>Solok</v>
      </c>
      <c r="R836" s="7">
        <f>INDEX(Detail!$C$1:$C$1001,MATCH(B836,Detail!$G$1:$G$1001,0),1)</f>
        <v>153</v>
      </c>
      <c r="S836" s="7">
        <f>INDEX(Detail!$D$1:$D$1001,MATCH(B836,Detail!$G$1:$G$1001,0),1)</f>
        <v>47</v>
      </c>
      <c r="T836" s="7" t="str">
        <f>INDEX(Detail!$E$1:$E$1001,MATCH(Main!B836,Detail!$G$1:$G$1001,0))</f>
        <v>Gg. Gegerkalong Hilir No. 12</v>
      </c>
      <c r="U836" s="7" t="str">
        <f>INDEX(Detail!$B$1:$B$1001,MATCH(B836,Detail!$G$1:$G$1001,0),1)</f>
        <v>AB-</v>
      </c>
    </row>
    <row r="837" spans="1:21" ht="15.75" x14ac:dyDescent="0.25">
      <c r="A837">
        <v>998</v>
      </c>
      <c r="B837" s="3" t="str">
        <f t="shared" si="37"/>
        <v>E0998</v>
      </c>
      <c r="C837" t="s">
        <v>1010</v>
      </c>
      <c r="D837" s="3" t="str">
        <f>VLOOKUP(B837,Detail!$G$1:$H$1001,2,FALSE)</f>
        <v>Ade Astuti</v>
      </c>
      <c r="E837">
        <v>50</v>
      </c>
      <c r="F837">
        <v>43</v>
      </c>
      <c r="G837" s="35">
        <v>89</v>
      </c>
      <c r="H837">
        <v>63</v>
      </c>
      <c r="I837">
        <v>84</v>
      </c>
      <c r="J837">
        <v>52</v>
      </c>
      <c r="K837">
        <v>75</v>
      </c>
      <c r="L837" s="26" t="str">
        <f>IFERROR(VLOOKUP(B837,Absen!$A$1:$C$501,2,FALSE),"No")</f>
        <v>No</v>
      </c>
      <c r="M837" s="44">
        <f t="shared" si="38"/>
        <v>7.5</v>
      </c>
      <c r="N837" s="35">
        <f t="shared" si="39"/>
        <v>65.699999999999989</v>
      </c>
      <c r="O837" t="str">
        <f>VLOOKUP(N837,Helper!$B$30:$C$35,2,TRUE)</f>
        <v>C</v>
      </c>
      <c r="P837" s="26">
        <f>INDEX(Detail!$A$1:$A$1001,MATCH(B837,Detail!$G$1:$G$1001,0))</f>
        <v>37749</v>
      </c>
      <c r="Q837" s="3" t="str">
        <f>INDEX(Detail!$F$1:$F$1001,MATCH(Main!B837,Detail!$G$1:$G$1001,0))</f>
        <v>Padang</v>
      </c>
      <c r="R837" s="7">
        <f>INDEX(Detail!$C$1:$C$1001,MATCH(B837,Detail!$G$1:$G$1001,0),1)</f>
        <v>180</v>
      </c>
      <c r="S837" s="7">
        <f>INDEX(Detail!$D$1:$D$1001,MATCH(B837,Detail!$G$1:$G$1001,0),1)</f>
        <v>55</v>
      </c>
      <c r="T837" s="7" t="str">
        <f>INDEX(Detail!$E$1:$E$1001,MATCH(Main!B837,Detail!$G$1:$G$1001,0))</f>
        <v>Jalan Pasteur No. 97</v>
      </c>
      <c r="U837" s="7" t="str">
        <f>INDEX(Detail!$B$1:$B$1001,MATCH(B837,Detail!$G$1:$G$1001,0),1)</f>
        <v>A-</v>
      </c>
    </row>
    <row r="838" spans="1:21" ht="15.75" x14ac:dyDescent="0.25">
      <c r="A838">
        <v>8</v>
      </c>
      <c r="B838" s="3" t="str">
        <f t="shared" ref="B838:B901" si="40">CONCATENATE("F",TEXT(A838,"0000"))</f>
        <v>F0008</v>
      </c>
      <c r="C838" t="s">
        <v>1011</v>
      </c>
      <c r="D838" s="3" t="str">
        <f>VLOOKUP(B838,Detail!$G$1:$H$1001,2,FALSE)</f>
        <v>Dadap Winarsih</v>
      </c>
      <c r="E838">
        <v>92</v>
      </c>
      <c r="F838">
        <v>75</v>
      </c>
      <c r="G838" s="35">
        <v>70</v>
      </c>
      <c r="H838">
        <v>70</v>
      </c>
      <c r="I838">
        <v>68</v>
      </c>
      <c r="J838">
        <v>65</v>
      </c>
      <c r="K838">
        <v>84</v>
      </c>
      <c r="L838" s="26" t="str">
        <f>IFERROR(VLOOKUP(B838,Absen!$A$1:$C$501,2,FALSE),"No")</f>
        <v>No</v>
      </c>
      <c r="M838" s="44">
        <f t="shared" si="38"/>
        <v>8.4</v>
      </c>
      <c r="N838" s="35">
        <f t="shared" si="39"/>
        <v>73.525000000000006</v>
      </c>
      <c r="O838" t="str">
        <f>VLOOKUP(N838,Helper!$B$30:$C$35,2,TRUE)</f>
        <v>B</v>
      </c>
      <c r="P838" s="26">
        <f>INDEX(Detail!$A$1:$A$1001,MATCH(B838,Detail!$G$1:$G$1001,0))</f>
        <v>38387</v>
      </c>
      <c r="Q838" s="3" t="str">
        <f>INDEX(Detail!$F$1:$F$1001,MATCH(Main!B838,Detail!$G$1:$G$1001,0))</f>
        <v>Pematangsiantar</v>
      </c>
      <c r="R838" s="7">
        <f>INDEX(Detail!$C$1:$C$1001,MATCH(B838,Detail!$G$1:$G$1001,0),1)</f>
        <v>178</v>
      </c>
      <c r="S838" s="7">
        <f>INDEX(Detail!$D$1:$D$1001,MATCH(B838,Detail!$G$1:$G$1001,0),1)</f>
        <v>54</v>
      </c>
      <c r="T838" s="7" t="str">
        <f>INDEX(Detail!$E$1:$E$1001,MATCH(Main!B838,Detail!$G$1:$G$1001,0))</f>
        <v xml:space="preserve">Gg. Suryakencana No. 0
</v>
      </c>
      <c r="U838" s="7" t="str">
        <f>INDEX(Detail!$B$1:$B$1001,MATCH(B838,Detail!$G$1:$G$1001,0),1)</f>
        <v>AB+</v>
      </c>
    </row>
    <row r="839" spans="1:21" ht="15.75" x14ac:dyDescent="0.25">
      <c r="A839">
        <v>15</v>
      </c>
      <c r="B839" s="3" t="str">
        <f t="shared" si="40"/>
        <v>F0015</v>
      </c>
      <c r="C839" t="s">
        <v>1011</v>
      </c>
      <c r="D839" s="3" t="str">
        <f>VLOOKUP(B839,Detail!$G$1:$H$1001,2,FALSE)</f>
        <v>Adinata Permata</v>
      </c>
      <c r="E839">
        <v>81</v>
      </c>
      <c r="F839">
        <v>48</v>
      </c>
      <c r="G839" s="35">
        <v>61</v>
      </c>
      <c r="H839">
        <v>53</v>
      </c>
      <c r="I839">
        <v>85</v>
      </c>
      <c r="J839">
        <v>70</v>
      </c>
      <c r="K839">
        <v>60</v>
      </c>
      <c r="L839" s="26">
        <f>IFERROR(VLOOKUP(B839,Absen!$A$1:$C$501,2,FALSE),"No")</f>
        <v>44756</v>
      </c>
      <c r="M839" s="44">
        <f t="shared" si="38"/>
        <v>5</v>
      </c>
      <c r="N839" s="35">
        <f t="shared" si="39"/>
        <v>64.575000000000003</v>
      </c>
      <c r="O839" t="str">
        <f>VLOOKUP(N839,Helper!$B$30:$C$35,2,TRUE)</f>
        <v>C</v>
      </c>
      <c r="P839" s="26">
        <f>INDEX(Detail!$A$1:$A$1001,MATCH(B839,Detail!$G$1:$G$1001,0))</f>
        <v>38005</v>
      </c>
      <c r="Q839" s="3" t="str">
        <f>INDEX(Detail!$F$1:$F$1001,MATCH(Main!B839,Detail!$G$1:$G$1001,0))</f>
        <v>Pontianak</v>
      </c>
      <c r="R839" s="7">
        <f>INDEX(Detail!$C$1:$C$1001,MATCH(B839,Detail!$G$1:$G$1001,0),1)</f>
        <v>158</v>
      </c>
      <c r="S839" s="7">
        <f>INDEX(Detail!$D$1:$D$1001,MATCH(B839,Detail!$G$1:$G$1001,0),1)</f>
        <v>82</v>
      </c>
      <c r="T839" s="7" t="str">
        <f>INDEX(Detail!$E$1:$E$1001,MATCH(Main!B839,Detail!$G$1:$G$1001,0))</f>
        <v xml:space="preserve">Jl. Rungkut Industri No. 5
</v>
      </c>
      <c r="U839" s="7" t="str">
        <f>INDEX(Detail!$B$1:$B$1001,MATCH(B839,Detail!$G$1:$G$1001,0),1)</f>
        <v>A-</v>
      </c>
    </row>
    <row r="840" spans="1:21" ht="15.75" x14ac:dyDescent="0.25">
      <c r="A840">
        <v>17</v>
      </c>
      <c r="B840" s="3" t="str">
        <f t="shared" si="40"/>
        <v>F0017</v>
      </c>
      <c r="C840" t="s">
        <v>1011</v>
      </c>
      <c r="D840" s="3" t="str">
        <f>VLOOKUP(B840,Detail!$G$1:$H$1001,2,FALSE)</f>
        <v>Jati Suwarno</v>
      </c>
      <c r="E840">
        <v>60</v>
      </c>
      <c r="F840">
        <v>46</v>
      </c>
      <c r="G840" s="35">
        <v>85</v>
      </c>
      <c r="H840">
        <v>66</v>
      </c>
      <c r="I840">
        <v>73</v>
      </c>
      <c r="J840">
        <v>47</v>
      </c>
      <c r="K840">
        <v>62</v>
      </c>
      <c r="L840" s="26" t="str">
        <f>IFERROR(VLOOKUP(B840,Absen!$A$1:$C$501,2,FALSE),"No")</f>
        <v>No</v>
      </c>
      <c r="M840" s="44">
        <f t="shared" si="38"/>
        <v>6.2</v>
      </c>
      <c r="N840" s="35">
        <f t="shared" si="39"/>
        <v>63.225000000000001</v>
      </c>
      <c r="O840" t="str">
        <f>VLOOKUP(N840,Helper!$B$30:$C$35,2,TRUE)</f>
        <v>C</v>
      </c>
      <c r="P840" s="26">
        <f>INDEX(Detail!$A$1:$A$1001,MATCH(B840,Detail!$G$1:$G$1001,0))</f>
        <v>38285</v>
      </c>
      <c r="Q840" s="3" t="str">
        <f>INDEX(Detail!$F$1:$F$1001,MATCH(Main!B840,Detail!$G$1:$G$1001,0))</f>
        <v>Pekanbaru</v>
      </c>
      <c r="R840" s="7">
        <f>INDEX(Detail!$C$1:$C$1001,MATCH(B840,Detail!$G$1:$G$1001,0),1)</f>
        <v>165</v>
      </c>
      <c r="S840" s="7">
        <f>INDEX(Detail!$D$1:$D$1001,MATCH(B840,Detail!$G$1:$G$1001,0),1)</f>
        <v>90</v>
      </c>
      <c r="T840" s="7" t="str">
        <f>INDEX(Detail!$E$1:$E$1001,MATCH(Main!B840,Detail!$G$1:$G$1001,0))</f>
        <v>Gang Dipatiukur No. 63</v>
      </c>
      <c r="U840" s="7" t="str">
        <f>INDEX(Detail!$B$1:$B$1001,MATCH(B840,Detail!$G$1:$G$1001,0),1)</f>
        <v>A-</v>
      </c>
    </row>
    <row r="841" spans="1:21" ht="15.75" x14ac:dyDescent="0.25">
      <c r="A841">
        <v>25</v>
      </c>
      <c r="B841" s="3" t="str">
        <f t="shared" si="40"/>
        <v>F0025</v>
      </c>
      <c r="C841" t="s">
        <v>1011</v>
      </c>
      <c r="D841" s="3" t="str">
        <f>VLOOKUP(B841,Detail!$G$1:$H$1001,2,FALSE)</f>
        <v>Ghaliyati Kurniawan</v>
      </c>
      <c r="E841">
        <v>73</v>
      </c>
      <c r="F841">
        <v>68</v>
      </c>
      <c r="G841" s="35">
        <v>56</v>
      </c>
      <c r="H841">
        <v>53</v>
      </c>
      <c r="I841">
        <v>63</v>
      </c>
      <c r="J841">
        <v>56</v>
      </c>
      <c r="K841">
        <v>78</v>
      </c>
      <c r="L841" s="26" t="str">
        <f>IFERROR(VLOOKUP(B841,Absen!$A$1:$C$501,2,FALSE),"No")</f>
        <v>No</v>
      </c>
      <c r="M841" s="44">
        <f t="shared" si="38"/>
        <v>7.8000000000000007</v>
      </c>
      <c r="N841" s="35">
        <f t="shared" si="39"/>
        <v>62.325000000000003</v>
      </c>
      <c r="O841" t="str">
        <f>VLOOKUP(N841,Helper!$B$30:$C$35,2,TRUE)</f>
        <v>C</v>
      </c>
      <c r="P841" s="26">
        <f>INDEX(Detail!$A$1:$A$1001,MATCH(B841,Detail!$G$1:$G$1001,0))</f>
        <v>37879</v>
      </c>
      <c r="Q841" s="3" t="str">
        <f>INDEX(Detail!$F$1:$F$1001,MATCH(Main!B841,Detail!$G$1:$G$1001,0))</f>
        <v>Gorontalo</v>
      </c>
      <c r="R841" s="7">
        <f>INDEX(Detail!$C$1:$C$1001,MATCH(B841,Detail!$G$1:$G$1001,0),1)</f>
        <v>180</v>
      </c>
      <c r="S841" s="7">
        <f>INDEX(Detail!$D$1:$D$1001,MATCH(B841,Detail!$G$1:$G$1001,0),1)</f>
        <v>74</v>
      </c>
      <c r="T841" s="7" t="str">
        <f>INDEX(Detail!$E$1:$E$1001,MATCH(Main!B841,Detail!$G$1:$G$1001,0))</f>
        <v xml:space="preserve">Gg. Asia Afrika No. 3
</v>
      </c>
      <c r="U841" s="7" t="str">
        <f>INDEX(Detail!$B$1:$B$1001,MATCH(B841,Detail!$G$1:$G$1001,0),1)</f>
        <v>A-</v>
      </c>
    </row>
    <row r="842" spans="1:21" ht="15.75" x14ac:dyDescent="0.25">
      <c r="A842">
        <v>36</v>
      </c>
      <c r="B842" s="3" t="str">
        <f t="shared" si="40"/>
        <v>F0036</v>
      </c>
      <c r="C842" t="s">
        <v>1011</v>
      </c>
      <c r="D842" s="3" t="str">
        <f>VLOOKUP(B842,Detail!$G$1:$H$1001,2,FALSE)</f>
        <v>Purwadi Sinaga</v>
      </c>
      <c r="E842">
        <v>53</v>
      </c>
      <c r="F842">
        <v>45</v>
      </c>
      <c r="G842" s="35">
        <v>87</v>
      </c>
      <c r="H842">
        <v>57</v>
      </c>
      <c r="I842">
        <v>90</v>
      </c>
      <c r="J842">
        <v>43</v>
      </c>
      <c r="K842">
        <v>75</v>
      </c>
      <c r="L842" s="26">
        <f>IFERROR(VLOOKUP(B842,Absen!$A$1:$C$501,2,FALSE),"No")</f>
        <v>44784</v>
      </c>
      <c r="M842" s="44">
        <f t="shared" si="38"/>
        <v>6.5</v>
      </c>
      <c r="N842" s="35">
        <f t="shared" si="39"/>
        <v>63.125000000000007</v>
      </c>
      <c r="O842" t="str">
        <f>VLOOKUP(N842,Helper!$B$30:$C$35,2,TRUE)</f>
        <v>C</v>
      </c>
      <c r="P842" s="26">
        <f>INDEX(Detail!$A$1:$A$1001,MATCH(B842,Detail!$G$1:$G$1001,0))</f>
        <v>38171</v>
      </c>
      <c r="Q842" s="3" t="str">
        <f>INDEX(Detail!$F$1:$F$1001,MATCH(Main!B842,Detail!$G$1:$G$1001,0))</f>
        <v>Pagaralam</v>
      </c>
      <c r="R842" s="7">
        <f>INDEX(Detail!$C$1:$C$1001,MATCH(B842,Detail!$G$1:$G$1001,0),1)</f>
        <v>168</v>
      </c>
      <c r="S842" s="7">
        <f>INDEX(Detail!$D$1:$D$1001,MATCH(B842,Detail!$G$1:$G$1001,0),1)</f>
        <v>86</v>
      </c>
      <c r="T842" s="7" t="str">
        <f>INDEX(Detail!$E$1:$E$1001,MATCH(Main!B842,Detail!$G$1:$G$1001,0))</f>
        <v xml:space="preserve">Gg. Monginsidi No. 7
</v>
      </c>
      <c r="U842" s="7" t="str">
        <f>INDEX(Detail!$B$1:$B$1001,MATCH(B842,Detail!$G$1:$G$1001,0),1)</f>
        <v>B-</v>
      </c>
    </row>
    <row r="843" spans="1:21" ht="15.75" x14ac:dyDescent="0.25">
      <c r="A843">
        <v>38</v>
      </c>
      <c r="B843" s="3" t="str">
        <f t="shared" si="40"/>
        <v>F0038</v>
      </c>
      <c r="C843" t="s">
        <v>1011</v>
      </c>
      <c r="D843" s="3" t="str">
        <f>VLOOKUP(B843,Detail!$G$1:$H$1001,2,FALSE)</f>
        <v>Rahmi Pratiwi</v>
      </c>
      <c r="E843">
        <v>95</v>
      </c>
      <c r="F843">
        <v>49</v>
      </c>
      <c r="G843" s="35">
        <v>70</v>
      </c>
      <c r="H843">
        <v>61</v>
      </c>
      <c r="I843">
        <v>53</v>
      </c>
      <c r="J843">
        <v>40</v>
      </c>
      <c r="K843">
        <v>94</v>
      </c>
      <c r="L843" s="26">
        <f>IFERROR(VLOOKUP(B843,Absen!$A$1:$C$501,2,FALSE),"No")</f>
        <v>44801</v>
      </c>
      <c r="M843" s="44">
        <f t="shared" si="38"/>
        <v>8.4</v>
      </c>
      <c r="N843" s="35">
        <f t="shared" si="39"/>
        <v>62.65</v>
      </c>
      <c r="O843" t="str">
        <f>VLOOKUP(N843,Helper!$B$30:$C$35,2,TRUE)</f>
        <v>C</v>
      </c>
      <c r="P843" s="26">
        <f>INDEX(Detail!$A$1:$A$1001,MATCH(B843,Detail!$G$1:$G$1001,0))</f>
        <v>38086</v>
      </c>
      <c r="Q843" s="3" t="str">
        <f>INDEX(Detail!$F$1:$F$1001,MATCH(Main!B843,Detail!$G$1:$G$1001,0))</f>
        <v>Kota Administrasi Jakarta Barat</v>
      </c>
      <c r="R843" s="7">
        <f>INDEX(Detail!$C$1:$C$1001,MATCH(B843,Detail!$G$1:$G$1001,0),1)</f>
        <v>151</v>
      </c>
      <c r="S843" s="7">
        <f>INDEX(Detail!$D$1:$D$1001,MATCH(B843,Detail!$G$1:$G$1001,0),1)</f>
        <v>95</v>
      </c>
      <c r="T843" s="7" t="str">
        <f>INDEX(Detail!$E$1:$E$1001,MATCH(Main!B843,Detail!$G$1:$G$1001,0))</f>
        <v>Jl. Sukajadi No. 67</v>
      </c>
      <c r="U843" s="7" t="str">
        <f>INDEX(Detail!$B$1:$B$1001,MATCH(B843,Detail!$G$1:$G$1001,0),1)</f>
        <v>AB-</v>
      </c>
    </row>
    <row r="844" spans="1:21" ht="15.75" x14ac:dyDescent="0.25">
      <c r="A844">
        <v>40</v>
      </c>
      <c r="B844" s="3" t="str">
        <f t="shared" si="40"/>
        <v>F0040</v>
      </c>
      <c r="C844" t="s">
        <v>1011</v>
      </c>
      <c r="D844" s="3" t="str">
        <f>VLOOKUP(B844,Detail!$G$1:$H$1001,2,FALSE)</f>
        <v>Ibun Kusmawati</v>
      </c>
      <c r="E844">
        <v>68</v>
      </c>
      <c r="F844">
        <v>54</v>
      </c>
      <c r="G844" s="35">
        <v>80</v>
      </c>
      <c r="H844">
        <v>54</v>
      </c>
      <c r="I844">
        <v>50</v>
      </c>
      <c r="J844">
        <v>54</v>
      </c>
      <c r="K844">
        <v>65</v>
      </c>
      <c r="L844" s="26">
        <f>IFERROR(VLOOKUP(B844,Absen!$A$1:$C$501,2,FALSE),"No")</f>
        <v>44856</v>
      </c>
      <c r="M844" s="44">
        <f t="shared" si="38"/>
        <v>5.5</v>
      </c>
      <c r="N844" s="35">
        <f t="shared" si="39"/>
        <v>60.55</v>
      </c>
      <c r="O844" t="str">
        <f>VLOOKUP(N844,Helper!$B$30:$C$35,2,TRUE)</f>
        <v>C</v>
      </c>
      <c r="P844" s="26">
        <f>INDEX(Detail!$A$1:$A$1001,MATCH(B844,Detail!$G$1:$G$1001,0))</f>
        <v>37266</v>
      </c>
      <c r="Q844" s="3" t="str">
        <f>INDEX(Detail!$F$1:$F$1001,MATCH(Main!B844,Detail!$G$1:$G$1001,0))</f>
        <v>Medan</v>
      </c>
      <c r="R844" s="7">
        <f>INDEX(Detail!$C$1:$C$1001,MATCH(B844,Detail!$G$1:$G$1001,0),1)</f>
        <v>165</v>
      </c>
      <c r="S844" s="7">
        <f>INDEX(Detail!$D$1:$D$1001,MATCH(B844,Detail!$G$1:$G$1001,0),1)</f>
        <v>61</v>
      </c>
      <c r="T844" s="7" t="str">
        <f>INDEX(Detail!$E$1:$E$1001,MATCH(Main!B844,Detail!$G$1:$G$1001,0))</f>
        <v>Jl. Merdeka No. 68</v>
      </c>
      <c r="U844" s="7" t="str">
        <f>INDEX(Detail!$B$1:$B$1001,MATCH(B844,Detail!$G$1:$G$1001,0),1)</f>
        <v>B-</v>
      </c>
    </row>
    <row r="845" spans="1:21" ht="15.75" x14ac:dyDescent="0.25">
      <c r="A845">
        <v>47</v>
      </c>
      <c r="B845" s="3" t="str">
        <f t="shared" si="40"/>
        <v>F0047</v>
      </c>
      <c r="C845" t="s">
        <v>1011</v>
      </c>
      <c r="D845" s="3" t="str">
        <f>VLOOKUP(B845,Detail!$G$1:$H$1001,2,FALSE)</f>
        <v>Daliman Thamrin</v>
      </c>
      <c r="E845">
        <v>84</v>
      </c>
      <c r="F845">
        <v>44</v>
      </c>
      <c r="G845" s="35">
        <v>94</v>
      </c>
      <c r="H845">
        <v>65</v>
      </c>
      <c r="I845">
        <v>75</v>
      </c>
      <c r="J845">
        <v>44</v>
      </c>
      <c r="K845">
        <v>85</v>
      </c>
      <c r="L845" s="26">
        <f>IFERROR(VLOOKUP(B845,Absen!$A$1:$C$501,2,FALSE),"No")</f>
        <v>44784</v>
      </c>
      <c r="M845" s="44">
        <f t="shared" si="38"/>
        <v>7.5</v>
      </c>
      <c r="N845" s="35">
        <f t="shared" si="39"/>
        <v>68.599999999999994</v>
      </c>
      <c r="O845" t="str">
        <f>VLOOKUP(N845,Helper!$B$30:$C$35,2,TRUE)</f>
        <v>C</v>
      </c>
      <c r="P845" s="26">
        <f>INDEX(Detail!$A$1:$A$1001,MATCH(B845,Detail!$G$1:$G$1001,0))</f>
        <v>37964</v>
      </c>
      <c r="Q845" s="3" t="str">
        <f>INDEX(Detail!$F$1:$F$1001,MATCH(Main!B845,Detail!$G$1:$G$1001,0))</f>
        <v>Probolinggo</v>
      </c>
      <c r="R845" s="7">
        <f>INDEX(Detail!$C$1:$C$1001,MATCH(B845,Detail!$G$1:$G$1001,0),1)</f>
        <v>166</v>
      </c>
      <c r="S845" s="7">
        <f>INDEX(Detail!$D$1:$D$1001,MATCH(B845,Detail!$G$1:$G$1001,0),1)</f>
        <v>51</v>
      </c>
      <c r="T845" s="7" t="str">
        <f>INDEX(Detail!$E$1:$E$1001,MATCH(Main!B845,Detail!$G$1:$G$1001,0))</f>
        <v xml:space="preserve">Gang Gardujati No. 1
</v>
      </c>
      <c r="U845" s="7" t="str">
        <f>INDEX(Detail!$B$1:$B$1001,MATCH(B845,Detail!$G$1:$G$1001,0),1)</f>
        <v>AB-</v>
      </c>
    </row>
    <row r="846" spans="1:21" ht="15.75" x14ac:dyDescent="0.25">
      <c r="A846">
        <v>53</v>
      </c>
      <c r="B846" s="3" t="str">
        <f t="shared" si="40"/>
        <v>F0053</v>
      </c>
      <c r="C846" t="s">
        <v>1011</v>
      </c>
      <c r="D846" s="3" t="str">
        <f>VLOOKUP(B846,Detail!$G$1:$H$1001,2,FALSE)</f>
        <v>Setya Suryatmi</v>
      </c>
      <c r="E846">
        <v>68</v>
      </c>
      <c r="F846">
        <v>70</v>
      </c>
      <c r="G846" s="35">
        <v>31</v>
      </c>
      <c r="H846">
        <v>64</v>
      </c>
      <c r="I846">
        <v>80</v>
      </c>
      <c r="J846">
        <v>75</v>
      </c>
      <c r="K846">
        <v>96</v>
      </c>
      <c r="L846" s="26" t="str">
        <f>IFERROR(VLOOKUP(B846,Absen!$A$1:$C$501,2,FALSE),"No")</f>
        <v>No</v>
      </c>
      <c r="M846" s="44">
        <f t="shared" si="38"/>
        <v>9.6000000000000014</v>
      </c>
      <c r="N846" s="35">
        <f t="shared" si="39"/>
        <v>66.050000000000011</v>
      </c>
      <c r="O846" t="str">
        <f>VLOOKUP(N846,Helper!$B$30:$C$35,2,TRUE)</f>
        <v>C</v>
      </c>
      <c r="P846" s="26">
        <f>INDEX(Detail!$A$1:$A$1001,MATCH(B846,Detail!$G$1:$G$1001,0))</f>
        <v>38124</v>
      </c>
      <c r="Q846" s="3" t="str">
        <f>INDEX(Detail!$F$1:$F$1001,MATCH(Main!B846,Detail!$G$1:$G$1001,0))</f>
        <v>Kota Administrasi Jakarta Utara</v>
      </c>
      <c r="R846" s="7">
        <f>INDEX(Detail!$C$1:$C$1001,MATCH(B846,Detail!$G$1:$G$1001,0),1)</f>
        <v>180</v>
      </c>
      <c r="S846" s="7">
        <f>INDEX(Detail!$D$1:$D$1001,MATCH(B846,Detail!$G$1:$G$1001,0),1)</f>
        <v>94</v>
      </c>
      <c r="T846" s="7" t="str">
        <f>INDEX(Detail!$E$1:$E$1001,MATCH(Main!B846,Detail!$G$1:$G$1001,0))</f>
        <v xml:space="preserve">Gang H.J Maemunah No. 5
</v>
      </c>
      <c r="U846" s="7" t="str">
        <f>INDEX(Detail!$B$1:$B$1001,MATCH(B846,Detail!$G$1:$G$1001,0),1)</f>
        <v>AB-</v>
      </c>
    </row>
    <row r="847" spans="1:21" ht="15.75" x14ac:dyDescent="0.25">
      <c r="A847">
        <v>74</v>
      </c>
      <c r="B847" s="3" t="str">
        <f t="shared" si="40"/>
        <v>F0074</v>
      </c>
      <c r="C847" t="s">
        <v>1011</v>
      </c>
      <c r="D847" s="3" t="str">
        <f>VLOOKUP(B847,Detail!$G$1:$H$1001,2,FALSE)</f>
        <v>Rahmat Nasyidah</v>
      </c>
      <c r="E847">
        <v>85</v>
      </c>
      <c r="F847">
        <v>73</v>
      </c>
      <c r="G847" s="35">
        <v>60</v>
      </c>
      <c r="H847">
        <v>52</v>
      </c>
      <c r="I847">
        <v>55</v>
      </c>
      <c r="J847">
        <v>58</v>
      </c>
      <c r="K847">
        <v>68</v>
      </c>
      <c r="L847" s="26" t="str">
        <f>IFERROR(VLOOKUP(B847,Absen!$A$1:$C$501,2,FALSE),"No")</f>
        <v>No</v>
      </c>
      <c r="M847" s="44">
        <f t="shared" si="38"/>
        <v>6.8000000000000007</v>
      </c>
      <c r="N847" s="35">
        <f t="shared" si="39"/>
        <v>63.525000000000006</v>
      </c>
      <c r="O847" t="str">
        <f>VLOOKUP(N847,Helper!$B$30:$C$35,2,TRUE)</f>
        <v>C</v>
      </c>
      <c r="P847" s="26">
        <f>INDEX(Detail!$A$1:$A$1001,MATCH(B847,Detail!$G$1:$G$1001,0))</f>
        <v>38460</v>
      </c>
      <c r="Q847" s="3" t="str">
        <f>INDEX(Detail!$F$1:$F$1001,MATCH(Main!B847,Detail!$G$1:$G$1001,0))</f>
        <v>Lhokseumawe</v>
      </c>
      <c r="R847" s="7">
        <f>INDEX(Detail!$C$1:$C$1001,MATCH(B847,Detail!$G$1:$G$1001,0),1)</f>
        <v>176</v>
      </c>
      <c r="S847" s="7">
        <f>INDEX(Detail!$D$1:$D$1001,MATCH(B847,Detail!$G$1:$G$1001,0),1)</f>
        <v>92</v>
      </c>
      <c r="T847" s="7" t="str">
        <f>INDEX(Detail!$E$1:$E$1001,MATCH(Main!B847,Detail!$G$1:$G$1001,0))</f>
        <v>Jalan Laswi No. 49</v>
      </c>
      <c r="U847" s="7" t="str">
        <f>INDEX(Detail!$B$1:$B$1001,MATCH(B847,Detail!$G$1:$G$1001,0),1)</f>
        <v>AB+</v>
      </c>
    </row>
    <row r="848" spans="1:21" ht="15.75" x14ac:dyDescent="0.25">
      <c r="A848">
        <v>78</v>
      </c>
      <c r="B848" s="3" t="str">
        <f t="shared" si="40"/>
        <v>F0078</v>
      </c>
      <c r="C848" t="s">
        <v>1011</v>
      </c>
      <c r="D848" s="3" t="str">
        <f>VLOOKUP(B848,Detail!$G$1:$H$1001,2,FALSE)</f>
        <v>Diah Simbolon</v>
      </c>
      <c r="E848">
        <v>95</v>
      </c>
      <c r="F848">
        <v>41</v>
      </c>
      <c r="G848" s="35">
        <v>90</v>
      </c>
      <c r="H848">
        <v>68</v>
      </c>
      <c r="I848">
        <v>90</v>
      </c>
      <c r="J848">
        <v>97</v>
      </c>
      <c r="K848">
        <v>67</v>
      </c>
      <c r="L848" s="26" t="str">
        <f>IFERROR(VLOOKUP(B848,Absen!$A$1:$C$501,2,FALSE),"No")</f>
        <v>No</v>
      </c>
      <c r="M848" s="44">
        <f t="shared" si="38"/>
        <v>6.7</v>
      </c>
      <c r="N848" s="35">
        <f t="shared" si="39"/>
        <v>80.850000000000009</v>
      </c>
      <c r="O848" t="str">
        <f>VLOOKUP(N848,Helper!$B$30:$C$35,2,TRUE)</f>
        <v>A</v>
      </c>
      <c r="P848" s="26">
        <f>INDEX(Detail!$A$1:$A$1001,MATCH(B848,Detail!$G$1:$G$1001,0))</f>
        <v>37105</v>
      </c>
      <c r="Q848" s="3" t="str">
        <f>INDEX(Detail!$F$1:$F$1001,MATCH(Main!B848,Detail!$G$1:$G$1001,0))</f>
        <v>Bandar Lampung</v>
      </c>
      <c r="R848" s="7">
        <f>INDEX(Detail!$C$1:$C$1001,MATCH(B848,Detail!$G$1:$G$1001,0),1)</f>
        <v>171</v>
      </c>
      <c r="S848" s="7">
        <f>INDEX(Detail!$D$1:$D$1001,MATCH(B848,Detail!$G$1:$G$1001,0),1)</f>
        <v>69</v>
      </c>
      <c r="T848" s="7" t="str">
        <f>INDEX(Detail!$E$1:$E$1001,MATCH(Main!B848,Detail!$G$1:$G$1001,0))</f>
        <v xml:space="preserve">Gang Kebonjati No. 8
</v>
      </c>
      <c r="U848" s="7" t="str">
        <f>INDEX(Detail!$B$1:$B$1001,MATCH(B848,Detail!$G$1:$G$1001,0),1)</f>
        <v>O-</v>
      </c>
    </row>
    <row r="849" spans="1:21" ht="15.75" x14ac:dyDescent="0.25">
      <c r="A849">
        <v>88</v>
      </c>
      <c r="B849" s="3" t="str">
        <f t="shared" si="40"/>
        <v>F0088</v>
      </c>
      <c r="C849" t="s">
        <v>1011</v>
      </c>
      <c r="D849" s="3" t="str">
        <f>VLOOKUP(B849,Detail!$G$1:$H$1001,2,FALSE)</f>
        <v>Liman Pradipta</v>
      </c>
      <c r="E849">
        <v>80</v>
      </c>
      <c r="F849">
        <v>74</v>
      </c>
      <c r="G849" s="35">
        <v>50</v>
      </c>
      <c r="H849">
        <v>58</v>
      </c>
      <c r="I849">
        <v>94</v>
      </c>
      <c r="J849">
        <v>85</v>
      </c>
      <c r="K849">
        <v>68</v>
      </c>
      <c r="L849" s="26">
        <f>IFERROR(VLOOKUP(B849,Absen!$A$1:$C$501,2,FALSE),"No")</f>
        <v>44897</v>
      </c>
      <c r="M849" s="44">
        <f t="shared" si="38"/>
        <v>5.8000000000000007</v>
      </c>
      <c r="N849" s="35">
        <f t="shared" si="39"/>
        <v>71.05</v>
      </c>
      <c r="O849" t="str">
        <f>VLOOKUP(N849,Helper!$B$30:$C$35,2,TRUE)</f>
        <v>B</v>
      </c>
      <c r="P849" s="26">
        <f>INDEX(Detail!$A$1:$A$1001,MATCH(B849,Detail!$G$1:$G$1001,0))</f>
        <v>38125</v>
      </c>
      <c r="Q849" s="3" t="str">
        <f>INDEX(Detail!$F$1:$F$1001,MATCH(Main!B849,Detail!$G$1:$G$1001,0))</f>
        <v>Surabaya</v>
      </c>
      <c r="R849" s="7">
        <f>INDEX(Detail!$C$1:$C$1001,MATCH(B849,Detail!$G$1:$G$1001,0),1)</f>
        <v>171</v>
      </c>
      <c r="S849" s="7">
        <f>INDEX(Detail!$D$1:$D$1001,MATCH(B849,Detail!$G$1:$G$1001,0),1)</f>
        <v>61</v>
      </c>
      <c r="T849" s="7" t="str">
        <f>INDEX(Detail!$E$1:$E$1001,MATCH(Main!B849,Detail!$G$1:$G$1001,0))</f>
        <v>Jl. Medokan Ayu No. 70</v>
      </c>
      <c r="U849" s="7" t="str">
        <f>INDEX(Detail!$B$1:$B$1001,MATCH(B849,Detail!$G$1:$G$1001,0),1)</f>
        <v>B+</v>
      </c>
    </row>
    <row r="850" spans="1:21" ht="15.75" x14ac:dyDescent="0.25">
      <c r="A850">
        <v>91</v>
      </c>
      <c r="B850" s="3" t="str">
        <f t="shared" si="40"/>
        <v>F0091</v>
      </c>
      <c r="C850" t="s">
        <v>1011</v>
      </c>
      <c r="D850" s="3" t="str">
        <f>VLOOKUP(B850,Detail!$G$1:$H$1001,2,FALSE)</f>
        <v>Omar Wibowo</v>
      </c>
      <c r="E850">
        <v>95</v>
      </c>
      <c r="F850">
        <v>66</v>
      </c>
      <c r="G850" s="35">
        <v>55</v>
      </c>
      <c r="H850">
        <v>70</v>
      </c>
      <c r="I850">
        <v>83</v>
      </c>
      <c r="J850">
        <v>86</v>
      </c>
      <c r="K850">
        <v>77</v>
      </c>
      <c r="L850" s="26" t="str">
        <f>IFERROR(VLOOKUP(B850,Absen!$A$1:$C$501,2,FALSE),"No")</f>
        <v>No</v>
      </c>
      <c r="M850" s="44">
        <f t="shared" si="38"/>
        <v>7.7</v>
      </c>
      <c r="N850" s="35">
        <f t="shared" si="39"/>
        <v>75.150000000000006</v>
      </c>
      <c r="O850" t="str">
        <f>VLOOKUP(N850,Helper!$B$30:$C$35,2,TRUE)</f>
        <v>B</v>
      </c>
      <c r="P850" s="26">
        <f>INDEX(Detail!$A$1:$A$1001,MATCH(B850,Detail!$G$1:$G$1001,0))</f>
        <v>37366</v>
      </c>
      <c r="Q850" s="3" t="str">
        <f>INDEX(Detail!$F$1:$F$1001,MATCH(Main!B850,Detail!$G$1:$G$1001,0))</f>
        <v>Ambon</v>
      </c>
      <c r="R850" s="7">
        <f>INDEX(Detail!$C$1:$C$1001,MATCH(B850,Detail!$G$1:$G$1001,0),1)</f>
        <v>170</v>
      </c>
      <c r="S850" s="7">
        <f>INDEX(Detail!$D$1:$D$1001,MATCH(B850,Detail!$G$1:$G$1001,0),1)</f>
        <v>78</v>
      </c>
      <c r="T850" s="7" t="str">
        <f>INDEX(Detail!$E$1:$E$1001,MATCH(Main!B850,Detail!$G$1:$G$1001,0))</f>
        <v>Gg. Suniaraja No. 72</v>
      </c>
      <c r="U850" s="7" t="str">
        <f>INDEX(Detail!$B$1:$B$1001,MATCH(B850,Detail!$G$1:$G$1001,0),1)</f>
        <v>B-</v>
      </c>
    </row>
    <row r="851" spans="1:21" ht="15.75" x14ac:dyDescent="0.25">
      <c r="A851">
        <v>95</v>
      </c>
      <c r="B851" s="3" t="str">
        <f t="shared" si="40"/>
        <v>F0095</v>
      </c>
      <c r="C851" t="s">
        <v>1011</v>
      </c>
      <c r="D851" s="3" t="str">
        <f>VLOOKUP(B851,Detail!$G$1:$H$1001,2,FALSE)</f>
        <v>Bagiya Damanik</v>
      </c>
      <c r="E851">
        <v>52</v>
      </c>
      <c r="F851">
        <v>42</v>
      </c>
      <c r="G851" s="35">
        <v>76</v>
      </c>
      <c r="H851">
        <v>68</v>
      </c>
      <c r="I851">
        <v>69</v>
      </c>
      <c r="J851">
        <v>54</v>
      </c>
      <c r="K851">
        <v>85</v>
      </c>
      <c r="L851" s="26">
        <f>IFERROR(VLOOKUP(B851,Absen!$A$1:$C$501,2,FALSE),"No")</f>
        <v>44773</v>
      </c>
      <c r="M851" s="44">
        <f t="shared" si="38"/>
        <v>7.5</v>
      </c>
      <c r="N851" s="35">
        <f t="shared" si="39"/>
        <v>62.375</v>
      </c>
      <c r="O851" t="str">
        <f>VLOOKUP(N851,Helper!$B$30:$C$35,2,TRUE)</f>
        <v>C</v>
      </c>
      <c r="P851" s="26">
        <f>INDEX(Detail!$A$1:$A$1001,MATCH(B851,Detail!$G$1:$G$1001,0))</f>
        <v>38292</v>
      </c>
      <c r="Q851" s="3" t="str">
        <f>INDEX(Detail!$F$1:$F$1001,MATCH(Main!B851,Detail!$G$1:$G$1001,0))</f>
        <v>Salatiga</v>
      </c>
      <c r="R851" s="7">
        <f>INDEX(Detail!$C$1:$C$1001,MATCH(B851,Detail!$G$1:$G$1001,0),1)</f>
        <v>163</v>
      </c>
      <c r="S851" s="7">
        <f>INDEX(Detail!$D$1:$D$1001,MATCH(B851,Detail!$G$1:$G$1001,0),1)</f>
        <v>92</v>
      </c>
      <c r="T851" s="7" t="str">
        <f>INDEX(Detail!$E$1:$E$1001,MATCH(Main!B851,Detail!$G$1:$G$1001,0))</f>
        <v>Gang Medokan Ayu No. 10</v>
      </c>
      <c r="U851" s="7" t="str">
        <f>INDEX(Detail!$B$1:$B$1001,MATCH(B851,Detail!$G$1:$G$1001,0),1)</f>
        <v>A-</v>
      </c>
    </row>
    <row r="852" spans="1:21" ht="15.75" x14ac:dyDescent="0.25">
      <c r="A852">
        <v>99</v>
      </c>
      <c r="B852" s="3" t="str">
        <f t="shared" si="40"/>
        <v>F0099</v>
      </c>
      <c r="C852" t="s">
        <v>1011</v>
      </c>
      <c r="D852" s="3" t="str">
        <f>VLOOKUP(B852,Detail!$G$1:$H$1001,2,FALSE)</f>
        <v>Dalimin Padmasari</v>
      </c>
      <c r="E852">
        <v>89</v>
      </c>
      <c r="F852">
        <v>43</v>
      </c>
      <c r="G852" s="35">
        <v>60</v>
      </c>
      <c r="H852">
        <v>54</v>
      </c>
      <c r="I852">
        <v>79</v>
      </c>
      <c r="J852">
        <v>61</v>
      </c>
      <c r="K852">
        <v>78</v>
      </c>
      <c r="L852" s="26" t="str">
        <f>IFERROR(VLOOKUP(B852,Absen!$A$1:$C$501,2,FALSE),"No")</f>
        <v>No</v>
      </c>
      <c r="M852" s="44">
        <f t="shared" si="38"/>
        <v>7.8000000000000007</v>
      </c>
      <c r="N852" s="35">
        <f t="shared" si="39"/>
        <v>65.125</v>
      </c>
      <c r="O852" t="str">
        <f>VLOOKUP(N852,Helper!$B$30:$C$35,2,TRUE)</f>
        <v>C</v>
      </c>
      <c r="P852" s="26">
        <f>INDEX(Detail!$A$1:$A$1001,MATCH(B852,Detail!$G$1:$G$1001,0))</f>
        <v>37384</v>
      </c>
      <c r="Q852" s="3" t="str">
        <f>INDEX(Detail!$F$1:$F$1001,MATCH(Main!B852,Detail!$G$1:$G$1001,0))</f>
        <v>Bengkulu</v>
      </c>
      <c r="R852" s="7">
        <f>INDEX(Detail!$C$1:$C$1001,MATCH(B852,Detail!$G$1:$G$1001,0),1)</f>
        <v>165</v>
      </c>
      <c r="S852" s="7">
        <f>INDEX(Detail!$D$1:$D$1001,MATCH(B852,Detail!$G$1:$G$1001,0),1)</f>
        <v>53</v>
      </c>
      <c r="T852" s="7" t="str">
        <f>INDEX(Detail!$E$1:$E$1001,MATCH(Main!B852,Detail!$G$1:$G$1001,0))</f>
        <v>Jl. Suniaraja No. 25</v>
      </c>
      <c r="U852" s="7" t="str">
        <f>INDEX(Detail!$B$1:$B$1001,MATCH(B852,Detail!$G$1:$G$1001,0),1)</f>
        <v>A-</v>
      </c>
    </row>
    <row r="853" spans="1:21" ht="15.75" x14ac:dyDescent="0.25">
      <c r="A853">
        <v>109</v>
      </c>
      <c r="B853" s="3" t="str">
        <f t="shared" si="40"/>
        <v>F0109</v>
      </c>
      <c r="C853" t="s">
        <v>1011</v>
      </c>
      <c r="D853" s="3" t="str">
        <f>VLOOKUP(B853,Detail!$G$1:$H$1001,2,FALSE)</f>
        <v>Saiful Kusumo</v>
      </c>
      <c r="E853">
        <v>57</v>
      </c>
      <c r="F853">
        <v>56</v>
      </c>
      <c r="G853" s="35">
        <v>90</v>
      </c>
      <c r="H853">
        <v>62</v>
      </c>
      <c r="I853">
        <v>51</v>
      </c>
      <c r="J853">
        <v>97</v>
      </c>
      <c r="K853">
        <v>78</v>
      </c>
      <c r="L853" s="26">
        <f>IFERROR(VLOOKUP(B853,Absen!$A$1:$C$501,2,FALSE),"No")</f>
        <v>44872</v>
      </c>
      <c r="M853" s="44">
        <f t="shared" si="38"/>
        <v>6.8000000000000007</v>
      </c>
      <c r="N853" s="35">
        <f t="shared" si="39"/>
        <v>72.45</v>
      </c>
      <c r="O853" t="str">
        <f>VLOOKUP(N853,Helper!$B$30:$C$35,2,TRUE)</f>
        <v>B</v>
      </c>
      <c r="P853" s="26">
        <f>INDEX(Detail!$A$1:$A$1001,MATCH(B853,Detail!$G$1:$G$1001,0))</f>
        <v>38339</v>
      </c>
      <c r="Q853" s="3" t="str">
        <f>INDEX(Detail!$F$1:$F$1001,MATCH(Main!B853,Detail!$G$1:$G$1001,0))</f>
        <v>Pekalongan</v>
      </c>
      <c r="R853" s="7">
        <f>INDEX(Detail!$C$1:$C$1001,MATCH(B853,Detail!$G$1:$G$1001,0),1)</f>
        <v>180</v>
      </c>
      <c r="S853" s="7">
        <f>INDEX(Detail!$D$1:$D$1001,MATCH(B853,Detail!$G$1:$G$1001,0),1)</f>
        <v>61</v>
      </c>
      <c r="T853" s="7" t="str">
        <f>INDEX(Detail!$E$1:$E$1001,MATCH(Main!B853,Detail!$G$1:$G$1001,0))</f>
        <v>Jalan Wonoayu No. 69</v>
      </c>
      <c r="U853" s="7" t="str">
        <f>INDEX(Detail!$B$1:$B$1001,MATCH(B853,Detail!$G$1:$G$1001,0),1)</f>
        <v>O-</v>
      </c>
    </row>
    <row r="854" spans="1:21" ht="15.75" x14ac:dyDescent="0.25">
      <c r="A854">
        <v>116</v>
      </c>
      <c r="B854" s="3" t="str">
        <f t="shared" si="40"/>
        <v>F0116</v>
      </c>
      <c r="C854" t="s">
        <v>1011</v>
      </c>
      <c r="D854" s="3" t="str">
        <f>VLOOKUP(B854,Detail!$G$1:$H$1001,2,FALSE)</f>
        <v>Aurora Siregar</v>
      </c>
      <c r="E854">
        <v>93</v>
      </c>
      <c r="F854">
        <v>57</v>
      </c>
      <c r="G854" s="35">
        <v>82</v>
      </c>
      <c r="H854">
        <v>65</v>
      </c>
      <c r="I854">
        <v>62</v>
      </c>
      <c r="J854">
        <v>65</v>
      </c>
      <c r="K854">
        <v>99</v>
      </c>
      <c r="L854" s="26" t="str">
        <f>IFERROR(VLOOKUP(B854,Absen!$A$1:$C$501,2,FALSE),"No")</f>
        <v>No</v>
      </c>
      <c r="M854" s="44">
        <f t="shared" si="38"/>
        <v>9.9</v>
      </c>
      <c r="N854" s="35">
        <f t="shared" si="39"/>
        <v>73.925000000000011</v>
      </c>
      <c r="O854" t="str">
        <f>VLOOKUP(N854,Helper!$B$30:$C$35,2,TRUE)</f>
        <v>B</v>
      </c>
      <c r="P854" s="26">
        <f>INDEX(Detail!$A$1:$A$1001,MATCH(B854,Detail!$G$1:$G$1001,0))</f>
        <v>38340</v>
      </c>
      <c r="Q854" s="3" t="str">
        <f>INDEX(Detail!$F$1:$F$1001,MATCH(Main!B854,Detail!$G$1:$G$1001,0))</f>
        <v>Bandung</v>
      </c>
      <c r="R854" s="7">
        <f>INDEX(Detail!$C$1:$C$1001,MATCH(B854,Detail!$G$1:$G$1001,0),1)</f>
        <v>168</v>
      </c>
      <c r="S854" s="7">
        <f>INDEX(Detail!$D$1:$D$1001,MATCH(B854,Detail!$G$1:$G$1001,0),1)</f>
        <v>95</v>
      </c>
      <c r="T854" s="7" t="str">
        <f>INDEX(Detail!$E$1:$E$1001,MATCH(Main!B854,Detail!$G$1:$G$1001,0))</f>
        <v xml:space="preserve">Jl. Sukabumi No. 2
</v>
      </c>
      <c r="U854" s="7" t="str">
        <f>INDEX(Detail!$B$1:$B$1001,MATCH(B854,Detail!$G$1:$G$1001,0),1)</f>
        <v>O+</v>
      </c>
    </row>
    <row r="855" spans="1:21" ht="15.75" x14ac:dyDescent="0.25">
      <c r="A855">
        <v>117</v>
      </c>
      <c r="B855" s="3" t="str">
        <f t="shared" si="40"/>
        <v>F0117</v>
      </c>
      <c r="C855" t="s">
        <v>1011</v>
      </c>
      <c r="D855" s="3" t="str">
        <f>VLOOKUP(B855,Detail!$G$1:$H$1001,2,FALSE)</f>
        <v>Hasim Purwanti</v>
      </c>
      <c r="E855">
        <v>90</v>
      </c>
      <c r="F855">
        <v>63</v>
      </c>
      <c r="G855" s="35">
        <v>62</v>
      </c>
      <c r="H855">
        <v>71</v>
      </c>
      <c r="I855">
        <v>78</v>
      </c>
      <c r="J855">
        <v>75</v>
      </c>
      <c r="K855">
        <v>97</v>
      </c>
      <c r="L855" s="26" t="str">
        <f>IFERROR(VLOOKUP(B855,Absen!$A$1:$C$501,2,FALSE),"No")</f>
        <v>No</v>
      </c>
      <c r="M855" s="44">
        <f t="shared" si="38"/>
        <v>9.7000000000000011</v>
      </c>
      <c r="N855" s="35">
        <f t="shared" si="39"/>
        <v>74.850000000000009</v>
      </c>
      <c r="O855" t="str">
        <f>VLOOKUP(N855,Helper!$B$30:$C$35,2,TRUE)</f>
        <v>B</v>
      </c>
      <c r="P855" s="26">
        <f>INDEX(Detail!$A$1:$A$1001,MATCH(B855,Detail!$G$1:$G$1001,0))</f>
        <v>37357</v>
      </c>
      <c r="Q855" s="3" t="str">
        <f>INDEX(Detail!$F$1:$F$1001,MATCH(Main!B855,Detail!$G$1:$G$1001,0))</f>
        <v>Gorontalo</v>
      </c>
      <c r="R855" s="7">
        <f>INDEX(Detail!$C$1:$C$1001,MATCH(B855,Detail!$G$1:$G$1001,0),1)</f>
        <v>173</v>
      </c>
      <c r="S855" s="7">
        <f>INDEX(Detail!$D$1:$D$1001,MATCH(B855,Detail!$G$1:$G$1001,0),1)</f>
        <v>61</v>
      </c>
      <c r="T855" s="7" t="str">
        <f>INDEX(Detail!$E$1:$E$1001,MATCH(Main!B855,Detail!$G$1:$G$1001,0))</f>
        <v>Jl. Cikapayang No. 43</v>
      </c>
      <c r="U855" s="7" t="str">
        <f>INDEX(Detail!$B$1:$B$1001,MATCH(B855,Detail!$G$1:$G$1001,0),1)</f>
        <v>O+</v>
      </c>
    </row>
    <row r="856" spans="1:21" ht="15.75" x14ac:dyDescent="0.25">
      <c r="A856">
        <v>126</v>
      </c>
      <c r="B856" s="3" t="str">
        <f t="shared" si="40"/>
        <v>F0126</v>
      </c>
      <c r="C856" t="s">
        <v>1011</v>
      </c>
      <c r="D856" s="3" t="str">
        <f>VLOOKUP(B856,Detail!$G$1:$H$1001,2,FALSE)</f>
        <v>Drajat Suwarno</v>
      </c>
      <c r="E856">
        <v>91</v>
      </c>
      <c r="F856">
        <v>45</v>
      </c>
      <c r="G856" s="35">
        <v>35</v>
      </c>
      <c r="H856">
        <v>74</v>
      </c>
      <c r="I856">
        <v>91</v>
      </c>
      <c r="J856">
        <v>96</v>
      </c>
      <c r="K856">
        <v>74</v>
      </c>
      <c r="L856" s="26">
        <f>IFERROR(VLOOKUP(B856,Absen!$A$1:$C$501,2,FALSE),"No")</f>
        <v>44864</v>
      </c>
      <c r="M856" s="44">
        <f t="shared" si="38"/>
        <v>6.4</v>
      </c>
      <c r="N856" s="35">
        <f t="shared" si="39"/>
        <v>70.225000000000009</v>
      </c>
      <c r="O856" t="str">
        <f>VLOOKUP(N856,Helper!$B$30:$C$35,2,TRUE)</f>
        <v>B</v>
      </c>
      <c r="P856" s="26">
        <f>INDEX(Detail!$A$1:$A$1001,MATCH(B856,Detail!$G$1:$G$1001,0))</f>
        <v>38072</v>
      </c>
      <c r="Q856" s="3" t="str">
        <f>INDEX(Detail!$F$1:$F$1001,MATCH(Main!B856,Detail!$G$1:$G$1001,0))</f>
        <v>Manado</v>
      </c>
      <c r="R856" s="7">
        <f>INDEX(Detail!$C$1:$C$1001,MATCH(B856,Detail!$G$1:$G$1001,0),1)</f>
        <v>152</v>
      </c>
      <c r="S856" s="7">
        <f>INDEX(Detail!$D$1:$D$1001,MATCH(B856,Detail!$G$1:$G$1001,0),1)</f>
        <v>76</v>
      </c>
      <c r="T856" s="7" t="str">
        <f>INDEX(Detail!$E$1:$E$1001,MATCH(Main!B856,Detail!$G$1:$G$1001,0))</f>
        <v>Jalan Indragiri No. 47</v>
      </c>
      <c r="U856" s="7" t="str">
        <f>INDEX(Detail!$B$1:$B$1001,MATCH(B856,Detail!$G$1:$G$1001,0),1)</f>
        <v>O+</v>
      </c>
    </row>
    <row r="857" spans="1:21" ht="15.75" x14ac:dyDescent="0.25">
      <c r="A857">
        <v>127</v>
      </c>
      <c r="B857" s="3" t="str">
        <f t="shared" si="40"/>
        <v>F0127</v>
      </c>
      <c r="C857" t="s">
        <v>1011</v>
      </c>
      <c r="D857" s="3" t="str">
        <f>VLOOKUP(B857,Detail!$G$1:$H$1001,2,FALSE)</f>
        <v>Bajragin Pudjiastuti</v>
      </c>
      <c r="E857">
        <v>68</v>
      </c>
      <c r="F857">
        <v>59</v>
      </c>
      <c r="G857" s="35">
        <v>95</v>
      </c>
      <c r="H857">
        <v>55</v>
      </c>
      <c r="I857">
        <v>86</v>
      </c>
      <c r="J857">
        <v>77</v>
      </c>
      <c r="K857">
        <v>69</v>
      </c>
      <c r="L857" s="26" t="str">
        <f>IFERROR(VLOOKUP(B857,Absen!$A$1:$C$501,2,FALSE),"No")</f>
        <v>No</v>
      </c>
      <c r="M857" s="44">
        <f t="shared" si="38"/>
        <v>6.9</v>
      </c>
      <c r="N857" s="35">
        <f t="shared" si="39"/>
        <v>74.800000000000011</v>
      </c>
      <c r="O857" t="str">
        <f>VLOOKUP(N857,Helper!$B$30:$C$35,2,TRUE)</f>
        <v>B</v>
      </c>
      <c r="P857" s="26">
        <f>INDEX(Detail!$A$1:$A$1001,MATCH(B857,Detail!$G$1:$G$1001,0))</f>
        <v>38242</v>
      </c>
      <c r="Q857" s="3" t="str">
        <f>INDEX(Detail!$F$1:$F$1001,MATCH(Main!B857,Detail!$G$1:$G$1001,0))</f>
        <v>Lubuklinggau</v>
      </c>
      <c r="R857" s="7">
        <f>INDEX(Detail!$C$1:$C$1001,MATCH(B857,Detail!$G$1:$G$1001,0),1)</f>
        <v>165</v>
      </c>
      <c r="S857" s="7">
        <f>INDEX(Detail!$D$1:$D$1001,MATCH(B857,Detail!$G$1:$G$1001,0),1)</f>
        <v>62</v>
      </c>
      <c r="T857" s="7" t="str">
        <f>INDEX(Detail!$E$1:$E$1001,MATCH(Main!B857,Detail!$G$1:$G$1001,0))</f>
        <v xml:space="preserve">Gg. Jakarta No. 0
</v>
      </c>
      <c r="U857" s="7" t="str">
        <f>INDEX(Detail!$B$1:$B$1001,MATCH(B857,Detail!$G$1:$G$1001,0),1)</f>
        <v>AB-</v>
      </c>
    </row>
    <row r="858" spans="1:21" ht="15.75" x14ac:dyDescent="0.25">
      <c r="A858">
        <v>134</v>
      </c>
      <c r="B858" s="3" t="str">
        <f t="shared" si="40"/>
        <v>F0134</v>
      </c>
      <c r="C858" t="s">
        <v>1011</v>
      </c>
      <c r="D858" s="3" t="str">
        <f>VLOOKUP(B858,Detail!$G$1:$H$1001,2,FALSE)</f>
        <v>Edi Hariyah</v>
      </c>
      <c r="E858">
        <v>55</v>
      </c>
      <c r="F858">
        <v>70</v>
      </c>
      <c r="G858" s="35">
        <v>77</v>
      </c>
      <c r="H858">
        <v>50</v>
      </c>
      <c r="I858">
        <v>84</v>
      </c>
      <c r="J858">
        <v>48</v>
      </c>
      <c r="K858">
        <v>76</v>
      </c>
      <c r="L858" s="26" t="str">
        <f>IFERROR(VLOOKUP(B858,Absen!$A$1:$C$501,2,FALSE),"No")</f>
        <v>No</v>
      </c>
      <c r="M858" s="44">
        <f t="shared" si="38"/>
        <v>7.6000000000000005</v>
      </c>
      <c r="N858" s="35">
        <f t="shared" si="39"/>
        <v>64.974999999999994</v>
      </c>
      <c r="O858" t="str">
        <f>VLOOKUP(N858,Helper!$B$30:$C$35,2,TRUE)</f>
        <v>C</v>
      </c>
      <c r="P858" s="26">
        <f>INDEX(Detail!$A$1:$A$1001,MATCH(B858,Detail!$G$1:$G$1001,0))</f>
        <v>38331</v>
      </c>
      <c r="Q858" s="3" t="str">
        <f>INDEX(Detail!$F$1:$F$1001,MATCH(Main!B858,Detail!$G$1:$G$1001,0))</f>
        <v>Dumai</v>
      </c>
      <c r="R858" s="7">
        <f>INDEX(Detail!$C$1:$C$1001,MATCH(B858,Detail!$G$1:$G$1001,0),1)</f>
        <v>160</v>
      </c>
      <c r="S858" s="7">
        <f>INDEX(Detail!$D$1:$D$1001,MATCH(B858,Detail!$G$1:$G$1001,0),1)</f>
        <v>74</v>
      </c>
      <c r="T858" s="7" t="str">
        <f>INDEX(Detail!$E$1:$E$1001,MATCH(Main!B858,Detail!$G$1:$G$1001,0))</f>
        <v>Jl. Suryakencana No. 68</v>
      </c>
      <c r="U858" s="7" t="str">
        <f>INDEX(Detail!$B$1:$B$1001,MATCH(B858,Detail!$G$1:$G$1001,0),1)</f>
        <v>AB-</v>
      </c>
    </row>
    <row r="859" spans="1:21" ht="15.75" x14ac:dyDescent="0.25">
      <c r="A859">
        <v>147</v>
      </c>
      <c r="B859" s="3" t="str">
        <f t="shared" si="40"/>
        <v>F0147</v>
      </c>
      <c r="C859" t="s">
        <v>1011</v>
      </c>
      <c r="D859" s="3" t="str">
        <f>VLOOKUP(B859,Detail!$G$1:$H$1001,2,FALSE)</f>
        <v>Kuncara Uwais</v>
      </c>
      <c r="E859">
        <v>72</v>
      </c>
      <c r="F859">
        <v>67</v>
      </c>
      <c r="G859" s="35">
        <v>58</v>
      </c>
      <c r="H859">
        <v>70</v>
      </c>
      <c r="I859">
        <v>79</v>
      </c>
      <c r="J859">
        <v>40</v>
      </c>
      <c r="K859">
        <v>70</v>
      </c>
      <c r="L859" s="26" t="str">
        <f>IFERROR(VLOOKUP(B859,Absen!$A$1:$C$501,2,FALSE),"No")</f>
        <v>No</v>
      </c>
      <c r="M859" s="44">
        <f t="shared" si="38"/>
        <v>7</v>
      </c>
      <c r="N859" s="35">
        <f t="shared" si="39"/>
        <v>62.6</v>
      </c>
      <c r="O859" t="str">
        <f>VLOOKUP(N859,Helper!$B$30:$C$35,2,TRUE)</f>
        <v>C</v>
      </c>
      <c r="P859" s="26">
        <f>INDEX(Detail!$A$1:$A$1001,MATCH(B859,Detail!$G$1:$G$1001,0))</f>
        <v>37515</v>
      </c>
      <c r="Q859" s="3" t="str">
        <f>INDEX(Detail!$F$1:$F$1001,MATCH(Main!B859,Detail!$G$1:$G$1001,0))</f>
        <v>Padang</v>
      </c>
      <c r="R859" s="7">
        <f>INDEX(Detail!$C$1:$C$1001,MATCH(B859,Detail!$G$1:$G$1001,0),1)</f>
        <v>161</v>
      </c>
      <c r="S859" s="7">
        <f>INDEX(Detail!$D$1:$D$1001,MATCH(B859,Detail!$G$1:$G$1001,0),1)</f>
        <v>62</v>
      </c>
      <c r="T859" s="7" t="str">
        <f>INDEX(Detail!$E$1:$E$1001,MATCH(Main!B859,Detail!$G$1:$G$1001,0))</f>
        <v>Jl. Abdul Muis No. 40</v>
      </c>
      <c r="U859" s="7" t="str">
        <f>INDEX(Detail!$B$1:$B$1001,MATCH(B859,Detail!$G$1:$G$1001,0),1)</f>
        <v>A+</v>
      </c>
    </row>
    <row r="860" spans="1:21" ht="15.75" x14ac:dyDescent="0.25">
      <c r="A860">
        <v>162</v>
      </c>
      <c r="B860" s="3" t="str">
        <f t="shared" si="40"/>
        <v>F0162</v>
      </c>
      <c r="C860" t="s">
        <v>1011</v>
      </c>
      <c r="D860" s="3" t="str">
        <f>VLOOKUP(B860,Detail!$G$1:$H$1001,2,FALSE)</f>
        <v>Galak Salahudin</v>
      </c>
      <c r="E860">
        <v>64</v>
      </c>
      <c r="F860">
        <v>69</v>
      </c>
      <c r="G860" s="35">
        <v>94</v>
      </c>
      <c r="H860">
        <v>56</v>
      </c>
      <c r="I860">
        <v>62</v>
      </c>
      <c r="J860">
        <v>84</v>
      </c>
      <c r="K860">
        <v>63</v>
      </c>
      <c r="L860" s="26" t="str">
        <f>IFERROR(VLOOKUP(B860,Absen!$A$1:$C$501,2,FALSE),"No")</f>
        <v>No</v>
      </c>
      <c r="M860" s="44">
        <f t="shared" si="38"/>
        <v>6.3000000000000007</v>
      </c>
      <c r="N860" s="35">
        <f t="shared" si="39"/>
        <v>73.274999999999991</v>
      </c>
      <c r="O860" t="str">
        <f>VLOOKUP(N860,Helper!$B$30:$C$35,2,TRUE)</f>
        <v>B</v>
      </c>
      <c r="P860" s="26">
        <f>INDEX(Detail!$A$1:$A$1001,MATCH(B860,Detail!$G$1:$G$1001,0))</f>
        <v>37726</v>
      </c>
      <c r="Q860" s="3" t="str">
        <f>INDEX(Detail!$F$1:$F$1001,MATCH(Main!B860,Detail!$G$1:$G$1001,0))</f>
        <v>Kota Administrasi Jakarta Barat</v>
      </c>
      <c r="R860" s="7">
        <f>INDEX(Detail!$C$1:$C$1001,MATCH(B860,Detail!$G$1:$G$1001,0),1)</f>
        <v>166</v>
      </c>
      <c r="S860" s="7">
        <f>INDEX(Detail!$D$1:$D$1001,MATCH(B860,Detail!$G$1:$G$1001,0),1)</f>
        <v>63</v>
      </c>
      <c r="T860" s="7" t="str">
        <f>INDEX(Detail!$E$1:$E$1001,MATCH(Main!B860,Detail!$G$1:$G$1001,0))</f>
        <v xml:space="preserve">Gg. Rajawali Barat No. 7
</v>
      </c>
      <c r="U860" s="7" t="str">
        <f>INDEX(Detail!$B$1:$B$1001,MATCH(B860,Detail!$G$1:$G$1001,0),1)</f>
        <v>AB-</v>
      </c>
    </row>
    <row r="861" spans="1:21" ht="15.75" x14ac:dyDescent="0.25">
      <c r="A861">
        <v>164</v>
      </c>
      <c r="B861" s="3" t="str">
        <f t="shared" si="40"/>
        <v>F0164</v>
      </c>
      <c r="C861" t="s">
        <v>1011</v>
      </c>
      <c r="D861" s="3" t="str">
        <f>VLOOKUP(B861,Detail!$G$1:$H$1001,2,FALSE)</f>
        <v>Nova Sirait</v>
      </c>
      <c r="E861">
        <v>64</v>
      </c>
      <c r="F861">
        <v>71</v>
      </c>
      <c r="G861" s="35">
        <v>44</v>
      </c>
      <c r="H861">
        <v>73</v>
      </c>
      <c r="I861">
        <v>95</v>
      </c>
      <c r="J861">
        <v>60</v>
      </c>
      <c r="K861">
        <v>73</v>
      </c>
      <c r="L861" s="26">
        <f>IFERROR(VLOOKUP(B861,Absen!$A$1:$C$501,2,FALSE),"No")</f>
        <v>44859</v>
      </c>
      <c r="M861" s="44">
        <f t="shared" si="38"/>
        <v>6.3000000000000007</v>
      </c>
      <c r="N861" s="35">
        <f t="shared" si="39"/>
        <v>64.974999999999994</v>
      </c>
      <c r="O861" t="str">
        <f>VLOOKUP(N861,Helper!$B$30:$C$35,2,TRUE)</f>
        <v>C</v>
      </c>
      <c r="P861" s="26">
        <f>INDEX(Detail!$A$1:$A$1001,MATCH(B861,Detail!$G$1:$G$1001,0))</f>
        <v>37697</v>
      </c>
      <c r="Q861" s="3" t="str">
        <f>INDEX(Detail!$F$1:$F$1001,MATCH(Main!B861,Detail!$G$1:$G$1001,0))</f>
        <v>Kendari</v>
      </c>
      <c r="R861" s="7">
        <f>INDEX(Detail!$C$1:$C$1001,MATCH(B861,Detail!$G$1:$G$1001,0),1)</f>
        <v>163</v>
      </c>
      <c r="S861" s="7">
        <f>INDEX(Detail!$D$1:$D$1001,MATCH(B861,Detail!$G$1:$G$1001,0),1)</f>
        <v>61</v>
      </c>
      <c r="T861" s="7" t="str">
        <f>INDEX(Detail!$E$1:$E$1001,MATCH(Main!B861,Detail!$G$1:$G$1001,0))</f>
        <v>Gang Suryakencana No. 15</v>
      </c>
      <c r="U861" s="7" t="str">
        <f>INDEX(Detail!$B$1:$B$1001,MATCH(B861,Detail!$G$1:$G$1001,0),1)</f>
        <v>AB+</v>
      </c>
    </row>
    <row r="862" spans="1:21" ht="15.75" x14ac:dyDescent="0.25">
      <c r="A862">
        <v>168</v>
      </c>
      <c r="B862" s="3" t="str">
        <f t="shared" si="40"/>
        <v>F0168</v>
      </c>
      <c r="C862" t="s">
        <v>1011</v>
      </c>
      <c r="D862" s="3" t="str">
        <f>VLOOKUP(B862,Detail!$G$1:$H$1001,2,FALSE)</f>
        <v>Talia Yuliarti</v>
      </c>
      <c r="E862">
        <v>92</v>
      </c>
      <c r="F862">
        <v>71</v>
      </c>
      <c r="G862" s="35">
        <v>39</v>
      </c>
      <c r="H862">
        <v>50</v>
      </c>
      <c r="I862">
        <v>77</v>
      </c>
      <c r="J862">
        <v>51</v>
      </c>
      <c r="K862">
        <v>63</v>
      </c>
      <c r="L862" s="26" t="str">
        <f>IFERROR(VLOOKUP(B862,Absen!$A$1:$C$501,2,FALSE),"No")</f>
        <v>No</v>
      </c>
      <c r="M862" s="44">
        <f t="shared" si="38"/>
        <v>6.3000000000000007</v>
      </c>
      <c r="N862" s="35">
        <f t="shared" si="39"/>
        <v>60.55</v>
      </c>
      <c r="O862" t="str">
        <f>VLOOKUP(N862,Helper!$B$30:$C$35,2,TRUE)</f>
        <v>C</v>
      </c>
      <c r="P862" s="26">
        <f>INDEX(Detail!$A$1:$A$1001,MATCH(B862,Detail!$G$1:$G$1001,0))</f>
        <v>37250</v>
      </c>
      <c r="Q862" s="3" t="str">
        <f>INDEX(Detail!$F$1:$F$1001,MATCH(Main!B862,Detail!$G$1:$G$1001,0))</f>
        <v>Gorontalo</v>
      </c>
      <c r="R862" s="7">
        <f>INDEX(Detail!$C$1:$C$1001,MATCH(B862,Detail!$G$1:$G$1001,0),1)</f>
        <v>164</v>
      </c>
      <c r="S862" s="7">
        <f>INDEX(Detail!$D$1:$D$1001,MATCH(B862,Detail!$G$1:$G$1001,0),1)</f>
        <v>80</v>
      </c>
      <c r="T862" s="7" t="str">
        <f>INDEX(Detail!$E$1:$E$1001,MATCH(Main!B862,Detail!$G$1:$G$1001,0))</f>
        <v>Gang R.E Martadinata No. 04</v>
      </c>
      <c r="U862" s="7" t="str">
        <f>INDEX(Detail!$B$1:$B$1001,MATCH(B862,Detail!$G$1:$G$1001,0),1)</f>
        <v>A+</v>
      </c>
    </row>
    <row r="863" spans="1:21" ht="15.75" x14ac:dyDescent="0.25">
      <c r="A863">
        <v>172</v>
      </c>
      <c r="B863" s="3" t="str">
        <f t="shared" si="40"/>
        <v>F0172</v>
      </c>
      <c r="C863" t="s">
        <v>1011</v>
      </c>
      <c r="D863" s="3" t="str">
        <f>VLOOKUP(B863,Detail!$G$1:$H$1001,2,FALSE)</f>
        <v>Eka Permadi</v>
      </c>
      <c r="E863">
        <v>94</v>
      </c>
      <c r="F863">
        <v>43</v>
      </c>
      <c r="G863" s="35">
        <v>78</v>
      </c>
      <c r="H863">
        <v>54</v>
      </c>
      <c r="I863">
        <v>73</v>
      </c>
      <c r="J863">
        <v>47</v>
      </c>
      <c r="K863">
        <v>74</v>
      </c>
      <c r="L863" s="26" t="str">
        <f>IFERROR(VLOOKUP(B863,Absen!$A$1:$C$501,2,FALSE),"No")</f>
        <v>No</v>
      </c>
      <c r="M863" s="44">
        <f t="shared" si="38"/>
        <v>7.4</v>
      </c>
      <c r="N863" s="35">
        <f t="shared" si="39"/>
        <v>65.400000000000006</v>
      </c>
      <c r="O863" t="str">
        <f>VLOOKUP(N863,Helper!$B$30:$C$35,2,TRUE)</f>
        <v>C</v>
      </c>
      <c r="P863" s="26">
        <f>INDEX(Detail!$A$1:$A$1001,MATCH(B863,Detail!$G$1:$G$1001,0))</f>
        <v>37344</v>
      </c>
      <c r="Q863" s="3" t="str">
        <f>INDEX(Detail!$F$1:$F$1001,MATCH(Main!B863,Detail!$G$1:$G$1001,0))</f>
        <v>Prabumulih</v>
      </c>
      <c r="R863" s="7">
        <f>INDEX(Detail!$C$1:$C$1001,MATCH(B863,Detail!$G$1:$G$1001,0),1)</f>
        <v>164</v>
      </c>
      <c r="S863" s="7">
        <f>INDEX(Detail!$D$1:$D$1001,MATCH(B863,Detail!$G$1:$G$1001,0),1)</f>
        <v>63</v>
      </c>
      <c r="T863" s="7" t="str">
        <f>INDEX(Detail!$E$1:$E$1001,MATCH(Main!B863,Detail!$G$1:$G$1001,0))</f>
        <v xml:space="preserve">Jl. Pasteur No. 4
</v>
      </c>
      <c r="U863" s="7" t="str">
        <f>INDEX(Detail!$B$1:$B$1001,MATCH(B863,Detail!$G$1:$G$1001,0),1)</f>
        <v>AB+</v>
      </c>
    </row>
    <row r="864" spans="1:21" ht="15.75" x14ac:dyDescent="0.25">
      <c r="A864">
        <v>180</v>
      </c>
      <c r="B864" s="3" t="str">
        <f t="shared" si="40"/>
        <v>F0180</v>
      </c>
      <c r="C864" t="s">
        <v>1011</v>
      </c>
      <c r="D864" s="3" t="str">
        <f>VLOOKUP(B864,Detail!$G$1:$H$1001,2,FALSE)</f>
        <v>Bajragin Aryani</v>
      </c>
      <c r="E864">
        <v>61</v>
      </c>
      <c r="F864">
        <v>70</v>
      </c>
      <c r="G864" s="35">
        <v>67</v>
      </c>
      <c r="H864">
        <v>64</v>
      </c>
      <c r="I864">
        <v>77</v>
      </c>
      <c r="J864">
        <v>98</v>
      </c>
      <c r="K864">
        <v>65</v>
      </c>
      <c r="L864" s="26" t="str">
        <f>IFERROR(VLOOKUP(B864,Absen!$A$1:$C$501,2,FALSE),"No")</f>
        <v>No</v>
      </c>
      <c r="M864" s="44">
        <f t="shared" si="38"/>
        <v>6.5</v>
      </c>
      <c r="N864" s="35">
        <f t="shared" si="39"/>
        <v>73.5</v>
      </c>
      <c r="O864" t="str">
        <f>VLOOKUP(N864,Helper!$B$30:$C$35,2,TRUE)</f>
        <v>B</v>
      </c>
      <c r="P864" s="26">
        <f>INDEX(Detail!$A$1:$A$1001,MATCH(B864,Detail!$G$1:$G$1001,0))</f>
        <v>38162</v>
      </c>
      <c r="Q864" s="3" t="str">
        <f>INDEX(Detail!$F$1:$F$1001,MATCH(Main!B864,Detail!$G$1:$G$1001,0))</f>
        <v>Denpasar</v>
      </c>
      <c r="R864" s="7">
        <f>INDEX(Detail!$C$1:$C$1001,MATCH(B864,Detail!$G$1:$G$1001,0),1)</f>
        <v>169</v>
      </c>
      <c r="S864" s="7">
        <f>INDEX(Detail!$D$1:$D$1001,MATCH(B864,Detail!$G$1:$G$1001,0),1)</f>
        <v>88</v>
      </c>
      <c r="T864" s="7" t="str">
        <f>INDEX(Detail!$E$1:$E$1001,MATCH(Main!B864,Detail!$G$1:$G$1001,0))</f>
        <v>Gg. Pasir Koja No. 72</v>
      </c>
      <c r="U864" s="7" t="str">
        <f>INDEX(Detail!$B$1:$B$1001,MATCH(B864,Detail!$G$1:$G$1001,0),1)</f>
        <v>O-</v>
      </c>
    </row>
    <row r="865" spans="1:21" ht="15.75" x14ac:dyDescent="0.25">
      <c r="A865">
        <v>182</v>
      </c>
      <c r="B865" s="3" t="str">
        <f t="shared" si="40"/>
        <v>F0182</v>
      </c>
      <c r="C865" t="s">
        <v>1011</v>
      </c>
      <c r="D865" s="3" t="str">
        <f>VLOOKUP(B865,Detail!$G$1:$H$1001,2,FALSE)</f>
        <v>Samsul Widodo</v>
      </c>
      <c r="E865">
        <v>57</v>
      </c>
      <c r="F865">
        <v>71</v>
      </c>
      <c r="G865" s="35">
        <v>87</v>
      </c>
      <c r="H865">
        <v>51</v>
      </c>
      <c r="I865">
        <v>95</v>
      </c>
      <c r="J865">
        <v>97</v>
      </c>
      <c r="K865">
        <v>86</v>
      </c>
      <c r="L865" s="26" t="str">
        <f>IFERROR(VLOOKUP(B865,Absen!$A$1:$C$501,2,FALSE),"No")</f>
        <v>No</v>
      </c>
      <c r="M865" s="44">
        <f t="shared" si="38"/>
        <v>8.6</v>
      </c>
      <c r="N865" s="35">
        <f t="shared" si="39"/>
        <v>79.650000000000006</v>
      </c>
      <c r="O865" t="str">
        <f>VLOOKUP(N865,Helper!$B$30:$C$35,2,TRUE)</f>
        <v>B</v>
      </c>
      <c r="P865" s="26">
        <f>INDEX(Detail!$A$1:$A$1001,MATCH(B865,Detail!$G$1:$G$1001,0))</f>
        <v>37268</v>
      </c>
      <c r="Q865" s="3" t="str">
        <f>INDEX(Detail!$F$1:$F$1001,MATCH(Main!B865,Detail!$G$1:$G$1001,0))</f>
        <v>Tanjungbalai</v>
      </c>
      <c r="R865" s="7">
        <f>INDEX(Detail!$C$1:$C$1001,MATCH(B865,Detail!$G$1:$G$1001,0),1)</f>
        <v>152</v>
      </c>
      <c r="S865" s="7">
        <f>INDEX(Detail!$D$1:$D$1001,MATCH(B865,Detail!$G$1:$G$1001,0),1)</f>
        <v>84</v>
      </c>
      <c r="T865" s="7" t="str">
        <f>INDEX(Detail!$E$1:$E$1001,MATCH(Main!B865,Detail!$G$1:$G$1001,0))</f>
        <v xml:space="preserve">Gg. Erlangga No. 9
</v>
      </c>
      <c r="U865" s="7" t="str">
        <f>INDEX(Detail!$B$1:$B$1001,MATCH(B865,Detail!$G$1:$G$1001,0),1)</f>
        <v>B+</v>
      </c>
    </row>
    <row r="866" spans="1:21" ht="15.75" x14ac:dyDescent="0.25">
      <c r="A866">
        <v>184</v>
      </c>
      <c r="B866" s="3" t="str">
        <f t="shared" si="40"/>
        <v>F0184</v>
      </c>
      <c r="C866" t="s">
        <v>1011</v>
      </c>
      <c r="D866" s="3" t="str">
        <f>VLOOKUP(B866,Detail!$G$1:$H$1001,2,FALSE)</f>
        <v>Taufik Lailasari</v>
      </c>
      <c r="E866">
        <v>52</v>
      </c>
      <c r="F866">
        <v>54</v>
      </c>
      <c r="G866" s="35">
        <v>64</v>
      </c>
      <c r="H866">
        <v>66</v>
      </c>
      <c r="I866">
        <v>81</v>
      </c>
      <c r="J866">
        <v>100</v>
      </c>
      <c r="K866">
        <v>87</v>
      </c>
      <c r="L866" s="26" t="str">
        <f>IFERROR(VLOOKUP(B866,Absen!$A$1:$C$501,2,FALSE),"No")</f>
        <v>No</v>
      </c>
      <c r="M866" s="44">
        <f t="shared" si="38"/>
        <v>8.7000000000000011</v>
      </c>
      <c r="N866" s="35">
        <f t="shared" si="39"/>
        <v>73.125</v>
      </c>
      <c r="O866" t="str">
        <f>VLOOKUP(N866,Helper!$B$30:$C$35,2,TRUE)</f>
        <v>B</v>
      </c>
      <c r="P866" s="26">
        <f>INDEX(Detail!$A$1:$A$1001,MATCH(B866,Detail!$G$1:$G$1001,0))</f>
        <v>37213</v>
      </c>
      <c r="Q866" s="3" t="str">
        <f>INDEX(Detail!$F$1:$F$1001,MATCH(Main!B866,Detail!$G$1:$G$1001,0))</f>
        <v>Sorong</v>
      </c>
      <c r="R866" s="7">
        <f>INDEX(Detail!$C$1:$C$1001,MATCH(B866,Detail!$G$1:$G$1001,0),1)</f>
        <v>175</v>
      </c>
      <c r="S866" s="7">
        <f>INDEX(Detail!$D$1:$D$1001,MATCH(B866,Detail!$G$1:$G$1001,0),1)</f>
        <v>47</v>
      </c>
      <c r="T866" s="7" t="str">
        <f>INDEX(Detail!$E$1:$E$1001,MATCH(Main!B866,Detail!$G$1:$G$1001,0))</f>
        <v>Jalan Kutisari Selatan No. 76</v>
      </c>
      <c r="U866" s="7" t="str">
        <f>INDEX(Detail!$B$1:$B$1001,MATCH(B866,Detail!$G$1:$G$1001,0),1)</f>
        <v>A-</v>
      </c>
    </row>
    <row r="867" spans="1:21" ht="15.75" x14ac:dyDescent="0.25">
      <c r="A867">
        <v>186</v>
      </c>
      <c r="B867" s="3" t="str">
        <f t="shared" si="40"/>
        <v>F0186</v>
      </c>
      <c r="C867" t="s">
        <v>1011</v>
      </c>
      <c r="D867" s="3" t="str">
        <f>VLOOKUP(B867,Detail!$G$1:$H$1001,2,FALSE)</f>
        <v>Ika Maheswara</v>
      </c>
      <c r="E867">
        <v>75</v>
      </c>
      <c r="F867">
        <v>73</v>
      </c>
      <c r="G867" s="35">
        <v>66</v>
      </c>
      <c r="H867">
        <v>69</v>
      </c>
      <c r="I867">
        <v>89</v>
      </c>
      <c r="J867">
        <v>97</v>
      </c>
      <c r="K867">
        <v>89</v>
      </c>
      <c r="L867" s="26" t="str">
        <f>IFERROR(VLOOKUP(B867,Absen!$A$1:$C$501,2,FALSE),"No")</f>
        <v>No</v>
      </c>
      <c r="M867" s="44">
        <f t="shared" si="38"/>
        <v>8.9</v>
      </c>
      <c r="N867" s="35">
        <f t="shared" si="39"/>
        <v>79.750000000000014</v>
      </c>
      <c r="O867" t="str">
        <f>VLOOKUP(N867,Helper!$B$30:$C$35,2,TRUE)</f>
        <v>B</v>
      </c>
      <c r="P867" s="26">
        <f>INDEX(Detail!$A$1:$A$1001,MATCH(B867,Detail!$G$1:$G$1001,0))</f>
        <v>38188</v>
      </c>
      <c r="Q867" s="3" t="str">
        <f>INDEX(Detail!$F$1:$F$1001,MATCH(Main!B867,Detail!$G$1:$G$1001,0))</f>
        <v>Kota Administrasi Jakarta Utara</v>
      </c>
      <c r="R867" s="7">
        <f>INDEX(Detail!$C$1:$C$1001,MATCH(B867,Detail!$G$1:$G$1001,0),1)</f>
        <v>158</v>
      </c>
      <c r="S867" s="7">
        <f>INDEX(Detail!$D$1:$D$1001,MATCH(B867,Detail!$G$1:$G$1001,0),1)</f>
        <v>91</v>
      </c>
      <c r="T867" s="7" t="str">
        <f>INDEX(Detail!$E$1:$E$1001,MATCH(Main!B867,Detail!$G$1:$G$1001,0))</f>
        <v>Jl. Pasteur No. 87</v>
      </c>
      <c r="U867" s="7" t="str">
        <f>INDEX(Detail!$B$1:$B$1001,MATCH(B867,Detail!$G$1:$G$1001,0),1)</f>
        <v>AB-</v>
      </c>
    </row>
    <row r="868" spans="1:21" ht="15.75" x14ac:dyDescent="0.25">
      <c r="A868">
        <v>189</v>
      </c>
      <c r="B868" s="3" t="str">
        <f t="shared" si="40"/>
        <v>F0189</v>
      </c>
      <c r="C868" t="s">
        <v>1011</v>
      </c>
      <c r="D868" s="3" t="str">
        <f>VLOOKUP(B868,Detail!$G$1:$H$1001,2,FALSE)</f>
        <v>Bahuwirya Halim</v>
      </c>
      <c r="E868">
        <v>79</v>
      </c>
      <c r="F868">
        <v>44</v>
      </c>
      <c r="G868" s="35">
        <v>94</v>
      </c>
      <c r="H868">
        <v>64</v>
      </c>
      <c r="I868">
        <v>62</v>
      </c>
      <c r="J868">
        <v>75</v>
      </c>
      <c r="K868">
        <v>100</v>
      </c>
      <c r="L868" s="26" t="str">
        <f>IFERROR(VLOOKUP(B868,Absen!$A$1:$C$501,2,FALSE),"No")</f>
        <v>No</v>
      </c>
      <c r="M868" s="44">
        <f t="shared" si="38"/>
        <v>10</v>
      </c>
      <c r="N868" s="35">
        <f t="shared" si="39"/>
        <v>74.924999999999997</v>
      </c>
      <c r="O868" t="str">
        <f>VLOOKUP(N868,Helper!$B$30:$C$35,2,TRUE)</f>
        <v>B</v>
      </c>
      <c r="P868" s="26">
        <f>INDEX(Detail!$A$1:$A$1001,MATCH(B868,Detail!$G$1:$G$1001,0))</f>
        <v>37881</v>
      </c>
      <c r="Q868" s="3" t="str">
        <f>INDEX(Detail!$F$1:$F$1001,MATCH(Main!B868,Detail!$G$1:$G$1001,0))</f>
        <v>Madiun</v>
      </c>
      <c r="R868" s="7">
        <f>INDEX(Detail!$C$1:$C$1001,MATCH(B868,Detail!$G$1:$G$1001,0),1)</f>
        <v>157</v>
      </c>
      <c r="S868" s="7">
        <f>INDEX(Detail!$D$1:$D$1001,MATCH(B868,Detail!$G$1:$G$1001,0),1)</f>
        <v>95</v>
      </c>
      <c r="T868" s="7" t="str">
        <f>INDEX(Detail!$E$1:$E$1001,MATCH(Main!B868,Detail!$G$1:$G$1001,0))</f>
        <v>Jalan Veteran No. 11</v>
      </c>
      <c r="U868" s="7" t="str">
        <f>INDEX(Detail!$B$1:$B$1001,MATCH(B868,Detail!$G$1:$G$1001,0),1)</f>
        <v>B-</v>
      </c>
    </row>
    <row r="869" spans="1:21" ht="15.75" x14ac:dyDescent="0.25">
      <c r="A869">
        <v>195</v>
      </c>
      <c r="B869" s="3" t="str">
        <f t="shared" si="40"/>
        <v>F0195</v>
      </c>
      <c r="C869" t="s">
        <v>1011</v>
      </c>
      <c r="D869" s="3" t="str">
        <f>VLOOKUP(B869,Detail!$G$1:$H$1001,2,FALSE)</f>
        <v>Prabawa Pratiwi</v>
      </c>
      <c r="E869">
        <v>81</v>
      </c>
      <c r="F869">
        <v>57</v>
      </c>
      <c r="G869" s="35">
        <v>79</v>
      </c>
      <c r="H869">
        <v>53</v>
      </c>
      <c r="I869">
        <v>83</v>
      </c>
      <c r="J869">
        <v>59</v>
      </c>
      <c r="K869">
        <v>64</v>
      </c>
      <c r="L869" s="26">
        <f>IFERROR(VLOOKUP(B869,Absen!$A$1:$C$501,2,FALSE),"No")</f>
        <v>44775</v>
      </c>
      <c r="M869" s="44">
        <f t="shared" si="38"/>
        <v>5.4</v>
      </c>
      <c r="N869" s="35">
        <f t="shared" si="39"/>
        <v>67.25</v>
      </c>
      <c r="O869" t="str">
        <f>VLOOKUP(N869,Helper!$B$30:$C$35,2,TRUE)</f>
        <v>C</v>
      </c>
      <c r="P869" s="26">
        <f>INDEX(Detail!$A$1:$A$1001,MATCH(B869,Detail!$G$1:$G$1001,0))</f>
        <v>37135</v>
      </c>
      <c r="Q869" s="3" t="str">
        <f>INDEX(Detail!$F$1:$F$1001,MATCH(Main!B869,Detail!$G$1:$G$1001,0))</f>
        <v>Bekasi</v>
      </c>
      <c r="R869" s="7">
        <f>INDEX(Detail!$C$1:$C$1001,MATCH(B869,Detail!$G$1:$G$1001,0),1)</f>
        <v>180</v>
      </c>
      <c r="S869" s="7">
        <f>INDEX(Detail!$D$1:$D$1001,MATCH(B869,Detail!$G$1:$G$1001,0),1)</f>
        <v>90</v>
      </c>
      <c r="T869" s="7" t="str">
        <f>INDEX(Detail!$E$1:$E$1001,MATCH(Main!B869,Detail!$G$1:$G$1001,0))</f>
        <v>Gang Tebet Barat Dalam No. 45</v>
      </c>
      <c r="U869" s="7" t="str">
        <f>INDEX(Detail!$B$1:$B$1001,MATCH(B869,Detail!$G$1:$G$1001,0),1)</f>
        <v>O+</v>
      </c>
    </row>
    <row r="870" spans="1:21" ht="15.75" x14ac:dyDescent="0.25">
      <c r="A870">
        <v>198</v>
      </c>
      <c r="B870" s="3" t="str">
        <f t="shared" si="40"/>
        <v>F0198</v>
      </c>
      <c r="C870" t="s">
        <v>1011</v>
      </c>
      <c r="D870" s="3" t="str">
        <f>VLOOKUP(B870,Detail!$G$1:$H$1001,2,FALSE)</f>
        <v>Intan Namaga</v>
      </c>
      <c r="E870">
        <v>87</v>
      </c>
      <c r="F870">
        <v>41</v>
      </c>
      <c r="G870" s="35">
        <v>77</v>
      </c>
      <c r="H870">
        <v>53</v>
      </c>
      <c r="I870">
        <v>81</v>
      </c>
      <c r="J870">
        <v>99</v>
      </c>
      <c r="K870">
        <v>96</v>
      </c>
      <c r="L870" s="26" t="str">
        <f>IFERROR(VLOOKUP(B870,Absen!$A$1:$C$501,2,FALSE),"No")</f>
        <v>No</v>
      </c>
      <c r="M870" s="44">
        <f t="shared" si="38"/>
        <v>9.6000000000000014</v>
      </c>
      <c r="N870" s="35">
        <f t="shared" si="39"/>
        <v>77.550000000000011</v>
      </c>
      <c r="O870" t="str">
        <f>VLOOKUP(N870,Helper!$B$30:$C$35,2,TRUE)</f>
        <v>B</v>
      </c>
      <c r="P870" s="26">
        <f>INDEX(Detail!$A$1:$A$1001,MATCH(B870,Detail!$G$1:$G$1001,0))</f>
        <v>37749</v>
      </c>
      <c r="Q870" s="3" t="str">
        <f>INDEX(Detail!$F$1:$F$1001,MATCH(Main!B870,Detail!$G$1:$G$1001,0))</f>
        <v>Batu</v>
      </c>
      <c r="R870" s="7">
        <f>INDEX(Detail!$C$1:$C$1001,MATCH(B870,Detail!$G$1:$G$1001,0),1)</f>
        <v>161</v>
      </c>
      <c r="S870" s="7">
        <f>INDEX(Detail!$D$1:$D$1001,MATCH(B870,Detail!$G$1:$G$1001,0),1)</f>
        <v>81</v>
      </c>
      <c r="T870" s="7" t="str">
        <f>INDEX(Detail!$E$1:$E$1001,MATCH(Main!B870,Detail!$G$1:$G$1001,0))</f>
        <v xml:space="preserve">Jl. Pelajar Pejuang No. 7
</v>
      </c>
      <c r="U870" s="7" t="str">
        <f>INDEX(Detail!$B$1:$B$1001,MATCH(B870,Detail!$G$1:$G$1001,0),1)</f>
        <v>A-</v>
      </c>
    </row>
    <row r="871" spans="1:21" ht="15.75" x14ac:dyDescent="0.25">
      <c r="A871">
        <v>204</v>
      </c>
      <c r="B871" s="3" t="str">
        <f t="shared" si="40"/>
        <v>F0204</v>
      </c>
      <c r="C871" t="s">
        <v>1011</v>
      </c>
      <c r="D871" s="3" t="str">
        <f>VLOOKUP(B871,Detail!$G$1:$H$1001,2,FALSE)</f>
        <v>Ade Mustofa</v>
      </c>
      <c r="E871">
        <v>93</v>
      </c>
      <c r="F871">
        <v>55</v>
      </c>
      <c r="G871" s="35">
        <v>69</v>
      </c>
      <c r="H871">
        <v>57</v>
      </c>
      <c r="I871">
        <v>62</v>
      </c>
      <c r="J871">
        <v>71</v>
      </c>
      <c r="K871">
        <v>100</v>
      </c>
      <c r="L871" s="26">
        <f>IFERROR(VLOOKUP(B871,Absen!$A$1:$C$501,2,FALSE),"No")</f>
        <v>44800</v>
      </c>
      <c r="M871" s="44">
        <f t="shared" si="38"/>
        <v>9</v>
      </c>
      <c r="N871" s="35">
        <f t="shared" si="39"/>
        <v>70.375</v>
      </c>
      <c r="O871" t="str">
        <f>VLOOKUP(N871,Helper!$B$30:$C$35,2,TRUE)</f>
        <v>B</v>
      </c>
      <c r="P871" s="26">
        <f>INDEX(Detail!$A$1:$A$1001,MATCH(B871,Detail!$G$1:$G$1001,0))</f>
        <v>37439</v>
      </c>
      <c r="Q871" s="3" t="str">
        <f>INDEX(Detail!$F$1:$F$1001,MATCH(Main!B871,Detail!$G$1:$G$1001,0))</f>
        <v>Pangkalpinang</v>
      </c>
      <c r="R871" s="7">
        <f>INDEX(Detail!$C$1:$C$1001,MATCH(B871,Detail!$G$1:$G$1001,0),1)</f>
        <v>174</v>
      </c>
      <c r="S871" s="7">
        <f>INDEX(Detail!$D$1:$D$1001,MATCH(B871,Detail!$G$1:$G$1001,0),1)</f>
        <v>66</v>
      </c>
      <c r="T871" s="7" t="str">
        <f>INDEX(Detail!$E$1:$E$1001,MATCH(Main!B871,Detail!$G$1:$G$1001,0))</f>
        <v>Gang Kiaracondong No. 44</v>
      </c>
      <c r="U871" s="7" t="str">
        <f>INDEX(Detail!$B$1:$B$1001,MATCH(B871,Detail!$G$1:$G$1001,0),1)</f>
        <v>AB+</v>
      </c>
    </row>
    <row r="872" spans="1:21" ht="15.75" x14ac:dyDescent="0.25">
      <c r="A872">
        <v>210</v>
      </c>
      <c r="B872" s="3" t="str">
        <f t="shared" si="40"/>
        <v>F0210</v>
      </c>
      <c r="C872" t="s">
        <v>1011</v>
      </c>
      <c r="D872" s="3" t="str">
        <f>VLOOKUP(B872,Detail!$G$1:$H$1001,2,FALSE)</f>
        <v>Rosman Maryadi</v>
      </c>
      <c r="E872">
        <v>65</v>
      </c>
      <c r="F872">
        <v>45</v>
      </c>
      <c r="G872" s="35">
        <v>34</v>
      </c>
      <c r="H872">
        <v>75</v>
      </c>
      <c r="I872">
        <v>93</v>
      </c>
      <c r="J872">
        <v>55</v>
      </c>
      <c r="K872">
        <v>60</v>
      </c>
      <c r="L872" s="26" t="str">
        <f>IFERROR(VLOOKUP(B872,Absen!$A$1:$C$501,2,FALSE),"No")</f>
        <v>No</v>
      </c>
      <c r="M872" s="44">
        <f t="shared" si="38"/>
        <v>6</v>
      </c>
      <c r="N872" s="35">
        <f t="shared" si="39"/>
        <v>58.55</v>
      </c>
      <c r="O872" t="str">
        <f>VLOOKUP(N872,Helper!$B$30:$C$35,2,TRUE)</f>
        <v>D</v>
      </c>
      <c r="P872" s="26">
        <f>INDEX(Detail!$A$1:$A$1001,MATCH(B872,Detail!$G$1:$G$1001,0))</f>
        <v>37728</v>
      </c>
      <c r="Q872" s="3" t="str">
        <f>INDEX(Detail!$F$1:$F$1001,MATCH(Main!B872,Detail!$G$1:$G$1001,0))</f>
        <v>Samarinda</v>
      </c>
      <c r="R872" s="7">
        <f>INDEX(Detail!$C$1:$C$1001,MATCH(B872,Detail!$G$1:$G$1001,0),1)</f>
        <v>172</v>
      </c>
      <c r="S872" s="7">
        <f>INDEX(Detail!$D$1:$D$1001,MATCH(B872,Detail!$G$1:$G$1001,0),1)</f>
        <v>78</v>
      </c>
      <c r="T872" s="7" t="str">
        <f>INDEX(Detail!$E$1:$E$1001,MATCH(Main!B872,Detail!$G$1:$G$1001,0))</f>
        <v xml:space="preserve">Gang BKR No. 6
</v>
      </c>
      <c r="U872" s="7" t="str">
        <f>INDEX(Detail!$B$1:$B$1001,MATCH(B872,Detail!$G$1:$G$1001,0),1)</f>
        <v>O+</v>
      </c>
    </row>
    <row r="873" spans="1:21" ht="15.75" x14ac:dyDescent="0.25">
      <c r="A873">
        <v>211</v>
      </c>
      <c r="B873" s="3" t="str">
        <f t="shared" si="40"/>
        <v>F0211</v>
      </c>
      <c r="C873" t="s">
        <v>1011</v>
      </c>
      <c r="D873" s="3" t="str">
        <f>VLOOKUP(B873,Detail!$G$1:$H$1001,2,FALSE)</f>
        <v>Hasta Suwarno</v>
      </c>
      <c r="E873">
        <v>94</v>
      </c>
      <c r="F873">
        <v>57</v>
      </c>
      <c r="G873" s="35">
        <v>56</v>
      </c>
      <c r="H873">
        <v>56</v>
      </c>
      <c r="I873">
        <v>82</v>
      </c>
      <c r="J873">
        <v>46</v>
      </c>
      <c r="K873">
        <v>85</v>
      </c>
      <c r="L873" s="26">
        <f>IFERROR(VLOOKUP(B873,Absen!$A$1:$C$501,2,FALSE),"No")</f>
        <v>44885</v>
      </c>
      <c r="M873" s="44">
        <f t="shared" si="38"/>
        <v>7.5</v>
      </c>
      <c r="N873" s="35">
        <f t="shared" si="39"/>
        <v>64.025000000000006</v>
      </c>
      <c r="O873" t="str">
        <f>VLOOKUP(N873,Helper!$B$30:$C$35,2,TRUE)</f>
        <v>C</v>
      </c>
      <c r="P873" s="26">
        <f>INDEX(Detail!$A$1:$A$1001,MATCH(B873,Detail!$G$1:$G$1001,0))</f>
        <v>37941</v>
      </c>
      <c r="Q873" s="3" t="str">
        <f>INDEX(Detail!$F$1:$F$1001,MATCH(Main!B873,Detail!$G$1:$G$1001,0))</f>
        <v>Yogyakarta</v>
      </c>
      <c r="R873" s="7">
        <f>INDEX(Detail!$C$1:$C$1001,MATCH(B873,Detail!$G$1:$G$1001,0),1)</f>
        <v>162</v>
      </c>
      <c r="S873" s="7">
        <f>INDEX(Detail!$D$1:$D$1001,MATCH(B873,Detail!$G$1:$G$1001,0),1)</f>
        <v>88</v>
      </c>
      <c r="T873" s="7" t="str">
        <f>INDEX(Detail!$E$1:$E$1001,MATCH(Main!B873,Detail!$G$1:$G$1001,0))</f>
        <v xml:space="preserve">Gang Rajawali Timur No. 3
</v>
      </c>
      <c r="U873" s="7" t="str">
        <f>INDEX(Detail!$B$1:$B$1001,MATCH(B873,Detail!$G$1:$G$1001,0),1)</f>
        <v>A+</v>
      </c>
    </row>
    <row r="874" spans="1:21" ht="15.75" x14ac:dyDescent="0.25">
      <c r="A874">
        <v>212</v>
      </c>
      <c r="B874" s="3" t="str">
        <f t="shared" si="40"/>
        <v>F0212</v>
      </c>
      <c r="C874" t="s">
        <v>1011</v>
      </c>
      <c r="D874" s="3" t="str">
        <f>VLOOKUP(B874,Detail!$G$1:$H$1001,2,FALSE)</f>
        <v>Yance Palastri</v>
      </c>
      <c r="E874">
        <v>91</v>
      </c>
      <c r="F874">
        <v>54</v>
      </c>
      <c r="G874" s="35">
        <v>65</v>
      </c>
      <c r="H874">
        <v>71</v>
      </c>
      <c r="I874">
        <v>84</v>
      </c>
      <c r="J874">
        <v>60</v>
      </c>
      <c r="K874">
        <v>71</v>
      </c>
      <c r="L874" s="26">
        <f>IFERROR(VLOOKUP(B874,Absen!$A$1:$C$501,2,FALSE),"No")</f>
        <v>44903</v>
      </c>
      <c r="M874" s="44">
        <f t="shared" si="38"/>
        <v>6.1000000000000005</v>
      </c>
      <c r="N874" s="35">
        <f t="shared" si="39"/>
        <v>68.599999999999994</v>
      </c>
      <c r="O874" t="str">
        <f>VLOOKUP(N874,Helper!$B$30:$C$35,2,TRUE)</f>
        <v>C</v>
      </c>
      <c r="P874" s="26">
        <f>INDEX(Detail!$A$1:$A$1001,MATCH(B874,Detail!$G$1:$G$1001,0))</f>
        <v>38435</v>
      </c>
      <c r="Q874" s="3" t="str">
        <f>INDEX(Detail!$F$1:$F$1001,MATCH(Main!B874,Detail!$G$1:$G$1001,0))</f>
        <v>Lhokseumawe</v>
      </c>
      <c r="R874" s="7">
        <f>INDEX(Detail!$C$1:$C$1001,MATCH(B874,Detail!$G$1:$G$1001,0),1)</f>
        <v>165</v>
      </c>
      <c r="S874" s="7">
        <f>INDEX(Detail!$D$1:$D$1001,MATCH(B874,Detail!$G$1:$G$1001,0),1)</f>
        <v>64</v>
      </c>
      <c r="T874" s="7" t="str">
        <f>INDEX(Detail!$E$1:$E$1001,MATCH(Main!B874,Detail!$G$1:$G$1001,0))</f>
        <v xml:space="preserve">Jalan Gedebage Selatan No. 9
</v>
      </c>
      <c r="U874" s="7" t="str">
        <f>INDEX(Detail!$B$1:$B$1001,MATCH(B874,Detail!$G$1:$G$1001,0),1)</f>
        <v>A-</v>
      </c>
    </row>
    <row r="875" spans="1:21" ht="15.75" x14ac:dyDescent="0.25">
      <c r="A875">
        <v>215</v>
      </c>
      <c r="B875" s="3" t="str">
        <f t="shared" si="40"/>
        <v>F0215</v>
      </c>
      <c r="C875" t="s">
        <v>1011</v>
      </c>
      <c r="D875" s="3" t="str">
        <f>VLOOKUP(B875,Detail!$G$1:$H$1001,2,FALSE)</f>
        <v>Diah Wahyudin</v>
      </c>
      <c r="E875">
        <v>88</v>
      </c>
      <c r="F875">
        <v>45</v>
      </c>
      <c r="G875" s="35">
        <v>38</v>
      </c>
      <c r="H875">
        <v>60</v>
      </c>
      <c r="I875">
        <v>91</v>
      </c>
      <c r="J875">
        <v>54</v>
      </c>
      <c r="K875">
        <v>62</v>
      </c>
      <c r="L875" s="26">
        <f>IFERROR(VLOOKUP(B875,Absen!$A$1:$C$501,2,FALSE),"No")</f>
        <v>44876</v>
      </c>
      <c r="M875" s="44">
        <f t="shared" si="38"/>
        <v>5.2</v>
      </c>
      <c r="N875" s="35">
        <f t="shared" si="39"/>
        <v>59.100000000000009</v>
      </c>
      <c r="O875" t="str">
        <f>VLOOKUP(N875,Helper!$B$30:$C$35,2,TRUE)</f>
        <v>D</v>
      </c>
      <c r="P875" s="26">
        <f>INDEX(Detail!$A$1:$A$1001,MATCH(B875,Detail!$G$1:$G$1001,0))</f>
        <v>37050</v>
      </c>
      <c r="Q875" s="3" t="str">
        <f>INDEX(Detail!$F$1:$F$1001,MATCH(Main!B875,Detail!$G$1:$G$1001,0))</f>
        <v>Tarakan</v>
      </c>
      <c r="R875" s="7">
        <f>INDEX(Detail!$C$1:$C$1001,MATCH(B875,Detail!$G$1:$G$1001,0),1)</f>
        <v>179</v>
      </c>
      <c r="S875" s="7">
        <f>INDEX(Detail!$D$1:$D$1001,MATCH(B875,Detail!$G$1:$G$1001,0),1)</f>
        <v>83</v>
      </c>
      <c r="T875" s="7" t="str">
        <f>INDEX(Detail!$E$1:$E$1001,MATCH(Main!B875,Detail!$G$1:$G$1001,0))</f>
        <v xml:space="preserve">Jalan Suryakencana No. 7
</v>
      </c>
      <c r="U875" s="7" t="str">
        <f>INDEX(Detail!$B$1:$B$1001,MATCH(B875,Detail!$G$1:$G$1001,0),1)</f>
        <v>B-</v>
      </c>
    </row>
    <row r="876" spans="1:21" ht="15.75" x14ac:dyDescent="0.25">
      <c r="A876">
        <v>219</v>
      </c>
      <c r="B876" s="3" t="str">
        <f t="shared" si="40"/>
        <v>F0219</v>
      </c>
      <c r="C876" t="s">
        <v>1011</v>
      </c>
      <c r="D876" s="3" t="str">
        <f>VLOOKUP(B876,Detail!$G$1:$H$1001,2,FALSE)</f>
        <v>Luis Sirait</v>
      </c>
      <c r="E876">
        <v>84</v>
      </c>
      <c r="F876">
        <v>58</v>
      </c>
      <c r="G876" s="35">
        <v>89</v>
      </c>
      <c r="H876">
        <v>64</v>
      </c>
      <c r="I876">
        <v>56</v>
      </c>
      <c r="J876">
        <v>94</v>
      </c>
      <c r="K876">
        <v>73</v>
      </c>
      <c r="L876" s="26" t="str">
        <f>IFERROR(VLOOKUP(B876,Absen!$A$1:$C$501,2,FALSE),"No")</f>
        <v>No</v>
      </c>
      <c r="M876" s="44">
        <f t="shared" si="38"/>
        <v>7.3000000000000007</v>
      </c>
      <c r="N876" s="35">
        <f t="shared" si="39"/>
        <v>76.649999999999991</v>
      </c>
      <c r="O876" t="str">
        <f>VLOOKUP(N876,Helper!$B$30:$C$35,2,TRUE)</f>
        <v>B</v>
      </c>
      <c r="P876" s="26">
        <f>INDEX(Detail!$A$1:$A$1001,MATCH(B876,Detail!$G$1:$G$1001,0))</f>
        <v>38185</v>
      </c>
      <c r="Q876" s="3" t="str">
        <f>INDEX(Detail!$F$1:$F$1001,MATCH(Main!B876,Detail!$G$1:$G$1001,0))</f>
        <v>Semarang</v>
      </c>
      <c r="R876" s="7">
        <f>INDEX(Detail!$C$1:$C$1001,MATCH(B876,Detail!$G$1:$G$1001,0),1)</f>
        <v>171</v>
      </c>
      <c r="S876" s="7">
        <f>INDEX(Detail!$D$1:$D$1001,MATCH(B876,Detail!$G$1:$G$1001,0),1)</f>
        <v>92</v>
      </c>
      <c r="T876" s="7" t="str">
        <f>INDEX(Detail!$E$1:$E$1001,MATCH(Main!B876,Detail!$G$1:$G$1001,0))</f>
        <v>Gg. Cikutra Barat No. 75</v>
      </c>
      <c r="U876" s="7" t="str">
        <f>INDEX(Detail!$B$1:$B$1001,MATCH(B876,Detail!$G$1:$G$1001,0),1)</f>
        <v>A-</v>
      </c>
    </row>
    <row r="877" spans="1:21" ht="15.75" x14ac:dyDescent="0.25">
      <c r="A877">
        <v>221</v>
      </c>
      <c r="B877" s="3" t="str">
        <f t="shared" si="40"/>
        <v>F0221</v>
      </c>
      <c r="C877" t="s">
        <v>1011</v>
      </c>
      <c r="D877" s="3" t="str">
        <f>VLOOKUP(B877,Detail!$G$1:$H$1001,2,FALSE)</f>
        <v>Kenari Saefullah</v>
      </c>
      <c r="E877">
        <v>72</v>
      </c>
      <c r="F877">
        <v>52</v>
      </c>
      <c r="G877" s="35">
        <v>56</v>
      </c>
      <c r="H877">
        <v>70</v>
      </c>
      <c r="I877">
        <v>50</v>
      </c>
      <c r="J877">
        <v>56</v>
      </c>
      <c r="K877">
        <v>94</v>
      </c>
      <c r="L877" s="26">
        <f>IFERROR(VLOOKUP(B877,Absen!$A$1:$C$501,2,FALSE),"No")</f>
        <v>44873</v>
      </c>
      <c r="M877" s="44">
        <f t="shared" si="38"/>
        <v>8.4</v>
      </c>
      <c r="N877" s="35">
        <f t="shared" si="39"/>
        <v>61.300000000000004</v>
      </c>
      <c r="O877" t="str">
        <f>VLOOKUP(N877,Helper!$B$30:$C$35,2,TRUE)</f>
        <v>C</v>
      </c>
      <c r="P877" s="26">
        <f>INDEX(Detail!$A$1:$A$1001,MATCH(B877,Detail!$G$1:$G$1001,0))</f>
        <v>38420</v>
      </c>
      <c r="Q877" s="3" t="str">
        <f>INDEX(Detail!$F$1:$F$1001,MATCH(Main!B877,Detail!$G$1:$G$1001,0))</f>
        <v>Pasuruan</v>
      </c>
      <c r="R877" s="7">
        <f>INDEX(Detail!$C$1:$C$1001,MATCH(B877,Detail!$G$1:$G$1001,0),1)</f>
        <v>180</v>
      </c>
      <c r="S877" s="7">
        <f>INDEX(Detail!$D$1:$D$1001,MATCH(B877,Detail!$G$1:$G$1001,0),1)</f>
        <v>55</v>
      </c>
      <c r="T877" s="7" t="str">
        <f>INDEX(Detail!$E$1:$E$1001,MATCH(Main!B877,Detail!$G$1:$G$1001,0))</f>
        <v>Jalan Dipenogoro No. 04</v>
      </c>
      <c r="U877" s="7" t="str">
        <f>INDEX(Detail!$B$1:$B$1001,MATCH(B877,Detail!$G$1:$G$1001,0),1)</f>
        <v>A-</v>
      </c>
    </row>
    <row r="878" spans="1:21" ht="15.75" x14ac:dyDescent="0.25">
      <c r="A878">
        <v>222</v>
      </c>
      <c r="B878" s="3" t="str">
        <f t="shared" si="40"/>
        <v>F0222</v>
      </c>
      <c r="C878" t="s">
        <v>1011</v>
      </c>
      <c r="D878" s="3" t="str">
        <f>VLOOKUP(B878,Detail!$G$1:$H$1001,2,FALSE)</f>
        <v>Shania Anggriawan</v>
      </c>
      <c r="E878">
        <v>57</v>
      </c>
      <c r="F878">
        <v>65</v>
      </c>
      <c r="G878" s="35">
        <v>66</v>
      </c>
      <c r="H878">
        <v>59</v>
      </c>
      <c r="I878">
        <v>77</v>
      </c>
      <c r="J878">
        <v>77</v>
      </c>
      <c r="K878">
        <v>75</v>
      </c>
      <c r="L878" s="26">
        <f>IFERROR(VLOOKUP(B878,Absen!$A$1:$C$501,2,FALSE),"No")</f>
        <v>44791</v>
      </c>
      <c r="M878" s="44">
        <f t="shared" si="38"/>
        <v>6.5</v>
      </c>
      <c r="N878" s="35">
        <f t="shared" si="39"/>
        <v>67.349999999999994</v>
      </c>
      <c r="O878" t="str">
        <f>VLOOKUP(N878,Helper!$B$30:$C$35,2,TRUE)</f>
        <v>C</v>
      </c>
      <c r="P878" s="26">
        <f>INDEX(Detail!$A$1:$A$1001,MATCH(B878,Detail!$G$1:$G$1001,0))</f>
        <v>37295</v>
      </c>
      <c r="Q878" s="3" t="str">
        <f>INDEX(Detail!$F$1:$F$1001,MATCH(Main!B878,Detail!$G$1:$G$1001,0))</f>
        <v>Padangpanjang</v>
      </c>
      <c r="R878" s="7">
        <f>INDEX(Detail!$C$1:$C$1001,MATCH(B878,Detail!$G$1:$G$1001,0),1)</f>
        <v>151</v>
      </c>
      <c r="S878" s="7">
        <f>INDEX(Detail!$D$1:$D$1001,MATCH(B878,Detail!$G$1:$G$1001,0),1)</f>
        <v>65</v>
      </c>
      <c r="T878" s="7" t="str">
        <f>INDEX(Detail!$E$1:$E$1001,MATCH(Main!B878,Detail!$G$1:$G$1001,0))</f>
        <v>Jalan Kapten Muslihat No. 07</v>
      </c>
      <c r="U878" s="7" t="str">
        <f>INDEX(Detail!$B$1:$B$1001,MATCH(B878,Detail!$G$1:$G$1001,0),1)</f>
        <v>A-</v>
      </c>
    </row>
    <row r="879" spans="1:21" ht="15.75" x14ac:dyDescent="0.25">
      <c r="A879">
        <v>225</v>
      </c>
      <c r="B879" s="3" t="str">
        <f t="shared" si="40"/>
        <v>F0225</v>
      </c>
      <c r="C879" t="s">
        <v>1011</v>
      </c>
      <c r="D879" s="3" t="str">
        <f>VLOOKUP(B879,Detail!$G$1:$H$1001,2,FALSE)</f>
        <v>Lutfan Permata</v>
      </c>
      <c r="E879">
        <v>61</v>
      </c>
      <c r="F879">
        <v>45</v>
      </c>
      <c r="G879" s="35">
        <v>30</v>
      </c>
      <c r="H879">
        <v>63</v>
      </c>
      <c r="I879">
        <v>67</v>
      </c>
      <c r="J879">
        <v>66</v>
      </c>
      <c r="K879">
        <v>89</v>
      </c>
      <c r="L879" s="26">
        <f>IFERROR(VLOOKUP(B879,Absen!$A$1:$C$501,2,FALSE),"No")</f>
        <v>44786</v>
      </c>
      <c r="M879" s="44">
        <f t="shared" si="38"/>
        <v>7.9</v>
      </c>
      <c r="N879" s="35">
        <f t="shared" si="39"/>
        <v>56.6</v>
      </c>
      <c r="O879" t="str">
        <f>VLOOKUP(N879,Helper!$B$30:$C$35,2,TRUE)</f>
        <v>D</v>
      </c>
      <c r="P879" s="26">
        <f>INDEX(Detail!$A$1:$A$1001,MATCH(B879,Detail!$G$1:$G$1001,0))</f>
        <v>38270</v>
      </c>
      <c r="Q879" s="3" t="str">
        <f>INDEX(Detail!$F$1:$F$1001,MATCH(Main!B879,Detail!$G$1:$G$1001,0))</f>
        <v>Bontang</v>
      </c>
      <c r="R879" s="7">
        <f>INDEX(Detail!$C$1:$C$1001,MATCH(B879,Detail!$G$1:$G$1001,0),1)</f>
        <v>171</v>
      </c>
      <c r="S879" s="7">
        <f>INDEX(Detail!$D$1:$D$1001,MATCH(B879,Detail!$G$1:$G$1001,0),1)</f>
        <v>76</v>
      </c>
      <c r="T879" s="7" t="str">
        <f>INDEX(Detail!$E$1:$E$1001,MATCH(Main!B879,Detail!$G$1:$G$1001,0))</f>
        <v xml:space="preserve">Jalan Gegerkalong Hilir No. 5
</v>
      </c>
      <c r="U879" s="7" t="str">
        <f>INDEX(Detail!$B$1:$B$1001,MATCH(B879,Detail!$G$1:$G$1001,0),1)</f>
        <v>A+</v>
      </c>
    </row>
    <row r="880" spans="1:21" ht="15.75" x14ac:dyDescent="0.25">
      <c r="A880">
        <v>228</v>
      </c>
      <c r="B880" s="3" t="str">
        <f t="shared" si="40"/>
        <v>F0228</v>
      </c>
      <c r="C880" t="s">
        <v>1011</v>
      </c>
      <c r="D880" s="3" t="str">
        <f>VLOOKUP(B880,Detail!$G$1:$H$1001,2,FALSE)</f>
        <v>Kariman Usamah</v>
      </c>
      <c r="E880">
        <v>80</v>
      </c>
      <c r="F880">
        <v>67</v>
      </c>
      <c r="G880" s="35">
        <v>92</v>
      </c>
      <c r="H880">
        <v>69</v>
      </c>
      <c r="I880">
        <v>67</v>
      </c>
      <c r="J880">
        <v>65</v>
      </c>
      <c r="K880">
        <v>78</v>
      </c>
      <c r="L880" s="26" t="str">
        <f>IFERROR(VLOOKUP(B880,Absen!$A$1:$C$501,2,FALSE),"No")</f>
        <v>No</v>
      </c>
      <c r="M880" s="44">
        <f t="shared" si="38"/>
        <v>7.8000000000000007</v>
      </c>
      <c r="N880" s="35">
        <f t="shared" si="39"/>
        <v>74.575000000000003</v>
      </c>
      <c r="O880" t="str">
        <f>VLOOKUP(N880,Helper!$B$30:$C$35,2,TRUE)</f>
        <v>B</v>
      </c>
      <c r="P880" s="26">
        <f>INDEX(Detail!$A$1:$A$1001,MATCH(B880,Detail!$G$1:$G$1001,0))</f>
        <v>37443</v>
      </c>
      <c r="Q880" s="3" t="str">
        <f>INDEX(Detail!$F$1:$F$1001,MATCH(Main!B880,Detail!$G$1:$G$1001,0))</f>
        <v>Yogyakarta</v>
      </c>
      <c r="R880" s="7">
        <f>INDEX(Detail!$C$1:$C$1001,MATCH(B880,Detail!$G$1:$G$1001,0),1)</f>
        <v>161</v>
      </c>
      <c r="S880" s="7">
        <f>INDEX(Detail!$D$1:$D$1001,MATCH(B880,Detail!$G$1:$G$1001,0),1)</f>
        <v>74</v>
      </c>
      <c r="T880" s="7" t="str">
        <f>INDEX(Detail!$E$1:$E$1001,MATCH(Main!B880,Detail!$G$1:$G$1001,0))</f>
        <v>Jalan Cikutra Timur No. 22</v>
      </c>
      <c r="U880" s="7" t="str">
        <f>INDEX(Detail!$B$1:$B$1001,MATCH(B880,Detail!$G$1:$G$1001,0),1)</f>
        <v>O-</v>
      </c>
    </row>
    <row r="881" spans="1:21" ht="15.75" x14ac:dyDescent="0.25">
      <c r="A881">
        <v>234</v>
      </c>
      <c r="B881" s="3" t="str">
        <f t="shared" si="40"/>
        <v>F0234</v>
      </c>
      <c r="C881" t="s">
        <v>1011</v>
      </c>
      <c r="D881" s="3" t="str">
        <f>VLOOKUP(B881,Detail!$G$1:$H$1001,2,FALSE)</f>
        <v>Edward Prasetya</v>
      </c>
      <c r="E881">
        <v>70</v>
      </c>
      <c r="F881">
        <v>58</v>
      </c>
      <c r="G881" s="35">
        <v>86</v>
      </c>
      <c r="H881">
        <v>54</v>
      </c>
      <c r="I881">
        <v>87</v>
      </c>
      <c r="J881">
        <v>45</v>
      </c>
      <c r="K881">
        <v>61</v>
      </c>
      <c r="L881" s="26" t="str">
        <f>IFERROR(VLOOKUP(B881,Absen!$A$1:$C$501,2,FALSE),"No")</f>
        <v>No</v>
      </c>
      <c r="M881" s="44">
        <f t="shared" si="38"/>
        <v>6.1000000000000005</v>
      </c>
      <c r="N881" s="35">
        <f t="shared" si="39"/>
        <v>65.924999999999997</v>
      </c>
      <c r="O881" t="str">
        <f>VLOOKUP(N881,Helper!$B$30:$C$35,2,TRUE)</f>
        <v>C</v>
      </c>
      <c r="P881" s="26">
        <f>INDEX(Detail!$A$1:$A$1001,MATCH(B881,Detail!$G$1:$G$1001,0))</f>
        <v>37118</v>
      </c>
      <c r="Q881" s="3" t="str">
        <f>INDEX(Detail!$F$1:$F$1001,MATCH(Main!B881,Detail!$G$1:$G$1001,0))</f>
        <v>Sungai Penuh</v>
      </c>
      <c r="R881" s="7">
        <f>INDEX(Detail!$C$1:$C$1001,MATCH(B881,Detail!$G$1:$G$1001,0),1)</f>
        <v>169</v>
      </c>
      <c r="S881" s="7">
        <f>INDEX(Detail!$D$1:$D$1001,MATCH(B881,Detail!$G$1:$G$1001,0),1)</f>
        <v>83</v>
      </c>
      <c r="T881" s="7" t="str">
        <f>INDEX(Detail!$E$1:$E$1001,MATCH(Main!B881,Detail!$G$1:$G$1001,0))</f>
        <v xml:space="preserve">Gg. H.J Maemunah No. 3
</v>
      </c>
      <c r="U881" s="7" t="str">
        <f>INDEX(Detail!$B$1:$B$1001,MATCH(B881,Detail!$G$1:$G$1001,0),1)</f>
        <v>B+</v>
      </c>
    </row>
    <row r="882" spans="1:21" ht="15.75" x14ac:dyDescent="0.25">
      <c r="A882">
        <v>235</v>
      </c>
      <c r="B882" s="3" t="str">
        <f t="shared" si="40"/>
        <v>F0235</v>
      </c>
      <c r="C882" t="s">
        <v>1011</v>
      </c>
      <c r="D882" s="3" t="str">
        <f>VLOOKUP(B882,Detail!$G$1:$H$1001,2,FALSE)</f>
        <v>Pranawa Prayoga</v>
      </c>
      <c r="E882">
        <v>90</v>
      </c>
      <c r="F882">
        <v>72</v>
      </c>
      <c r="G882" s="35">
        <v>83</v>
      </c>
      <c r="H882">
        <v>73</v>
      </c>
      <c r="I882">
        <v>62</v>
      </c>
      <c r="J882">
        <v>58</v>
      </c>
      <c r="K882">
        <v>96</v>
      </c>
      <c r="L882" s="26">
        <f>IFERROR(VLOOKUP(B882,Absen!$A$1:$C$501,2,FALSE),"No")</f>
        <v>44775</v>
      </c>
      <c r="M882" s="44">
        <f t="shared" si="38"/>
        <v>8.6</v>
      </c>
      <c r="N882" s="35">
        <f t="shared" si="39"/>
        <v>73.924999999999997</v>
      </c>
      <c r="O882" t="str">
        <f>VLOOKUP(N882,Helper!$B$30:$C$35,2,TRUE)</f>
        <v>B</v>
      </c>
      <c r="P882" s="26">
        <f>INDEX(Detail!$A$1:$A$1001,MATCH(B882,Detail!$G$1:$G$1001,0))</f>
        <v>38323</v>
      </c>
      <c r="Q882" s="3" t="str">
        <f>INDEX(Detail!$F$1:$F$1001,MATCH(Main!B882,Detail!$G$1:$G$1001,0))</f>
        <v>Probolinggo</v>
      </c>
      <c r="R882" s="7">
        <f>INDEX(Detail!$C$1:$C$1001,MATCH(B882,Detail!$G$1:$G$1001,0),1)</f>
        <v>150</v>
      </c>
      <c r="S882" s="7">
        <f>INDEX(Detail!$D$1:$D$1001,MATCH(B882,Detail!$G$1:$G$1001,0),1)</f>
        <v>70</v>
      </c>
      <c r="T882" s="7" t="str">
        <f>INDEX(Detail!$E$1:$E$1001,MATCH(Main!B882,Detail!$G$1:$G$1001,0))</f>
        <v>Jl. Erlangga No. 90</v>
      </c>
      <c r="U882" s="7" t="str">
        <f>INDEX(Detail!$B$1:$B$1001,MATCH(B882,Detail!$G$1:$G$1001,0),1)</f>
        <v>O+</v>
      </c>
    </row>
    <row r="883" spans="1:21" ht="15.75" x14ac:dyDescent="0.25">
      <c r="A883">
        <v>243</v>
      </c>
      <c r="B883" s="3" t="str">
        <f t="shared" si="40"/>
        <v>F0243</v>
      </c>
      <c r="C883" t="s">
        <v>1011</v>
      </c>
      <c r="D883" s="3" t="str">
        <f>VLOOKUP(B883,Detail!$G$1:$H$1001,2,FALSE)</f>
        <v>Karma Marpaung</v>
      </c>
      <c r="E883">
        <v>58</v>
      </c>
      <c r="F883">
        <v>66</v>
      </c>
      <c r="G883" s="35">
        <v>57</v>
      </c>
      <c r="H883">
        <v>67</v>
      </c>
      <c r="I883">
        <v>84</v>
      </c>
      <c r="J883">
        <v>80</v>
      </c>
      <c r="K883">
        <v>61</v>
      </c>
      <c r="L883" s="26" t="str">
        <f>IFERROR(VLOOKUP(B883,Absen!$A$1:$C$501,2,FALSE),"No")</f>
        <v>No</v>
      </c>
      <c r="M883" s="44">
        <f t="shared" si="38"/>
        <v>6.1000000000000005</v>
      </c>
      <c r="N883" s="35">
        <f t="shared" si="39"/>
        <v>67.875</v>
      </c>
      <c r="O883" t="str">
        <f>VLOOKUP(N883,Helper!$B$30:$C$35,2,TRUE)</f>
        <v>C</v>
      </c>
      <c r="P883" s="26">
        <f>INDEX(Detail!$A$1:$A$1001,MATCH(B883,Detail!$G$1:$G$1001,0))</f>
        <v>38372</v>
      </c>
      <c r="Q883" s="3" t="str">
        <f>INDEX(Detail!$F$1:$F$1001,MATCH(Main!B883,Detail!$G$1:$G$1001,0))</f>
        <v>Kendari</v>
      </c>
      <c r="R883" s="7">
        <f>INDEX(Detail!$C$1:$C$1001,MATCH(B883,Detail!$G$1:$G$1001,0),1)</f>
        <v>162</v>
      </c>
      <c r="S883" s="7">
        <f>INDEX(Detail!$D$1:$D$1001,MATCH(B883,Detail!$G$1:$G$1001,0),1)</f>
        <v>68</v>
      </c>
      <c r="T883" s="7" t="str">
        <f>INDEX(Detail!$E$1:$E$1001,MATCH(Main!B883,Detail!$G$1:$G$1001,0))</f>
        <v>Gg. Wonoayu No. 30</v>
      </c>
      <c r="U883" s="7" t="str">
        <f>INDEX(Detail!$B$1:$B$1001,MATCH(B883,Detail!$G$1:$G$1001,0),1)</f>
        <v>O+</v>
      </c>
    </row>
    <row r="884" spans="1:21" ht="15.75" x14ac:dyDescent="0.25">
      <c r="A884">
        <v>244</v>
      </c>
      <c r="B884" s="3" t="str">
        <f t="shared" si="40"/>
        <v>F0244</v>
      </c>
      <c r="C884" t="s">
        <v>1011</v>
      </c>
      <c r="D884" s="3" t="str">
        <f>VLOOKUP(B884,Detail!$G$1:$H$1001,2,FALSE)</f>
        <v>Cakrabirawa Sitompul</v>
      </c>
      <c r="E884">
        <v>55</v>
      </c>
      <c r="F884">
        <v>64</v>
      </c>
      <c r="G884" s="35">
        <v>66</v>
      </c>
      <c r="H884">
        <v>55</v>
      </c>
      <c r="I884">
        <v>83</v>
      </c>
      <c r="J884">
        <v>73</v>
      </c>
      <c r="K884">
        <v>79</v>
      </c>
      <c r="L884" s="26">
        <f>IFERROR(VLOOKUP(B884,Absen!$A$1:$C$501,2,FALSE),"No")</f>
        <v>44803</v>
      </c>
      <c r="M884" s="44">
        <f t="shared" si="38"/>
        <v>6.9</v>
      </c>
      <c r="N884" s="35">
        <f t="shared" si="39"/>
        <v>66.825000000000003</v>
      </c>
      <c r="O884" t="str">
        <f>VLOOKUP(N884,Helper!$B$30:$C$35,2,TRUE)</f>
        <v>C</v>
      </c>
      <c r="P884" s="26">
        <f>INDEX(Detail!$A$1:$A$1001,MATCH(B884,Detail!$G$1:$G$1001,0))</f>
        <v>37900</v>
      </c>
      <c r="Q884" s="3" t="str">
        <f>INDEX(Detail!$F$1:$F$1001,MATCH(Main!B884,Detail!$G$1:$G$1001,0))</f>
        <v>Tanjungbalai</v>
      </c>
      <c r="R884" s="7">
        <f>INDEX(Detail!$C$1:$C$1001,MATCH(B884,Detail!$G$1:$G$1001,0),1)</f>
        <v>166</v>
      </c>
      <c r="S884" s="7">
        <f>INDEX(Detail!$D$1:$D$1001,MATCH(B884,Detail!$G$1:$G$1001,0),1)</f>
        <v>67</v>
      </c>
      <c r="T884" s="7" t="str">
        <f>INDEX(Detail!$E$1:$E$1001,MATCH(Main!B884,Detail!$G$1:$G$1001,0))</f>
        <v xml:space="preserve">Jalan Pasir Koja No. 1
</v>
      </c>
      <c r="U884" s="7" t="str">
        <f>INDEX(Detail!$B$1:$B$1001,MATCH(B884,Detail!$G$1:$G$1001,0),1)</f>
        <v>AB-</v>
      </c>
    </row>
    <row r="885" spans="1:21" ht="15.75" x14ac:dyDescent="0.25">
      <c r="A885">
        <v>249</v>
      </c>
      <c r="B885" s="3" t="str">
        <f t="shared" si="40"/>
        <v>F0249</v>
      </c>
      <c r="C885" t="s">
        <v>1011</v>
      </c>
      <c r="D885" s="3" t="str">
        <f>VLOOKUP(B885,Detail!$G$1:$H$1001,2,FALSE)</f>
        <v>Marsudi Rajata</v>
      </c>
      <c r="E885">
        <v>92</v>
      </c>
      <c r="F885">
        <v>62</v>
      </c>
      <c r="G885" s="35">
        <v>70</v>
      </c>
      <c r="H885">
        <v>58</v>
      </c>
      <c r="I885">
        <v>53</v>
      </c>
      <c r="J885">
        <v>89</v>
      </c>
      <c r="K885">
        <v>99</v>
      </c>
      <c r="L885" s="26">
        <f>IFERROR(VLOOKUP(B885,Absen!$A$1:$C$501,2,FALSE),"No")</f>
        <v>44782</v>
      </c>
      <c r="M885" s="44">
        <f t="shared" si="38"/>
        <v>8.9</v>
      </c>
      <c r="N885" s="35">
        <f t="shared" si="39"/>
        <v>73.825000000000003</v>
      </c>
      <c r="O885" t="str">
        <f>VLOOKUP(N885,Helper!$B$30:$C$35,2,TRUE)</f>
        <v>B</v>
      </c>
      <c r="P885" s="26">
        <f>INDEX(Detail!$A$1:$A$1001,MATCH(B885,Detail!$G$1:$G$1001,0))</f>
        <v>37499</v>
      </c>
      <c r="Q885" s="3" t="str">
        <f>INDEX(Detail!$F$1:$F$1001,MATCH(Main!B885,Detail!$G$1:$G$1001,0))</f>
        <v>Surabaya</v>
      </c>
      <c r="R885" s="7">
        <f>INDEX(Detail!$C$1:$C$1001,MATCH(B885,Detail!$G$1:$G$1001,0),1)</f>
        <v>163</v>
      </c>
      <c r="S885" s="7">
        <f>INDEX(Detail!$D$1:$D$1001,MATCH(B885,Detail!$G$1:$G$1001,0),1)</f>
        <v>57</v>
      </c>
      <c r="T885" s="7" t="str">
        <f>INDEX(Detail!$E$1:$E$1001,MATCH(Main!B885,Detail!$G$1:$G$1001,0))</f>
        <v>Jalan Bangka Raya No. 88</v>
      </c>
      <c r="U885" s="7" t="str">
        <f>INDEX(Detail!$B$1:$B$1001,MATCH(B885,Detail!$G$1:$G$1001,0),1)</f>
        <v>A+</v>
      </c>
    </row>
    <row r="886" spans="1:21" ht="15.75" x14ac:dyDescent="0.25">
      <c r="A886">
        <v>251</v>
      </c>
      <c r="B886" s="3" t="str">
        <f t="shared" si="40"/>
        <v>F0251</v>
      </c>
      <c r="C886" t="s">
        <v>1011</v>
      </c>
      <c r="D886" s="3" t="str">
        <f>VLOOKUP(B886,Detail!$G$1:$H$1001,2,FALSE)</f>
        <v>Cagak Hassanah</v>
      </c>
      <c r="E886">
        <v>82</v>
      </c>
      <c r="F886">
        <v>65</v>
      </c>
      <c r="G886" s="35">
        <v>70</v>
      </c>
      <c r="H886">
        <v>60</v>
      </c>
      <c r="I886">
        <v>69</v>
      </c>
      <c r="J886">
        <v>79</v>
      </c>
      <c r="K886">
        <v>69</v>
      </c>
      <c r="L886" s="26">
        <f>IFERROR(VLOOKUP(B886,Absen!$A$1:$C$501,2,FALSE),"No")</f>
        <v>44796</v>
      </c>
      <c r="M886" s="44">
        <f t="shared" si="38"/>
        <v>5.9</v>
      </c>
      <c r="N886" s="35">
        <f t="shared" si="39"/>
        <v>70.2</v>
      </c>
      <c r="O886" t="str">
        <f>VLOOKUP(N886,Helper!$B$30:$C$35,2,TRUE)</f>
        <v>B</v>
      </c>
      <c r="P886" s="26">
        <f>INDEX(Detail!$A$1:$A$1001,MATCH(B886,Detail!$G$1:$G$1001,0))</f>
        <v>37099</v>
      </c>
      <c r="Q886" s="3" t="str">
        <f>INDEX(Detail!$F$1:$F$1001,MATCH(Main!B886,Detail!$G$1:$G$1001,0))</f>
        <v>Cilegon</v>
      </c>
      <c r="R886" s="7">
        <f>INDEX(Detail!$C$1:$C$1001,MATCH(B886,Detail!$G$1:$G$1001,0),1)</f>
        <v>156</v>
      </c>
      <c r="S886" s="7">
        <f>INDEX(Detail!$D$1:$D$1001,MATCH(B886,Detail!$G$1:$G$1001,0),1)</f>
        <v>64</v>
      </c>
      <c r="T886" s="7" t="str">
        <f>INDEX(Detail!$E$1:$E$1001,MATCH(Main!B886,Detail!$G$1:$G$1001,0))</f>
        <v xml:space="preserve">Jalan S. Parman No. 7
</v>
      </c>
      <c r="U886" s="7" t="str">
        <f>INDEX(Detail!$B$1:$B$1001,MATCH(B886,Detail!$G$1:$G$1001,0),1)</f>
        <v>A+</v>
      </c>
    </row>
    <row r="887" spans="1:21" ht="15.75" x14ac:dyDescent="0.25">
      <c r="A887">
        <v>255</v>
      </c>
      <c r="B887" s="3" t="str">
        <f t="shared" si="40"/>
        <v>F0255</v>
      </c>
      <c r="C887" t="s">
        <v>1011</v>
      </c>
      <c r="D887" s="3" t="str">
        <f>VLOOKUP(B887,Detail!$G$1:$H$1001,2,FALSE)</f>
        <v>Icha Utami</v>
      </c>
      <c r="E887">
        <v>55</v>
      </c>
      <c r="F887">
        <v>69</v>
      </c>
      <c r="G887" s="35">
        <v>35</v>
      </c>
      <c r="H887">
        <v>63</v>
      </c>
      <c r="I887">
        <v>83</v>
      </c>
      <c r="J887">
        <v>41</v>
      </c>
      <c r="K887">
        <v>75</v>
      </c>
      <c r="L887" s="26" t="str">
        <f>IFERROR(VLOOKUP(B887,Absen!$A$1:$C$501,2,FALSE),"No")</f>
        <v>No</v>
      </c>
      <c r="M887" s="44">
        <f t="shared" si="38"/>
        <v>7.5</v>
      </c>
      <c r="N887" s="35">
        <f t="shared" si="39"/>
        <v>56.45</v>
      </c>
      <c r="O887" t="str">
        <f>VLOOKUP(N887,Helper!$B$30:$C$35,2,TRUE)</f>
        <v>D</v>
      </c>
      <c r="P887" s="26">
        <f>INDEX(Detail!$A$1:$A$1001,MATCH(B887,Detail!$G$1:$G$1001,0))</f>
        <v>38054</v>
      </c>
      <c r="Q887" s="3" t="str">
        <f>INDEX(Detail!$F$1:$F$1001,MATCH(Main!B887,Detail!$G$1:$G$1001,0))</f>
        <v>Pariaman</v>
      </c>
      <c r="R887" s="7">
        <f>INDEX(Detail!$C$1:$C$1001,MATCH(B887,Detail!$G$1:$G$1001,0),1)</f>
        <v>157</v>
      </c>
      <c r="S887" s="7">
        <f>INDEX(Detail!$D$1:$D$1001,MATCH(B887,Detail!$G$1:$G$1001,0),1)</f>
        <v>63</v>
      </c>
      <c r="T887" s="7" t="str">
        <f>INDEX(Detail!$E$1:$E$1001,MATCH(Main!B887,Detail!$G$1:$G$1001,0))</f>
        <v xml:space="preserve">Jl. PHH. Mustofa No. 3
</v>
      </c>
      <c r="U887" s="7" t="str">
        <f>INDEX(Detail!$B$1:$B$1001,MATCH(B887,Detail!$G$1:$G$1001,0),1)</f>
        <v>AB+</v>
      </c>
    </row>
    <row r="888" spans="1:21" ht="15.75" x14ac:dyDescent="0.25">
      <c r="A888">
        <v>256</v>
      </c>
      <c r="B888" s="3" t="str">
        <f t="shared" si="40"/>
        <v>F0256</v>
      </c>
      <c r="C888" t="s">
        <v>1011</v>
      </c>
      <c r="D888" s="3" t="str">
        <f>VLOOKUP(B888,Detail!$G$1:$H$1001,2,FALSE)</f>
        <v>Tira Mulyani</v>
      </c>
      <c r="E888">
        <v>65</v>
      </c>
      <c r="F888">
        <v>65</v>
      </c>
      <c r="G888" s="35">
        <v>92</v>
      </c>
      <c r="H888">
        <v>72</v>
      </c>
      <c r="I888">
        <v>65</v>
      </c>
      <c r="J888">
        <v>84</v>
      </c>
      <c r="K888">
        <v>77</v>
      </c>
      <c r="L888" s="26" t="str">
        <f>IFERROR(VLOOKUP(B888,Absen!$A$1:$C$501,2,FALSE),"No")</f>
        <v>No</v>
      </c>
      <c r="M888" s="44">
        <f t="shared" si="38"/>
        <v>7.7</v>
      </c>
      <c r="N888" s="35">
        <f t="shared" si="39"/>
        <v>76.275000000000006</v>
      </c>
      <c r="O888" t="str">
        <f>VLOOKUP(N888,Helper!$B$30:$C$35,2,TRUE)</f>
        <v>B</v>
      </c>
      <c r="P888" s="26">
        <f>INDEX(Detail!$A$1:$A$1001,MATCH(B888,Detail!$G$1:$G$1001,0))</f>
        <v>37707</v>
      </c>
      <c r="Q888" s="3" t="str">
        <f>INDEX(Detail!$F$1:$F$1001,MATCH(Main!B888,Detail!$G$1:$G$1001,0))</f>
        <v>Probolinggo</v>
      </c>
      <c r="R888" s="7">
        <f>INDEX(Detail!$C$1:$C$1001,MATCH(B888,Detail!$G$1:$G$1001,0),1)</f>
        <v>178</v>
      </c>
      <c r="S888" s="7">
        <f>INDEX(Detail!$D$1:$D$1001,MATCH(B888,Detail!$G$1:$G$1001,0),1)</f>
        <v>63</v>
      </c>
      <c r="T888" s="7" t="str">
        <f>INDEX(Detail!$E$1:$E$1001,MATCH(Main!B888,Detail!$G$1:$G$1001,0))</f>
        <v>Jalan Sukajadi No. 84</v>
      </c>
      <c r="U888" s="7" t="str">
        <f>INDEX(Detail!$B$1:$B$1001,MATCH(B888,Detail!$G$1:$G$1001,0),1)</f>
        <v>AB+</v>
      </c>
    </row>
    <row r="889" spans="1:21" ht="15.75" x14ac:dyDescent="0.25">
      <c r="A889">
        <v>261</v>
      </c>
      <c r="B889" s="3" t="str">
        <f t="shared" si="40"/>
        <v>F0261</v>
      </c>
      <c r="C889" t="s">
        <v>1011</v>
      </c>
      <c r="D889" s="3" t="str">
        <f>VLOOKUP(B889,Detail!$G$1:$H$1001,2,FALSE)</f>
        <v>Kemal Laksita</v>
      </c>
      <c r="E889">
        <v>52</v>
      </c>
      <c r="F889">
        <v>56</v>
      </c>
      <c r="G889" s="35">
        <v>51</v>
      </c>
      <c r="H889">
        <v>71</v>
      </c>
      <c r="I889">
        <v>54</v>
      </c>
      <c r="J889">
        <v>70</v>
      </c>
      <c r="K889">
        <v>92</v>
      </c>
      <c r="L889" s="26" t="str">
        <f>IFERROR(VLOOKUP(B889,Absen!$A$1:$C$501,2,FALSE),"No")</f>
        <v>No</v>
      </c>
      <c r="M889" s="44">
        <f t="shared" si="38"/>
        <v>9.2000000000000011</v>
      </c>
      <c r="N889" s="35">
        <f t="shared" si="39"/>
        <v>62.525000000000006</v>
      </c>
      <c r="O889" t="str">
        <f>VLOOKUP(N889,Helper!$B$30:$C$35,2,TRUE)</f>
        <v>C</v>
      </c>
      <c r="P889" s="26">
        <f>INDEX(Detail!$A$1:$A$1001,MATCH(B889,Detail!$G$1:$G$1001,0))</f>
        <v>38089</v>
      </c>
      <c r="Q889" s="3" t="str">
        <f>INDEX(Detail!$F$1:$F$1001,MATCH(Main!B889,Detail!$G$1:$G$1001,0))</f>
        <v>Palembang</v>
      </c>
      <c r="R889" s="7">
        <f>INDEX(Detail!$C$1:$C$1001,MATCH(B889,Detail!$G$1:$G$1001,0),1)</f>
        <v>171</v>
      </c>
      <c r="S889" s="7">
        <f>INDEX(Detail!$D$1:$D$1001,MATCH(B889,Detail!$G$1:$G$1001,0),1)</f>
        <v>57</v>
      </c>
      <c r="T889" s="7" t="str">
        <f>INDEX(Detail!$E$1:$E$1001,MATCH(Main!B889,Detail!$G$1:$G$1001,0))</f>
        <v xml:space="preserve">Jalan Ahmad Dahlan No. 3
</v>
      </c>
      <c r="U889" s="7" t="str">
        <f>INDEX(Detail!$B$1:$B$1001,MATCH(B889,Detail!$G$1:$G$1001,0),1)</f>
        <v>O-</v>
      </c>
    </row>
    <row r="890" spans="1:21" ht="15.75" x14ac:dyDescent="0.25">
      <c r="A890">
        <v>263</v>
      </c>
      <c r="B890" s="3" t="str">
        <f t="shared" si="40"/>
        <v>F0263</v>
      </c>
      <c r="C890" t="s">
        <v>1011</v>
      </c>
      <c r="D890" s="3" t="str">
        <f>VLOOKUP(B890,Detail!$G$1:$H$1001,2,FALSE)</f>
        <v>Raisa Pradana</v>
      </c>
      <c r="E890">
        <v>94</v>
      </c>
      <c r="F890">
        <v>75</v>
      </c>
      <c r="G890" s="35">
        <v>84</v>
      </c>
      <c r="H890">
        <v>66</v>
      </c>
      <c r="I890">
        <v>73</v>
      </c>
      <c r="J890">
        <v>45</v>
      </c>
      <c r="K890">
        <v>84</v>
      </c>
      <c r="L890" s="26">
        <f>IFERROR(VLOOKUP(B890,Absen!$A$1:$C$501,2,FALSE),"No")</f>
        <v>44902</v>
      </c>
      <c r="M890" s="44">
        <f t="shared" si="38"/>
        <v>7.4</v>
      </c>
      <c r="N890" s="35">
        <f t="shared" si="39"/>
        <v>71.7</v>
      </c>
      <c r="O890" t="str">
        <f>VLOOKUP(N890,Helper!$B$30:$C$35,2,TRUE)</f>
        <v>B</v>
      </c>
      <c r="P890" s="26">
        <f>INDEX(Detail!$A$1:$A$1001,MATCH(B890,Detail!$G$1:$G$1001,0))</f>
        <v>37743</v>
      </c>
      <c r="Q890" s="3" t="str">
        <f>INDEX(Detail!$F$1:$F$1001,MATCH(Main!B890,Detail!$G$1:$G$1001,0))</f>
        <v>Bekasi</v>
      </c>
      <c r="R890" s="7">
        <f>INDEX(Detail!$C$1:$C$1001,MATCH(B890,Detail!$G$1:$G$1001,0),1)</f>
        <v>180</v>
      </c>
      <c r="S890" s="7">
        <f>INDEX(Detail!$D$1:$D$1001,MATCH(B890,Detail!$G$1:$G$1001,0),1)</f>
        <v>84</v>
      </c>
      <c r="T890" s="7" t="str">
        <f>INDEX(Detail!$E$1:$E$1001,MATCH(Main!B890,Detail!$G$1:$G$1001,0))</f>
        <v>Jl. Raya Ujungberung No. 67</v>
      </c>
      <c r="U890" s="7" t="str">
        <f>INDEX(Detail!$B$1:$B$1001,MATCH(B890,Detail!$G$1:$G$1001,0),1)</f>
        <v>A+</v>
      </c>
    </row>
    <row r="891" spans="1:21" ht="15.75" x14ac:dyDescent="0.25">
      <c r="A891">
        <v>277</v>
      </c>
      <c r="B891" s="3" t="str">
        <f t="shared" si="40"/>
        <v>F0277</v>
      </c>
      <c r="C891" t="s">
        <v>1011</v>
      </c>
      <c r="D891" s="3" t="str">
        <f>VLOOKUP(B891,Detail!$G$1:$H$1001,2,FALSE)</f>
        <v>Jasmin Wijayanti</v>
      </c>
      <c r="E891">
        <v>84</v>
      </c>
      <c r="F891">
        <v>57</v>
      </c>
      <c r="G891" s="35">
        <v>85</v>
      </c>
      <c r="H891">
        <v>71</v>
      </c>
      <c r="I891">
        <v>56</v>
      </c>
      <c r="J891">
        <v>57</v>
      </c>
      <c r="K891">
        <v>78</v>
      </c>
      <c r="L891" s="26" t="str">
        <f>IFERROR(VLOOKUP(B891,Absen!$A$1:$C$501,2,FALSE),"No")</f>
        <v>No</v>
      </c>
      <c r="M891" s="44">
        <f t="shared" si="38"/>
        <v>7.8000000000000007</v>
      </c>
      <c r="N891" s="35">
        <f t="shared" si="39"/>
        <v>69.7</v>
      </c>
      <c r="O891" t="str">
        <f>VLOOKUP(N891,Helper!$B$30:$C$35,2,TRUE)</f>
        <v>C</v>
      </c>
      <c r="P891" s="26">
        <f>INDEX(Detail!$A$1:$A$1001,MATCH(B891,Detail!$G$1:$G$1001,0))</f>
        <v>37626</v>
      </c>
      <c r="Q891" s="3" t="str">
        <f>INDEX(Detail!$F$1:$F$1001,MATCH(Main!B891,Detail!$G$1:$G$1001,0))</f>
        <v>Tual</v>
      </c>
      <c r="R891" s="7">
        <f>INDEX(Detail!$C$1:$C$1001,MATCH(B891,Detail!$G$1:$G$1001,0),1)</f>
        <v>153</v>
      </c>
      <c r="S891" s="7">
        <f>INDEX(Detail!$D$1:$D$1001,MATCH(B891,Detail!$G$1:$G$1001,0),1)</f>
        <v>81</v>
      </c>
      <c r="T891" s="7" t="str">
        <f>INDEX(Detail!$E$1:$E$1001,MATCH(Main!B891,Detail!$G$1:$G$1001,0))</f>
        <v>Jl. H.J Maemunah No. 90</v>
      </c>
      <c r="U891" s="7" t="str">
        <f>INDEX(Detail!$B$1:$B$1001,MATCH(B891,Detail!$G$1:$G$1001,0),1)</f>
        <v>AB-</v>
      </c>
    </row>
    <row r="892" spans="1:21" ht="15.75" x14ac:dyDescent="0.25">
      <c r="A892">
        <v>282</v>
      </c>
      <c r="B892" s="3" t="str">
        <f t="shared" si="40"/>
        <v>F0282</v>
      </c>
      <c r="C892" t="s">
        <v>1011</v>
      </c>
      <c r="D892" s="3" t="str">
        <f>VLOOKUP(B892,Detail!$G$1:$H$1001,2,FALSE)</f>
        <v>Bakiono Mustofa</v>
      </c>
      <c r="E892">
        <v>84</v>
      </c>
      <c r="F892">
        <v>48</v>
      </c>
      <c r="G892" s="35">
        <v>51</v>
      </c>
      <c r="H892">
        <v>54</v>
      </c>
      <c r="I892">
        <v>53</v>
      </c>
      <c r="J892">
        <v>90</v>
      </c>
      <c r="K892">
        <v>98</v>
      </c>
      <c r="L892" s="26">
        <f>IFERROR(VLOOKUP(B892,Absen!$A$1:$C$501,2,FALSE),"No")</f>
        <v>44858</v>
      </c>
      <c r="M892" s="44">
        <f t="shared" si="38"/>
        <v>8.8000000000000007</v>
      </c>
      <c r="N892" s="35">
        <f t="shared" si="39"/>
        <v>66.875</v>
      </c>
      <c r="O892" t="str">
        <f>VLOOKUP(N892,Helper!$B$30:$C$35,2,TRUE)</f>
        <v>C</v>
      </c>
      <c r="P892" s="26">
        <f>INDEX(Detail!$A$1:$A$1001,MATCH(B892,Detail!$G$1:$G$1001,0))</f>
        <v>37658</v>
      </c>
      <c r="Q892" s="3" t="str">
        <f>INDEX(Detail!$F$1:$F$1001,MATCH(Main!B892,Detail!$G$1:$G$1001,0))</f>
        <v>Kota Administrasi Jakarta Selatan</v>
      </c>
      <c r="R892" s="7">
        <f>INDEX(Detail!$C$1:$C$1001,MATCH(B892,Detail!$G$1:$G$1001,0),1)</f>
        <v>172</v>
      </c>
      <c r="S892" s="7">
        <f>INDEX(Detail!$D$1:$D$1001,MATCH(B892,Detail!$G$1:$G$1001,0),1)</f>
        <v>52</v>
      </c>
      <c r="T892" s="7" t="str">
        <f>INDEX(Detail!$E$1:$E$1001,MATCH(Main!B892,Detail!$G$1:$G$1001,0))</f>
        <v>Gg. Pasirkoja No. 98</v>
      </c>
      <c r="U892" s="7" t="str">
        <f>INDEX(Detail!$B$1:$B$1001,MATCH(B892,Detail!$G$1:$G$1001,0),1)</f>
        <v>AB-</v>
      </c>
    </row>
    <row r="893" spans="1:21" ht="15.75" x14ac:dyDescent="0.25">
      <c r="A893">
        <v>293</v>
      </c>
      <c r="B893" s="3" t="str">
        <f t="shared" si="40"/>
        <v>F0293</v>
      </c>
      <c r="C893" t="s">
        <v>1011</v>
      </c>
      <c r="D893" s="3" t="str">
        <f>VLOOKUP(B893,Detail!$G$1:$H$1001,2,FALSE)</f>
        <v>Michelle Permata</v>
      </c>
      <c r="E893">
        <v>85</v>
      </c>
      <c r="F893">
        <v>43</v>
      </c>
      <c r="G893" s="35">
        <v>32</v>
      </c>
      <c r="H893">
        <v>53</v>
      </c>
      <c r="I893">
        <v>61</v>
      </c>
      <c r="J893">
        <v>99</v>
      </c>
      <c r="K893">
        <v>72</v>
      </c>
      <c r="L893" s="26">
        <f>IFERROR(VLOOKUP(B893,Absen!$A$1:$C$501,2,FALSE),"No")</f>
        <v>44819</v>
      </c>
      <c r="M893" s="44">
        <f t="shared" si="38"/>
        <v>6.2</v>
      </c>
      <c r="N893" s="35">
        <f t="shared" si="39"/>
        <v>62.650000000000006</v>
      </c>
      <c r="O893" t="str">
        <f>VLOOKUP(N893,Helper!$B$30:$C$35,2,TRUE)</f>
        <v>C</v>
      </c>
      <c r="P893" s="26">
        <f>INDEX(Detail!$A$1:$A$1001,MATCH(B893,Detail!$G$1:$G$1001,0))</f>
        <v>37556</v>
      </c>
      <c r="Q893" s="3" t="str">
        <f>INDEX(Detail!$F$1:$F$1001,MATCH(Main!B893,Detail!$G$1:$G$1001,0))</f>
        <v>Batam</v>
      </c>
      <c r="R893" s="7">
        <f>INDEX(Detail!$C$1:$C$1001,MATCH(B893,Detail!$G$1:$G$1001,0),1)</f>
        <v>171</v>
      </c>
      <c r="S893" s="7">
        <f>INDEX(Detail!$D$1:$D$1001,MATCH(B893,Detail!$G$1:$G$1001,0),1)</f>
        <v>83</v>
      </c>
      <c r="T893" s="7" t="str">
        <f>INDEX(Detail!$E$1:$E$1001,MATCH(Main!B893,Detail!$G$1:$G$1001,0))</f>
        <v>Jl. Jakarta No. 43</v>
      </c>
      <c r="U893" s="7" t="str">
        <f>INDEX(Detail!$B$1:$B$1001,MATCH(B893,Detail!$G$1:$G$1001,0),1)</f>
        <v>O-</v>
      </c>
    </row>
    <row r="894" spans="1:21" ht="15.75" x14ac:dyDescent="0.25">
      <c r="A894">
        <v>296</v>
      </c>
      <c r="B894" s="3" t="str">
        <f t="shared" si="40"/>
        <v>F0296</v>
      </c>
      <c r="C894" t="s">
        <v>1011</v>
      </c>
      <c r="D894" s="3" t="str">
        <f>VLOOKUP(B894,Detail!$G$1:$H$1001,2,FALSE)</f>
        <v>Danu Prastuti</v>
      </c>
      <c r="E894">
        <v>83</v>
      </c>
      <c r="F894">
        <v>52</v>
      </c>
      <c r="G894" s="35">
        <v>92</v>
      </c>
      <c r="H894">
        <v>55</v>
      </c>
      <c r="I894">
        <v>50</v>
      </c>
      <c r="J894">
        <v>56</v>
      </c>
      <c r="K894">
        <v>64</v>
      </c>
      <c r="L894" s="26" t="str">
        <f>IFERROR(VLOOKUP(B894,Absen!$A$1:$C$501,2,FALSE),"No")</f>
        <v>No</v>
      </c>
      <c r="M894" s="44">
        <f t="shared" si="38"/>
        <v>6.4</v>
      </c>
      <c r="N894" s="35">
        <f t="shared" si="39"/>
        <v>66.000000000000014</v>
      </c>
      <c r="O894" t="str">
        <f>VLOOKUP(N894,Helper!$B$30:$C$35,2,TRUE)</f>
        <v>C</v>
      </c>
      <c r="P894" s="26">
        <f>INDEX(Detail!$A$1:$A$1001,MATCH(B894,Detail!$G$1:$G$1001,0))</f>
        <v>38076</v>
      </c>
      <c r="Q894" s="3" t="str">
        <f>INDEX(Detail!$F$1:$F$1001,MATCH(Main!B894,Detail!$G$1:$G$1001,0))</f>
        <v>Manado</v>
      </c>
      <c r="R894" s="7">
        <f>INDEX(Detail!$C$1:$C$1001,MATCH(B894,Detail!$G$1:$G$1001,0),1)</f>
        <v>152</v>
      </c>
      <c r="S894" s="7">
        <f>INDEX(Detail!$D$1:$D$1001,MATCH(B894,Detail!$G$1:$G$1001,0),1)</f>
        <v>78</v>
      </c>
      <c r="T894" s="7" t="str">
        <f>INDEX(Detail!$E$1:$E$1001,MATCH(Main!B894,Detail!$G$1:$G$1001,0))</f>
        <v xml:space="preserve">Jl. Suryakencana No. 7
</v>
      </c>
      <c r="U894" s="7" t="str">
        <f>INDEX(Detail!$B$1:$B$1001,MATCH(B894,Detail!$G$1:$G$1001,0),1)</f>
        <v>B-</v>
      </c>
    </row>
    <row r="895" spans="1:21" ht="15.75" x14ac:dyDescent="0.25">
      <c r="A895">
        <v>306</v>
      </c>
      <c r="B895" s="3" t="str">
        <f t="shared" si="40"/>
        <v>F0306</v>
      </c>
      <c r="C895" t="s">
        <v>1011</v>
      </c>
      <c r="D895" s="3" t="str">
        <f>VLOOKUP(B895,Detail!$G$1:$H$1001,2,FALSE)</f>
        <v>Raden Kusmawati</v>
      </c>
      <c r="E895">
        <v>90</v>
      </c>
      <c r="F895">
        <v>49</v>
      </c>
      <c r="G895" s="35">
        <v>93</v>
      </c>
      <c r="H895">
        <v>61</v>
      </c>
      <c r="I895">
        <v>50</v>
      </c>
      <c r="J895">
        <v>53</v>
      </c>
      <c r="K895">
        <v>65</v>
      </c>
      <c r="L895" s="26" t="str">
        <f>IFERROR(VLOOKUP(B895,Absen!$A$1:$C$501,2,FALSE),"No")</f>
        <v>No</v>
      </c>
      <c r="M895" s="44">
        <f t="shared" si="38"/>
        <v>6.5</v>
      </c>
      <c r="N895" s="35">
        <f t="shared" si="39"/>
        <v>66.95</v>
      </c>
      <c r="O895" t="str">
        <f>VLOOKUP(N895,Helper!$B$30:$C$35,2,TRUE)</f>
        <v>C</v>
      </c>
      <c r="P895" s="26">
        <f>INDEX(Detail!$A$1:$A$1001,MATCH(B895,Detail!$G$1:$G$1001,0))</f>
        <v>37815</v>
      </c>
      <c r="Q895" s="3" t="str">
        <f>INDEX(Detail!$F$1:$F$1001,MATCH(Main!B895,Detail!$G$1:$G$1001,0))</f>
        <v>Singkawang</v>
      </c>
      <c r="R895" s="7">
        <f>INDEX(Detail!$C$1:$C$1001,MATCH(B895,Detail!$G$1:$G$1001,0),1)</f>
        <v>154</v>
      </c>
      <c r="S895" s="7">
        <f>INDEX(Detail!$D$1:$D$1001,MATCH(B895,Detail!$G$1:$G$1001,0),1)</f>
        <v>52</v>
      </c>
      <c r="T895" s="7" t="str">
        <f>INDEX(Detail!$E$1:$E$1001,MATCH(Main!B895,Detail!$G$1:$G$1001,0))</f>
        <v xml:space="preserve">Gang Jamika No. 6
</v>
      </c>
      <c r="U895" s="7" t="str">
        <f>INDEX(Detail!$B$1:$B$1001,MATCH(B895,Detail!$G$1:$G$1001,0),1)</f>
        <v>AB-</v>
      </c>
    </row>
    <row r="896" spans="1:21" ht="15.75" x14ac:dyDescent="0.25">
      <c r="A896">
        <v>307</v>
      </c>
      <c r="B896" s="3" t="str">
        <f t="shared" si="40"/>
        <v>F0307</v>
      </c>
      <c r="C896" t="s">
        <v>1011</v>
      </c>
      <c r="D896" s="3" t="str">
        <f>VLOOKUP(B896,Detail!$G$1:$H$1001,2,FALSE)</f>
        <v>Sadina Hasanah</v>
      </c>
      <c r="E896">
        <v>61</v>
      </c>
      <c r="F896">
        <v>46</v>
      </c>
      <c r="G896" s="35">
        <v>91</v>
      </c>
      <c r="H896">
        <v>58</v>
      </c>
      <c r="I896">
        <v>82</v>
      </c>
      <c r="J896">
        <v>69</v>
      </c>
      <c r="K896">
        <v>69</v>
      </c>
      <c r="L896" s="26">
        <f>IFERROR(VLOOKUP(B896,Absen!$A$1:$C$501,2,FALSE),"No")</f>
        <v>44807</v>
      </c>
      <c r="M896" s="44">
        <f t="shared" si="38"/>
        <v>5.9</v>
      </c>
      <c r="N896" s="35">
        <f t="shared" si="39"/>
        <v>68.775000000000006</v>
      </c>
      <c r="O896" t="str">
        <f>VLOOKUP(N896,Helper!$B$30:$C$35,2,TRUE)</f>
        <v>C</v>
      </c>
      <c r="P896" s="26">
        <f>INDEX(Detail!$A$1:$A$1001,MATCH(B896,Detail!$G$1:$G$1001,0))</f>
        <v>37818</v>
      </c>
      <c r="Q896" s="3" t="str">
        <f>INDEX(Detail!$F$1:$F$1001,MATCH(Main!B896,Detail!$G$1:$G$1001,0))</f>
        <v>Tangerang Selatan</v>
      </c>
      <c r="R896" s="7">
        <f>INDEX(Detail!$C$1:$C$1001,MATCH(B896,Detail!$G$1:$G$1001,0),1)</f>
        <v>171</v>
      </c>
      <c r="S896" s="7">
        <f>INDEX(Detail!$D$1:$D$1001,MATCH(B896,Detail!$G$1:$G$1001,0),1)</f>
        <v>80</v>
      </c>
      <c r="T896" s="7" t="str">
        <f>INDEX(Detail!$E$1:$E$1001,MATCH(Main!B896,Detail!$G$1:$G$1001,0))</f>
        <v>Gang Astana Anyar No. 51</v>
      </c>
      <c r="U896" s="7" t="str">
        <f>INDEX(Detail!$B$1:$B$1001,MATCH(B896,Detail!$G$1:$G$1001,0),1)</f>
        <v>AB-</v>
      </c>
    </row>
    <row r="897" spans="1:21" ht="15.75" x14ac:dyDescent="0.25">
      <c r="A897">
        <v>325</v>
      </c>
      <c r="B897" s="3" t="str">
        <f t="shared" si="40"/>
        <v>F0325</v>
      </c>
      <c r="C897" t="s">
        <v>1011</v>
      </c>
      <c r="D897" s="3" t="str">
        <f>VLOOKUP(B897,Detail!$G$1:$H$1001,2,FALSE)</f>
        <v>Martaka Siregar</v>
      </c>
      <c r="E897">
        <v>86</v>
      </c>
      <c r="F897">
        <v>71</v>
      </c>
      <c r="G897" s="35">
        <v>49</v>
      </c>
      <c r="H897">
        <v>50</v>
      </c>
      <c r="I897">
        <v>63</v>
      </c>
      <c r="J897">
        <v>62</v>
      </c>
      <c r="K897">
        <v>67</v>
      </c>
      <c r="L897" s="26">
        <f>IFERROR(VLOOKUP(B897,Absen!$A$1:$C$501,2,FALSE),"No")</f>
        <v>44861</v>
      </c>
      <c r="M897" s="44">
        <f t="shared" si="38"/>
        <v>5.7</v>
      </c>
      <c r="N897" s="35">
        <f t="shared" si="39"/>
        <v>61.65</v>
      </c>
      <c r="O897" t="str">
        <f>VLOOKUP(N897,Helper!$B$30:$C$35,2,TRUE)</f>
        <v>C</v>
      </c>
      <c r="P897" s="26">
        <f>INDEX(Detail!$A$1:$A$1001,MATCH(B897,Detail!$G$1:$G$1001,0))</f>
        <v>37092</v>
      </c>
      <c r="Q897" s="3" t="str">
        <f>INDEX(Detail!$F$1:$F$1001,MATCH(Main!B897,Detail!$G$1:$G$1001,0))</f>
        <v>Surabaya</v>
      </c>
      <c r="R897" s="7">
        <f>INDEX(Detail!$C$1:$C$1001,MATCH(B897,Detail!$G$1:$G$1001,0),1)</f>
        <v>176</v>
      </c>
      <c r="S897" s="7">
        <f>INDEX(Detail!$D$1:$D$1001,MATCH(B897,Detail!$G$1:$G$1001,0),1)</f>
        <v>53</v>
      </c>
      <c r="T897" s="7" t="str">
        <f>INDEX(Detail!$E$1:$E$1001,MATCH(Main!B897,Detail!$G$1:$G$1001,0))</f>
        <v xml:space="preserve">Jalan Sukabumi No. 8
</v>
      </c>
      <c r="U897" s="7" t="str">
        <f>INDEX(Detail!$B$1:$B$1001,MATCH(B897,Detail!$G$1:$G$1001,0),1)</f>
        <v>A+</v>
      </c>
    </row>
    <row r="898" spans="1:21" ht="15.75" x14ac:dyDescent="0.25">
      <c r="A898">
        <v>326</v>
      </c>
      <c r="B898" s="3" t="str">
        <f t="shared" si="40"/>
        <v>F0326</v>
      </c>
      <c r="C898" t="s">
        <v>1011</v>
      </c>
      <c r="D898" s="3" t="str">
        <f>VLOOKUP(B898,Detail!$G$1:$H$1001,2,FALSE)</f>
        <v>Viman Latupono</v>
      </c>
      <c r="E898">
        <v>59</v>
      </c>
      <c r="F898">
        <v>72</v>
      </c>
      <c r="G898" s="35">
        <v>48</v>
      </c>
      <c r="H898">
        <v>73</v>
      </c>
      <c r="I898">
        <v>76</v>
      </c>
      <c r="J898">
        <v>61</v>
      </c>
      <c r="K898">
        <v>84</v>
      </c>
      <c r="L898" s="26">
        <f>IFERROR(VLOOKUP(B898,Absen!$A$1:$C$501,2,FALSE),"No")</f>
        <v>44853</v>
      </c>
      <c r="M898" s="44">
        <f t="shared" ref="M898:M961" si="41">IF(L898="no",K898,K898-10)*10%</f>
        <v>7.4</v>
      </c>
      <c r="N898" s="35">
        <f t="shared" ref="N898:N961" si="42">SUM(E898*12.5%,F898*12.5%,H898*12.5%,I898*12.5%,G898*20%,J898*20%,M898)</f>
        <v>64.2</v>
      </c>
      <c r="O898" t="str">
        <f>VLOOKUP(N898,Helper!$B$30:$C$35,2,TRUE)</f>
        <v>C</v>
      </c>
      <c r="P898" s="26">
        <f>INDEX(Detail!$A$1:$A$1001,MATCH(B898,Detail!$G$1:$G$1001,0))</f>
        <v>38366</v>
      </c>
      <c r="Q898" s="3" t="str">
        <f>INDEX(Detail!$F$1:$F$1001,MATCH(Main!B898,Detail!$G$1:$G$1001,0))</f>
        <v>Sawahlunto</v>
      </c>
      <c r="R898" s="7">
        <f>INDEX(Detail!$C$1:$C$1001,MATCH(B898,Detail!$G$1:$G$1001,0),1)</f>
        <v>167</v>
      </c>
      <c r="S898" s="7">
        <f>INDEX(Detail!$D$1:$D$1001,MATCH(B898,Detail!$G$1:$G$1001,0),1)</f>
        <v>55</v>
      </c>
      <c r="T898" s="7" t="str">
        <f>INDEX(Detail!$E$1:$E$1001,MATCH(Main!B898,Detail!$G$1:$G$1001,0))</f>
        <v xml:space="preserve">Gg. Jend. Sudirman No. 8
</v>
      </c>
      <c r="U898" s="7" t="str">
        <f>INDEX(Detail!$B$1:$B$1001,MATCH(B898,Detail!$G$1:$G$1001,0),1)</f>
        <v>O-</v>
      </c>
    </row>
    <row r="899" spans="1:21" ht="15.75" x14ac:dyDescent="0.25">
      <c r="A899">
        <v>329</v>
      </c>
      <c r="B899" s="3" t="str">
        <f t="shared" si="40"/>
        <v>F0329</v>
      </c>
      <c r="C899" t="s">
        <v>1011</v>
      </c>
      <c r="D899" s="3" t="str">
        <f>VLOOKUP(B899,Detail!$G$1:$H$1001,2,FALSE)</f>
        <v>Jamil Hardiansyah</v>
      </c>
      <c r="E899">
        <v>68</v>
      </c>
      <c r="F899">
        <v>55</v>
      </c>
      <c r="G899" s="35">
        <v>62</v>
      </c>
      <c r="H899">
        <v>70</v>
      </c>
      <c r="I899">
        <v>93</v>
      </c>
      <c r="J899">
        <v>83</v>
      </c>
      <c r="K899">
        <v>83</v>
      </c>
      <c r="L899" s="26">
        <f>IFERROR(VLOOKUP(B899,Absen!$A$1:$C$501,2,FALSE),"No")</f>
        <v>44883</v>
      </c>
      <c r="M899" s="44">
        <f t="shared" si="41"/>
        <v>7.3000000000000007</v>
      </c>
      <c r="N899" s="35">
        <f t="shared" si="42"/>
        <v>72.05</v>
      </c>
      <c r="O899" t="str">
        <f>VLOOKUP(N899,Helper!$B$30:$C$35,2,TRUE)</f>
        <v>B</v>
      </c>
      <c r="P899" s="26">
        <f>INDEX(Detail!$A$1:$A$1001,MATCH(B899,Detail!$G$1:$G$1001,0))</f>
        <v>37836</v>
      </c>
      <c r="Q899" s="3" t="str">
        <f>INDEX(Detail!$F$1:$F$1001,MATCH(Main!B899,Detail!$G$1:$G$1001,0))</f>
        <v>Bandar Lampung</v>
      </c>
      <c r="R899" s="7">
        <f>INDEX(Detail!$C$1:$C$1001,MATCH(B899,Detail!$G$1:$G$1001,0),1)</f>
        <v>158</v>
      </c>
      <c r="S899" s="7">
        <f>INDEX(Detail!$D$1:$D$1001,MATCH(B899,Detail!$G$1:$G$1001,0),1)</f>
        <v>65</v>
      </c>
      <c r="T899" s="7" t="str">
        <f>INDEX(Detail!$E$1:$E$1001,MATCH(Main!B899,Detail!$G$1:$G$1001,0))</f>
        <v xml:space="preserve">Jalan Jend. A. Yani No. 9
</v>
      </c>
      <c r="U899" s="7" t="str">
        <f>INDEX(Detail!$B$1:$B$1001,MATCH(B899,Detail!$G$1:$G$1001,0),1)</f>
        <v>O+</v>
      </c>
    </row>
    <row r="900" spans="1:21" ht="15.75" x14ac:dyDescent="0.25">
      <c r="A900">
        <v>333</v>
      </c>
      <c r="B900" s="3" t="str">
        <f t="shared" si="40"/>
        <v>F0333</v>
      </c>
      <c r="C900" t="s">
        <v>1011</v>
      </c>
      <c r="D900" s="3" t="str">
        <f>VLOOKUP(B900,Detail!$G$1:$H$1001,2,FALSE)</f>
        <v>Kenari Waluyo</v>
      </c>
      <c r="E900">
        <v>64</v>
      </c>
      <c r="F900">
        <v>42</v>
      </c>
      <c r="G900" s="35">
        <v>69</v>
      </c>
      <c r="H900">
        <v>73</v>
      </c>
      <c r="I900">
        <v>64</v>
      </c>
      <c r="J900">
        <v>73</v>
      </c>
      <c r="K900">
        <v>74</v>
      </c>
      <c r="L900" s="26" t="str">
        <f>IFERROR(VLOOKUP(B900,Absen!$A$1:$C$501,2,FALSE),"No")</f>
        <v>No</v>
      </c>
      <c r="M900" s="44">
        <f t="shared" si="41"/>
        <v>7.4</v>
      </c>
      <c r="N900" s="35">
        <f t="shared" si="42"/>
        <v>66.174999999999997</v>
      </c>
      <c r="O900" t="str">
        <f>VLOOKUP(N900,Helper!$B$30:$C$35,2,TRUE)</f>
        <v>C</v>
      </c>
      <c r="P900" s="26">
        <f>INDEX(Detail!$A$1:$A$1001,MATCH(B900,Detail!$G$1:$G$1001,0))</f>
        <v>37828</v>
      </c>
      <c r="Q900" s="3" t="str">
        <f>INDEX(Detail!$F$1:$F$1001,MATCH(Main!B900,Detail!$G$1:$G$1001,0))</f>
        <v>Subulussalam</v>
      </c>
      <c r="R900" s="7">
        <f>INDEX(Detail!$C$1:$C$1001,MATCH(B900,Detail!$G$1:$G$1001,0),1)</f>
        <v>169</v>
      </c>
      <c r="S900" s="7">
        <f>INDEX(Detail!$D$1:$D$1001,MATCH(B900,Detail!$G$1:$G$1001,0),1)</f>
        <v>95</v>
      </c>
      <c r="T900" s="7" t="str">
        <f>INDEX(Detail!$E$1:$E$1001,MATCH(Main!B900,Detail!$G$1:$G$1001,0))</f>
        <v>Jl. Pacuan Kuda No. 55</v>
      </c>
      <c r="U900" s="7" t="str">
        <f>INDEX(Detail!$B$1:$B$1001,MATCH(B900,Detail!$G$1:$G$1001,0),1)</f>
        <v>B-</v>
      </c>
    </row>
    <row r="901" spans="1:21" ht="15.75" x14ac:dyDescent="0.25">
      <c r="A901">
        <v>346</v>
      </c>
      <c r="B901" s="3" t="str">
        <f t="shared" si="40"/>
        <v>F0346</v>
      </c>
      <c r="C901" t="s">
        <v>1011</v>
      </c>
      <c r="D901" s="3" t="str">
        <f>VLOOKUP(B901,Detail!$G$1:$H$1001,2,FALSE)</f>
        <v>Tomi Pangestu</v>
      </c>
      <c r="E901">
        <v>65</v>
      </c>
      <c r="F901">
        <v>65</v>
      </c>
      <c r="G901" s="35">
        <v>91</v>
      </c>
      <c r="H901">
        <v>53</v>
      </c>
      <c r="I901">
        <v>83</v>
      </c>
      <c r="J901">
        <v>89</v>
      </c>
      <c r="K901">
        <v>94</v>
      </c>
      <c r="L901" s="26" t="str">
        <f>IFERROR(VLOOKUP(B901,Absen!$A$1:$C$501,2,FALSE),"No")</f>
        <v>No</v>
      </c>
      <c r="M901" s="44">
        <f t="shared" si="41"/>
        <v>9.4</v>
      </c>
      <c r="N901" s="35">
        <f t="shared" si="42"/>
        <v>78.650000000000006</v>
      </c>
      <c r="O901" t="str">
        <f>VLOOKUP(N901,Helper!$B$30:$C$35,2,TRUE)</f>
        <v>B</v>
      </c>
      <c r="P901" s="26">
        <f>INDEX(Detail!$A$1:$A$1001,MATCH(B901,Detail!$G$1:$G$1001,0))</f>
        <v>38156</v>
      </c>
      <c r="Q901" s="3" t="str">
        <f>INDEX(Detail!$F$1:$F$1001,MATCH(Main!B901,Detail!$G$1:$G$1001,0))</f>
        <v>Sawahlunto</v>
      </c>
      <c r="R901" s="7">
        <f>INDEX(Detail!$C$1:$C$1001,MATCH(B901,Detail!$G$1:$G$1001,0),1)</f>
        <v>161</v>
      </c>
      <c r="S901" s="7">
        <f>INDEX(Detail!$D$1:$D$1001,MATCH(B901,Detail!$G$1:$G$1001,0),1)</f>
        <v>66</v>
      </c>
      <c r="T901" s="7" t="str">
        <f>INDEX(Detail!$E$1:$E$1001,MATCH(Main!B901,Detail!$G$1:$G$1001,0))</f>
        <v>Gang S. Parman No. 79</v>
      </c>
      <c r="U901" s="7" t="str">
        <f>INDEX(Detail!$B$1:$B$1001,MATCH(B901,Detail!$G$1:$G$1001,0),1)</f>
        <v>A-</v>
      </c>
    </row>
    <row r="902" spans="1:21" ht="15.75" x14ac:dyDescent="0.25">
      <c r="A902">
        <v>349</v>
      </c>
      <c r="B902" s="3" t="str">
        <f t="shared" ref="B902:B965" si="43">CONCATENATE("F",TEXT(A902,"0000"))</f>
        <v>F0349</v>
      </c>
      <c r="C902" t="s">
        <v>1011</v>
      </c>
      <c r="D902" s="3" t="str">
        <f>VLOOKUP(B902,Detail!$G$1:$H$1001,2,FALSE)</f>
        <v>Bala Sihotang</v>
      </c>
      <c r="E902">
        <v>68</v>
      </c>
      <c r="F902">
        <v>73</v>
      </c>
      <c r="G902" s="35">
        <v>80</v>
      </c>
      <c r="H902">
        <v>64</v>
      </c>
      <c r="I902">
        <v>53</v>
      </c>
      <c r="J902">
        <v>75</v>
      </c>
      <c r="K902">
        <v>95</v>
      </c>
      <c r="L902" s="26" t="str">
        <f>IFERROR(VLOOKUP(B902,Absen!$A$1:$C$501,2,FALSE),"No")</f>
        <v>No</v>
      </c>
      <c r="M902" s="44">
        <f t="shared" si="41"/>
        <v>9.5</v>
      </c>
      <c r="N902" s="35">
        <f t="shared" si="42"/>
        <v>72.75</v>
      </c>
      <c r="O902" t="str">
        <f>VLOOKUP(N902,Helper!$B$30:$C$35,2,TRUE)</f>
        <v>B</v>
      </c>
      <c r="P902" s="26">
        <f>INDEX(Detail!$A$1:$A$1001,MATCH(B902,Detail!$G$1:$G$1001,0))</f>
        <v>38226</v>
      </c>
      <c r="Q902" s="3" t="str">
        <f>INDEX(Detail!$F$1:$F$1001,MATCH(Main!B902,Detail!$G$1:$G$1001,0))</f>
        <v>Meulaboh</v>
      </c>
      <c r="R902" s="7">
        <f>INDEX(Detail!$C$1:$C$1001,MATCH(B902,Detail!$G$1:$G$1001,0),1)</f>
        <v>160</v>
      </c>
      <c r="S902" s="7">
        <f>INDEX(Detail!$D$1:$D$1001,MATCH(B902,Detail!$G$1:$G$1001,0),1)</f>
        <v>46</v>
      </c>
      <c r="T902" s="7" t="str">
        <f>INDEX(Detail!$E$1:$E$1001,MATCH(Main!B902,Detail!$G$1:$G$1001,0))</f>
        <v>Gg. Dipatiukur No. 07</v>
      </c>
      <c r="U902" s="7" t="str">
        <f>INDEX(Detail!$B$1:$B$1001,MATCH(B902,Detail!$G$1:$G$1001,0),1)</f>
        <v>O+</v>
      </c>
    </row>
    <row r="903" spans="1:21" ht="15.75" x14ac:dyDescent="0.25">
      <c r="A903">
        <v>356</v>
      </c>
      <c r="B903" s="3" t="str">
        <f t="shared" si="43"/>
        <v>F0356</v>
      </c>
      <c r="C903" t="s">
        <v>1011</v>
      </c>
      <c r="D903" s="3" t="str">
        <f>VLOOKUP(B903,Detail!$G$1:$H$1001,2,FALSE)</f>
        <v>Gambira Melani</v>
      </c>
      <c r="E903">
        <v>78</v>
      </c>
      <c r="F903">
        <v>51</v>
      </c>
      <c r="G903" s="35">
        <v>39</v>
      </c>
      <c r="H903">
        <v>70</v>
      </c>
      <c r="I903">
        <v>75</v>
      </c>
      <c r="J903">
        <v>58</v>
      </c>
      <c r="K903">
        <v>84</v>
      </c>
      <c r="L903" s="26">
        <f>IFERROR(VLOOKUP(B903,Absen!$A$1:$C$501,2,FALSE),"No")</f>
        <v>44776</v>
      </c>
      <c r="M903" s="44">
        <f t="shared" si="41"/>
        <v>7.4</v>
      </c>
      <c r="N903" s="35">
        <f t="shared" si="42"/>
        <v>61.05</v>
      </c>
      <c r="O903" t="str">
        <f>VLOOKUP(N903,Helper!$B$30:$C$35,2,TRUE)</f>
        <v>C</v>
      </c>
      <c r="P903" s="26">
        <f>INDEX(Detail!$A$1:$A$1001,MATCH(B903,Detail!$G$1:$G$1001,0))</f>
        <v>37817</v>
      </c>
      <c r="Q903" s="3" t="str">
        <f>INDEX(Detail!$F$1:$F$1001,MATCH(Main!B903,Detail!$G$1:$G$1001,0))</f>
        <v>Balikpapan</v>
      </c>
      <c r="R903" s="7">
        <f>INDEX(Detail!$C$1:$C$1001,MATCH(B903,Detail!$G$1:$G$1001,0),1)</f>
        <v>163</v>
      </c>
      <c r="S903" s="7">
        <f>INDEX(Detail!$D$1:$D$1001,MATCH(B903,Detail!$G$1:$G$1001,0),1)</f>
        <v>64</v>
      </c>
      <c r="T903" s="7" t="str">
        <f>INDEX(Detail!$E$1:$E$1001,MATCH(Main!B903,Detail!$G$1:$G$1001,0))</f>
        <v>Jalan Suryakencana No. 20</v>
      </c>
      <c r="U903" s="7" t="str">
        <f>INDEX(Detail!$B$1:$B$1001,MATCH(B903,Detail!$G$1:$G$1001,0),1)</f>
        <v>O+</v>
      </c>
    </row>
    <row r="904" spans="1:21" ht="15.75" x14ac:dyDescent="0.25">
      <c r="A904">
        <v>360</v>
      </c>
      <c r="B904" s="3" t="str">
        <f t="shared" si="43"/>
        <v>F0360</v>
      </c>
      <c r="C904" t="s">
        <v>1011</v>
      </c>
      <c r="D904" s="3" t="str">
        <f>VLOOKUP(B904,Detail!$G$1:$H$1001,2,FALSE)</f>
        <v>Capa Prakasa</v>
      </c>
      <c r="E904">
        <v>94</v>
      </c>
      <c r="F904">
        <v>52</v>
      </c>
      <c r="G904" s="35">
        <v>61</v>
      </c>
      <c r="H904">
        <v>55</v>
      </c>
      <c r="I904">
        <v>67</v>
      </c>
      <c r="J904">
        <v>77</v>
      </c>
      <c r="K904">
        <v>83</v>
      </c>
      <c r="L904" s="26" t="str">
        <f>IFERROR(VLOOKUP(B904,Absen!$A$1:$C$501,2,FALSE),"No")</f>
        <v>No</v>
      </c>
      <c r="M904" s="44">
        <f t="shared" si="41"/>
        <v>8.3000000000000007</v>
      </c>
      <c r="N904" s="35">
        <f t="shared" si="42"/>
        <v>69.400000000000006</v>
      </c>
      <c r="O904" t="str">
        <f>VLOOKUP(N904,Helper!$B$30:$C$35,2,TRUE)</f>
        <v>C</v>
      </c>
      <c r="P904" s="26">
        <f>INDEX(Detail!$A$1:$A$1001,MATCH(B904,Detail!$G$1:$G$1001,0))</f>
        <v>38087</v>
      </c>
      <c r="Q904" s="3" t="str">
        <f>INDEX(Detail!$F$1:$F$1001,MATCH(Main!B904,Detail!$G$1:$G$1001,0))</f>
        <v>Kota Administrasi Jakarta Timur</v>
      </c>
      <c r="R904" s="7">
        <f>INDEX(Detail!$C$1:$C$1001,MATCH(B904,Detail!$G$1:$G$1001,0),1)</f>
        <v>150</v>
      </c>
      <c r="S904" s="7">
        <f>INDEX(Detail!$D$1:$D$1001,MATCH(B904,Detail!$G$1:$G$1001,0),1)</f>
        <v>59</v>
      </c>
      <c r="T904" s="7" t="str">
        <f>INDEX(Detail!$E$1:$E$1001,MATCH(Main!B904,Detail!$G$1:$G$1001,0))</f>
        <v>Jalan Abdul Muis No. 50</v>
      </c>
      <c r="U904" s="7" t="str">
        <f>INDEX(Detail!$B$1:$B$1001,MATCH(B904,Detail!$G$1:$G$1001,0),1)</f>
        <v>O+</v>
      </c>
    </row>
    <row r="905" spans="1:21" ht="15.75" x14ac:dyDescent="0.25">
      <c r="A905">
        <v>361</v>
      </c>
      <c r="B905" s="3" t="str">
        <f t="shared" si="43"/>
        <v>F0361</v>
      </c>
      <c r="C905" t="s">
        <v>1011</v>
      </c>
      <c r="D905" s="3" t="str">
        <f>VLOOKUP(B905,Detail!$G$1:$H$1001,2,FALSE)</f>
        <v>Parman Gunawan</v>
      </c>
      <c r="E905">
        <v>89</v>
      </c>
      <c r="F905">
        <v>69</v>
      </c>
      <c r="G905" s="35">
        <v>34</v>
      </c>
      <c r="H905">
        <v>69</v>
      </c>
      <c r="I905">
        <v>69</v>
      </c>
      <c r="J905">
        <v>81</v>
      </c>
      <c r="K905">
        <v>62</v>
      </c>
      <c r="L905" s="26">
        <f>IFERROR(VLOOKUP(B905,Absen!$A$1:$C$501,2,FALSE),"No")</f>
        <v>44809</v>
      </c>
      <c r="M905" s="44">
        <f t="shared" si="41"/>
        <v>5.2</v>
      </c>
      <c r="N905" s="35">
        <f t="shared" si="42"/>
        <v>65.2</v>
      </c>
      <c r="O905" t="str">
        <f>VLOOKUP(N905,Helper!$B$30:$C$35,2,TRUE)</f>
        <v>C</v>
      </c>
      <c r="P905" s="26">
        <f>INDEX(Detail!$A$1:$A$1001,MATCH(B905,Detail!$G$1:$G$1001,0))</f>
        <v>38130</v>
      </c>
      <c r="Q905" s="3" t="str">
        <f>INDEX(Detail!$F$1:$F$1001,MATCH(Main!B905,Detail!$G$1:$G$1001,0))</f>
        <v>Sibolga</v>
      </c>
      <c r="R905" s="7">
        <f>INDEX(Detail!$C$1:$C$1001,MATCH(B905,Detail!$G$1:$G$1001,0),1)</f>
        <v>163</v>
      </c>
      <c r="S905" s="7">
        <f>INDEX(Detail!$D$1:$D$1001,MATCH(B905,Detail!$G$1:$G$1001,0),1)</f>
        <v>55</v>
      </c>
      <c r="T905" s="7" t="str">
        <f>INDEX(Detail!$E$1:$E$1001,MATCH(Main!B905,Detail!$G$1:$G$1001,0))</f>
        <v xml:space="preserve">Jl. Jend. Sudirman No. 4
</v>
      </c>
      <c r="U905" s="7" t="str">
        <f>INDEX(Detail!$B$1:$B$1001,MATCH(B905,Detail!$G$1:$G$1001,0),1)</f>
        <v>AB-</v>
      </c>
    </row>
    <row r="906" spans="1:21" ht="15.75" x14ac:dyDescent="0.25">
      <c r="A906">
        <v>368</v>
      </c>
      <c r="B906" s="3" t="str">
        <f t="shared" si="43"/>
        <v>F0368</v>
      </c>
      <c r="C906" t="s">
        <v>1011</v>
      </c>
      <c r="D906" s="3" t="str">
        <f>VLOOKUP(B906,Detail!$G$1:$H$1001,2,FALSE)</f>
        <v>Baktiono Mandasari</v>
      </c>
      <c r="E906">
        <v>53</v>
      </c>
      <c r="F906">
        <v>58</v>
      </c>
      <c r="G906" s="35">
        <v>45</v>
      </c>
      <c r="H906">
        <v>61</v>
      </c>
      <c r="I906">
        <v>71</v>
      </c>
      <c r="J906">
        <v>96</v>
      </c>
      <c r="K906">
        <v>95</v>
      </c>
      <c r="L906" s="26">
        <f>IFERROR(VLOOKUP(B906,Absen!$A$1:$C$501,2,FALSE),"No")</f>
        <v>44803</v>
      </c>
      <c r="M906" s="44">
        <f t="shared" si="41"/>
        <v>8.5</v>
      </c>
      <c r="N906" s="35">
        <f t="shared" si="42"/>
        <v>67.075000000000003</v>
      </c>
      <c r="O906" t="str">
        <f>VLOOKUP(N906,Helper!$B$30:$C$35,2,TRUE)</f>
        <v>C</v>
      </c>
      <c r="P906" s="26">
        <f>INDEX(Detail!$A$1:$A$1001,MATCH(B906,Detail!$G$1:$G$1001,0))</f>
        <v>37170</v>
      </c>
      <c r="Q906" s="3" t="str">
        <f>INDEX(Detail!$F$1:$F$1001,MATCH(Main!B906,Detail!$G$1:$G$1001,0))</f>
        <v>Denpasar</v>
      </c>
      <c r="R906" s="7">
        <f>INDEX(Detail!$C$1:$C$1001,MATCH(B906,Detail!$G$1:$G$1001,0),1)</f>
        <v>166</v>
      </c>
      <c r="S906" s="7">
        <f>INDEX(Detail!$D$1:$D$1001,MATCH(B906,Detail!$G$1:$G$1001,0),1)</f>
        <v>85</v>
      </c>
      <c r="T906" s="7" t="str">
        <f>INDEX(Detail!$E$1:$E$1001,MATCH(Main!B906,Detail!$G$1:$G$1001,0))</f>
        <v>Gang Kapten Muslihat No. 86</v>
      </c>
      <c r="U906" s="7" t="str">
        <f>INDEX(Detail!$B$1:$B$1001,MATCH(B906,Detail!$G$1:$G$1001,0),1)</f>
        <v>B-</v>
      </c>
    </row>
    <row r="907" spans="1:21" ht="15.75" x14ac:dyDescent="0.25">
      <c r="A907">
        <v>369</v>
      </c>
      <c r="B907" s="3" t="str">
        <f t="shared" si="43"/>
        <v>F0369</v>
      </c>
      <c r="C907" t="s">
        <v>1011</v>
      </c>
      <c r="D907" s="3" t="str">
        <f>VLOOKUP(B907,Detail!$G$1:$H$1001,2,FALSE)</f>
        <v>Jasmani Wahyudin</v>
      </c>
      <c r="E907">
        <v>61</v>
      </c>
      <c r="F907">
        <v>69</v>
      </c>
      <c r="G907" s="35">
        <v>83</v>
      </c>
      <c r="H907">
        <v>52</v>
      </c>
      <c r="I907">
        <v>69</v>
      </c>
      <c r="J907">
        <v>60</v>
      </c>
      <c r="K907">
        <v>71</v>
      </c>
      <c r="L907" s="26">
        <f>IFERROR(VLOOKUP(B907,Absen!$A$1:$C$501,2,FALSE),"No")</f>
        <v>44856</v>
      </c>
      <c r="M907" s="44">
        <f t="shared" si="41"/>
        <v>6.1000000000000005</v>
      </c>
      <c r="N907" s="35">
        <f t="shared" si="42"/>
        <v>66.075000000000003</v>
      </c>
      <c r="O907" t="str">
        <f>VLOOKUP(N907,Helper!$B$30:$C$35,2,TRUE)</f>
        <v>C</v>
      </c>
      <c r="P907" s="26">
        <f>INDEX(Detail!$A$1:$A$1001,MATCH(B907,Detail!$G$1:$G$1001,0))</f>
        <v>38433</v>
      </c>
      <c r="Q907" s="3" t="str">
        <f>INDEX(Detail!$F$1:$F$1001,MATCH(Main!B907,Detail!$G$1:$G$1001,0))</f>
        <v>Sibolga</v>
      </c>
      <c r="R907" s="7">
        <f>INDEX(Detail!$C$1:$C$1001,MATCH(B907,Detail!$G$1:$G$1001,0),1)</f>
        <v>180</v>
      </c>
      <c r="S907" s="7">
        <f>INDEX(Detail!$D$1:$D$1001,MATCH(B907,Detail!$G$1:$G$1001,0),1)</f>
        <v>73</v>
      </c>
      <c r="T907" s="7" t="str">
        <f>INDEX(Detail!$E$1:$E$1001,MATCH(Main!B907,Detail!$G$1:$G$1001,0))</f>
        <v xml:space="preserve">Jalan Wonoayu No. 1
</v>
      </c>
      <c r="U907" s="7" t="str">
        <f>INDEX(Detail!$B$1:$B$1001,MATCH(B907,Detail!$G$1:$G$1001,0),1)</f>
        <v>B-</v>
      </c>
    </row>
    <row r="908" spans="1:21" ht="15.75" x14ac:dyDescent="0.25">
      <c r="A908">
        <v>374</v>
      </c>
      <c r="B908" s="3" t="str">
        <f t="shared" si="43"/>
        <v>F0374</v>
      </c>
      <c r="C908" t="s">
        <v>1011</v>
      </c>
      <c r="D908" s="3" t="str">
        <f>VLOOKUP(B908,Detail!$G$1:$H$1001,2,FALSE)</f>
        <v>Cengkir Hutapea</v>
      </c>
      <c r="E908">
        <v>55</v>
      </c>
      <c r="F908">
        <v>45</v>
      </c>
      <c r="G908" s="35">
        <v>84</v>
      </c>
      <c r="H908">
        <v>75</v>
      </c>
      <c r="I908">
        <v>57</v>
      </c>
      <c r="J908">
        <v>69</v>
      </c>
      <c r="K908">
        <v>91</v>
      </c>
      <c r="L908" s="26">
        <f>IFERROR(VLOOKUP(B908,Absen!$A$1:$C$501,2,FALSE),"No")</f>
        <v>44907</v>
      </c>
      <c r="M908" s="44">
        <f t="shared" si="41"/>
        <v>8.1</v>
      </c>
      <c r="N908" s="35">
        <f t="shared" si="42"/>
        <v>67.699999999999989</v>
      </c>
      <c r="O908" t="str">
        <f>VLOOKUP(N908,Helper!$B$30:$C$35,2,TRUE)</f>
        <v>C</v>
      </c>
      <c r="P908" s="26">
        <f>INDEX(Detail!$A$1:$A$1001,MATCH(B908,Detail!$G$1:$G$1001,0))</f>
        <v>37041</v>
      </c>
      <c r="Q908" s="3" t="str">
        <f>INDEX(Detail!$F$1:$F$1001,MATCH(Main!B908,Detail!$G$1:$G$1001,0))</f>
        <v>Padang</v>
      </c>
      <c r="R908" s="7">
        <f>INDEX(Detail!$C$1:$C$1001,MATCH(B908,Detail!$G$1:$G$1001,0),1)</f>
        <v>164</v>
      </c>
      <c r="S908" s="7">
        <f>INDEX(Detail!$D$1:$D$1001,MATCH(B908,Detail!$G$1:$G$1001,0),1)</f>
        <v>46</v>
      </c>
      <c r="T908" s="7" t="str">
        <f>INDEX(Detail!$E$1:$E$1001,MATCH(Main!B908,Detail!$G$1:$G$1001,0))</f>
        <v>Gang Gedebage Selatan No. 09</v>
      </c>
      <c r="U908" s="7" t="str">
        <f>INDEX(Detail!$B$1:$B$1001,MATCH(B908,Detail!$G$1:$G$1001,0),1)</f>
        <v>A+</v>
      </c>
    </row>
    <row r="909" spans="1:21" ht="15.75" x14ac:dyDescent="0.25">
      <c r="A909">
        <v>376</v>
      </c>
      <c r="B909" s="3" t="str">
        <f t="shared" si="43"/>
        <v>F0376</v>
      </c>
      <c r="C909" t="s">
        <v>1011</v>
      </c>
      <c r="D909" s="3" t="str">
        <f>VLOOKUP(B909,Detail!$G$1:$H$1001,2,FALSE)</f>
        <v>Harsana Mandasari</v>
      </c>
      <c r="E909">
        <v>51</v>
      </c>
      <c r="F909">
        <v>40</v>
      </c>
      <c r="G909" s="35">
        <v>91</v>
      </c>
      <c r="H909">
        <v>70</v>
      </c>
      <c r="I909">
        <v>80</v>
      </c>
      <c r="J909">
        <v>61</v>
      </c>
      <c r="K909">
        <v>61</v>
      </c>
      <c r="L909" s="26">
        <f>IFERROR(VLOOKUP(B909,Absen!$A$1:$C$501,2,FALSE),"No")</f>
        <v>44806</v>
      </c>
      <c r="M909" s="44">
        <f t="shared" si="41"/>
        <v>5.1000000000000005</v>
      </c>
      <c r="N909" s="35">
        <f t="shared" si="42"/>
        <v>65.625</v>
      </c>
      <c r="O909" t="str">
        <f>VLOOKUP(N909,Helper!$B$30:$C$35,2,TRUE)</f>
        <v>C</v>
      </c>
      <c r="P909" s="26">
        <f>INDEX(Detail!$A$1:$A$1001,MATCH(B909,Detail!$G$1:$G$1001,0))</f>
        <v>38411</v>
      </c>
      <c r="Q909" s="3" t="str">
        <f>INDEX(Detail!$F$1:$F$1001,MATCH(Main!B909,Detail!$G$1:$G$1001,0))</f>
        <v>Pekalongan</v>
      </c>
      <c r="R909" s="7">
        <f>INDEX(Detail!$C$1:$C$1001,MATCH(B909,Detail!$G$1:$G$1001,0),1)</f>
        <v>173</v>
      </c>
      <c r="S909" s="7">
        <f>INDEX(Detail!$D$1:$D$1001,MATCH(B909,Detail!$G$1:$G$1001,0),1)</f>
        <v>76</v>
      </c>
      <c r="T909" s="7" t="str">
        <f>INDEX(Detail!$E$1:$E$1001,MATCH(Main!B909,Detail!$G$1:$G$1001,0))</f>
        <v>Jalan Yos Sudarso No. 57</v>
      </c>
      <c r="U909" s="7" t="str">
        <f>INDEX(Detail!$B$1:$B$1001,MATCH(B909,Detail!$G$1:$G$1001,0),1)</f>
        <v>B-</v>
      </c>
    </row>
    <row r="910" spans="1:21" ht="15.75" x14ac:dyDescent="0.25">
      <c r="A910">
        <v>384</v>
      </c>
      <c r="B910" s="3" t="str">
        <f t="shared" si="43"/>
        <v>F0384</v>
      </c>
      <c r="C910" t="s">
        <v>1011</v>
      </c>
      <c r="D910" s="3" t="str">
        <f>VLOOKUP(B910,Detail!$G$1:$H$1001,2,FALSE)</f>
        <v>Zulfa Utami</v>
      </c>
      <c r="E910">
        <v>55</v>
      </c>
      <c r="F910">
        <v>57</v>
      </c>
      <c r="G910" s="35">
        <v>84</v>
      </c>
      <c r="H910">
        <v>50</v>
      </c>
      <c r="I910">
        <v>62</v>
      </c>
      <c r="J910">
        <v>99</v>
      </c>
      <c r="K910">
        <v>87</v>
      </c>
      <c r="L910" s="26" t="str">
        <f>IFERROR(VLOOKUP(B910,Absen!$A$1:$C$501,2,FALSE),"No")</f>
        <v>No</v>
      </c>
      <c r="M910" s="44">
        <f t="shared" si="41"/>
        <v>8.7000000000000011</v>
      </c>
      <c r="N910" s="35">
        <f t="shared" si="42"/>
        <v>73.3</v>
      </c>
      <c r="O910" t="str">
        <f>VLOOKUP(N910,Helper!$B$30:$C$35,2,TRUE)</f>
        <v>B</v>
      </c>
      <c r="P910" s="26">
        <f>INDEX(Detail!$A$1:$A$1001,MATCH(B910,Detail!$G$1:$G$1001,0))</f>
        <v>38374</v>
      </c>
      <c r="Q910" s="3" t="str">
        <f>INDEX(Detail!$F$1:$F$1001,MATCH(Main!B910,Detail!$G$1:$G$1001,0))</f>
        <v>Ternate</v>
      </c>
      <c r="R910" s="7">
        <f>INDEX(Detail!$C$1:$C$1001,MATCH(B910,Detail!$G$1:$G$1001,0),1)</f>
        <v>173</v>
      </c>
      <c r="S910" s="7">
        <f>INDEX(Detail!$D$1:$D$1001,MATCH(B910,Detail!$G$1:$G$1001,0),1)</f>
        <v>55</v>
      </c>
      <c r="T910" s="7" t="str">
        <f>INDEX(Detail!$E$1:$E$1001,MATCH(Main!B910,Detail!$G$1:$G$1001,0))</f>
        <v>Gang Pasir Koja No. 23</v>
      </c>
      <c r="U910" s="7" t="str">
        <f>INDEX(Detail!$B$1:$B$1001,MATCH(B910,Detail!$G$1:$G$1001,0),1)</f>
        <v>B-</v>
      </c>
    </row>
    <row r="911" spans="1:21" ht="15.75" x14ac:dyDescent="0.25">
      <c r="A911">
        <v>392</v>
      </c>
      <c r="B911" s="3" t="str">
        <f t="shared" si="43"/>
        <v>F0392</v>
      </c>
      <c r="C911" t="s">
        <v>1011</v>
      </c>
      <c r="D911" s="3" t="str">
        <f>VLOOKUP(B911,Detail!$G$1:$H$1001,2,FALSE)</f>
        <v>Kusuma Andriani</v>
      </c>
      <c r="E911">
        <v>53</v>
      </c>
      <c r="F911">
        <v>58</v>
      </c>
      <c r="G911" s="35">
        <v>75</v>
      </c>
      <c r="H911">
        <v>63</v>
      </c>
      <c r="I911">
        <v>70</v>
      </c>
      <c r="J911">
        <v>51</v>
      </c>
      <c r="K911">
        <v>77</v>
      </c>
      <c r="L911" s="26">
        <f>IFERROR(VLOOKUP(B911,Absen!$A$1:$C$501,2,FALSE),"No")</f>
        <v>44869</v>
      </c>
      <c r="M911" s="44">
        <f t="shared" si="41"/>
        <v>6.7</v>
      </c>
      <c r="N911" s="35">
        <f t="shared" si="42"/>
        <v>62.400000000000006</v>
      </c>
      <c r="O911" t="str">
        <f>VLOOKUP(N911,Helper!$B$30:$C$35,2,TRUE)</f>
        <v>C</v>
      </c>
      <c r="P911" s="26">
        <f>INDEX(Detail!$A$1:$A$1001,MATCH(B911,Detail!$G$1:$G$1001,0))</f>
        <v>38258</v>
      </c>
      <c r="Q911" s="3" t="str">
        <f>INDEX(Detail!$F$1:$F$1001,MATCH(Main!B911,Detail!$G$1:$G$1001,0))</f>
        <v>Mataram</v>
      </c>
      <c r="R911" s="7">
        <f>INDEX(Detail!$C$1:$C$1001,MATCH(B911,Detail!$G$1:$G$1001,0),1)</f>
        <v>150</v>
      </c>
      <c r="S911" s="7">
        <f>INDEX(Detail!$D$1:$D$1001,MATCH(B911,Detail!$G$1:$G$1001,0),1)</f>
        <v>80</v>
      </c>
      <c r="T911" s="7" t="str">
        <f>INDEX(Detail!$E$1:$E$1001,MATCH(Main!B911,Detail!$G$1:$G$1001,0))</f>
        <v>Jl. Merdeka No. 55</v>
      </c>
      <c r="U911" s="7" t="str">
        <f>INDEX(Detail!$B$1:$B$1001,MATCH(B911,Detail!$G$1:$G$1001,0),1)</f>
        <v>A+</v>
      </c>
    </row>
    <row r="912" spans="1:21" ht="15.75" x14ac:dyDescent="0.25">
      <c r="A912">
        <v>403</v>
      </c>
      <c r="B912" s="3" t="str">
        <f t="shared" si="43"/>
        <v>F0403</v>
      </c>
      <c r="C912" t="s">
        <v>1011</v>
      </c>
      <c r="D912" s="3" t="str">
        <f>VLOOKUP(B912,Detail!$G$1:$H$1001,2,FALSE)</f>
        <v>Edi Prasetya</v>
      </c>
      <c r="E912">
        <v>60</v>
      </c>
      <c r="F912">
        <v>72</v>
      </c>
      <c r="G912" s="35">
        <v>35</v>
      </c>
      <c r="H912">
        <v>55</v>
      </c>
      <c r="I912">
        <v>88</v>
      </c>
      <c r="J912">
        <v>55</v>
      </c>
      <c r="K912">
        <v>89</v>
      </c>
      <c r="L912" s="26" t="str">
        <f>IFERROR(VLOOKUP(B912,Absen!$A$1:$C$501,2,FALSE),"No")</f>
        <v>No</v>
      </c>
      <c r="M912" s="44">
        <f t="shared" si="41"/>
        <v>8.9</v>
      </c>
      <c r="N912" s="35">
        <f t="shared" si="42"/>
        <v>61.274999999999999</v>
      </c>
      <c r="O912" t="str">
        <f>VLOOKUP(N912,Helper!$B$30:$C$35,2,TRUE)</f>
        <v>C</v>
      </c>
      <c r="P912" s="26">
        <f>INDEX(Detail!$A$1:$A$1001,MATCH(B912,Detail!$G$1:$G$1001,0))</f>
        <v>37808</v>
      </c>
      <c r="Q912" s="3" t="str">
        <f>INDEX(Detail!$F$1:$F$1001,MATCH(Main!B912,Detail!$G$1:$G$1001,0))</f>
        <v>Tual</v>
      </c>
      <c r="R912" s="7">
        <f>INDEX(Detail!$C$1:$C$1001,MATCH(B912,Detail!$G$1:$G$1001,0),1)</f>
        <v>174</v>
      </c>
      <c r="S912" s="7">
        <f>INDEX(Detail!$D$1:$D$1001,MATCH(B912,Detail!$G$1:$G$1001,0),1)</f>
        <v>86</v>
      </c>
      <c r="T912" s="7" t="str">
        <f>INDEX(Detail!$E$1:$E$1001,MATCH(Main!B912,Detail!$G$1:$G$1001,0))</f>
        <v>Gg. Pelajar Pejuang No. 62</v>
      </c>
      <c r="U912" s="7" t="str">
        <f>INDEX(Detail!$B$1:$B$1001,MATCH(B912,Detail!$G$1:$G$1001,0),1)</f>
        <v>AB-</v>
      </c>
    </row>
    <row r="913" spans="1:21" ht="15.75" x14ac:dyDescent="0.25">
      <c r="A913">
        <v>408</v>
      </c>
      <c r="B913" s="3" t="str">
        <f t="shared" si="43"/>
        <v>F0408</v>
      </c>
      <c r="C913" t="s">
        <v>1011</v>
      </c>
      <c r="D913" s="3" t="str">
        <f>VLOOKUP(B913,Detail!$G$1:$H$1001,2,FALSE)</f>
        <v>Raihan Laksita</v>
      </c>
      <c r="E913">
        <v>82</v>
      </c>
      <c r="F913">
        <v>60</v>
      </c>
      <c r="G913" s="35">
        <v>47</v>
      </c>
      <c r="H913">
        <v>68</v>
      </c>
      <c r="I913">
        <v>94</v>
      </c>
      <c r="J913">
        <v>48</v>
      </c>
      <c r="K913">
        <v>99</v>
      </c>
      <c r="L913" s="26">
        <f>IFERROR(VLOOKUP(B913,Absen!$A$1:$C$501,2,FALSE),"No")</f>
        <v>44887</v>
      </c>
      <c r="M913" s="44">
        <f t="shared" si="41"/>
        <v>8.9</v>
      </c>
      <c r="N913" s="35">
        <f t="shared" si="42"/>
        <v>65.900000000000006</v>
      </c>
      <c r="O913" t="str">
        <f>VLOOKUP(N913,Helper!$B$30:$C$35,2,TRUE)</f>
        <v>C</v>
      </c>
      <c r="P913" s="26">
        <f>INDEX(Detail!$A$1:$A$1001,MATCH(B913,Detail!$G$1:$G$1001,0))</f>
        <v>37442</v>
      </c>
      <c r="Q913" s="3" t="str">
        <f>INDEX(Detail!$F$1:$F$1001,MATCH(Main!B913,Detail!$G$1:$G$1001,0))</f>
        <v>Lhokseumawe</v>
      </c>
      <c r="R913" s="7">
        <f>INDEX(Detail!$C$1:$C$1001,MATCH(B913,Detail!$G$1:$G$1001,0),1)</f>
        <v>163</v>
      </c>
      <c r="S913" s="7">
        <f>INDEX(Detail!$D$1:$D$1001,MATCH(B913,Detail!$G$1:$G$1001,0),1)</f>
        <v>45</v>
      </c>
      <c r="T913" s="7" t="str">
        <f>INDEX(Detail!$E$1:$E$1001,MATCH(Main!B913,Detail!$G$1:$G$1001,0))</f>
        <v>Gg. M.H Thamrin No. 37</v>
      </c>
      <c r="U913" s="7" t="str">
        <f>INDEX(Detail!$B$1:$B$1001,MATCH(B913,Detail!$G$1:$G$1001,0),1)</f>
        <v>A+</v>
      </c>
    </row>
    <row r="914" spans="1:21" ht="15.75" x14ac:dyDescent="0.25">
      <c r="A914">
        <v>410</v>
      </c>
      <c r="B914" s="3" t="str">
        <f t="shared" si="43"/>
        <v>F0410</v>
      </c>
      <c r="C914" t="s">
        <v>1011</v>
      </c>
      <c r="D914" s="3" t="str">
        <f>VLOOKUP(B914,Detail!$G$1:$H$1001,2,FALSE)</f>
        <v>Elisa Irawan</v>
      </c>
      <c r="E914">
        <v>59</v>
      </c>
      <c r="F914">
        <v>50</v>
      </c>
      <c r="G914" s="35">
        <v>50</v>
      </c>
      <c r="H914">
        <v>74</v>
      </c>
      <c r="I914">
        <v>52</v>
      </c>
      <c r="J914">
        <v>97</v>
      </c>
      <c r="K914">
        <v>72</v>
      </c>
      <c r="L914" s="26">
        <f>IFERROR(VLOOKUP(B914,Absen!$A$1:$C$501,2,FALSE),"No")</f>
        <v>44878</v>
      </c>
      <c r="M914" s="44">
        <f t="shared" si="41"/>
        <v>6.2</v>
      </c>
      <c r="N914" s="35">
        <f t="shared" si="42"/>
        <v>64.975000000000009</v>
      </c>
      <c r="O914" t="str">
        <f>VLOOKUP(N914,Helper!$B$30:$C$35,2,TRUE)</f>
        <v>C</v>
      </c>
      <c r="P914" s="26">
        <f>INDEX(Detail!$A$1:$A$1001,MATCH(B914,Detail!$G$1:$G$1001,0))</f>
        <v>37459</v>
      </c>
      <c r="Q914" s="3" t="str">
        <f>INDEX(Detail!$F$1:$F$1001,MATCH(Main!B914,Detail!$G$1:$G$1001,0))</f>
        <v>Probolinggo</v>
      </c>
      <c r="R914" s="7">
        <f>INDEX(Detail!$C$1:$C$1001,MATCH(B914,Detail!$G$1:$G$1001,0),1)</f>
        <v>163</v>
      </c>
      <c r="S914" s="7">
        <f>INDEX(Detail!$D$1:$D$1001,MATCH(B914,Detail!$G$1:$G$1001,0),1)</f>
        <v>54</v>
      </c>
      <c r="T914" s="7" t="str">
        <f>INDEX(Detail!$E$1:$E$1001,MATCH(Main!B914,Detail!$G$1:$G$1001,0))</f>
        <v>Gg. Erlangga No. 85</v>
      </c>
      <c r="U914" s="7" t="str">
        <f>INDEX(Detail!$B$1:$B$1001,MATCH(B914,Detail!$G$1:$G$1001,0),1)</f>
        <v>B-</v>
      </c>
    </row>
    <row r="915" spans="1:21" ht="15.75" x14ac:dyDescent="0.25">
      <c r="A915">
        <v>420</v>
      </c>
      <c r="B915" s="3" t="str">
        <f t="shared" si="43"/>
        <v>F0420</v>
      </c>
      <c r="C915" t="s">
        <v>1011</v>
      </c>
      <c r="D915" s="3" t="str">
        <f>VLOOKUP(B915,Detail!$G$1:$H$1001,2,FALSE)</f>
        <v>Zamira Nurdiyanti</v>
      </c>
      <c r="E915">
        <v>85</v>
      </c>
      <c r="F915">
        <v>40</v>
      </c>
      <c r="G915" s="35">
        <v>55</v>
      </c>
      <c r="H915">
        <v>50</v>
      </c>
      <c r="I915">
        <v>77</v>
      </c>
      <c r="J915">
        <v>90</v>
      </c>
      <c r="K915">
        <v>82</v>
      </c>
      <c r="L915" s="26">
        <f>IFERROR(VLOOKUP(B915,Absen!$A$1:$C$501,2,FALSE),"No")</f>
        <v>44777</v>
      </c>
      <c r="M915" s="44">
        <f t="shared" si="41"/>
        <v>7.2</v>
      </c>
      <c r="N915" s="35">
        <f t="shared" si="42"/>
        <v>67.7</v>
      </c>
      <c r="O915" t="str">
        <f>VLOOKUP(N915,Helper!$B$30:$C$35,2,TRUE)</f>
        <v>C</v>
      </c>
      <c r="P915" s="26">
        <f>INDEX(Detail!$A$1:$A$1001,MATCH(B915,Detail!$G$1:$G$1001,0))</f>
        <v>37741</v>
      </c>
      <c r="Q915" s="3" t="str">
        <f>INDEX(Detail!$F$1:$F$1001,MATCH(Main!B915,Detail!$G$1:$G$1001,0))</f>
        <v>Lhokseumawe</v>
      </c>
      <c r="R915" s="7">
        <f>INDEX(Detail!$C$1:$C$1001,MATCH(B915,Detail!$G$1:$G$1001,0),1)</f>
        <v>168</v>
      </c>
      <c r="S915" s="7">
        <f>INDEX(Detail!$D$1:$D$1001,MATCH(B915,Detail!$G$1:$G$1001,0),1)</f>
        <v>72</v>
      </c>
      <c r="T915" s="7" t="str">
        <f>INDEX(Detail!$E$1:$E$1001,MATCH(Main!B915,Detail!$G$1:$G$1001,0))</f>
        <v>Jalan Kiaracondong No. 15</v>
      </c>
      <c r="U915" s="7" t="str">
        <f>INDEX(Detail!$B$1:$B$1001,MATCH(B915,Detail!$G$1:$G$1001,0),1)</f>
        <v>A+</v>
      </c>
    </row>
    <row r="916" spans="1:21" ht="15.75" x14ac:dyDescent="0.25">
      <c r="A916">
        <v>422</v>
      </c>
      <c r="B916" s="3" t="str">
        <f t="shared" si="43"/>
        <v>F0422</v>
      </c>
      <c r="C916" t="s">
        <v>1011</v>
      </c>
      <c r="D916" s="3" t="str">
        <f>VLOOKUP(B916,Detail!$G$1:$H$1001,2,FALSE)</f>
        <v>Anom Pratama</v>
      </c>
      <c r="E916">
        <v>93</v>
      </c>
      <c r="F916">
        <v>75</v>
      </c>
      <c r="G916" s="35">
        <v>64</v>
      </c>
      <c r="H916">
        <v>74</v>
      </c>
      <c r="I916">
        <v>71</v>
      </c>
      <c r="J916">
        <v>77</v>
      </c>
      <c r="K916">
        <v>76</v>
      </c>
      <c r="L916" s="26">
        <f>IFERROR(VLOOKUP(B916,Absen!$A$1:$C$501,2,FALSE),"No")</f>
        <v>44893</v>
      </c>
      <c r="M916" s="44">
        <f t="shared" si="41"/>
        <v>6.6000000000000005</v>
      </c>
      <c r="N916" s="35">
        <f t="shared" si="42"/>
        <v>73.924999999999997</v>
      </c>
      <c r="O916" t="str">
        <f>VLOOKUP(N916,Helper!$B$30:$C$35,2,TRUE)</f>
        <v>B</v>
      </c>
      <c r="P916" s="26">
        <f>INDEX(Detail!$A$1:$A$1001,MATCH(B916,Detail!$G$1:$G$1001,0))</f>
        <v>38456</v>
      </c>
      <c r="Q916" s="3" t="str">
        <f>INDEX(Detail!$F$1:$F$1001,MATCH(Main!B916,Detail!$G$1:$G$1001,0))</f>
        <v>Bekasi</v>
      </c>
      <c r="R916" s="7">
        <f>INDEX(Detail!$C$1:$C$1001,MATCH(B916,Detail!$G$1:$G$1001,0),1)</f>
        <v>175</v>
      </c>
      <c r="S916" s="7">
        <f>INDEX(Detail!$D$1:$D$1001,MATCH(B916,Detail!$G$1:$G$1001,0),1)</f>
        <v>60</v>
      </c>
      <c r="T916" s="7" t="str">
        <f>INDEX(Detail!$E$1:$E$1001,MATCH(Main!B916,Detail!$G$1:$G$1001,0))</f>
        <v>Gg. Erlangga No. 67</v>
      </c>
      <c r="U916" s="7" t="str">
        <f>INDEX(Detail!$B$1:$B$1001,MATCH(B916,Detail!$G$1:$G$1001,0),1)</f>
        <v>O+</v>
      </c>
    </row>
    <row r="917" spans="1:21" ht="15.75" x14ac:dyDescent="0.25">
      <c r="A917">
        <v>428</v>
      </c>
      <c r="B917" s="3" t="str">
        <f t="shared" si="43"/>
        <v>F0428</v>
      </c>
      <c r="C917" t="s">
        <v>1011</v>
      </c>
      <c r="D917" s="3" t="str">
        <f>VLOOKUP(B917,Detail!$G$1:$H$1001,2,FALSE)</f>
        <v>Manah Siregar</v>
      </c>
      <c r="E917">
        <v>81</v>
      </c>
      <c r="F917">
        <v>63</v>
      </c>
      <c r="G917" s="35">
        <v>48</v>
      </c>
      <c r="H917">
        <v>65</v>
      </c>
      <c r="I917">
        <v>71</v>
      </c>
      <c r="J917">
        <v>86</v>
      </c>
      <c r="K917">
        <v>72</v>
      </c>
      <c r="L917" s="26">
        <f>IFERROR(VLOOKUP(B917,Absen!$A$1:$C$501,2,FALSE),"No")</f>
        <v>44788</v>
      </c>
      <c r="M917" s="44">
        <f t="shared" si="41"/>
        <v>6.2</v>
      </c>
      <c r="N917" s="35">
        <f t="shared" si="42"/>
        <v>68</v>
      </c>
      <c r="O917" t="str">
        <f>VLOOKUP(N917,Helper!$B$30:$C$35,2,TRUE)</f>
        <v>C</v>
      </c>
      <c r="P917" s="26">
        <f>INDEX(Detail!$A$1:$A$1001,MATCH(B917,Detail!$G$1:$G$1001,0))</f>
        <v>38149</v>
      </c>
      <c r="Q917" s="3" t="str">
        <f>INDEX(Detail!$F$1:$F$1001,MATCH(Main!B917,Detail!$G$1:$G$1001,0))</f>
        <v>Lhokseumawe</v>
      </c>
      <c r="R917" s="7">
        <f>INDEX(Detail!$C$1:$C$1001,MATCH(B917,Detail!$G$1:$G$1001,0),1)</f>
        <v>178</v>
      </c>
      <c r="S917" s="7">
        <f>INDEX(Detail!$D$1:$D$1001,MATCH(B917,Detail!$G$1:$G$1001,0),1)</f>
        <v>82</v>
      </c>
      <c r="T917" s="7" t="str">
        <f>INDEX(Detail!$E$1:$E$1001,MATCH(Main!B917,Detail!$G$1:$G$1001,0))</f>
        <v>Gg. Ahmad Dahlan No. 65</v>
      </c>
      <c r="U917" s="7" t="str">
        <f>INDEX(Detail!$B$1:$B$1001,MATCH(B917,Detail!$G$1:$G$1001,0),1)</f>
        <v>B+</v>
      </c>
    </row>
    <row r="918" spans="1:21" ht="15.75" x14ac:dyDescent="0.25">
      <c r="A918">
        <v>435</v>
      </c>
      <c r="B918" s="3" t="str">
        <f t="shared" si="43"/>
        <v>F0435</v>
      </c>
      <c r="C918" t="s">
        <v>1011</v>
      </c>
      <c r="D918" s="3" t="str">
        <f>VLOOKUP(B918,Detail!$G$1:$H$1001,2,FALSE)</f>
        <v>Praba Tarihoran</v>
      </c>
      <c r="E918">
        <v>80</v>
      </c>
      <c r="F918">
        <v>68</v>
      </c>
      <c r="G918" s="35">
        <v>54</v>
      </c>
      <c r="H918">
        <v>56</v>
      </c>
      <c r="I918">
        <v>81</v>
      </c>
      <c r="J918">
        <v>84</v>
      </c>
      <c r="K918">
        <v>71</v>
      </c>
      <c r="L918" s="26" t="str">
        <f>IFERROR(VLOOKUP(B918,Absen!$A$1:$C$501,2,FALSE),"No")</f>
        <v>No</v>
      </c>
      <c r="M918" s="44">
        <f t="shared" si="41"/>
        <v>7.1000000000000005</v>
      </c>
      <c r="N918" s="35">
        <f t="shared" si="42"/>
        <v>70.324999999999989</v>
      </c>
      <c r="O918" t="str">
        <f>VLOOKUP(N918,Helper!$B$30:$C$35,2,TRUE)</f>
        <v>B</v>
      </c>
      <c r="P918" s="26">
        <f>INDEX(Detail!$A$1:$A$1001,MATCH(B918,Detail!$G$1:$G$1001,0))</f>
        <v>37515</v>
      </c>
      <c r="Q918" s="3" t="str">
        <f>INDEX(Detail!$F$1:$F$1001,MATCH(Main!B918,Detail!$G$1:$G$1001,0))</f>
        <v>Denpasar</v>
      </c>
      <c r="R918" s="7">
        <f>INDEX(Detail!$C$1:$C$1001,MATCH(B918,Detail!$G$1:$G$1001,0),1)</f>
        <v>169</v>
      </c>
      <c r="S918" s="7">
        <f>INDEX(Detail!$D$1:$D$1001,MATCH(B918,Detail!$G$1:$G$1001,0),1)</f>
        <v>86</v>
      </c>
      <c r="T918" s="7" t="str">
        <f>INDEX(Detail!$E$1:$E$1001,MATCH(Main!B918,Detail!$G$1:$G$1001,0))</f>
        <v xml:space="preserve">Gg. Ir. H. Djuanda No. 4
</v>
      </c>
      <c r="U918" s="7" t="str">
        <f>INDEX(Detail!$B$1:$B$1001,MATCH(B918,Detail!$G$1:$G$1001,0),1)</f>
        <v>B-</v>
      </c>
    </row>
    <row r="919" spans="1:21" ht="15.75" x14ac:dyDescent="0.25">
      <c r="A919">
        <v>441</v>
      </c>
      <c r="B919" s="3" t="str">
        <f t="shared" si="43"/>
        <v>F0441</v>
      </c>
      <c r="C919" t="s">
        <v>1011</v>
      </c>
      <c r="D919" s="3" t="str">
        <f>VLOOKUP(B919,Detail!$G$1:$H$1001,2,FALSE)</f>
        <v>Safina Tamba</v>
      </c>
      <c r="E919">
        <v>54</v>
      </c>
      <c r="F919">
        <v>48</v>
      </c>
      <c r="G919" s="35">
        <v>35</v>
      </c>
      <c r="H919">
        <v>52</v>
      </c>
      <c r="I919">
        <v>70</v>
      </c>
      <c r="J919">
        <v>63</v>
      </c>
      <c r="K919">
        <v>97</v>
      </c>
      <c r="L919" s="26">
        <f>IFERROR(VLOOKUP(B919,Absen!$A$1:$C$501,2,FALSE),"No")</f>
        <v>44752</v>
      </c>
      <c r="M919" s="44">
        <f t="shared" si="41"/>
        <v>8.7000000000000011</v>
      </c>
      <c r="N919" s="35">
        <f t="shared" si="42"/>
        <v>56.300000000000004</v>
      </c>
      <c r="O919" t="str">
        <f>VLOOKUP(N919,Helper!$B$30:$C$35,2,TRUE)</f>
        <v>D</v>
      </c>
      <c r="P919" s="26">
        <f>INDEX(Detail!$A$1:$A$1001,MATCH(B919,Detail!$G$1:$G$1001,0))</f>
        <v>38328</v>
      </c>
      <c r="Q919" s="3" t="str">
        <f>INDEX(Detail!$F$1:$F$1001,MATCH(Main!B919,Detail!$G$1:$G$1001,0))</f>
        <v>Pekanbaru</v>
      </c>
      <c r="R919" s="7">
        <f>INDEX(Detail!$C$1:$C$1001,MATCH(B919,Detail!$G$1:$G$1001,0),1)</f>
        <v>178</v>
      </c>
      <c r="S919" s="7">
        <f>INDEX(Detail!$D$1:$D$1001,MATCH(B919,Detail!$G$1:$G$1001,0),1)</f>
        <v>87</v>
      </c>
      <c r="T919" s="7" t="str">
        <f>INDEX(Detail!$E$1:$E$1001,MATCH(Main!B919,Detail!$G$1:$G$1001,0))</f>
        <v xml:space="preserve">Gg. Sentot Alibasa No. 1
</v>
      </c>
      <c r="U919" s="7" t="str">
        <f>INDEX(Detail!$B$1:$B$1001,MATCH(B919,Detail!$G$1:$G$1001,0),1)</f>
        <v>A+</v>
      </c>
    </row>
    <row r="920" spans="1:21" ht="15.75" x14ac:dyDescent="0.25">
      <c r="A920">
        <v>443</v>
      </c>
      <c r="B920" s="3" t="str">
        <f t="shared" si="43"/>
        <v>F0443</v>
      </c>
      <c r="C920" t="s">
        <v>1011</v>
      </c>
      <c r="D920" s="3" t="str">
        <f>VLOOKUP(B920,Detail!$G$1:$H$1001,2,FALSE)</f>
        <v>Umar Prastuti</v>
      </c>
      <c r="E920">
        <v>72</v>
      </c>
      <c r="F920">
        <v>46</v>
      </c>
      <c r="G920" s="35">
        <v>90</v>
      </c>
      <c r="H920">
        <v>60</v>
      </c>
      <c r="I920">
        <v>90</v>
      </c>
      <c r="J920">
        <v>54</v>
      </c>
      <c r="K920">
        <v>96</v>
      </c>
      <c r="L920" s="26" t="str">
        <f>IFERROR(VLOOKUP(B920,Absen!$A$1:$C$501,2,FALSE),"No")</f>
        <v>No</v>
      </c>
      <c r="M920" s="44">
        <f t="shared" si="41"/>
        <v>9.6000000000000014</v>
      </c>
      <c r="N920" s="35">
        <f t="shared" si="42"/>
        <v>71.900000000000006</v>
      </c>
      <c r="O920" t="str">
        <f>VLOOKUP(N920,Helper!$B$30:$C$35,2,TRUE)</f>
        <v>B</v>
      </c>
      <c r="P920" s="26">
        <f>INDEX(Detail!$A$1:$A$1001,MATCH(B920,Detail!$G$1:$G$1001,0))</f>
        <v>38267</v>
      </c>
      <c r="Q920" s="3" t="str">
        <f>INDEX(Detail!$F$1:$F$1001,MATCH(Main!B920,Detail!$G$1:$G$1001,0))</f>
        <v>Cirebon</v>
      </c>
      <c r="R920" s="7">
        <f>INDEX(Detail!$C$1:$C$1001,MATCH(B920,Detail!$G$1:$G$1001,0),1)</f>
        <v>167</v>
      </c>
      <c r="S920" s="7">
        <f>INDEX(Detail!$D$1:$D$1001,MATCH(B920,Detail!$G$1:$G$1001,0),1)</f>
        <v>49</v>
      </c>
      <c r="T920" s="7" t="str">
        <f>INDEX(Detail!$E$1:$E$1001,MATCH(Main!B920,Detail!$G$1:$G$1001,0))</f>
        <v>Gg. Cikutra Barat No. 80</v>
      </c>
      <c r="U920" s="7" t="str">
        <f>INDEX(Detail!$B$1:$B$1001,MATCH(B920,Detail!$G$1:$G$1001,0),1)</f>
        <v>A+</v>
      </c>
    </row>
    <row r="921" spans="1:21" ht="15.75" x14ac:dyDescent="0.25">
      <c r="A921">
        <v>444</v>
      </c>
      <c r="B921" s="3" t="str">
        <f t="shared" si="43"/>
        <v>F0444</v>
      </c>
      <c r="C921" t="s">
        <v>1011</v>
      </c>
      <c r="D921" s="3" t="str">
        <f>VLOOKUP(B921,Detail!$G$1:$H$1001,2,FALSE)</f>
        <v>Julia Salahudin</v>
      </c>
      <c r="E921">
        <v>76</v>
      </c>
      <c r="F921">
        <v>73</v>
      </c>
      <c r="G921" s="35">
        <v>33</v>
      </c>
      <c r="H921">
        <v>53</v>
      </c>
      <c r="I921">
        <v>50</v>
      </c>
      <c r="J921">
        <v>45</v>
      </c>
      <c r="K921">
        <v>98</v>
      </c>
      <c r="L921" s="26">
        <f>IFERROR(VLOOKUP(B921,Absen!$A$1:$C$501,2,FALSE),"No")</f>
        <v>44765</v>
      </c>
      <c r="M921" s="44">
        <f t="shared" si="41"/>
        <v>8.8000000000000007</v>
      </c>
      <c r="N921" s="35">
        <f t="shared" si="42"/>
        <v>55.900000000000006</v>
      </c>
      <c r="O921" t="str">
        <f>VLOOKUP(N921,Helper!$B$30:$C$35,2,TRUE)</f>
        <v>D</v>
      </c>
      <c r="P921" s="26">
        <f>INDEX(Detail!$A$1:$A$1001,MATCH(B921,Detail!$G$1:$G$1001,0))</f>
        <v>38410</v>
      </c>
      <c r="Q921" s="3" t="str">
        <f>INDEX(Detail!$F$1:$F$1001,MATCH(Main!B921,Detail!$G$1:$G$1001,0))</f>
        <v>Metro</v>
      </c>
      <c r="R921" s="7">
        <f>INDEX(Detail!$C$1:$C$1001,MATCH(B921,Detail!$G$1:$G$1001,0),1)</f>
        <v>179</v>
      </c>
      <c r="S921" s="7">
        <f>INDEX(Detail!$D$1:$D$1001,MATCH(B921,Detail!$G$1:$G$1001,0),1)</f>
        <v>72</v>
      </c>
      <c r="T921" s="7" t="str">
        <f>INDEX(Detail!$E$1:$E$1001,MATCH(Main!B921,Detail!$G$1:$G$1001,0))</f>
        <v>Jalan Cikapayang No. 30</v>
      </c>
      <c r="U921" s="7" t="str">
        <f>INDEX(Detail!$B$1:$B$1001,MATCH(B921,Detail!$G$1:$G$1001,0),1)</f>
        <v>A+</v>
      </c>
    </row>
    <row r="922" spans="1:21" ht="15.75" x14ac:dyDescent="0.25">
      <c r="A922">
        <v>446</v>
      </c>
      <c r="B922" s="3" t="str">
        <f t="shared" si="43"/>
        <v>F0446</v>
      </c>
      <c r="C922" t="s">
        <v>1011</v>
      </c>
      <c r="D922" s="3" t="str">
        <f>VLOOKUP(B922,Detail!$G$1:$H$1001,2,FALSE)</f>
        <v>Edi Narpati</v>
      </c>
      <c r="E922">
        <v>57</v>
      </c>
      <c r="F922">
        <v>72</v>
      </c>
      <c r="G922" s="35">
        <v>85</v>
      </c>
      <c r="H922">
        <v>67</v>
      </c>
      <c r="I922">
        <v>87</v>
      </c>
      <c r="J922">
        <v>60</v>
      </c>
      <c r="K922">
        <v>62</v>
      </c>
      <c r="L922" s="26" t="str">
        <f>IFERROR(VLOOKUP(B922,Absen!$A$1:$C$501,2,FALSE),"No")</f>
        <v>No</v>
      </c>
      <c r="M922" s="44">
        <f t="shared" si="41"/>
        <v>6.2</v>
      </c>
      <c r="N922" s="35">
        <f t="shared" si="42"/>
        <v>70.575000000000003</v>
      </c>
      <c r="O922" t="str">
        <f>VLOOKUP(N922,Helper!$B$30:$C$35,2,TRUE)</f>
        <v>B</v>
      </c>
      <c r="P922" s="26">
        <f>INDEX(Detail!$A$1:$A$1001,MATCH(B922,Detail!$G$1:$G$1001,0))</f>
        <v>38455</v>
      </c>
      <c r="Q922" s="3" t="str">
        <f>INDEX(Detail!$F$1:$F$1001,MATCH(Main!B922,Detail!$G$1:$G$1001,0))</f>
        <v>Bukittinggi</v>
      </c>
      <c r="R922" s="7">
        <f>INDEX(Detail!$C$1:$C$1001,MATCH(B922,Detail!$G$1:$G$1001,0),1)</f>
        <v>153</v>
      </c>
      <c r="S922" s="7">
        <f>INDEX(Detail!$D$1:$D$1001,MATCH(B922,Detail!$G$1:$G$1001,0),1)</f>
        <v>51</v>
      </c>
      <c r="T922" s="7" t="str">
        <f>INDEX(Detail!$E$1:$E$1001,MATCH(Main!B922,Detail!$G$1:$G$1001,0))</f>
        <v>Jl. Medokan Ayu No. 74</v>
      </c>
      <c r="U922" s="7" t="str">
        <f>INDEX(Detail!$B$1:$B$1001,MATCH(B922,Detail!$G$1:$G$1001,0),1)</f>
        <v>B+</v>
      </c>
    </row>
    <row r="923" spans="1:21" ht="15.75" x14ac:dyDescent="0.25">
      <c r="A923">
        <v>463</v>
      </c>
      <c r="B923" s="3" t="str">
        <f t="shared" si="43"/>
        <v>F0463</v>
      </c>
      <c r="C923" t="s">
        <v>1011</v>
      </c>
      <c r="D923" s="3" t="str">
        <f>VLOOKUP(B923,Detail!$G$1:$H$1001,2,FALSE)</f>
        <v>Purwadi Natsir</v>
      </c>
      <c r="E923">
        <v>59</v>
      </c>
      <c r="F923">
        <v>57</v>
      </c>
      <c r="G923" s="35">
        <v>34</v>
      </c>
      <c r="H923">
        <v>52</v>
      </c>
      <c r="I923">
        <v>66</v>
      </c>
      <c r="J923">
        <v>57</v>
      </c>
      <c r="K923">
        <v>74</v>
      </c>
      <c r="L923" s="26">
        <f>IFERROR(VLOOKUP(B923,Absen!$A$1:$C$501,2,FALSE),"No")</f>
        <v>44912</v>
      </c>
      <c r="M923" s="44">
        <f t="shared" si="41"/>
        <v>6.4</v>
      </c>
      <c r="N923" s="35">
        <f t="shared" si="42"/>
        <v>53.849999999999994</v>
      </c>
      <c r="O923" t="str">
        <f>VLOOKUP(N923,Helper!$B$30:$C$35,2,TRUE)</f>
        <v>D</v>
      </c>
      <c r="P923" s="26">
        <f>INDEX(Detail!$A$1:$A$1001,MATCH(B923,Detail!$G$1:$G$1001,0))</f>
        <v>37084</v>
      </c>
      <c r="Q923" s="3" t="str">
        <f>INDEX(Detail!$F$1:$F$1001,MATCH(Main!B923,Detail!$G$1:$G$1001,0))</f>
        <v>Palembang</v>
      </c>
      <c r="R923" s="7">
        <f>INDEX(Detail!$C$1:$C$1001,MATCH(B923,Detail!$G$1:$G$1001,0),1)</f>
        <v>150</v>
      </c>
      <c r="S923" s="7">
        <f>INDEX(Detail!$D$1:$D$1001,MATCH(B923,Detail!$G$1:$G$1001,0),1)</f>
        <v>48</v>
      </c>
      <c r="T923" s="7" t="str">
        <f>INDEX(Detail!$E$1:$E$1001,MATCH(Main!B923,Detail!$G$1:$G$1001,0))</f>
        <v>Gg. Bangka Raya No. 27</v>
      </c>
      <c r="U923" s="7" t="str">
        <f>INDEX(Detail!$B$1:$B$1001,MATCH(B923,Detail!$G$1:$G$1001,0),1)</f>
        <v>O-</v>
      </c>
    </row>
    <row r="924" spans="1:21" ht="15.75" x14ac:dyDescent="0.25">
      <c r="A924">
        <v>465</v>
      </c>
      <c r="B924" s="3" t="str">
        <f t="shared" si="43"/>
        <v>F0465</v>
      </c>
      <c r="C924" t="s">
        <v>1011</v>
      </c>
      <c r="D924" s="3" t="str">
        <f>VLOOKUP(B924,Detail!$G$1:$H$1001,2,FALSE)</f>
        <v>Nrima Pudjiastuti</v>
      </c>
      <c r="E924">
        <v>82</v>
      </c>
      <c r="F924">
        <v>73</v>
      </c>
      <c r="G924" s="35">
        <v>78</v>
      </c>
      <c r="H924">
        <v>56</v>
      </c>
      <c r="I924">
        <v>81</v>
      </c>
      <c r="J924">
        <v>95</v>
      </c>
      <c r="K924">
        <v>94</v>
      </c>
      <c r="L924" s="26" t="str">
        <f>IFERROR(VLOOKUP(B924,Absen!$A$1:$C$501,2,FALSE),"No")</f>
        <v>No</v>
      </c>
      <c r="M924" s="44">
        <f t="shared" si="41"/>
        <v>9.4</v>
      </c>
      <c r="N924" s="35">
        <f t="shared" si="42"/>
        <v>80.5</v>
      </c>
      <c r="O924" t="str">
        <f>VLOOKUP(N924,Helper!$B$30:$C$35,2,TRUE)</f>
        <v>A</v>
      </c>
      <c r="P924" s="26">
        <f>INDEX(Detail!$A$1:$A$1001,MATCH(B924,Detail!$G$1:$G$1001,0))</f>
        <v>38075</v>
      </c>
      <c r="Q924" s="3" t="str">
        <f>INDEX(Detail!$F$1:$F$1001,MATCH(Main!B924,Detail!$G$1:$G$1001,0))</f>
        <v>Mataram</v>
      </c>
      <c r="R924" s="7">
        <f>INDEX(Detail!$C$1:$C$1001,MATCH(B924,Detail!$G$1:$G$1001,0),1)</f>
        <v>161</v>
      </c>
      <c r="S924" s="7">
        <f>INDEX(Detail!$D$1:$D$1001,MATCH(B924,Detail!$G$1:$G$1001,0),1)</f>
        <v>60</v>
      </c>
      <c r="T924" s="7" t="str">
        <f>INDEX(Detail!$E$1:$E$1001,MATCH(Main!B924,Detail!$G$1:$G$1001,0))</f>
        <v xml:space="preserve">Gang Moch. Ramdan No. 6
</v>
      </c>
      <c r="U924" s="7" t="str">
        <f>INDEX(Detail!$B$1:$B$1001,MATCH(B924,Detail!$G$1:$G$1001,0),1)</f>
        <v>AB+</v>
      </c>
    </row>
    <row r="925" spans="1:21" ht="15.75" x14ac:dyDescent="0.25">
      <c r="A925">
        <v>471</v>
      </c>
      <c r="B925" s="3" t="str">
        <f t="shared" si="43"/>
        <v>F0471</v>
      </c>
      <c r="C925" t="s">
        <v>1011</v>
      </c>
      <c r="D925" s="3" t="str">
        <f>VLOOKUP(B925,Detail!$G$1:$H$1001,2,FALSE)</f>
        <v>Darimin Suryatmi</v>
      </c>
      <c r="E925">
        <v>50</v>
      </c>
      <c r="F925">
        <v>43</v>
      </c>
      <c r="G925" s="35">
        <v>85</v>
      </c>
      <c r="H925">
        <v>54</v>
      </c>
      <c r="I925">
        <v>64</v>
      </c>
      <c r="J925">
        <v>68</v>
      </c>
      <c r="K925">
        <v>88</v>
      </c>
      <c r="L925" s="26">
        <f>IFERROR(VLOOKUP(B925,Absen!$A$1:$C$501,2,FALSE),"No")</f>
        <v>44871</v>
      </c>
      <c r="M925" s="44">
        <f t="shared" si="41"/>
        <v>7.8000000000000007</v>
      </c>
      <c r="N925" s="35">
        <f t="shared" si="42"/>
        <v>64.775000000000006</v>
      </c>
      <c r="O925" t="str">
        <f>VLOOKUP(N925,Helper!$B$30:$C$35,2,TRUE)</f>
        <v>C</v>
      </c>
      <c r="P925" s="26">
        <f>INDEX(Detail!$A$1:$A$1001,MATCH(B925,Detail!$G$1:$G$1001,0))</f>
        <v>37920</v>
      </c>
      <c r="Q925" s="3" t="str">
        <f>INDEX(Detail!$F$1:$F$1001,MATCH(Main!B925,Detail!$G$1:$G$1001,0))</f>
        <v>Prabumulih</v>
      </c>
      <c r="R925" s="7">
        <f>INDEX(Detail!$C$1:$C$1001,MATCH(B925,Detail!$G$1:$G$1001,0),1)</f>
        <v>164</v>
      </c>
      <c r="S925" s="7">
        <f>INDEX(Detail!$D$1:$D$1001,MATCH(B925,Detail!$G$1:$G$1001,0),1)</f>
        <v>80</v>
      </c>
      <c r="T925" s="7" t="str">
        <f>INDEX(Detail!$E$1:$E$1001,MATCH(Main!B925,Detail!$G$1:$G$1001,0))</f>
        <v xml:space="preserve">Gg. Joyoboyo No. 1
</v>
      </c>
      <c r="U925" s="7" t="str">
        <f>INDEX(Detail!$B$1:$B$1001,MATCH(B925,Detail!$G$1:$G$1001,0),1)</f>
        <v>O+</v>
      </c>
    </row>
    <row r="926" spans="1:21" ht="15.75" x14ac:dyDescent="0.25">
      <c r="A926">
        <v>473</v>
      </c>
      <c r="B926" s="3" t="str">
        <f t="shared" si="43"/>
        <v>F0473</v>
      </c>
      <c r="C926" t="s">
        <v>1011</v>
      </c>
      <c r="D926" s="3" t="str">
        <f>VLOOKUP(B926,Detail!$G$1:$H$1001,2,FALSE)</f>
        <v>Dalima Widodo</v>
      </c>
      <c r="E926">
        <v>59</v>
      </c>
      <c r="F926">
        <v>45</v>
      </c>
      <c r="G926" s="35">
        <v>37</v>
      </c>
      <c r="H926">
        <v>70</v>
      </c>
      <c r="I926">
        <v>93</v>
      </c>
      <c r="J926">
        <v>94</v>
      </c>
      <c r="K926">
        <v>90</v>
      </c>
      <c r="L926" s="26" t="str">
        <f>IFERROR(VLOOKUP(B926,Absen!$A$1:$C$501,2,FALSE),"No")</f>
        <v>No</v>
      </c>
      <c r="M926" s="44">
        <f t="shared" si="41"/>
        <v>9</v>
      </c>
      <c r="N926" s="35">
        <f t="shared" si="42"/>
        <v>68.575000000000003</v>
      </c>
      <c r="O926" t="str">
        <f>VLOOKUP(N926,Helper!$B$30:$C$35,2,TRUE)</f>
        <v>C</v>
      </c>
      <c r="P926" s="26">
        <f>INDEX(Detail!$A$1:$A$1001,MATCH(B926,Detail!$G$1:$G$1001,0))</f>
        <v>37538</v>
      </c>
      <c r="Q926" s="3" t="str">
        <f>INDEX(Detail!$F$1:$F$1001,MATCH(Main!B926,Detail!$G$1:$G$1001,0))</f>
        <v>Probolinggo</v>
      </c>
      <c r="R926" s="7">
        <f>INDEX(Detail!$C$1:$C$1001,MATCH(B926,Detail!$G$1:$G$1001,0),1)</f>
        <v>155</v>
      </c>
      <c r="S926" s="7">
        <f>INDEX(Detail!$D$1:$D$1001,MATCH(B926,Detail!$G$1:$G$1001,0),1)</f>
        <v>68</v>
      </c>
      <c r="T926" s="7" t="str">
        <f>INDEX(Detail!$E$1:$E$1001,MATCH(Main!B926,Detail!$G$1:$G$1001,0))</f>
        <v xml:space="preserve">Jl. Jend. Sudirman No. 9
</v>
      </c>
      <c r="U926" s="7" t="str">
        <f>INDEX(Detail!$B$1:$B$1001,MATCH(B926,Detail!$G$1:$G$1001,0),1)</f>
        <v>O-</v>
      </c>
    </row>
    <row r="927" spans="1:21" ht="15.75" x14ac:dyDescent="0.25">
      <c r="A927">
        <v>484</v>
      </c>
      <c r="B927" s="3" t="str">
        <f t="shared" si="43"/>
        <v>F0484</v>
      </c>
      <c r="C927" t="s">
        <v>1011</v>
      </c>
      <c r="D927" s="3" t="str">
        <f>VLOOKUP(B927,Detail!$G$1:$H$1001,2,FALSE)</f>
        <v>Dian Hidayanto</v>
      </c>
      <c r="E927">
        <v>61</v>
      </c>
      <c r="F927">
        <v>69</v>
      </c>
      <c r="G927" s="35">
        <v>70</v>
      </c>
      <c r="H927">
        <v>69</v>
      </c>
      <c r="I927">
        <v>80</v>
      </c>
      <c r="J927">
        <v>47</v>
      </c>
      <c r="K927">
        <v>71</v>
      </c>
      <c r="L927" s="26" t="str">
        <f>IFERROR(VLOOKUP(B927,Absen!$A$1:$C$501,2,FALSE),"No")</f>
        <v>No</v>
      </c>
      <c r="M927" s="44">
        <f t="shared" si="41"/>
        <v>7.1000000000000005</v>
      </c>
      <c r="N927" s="35">
        <f t="shared" si="42"/>
        <v>65.375</v>
      </c>
      <c r="O927" t="str">
        <f>VLOOKUP(N927,Helper!$B$30:$C$35,2,TRUE)</f>
        <v>C</v>
      </c>
      <c r="P927" s="26">
        <f>INDEX(Detail!$A$1:$A$1001,MATCH(B927,Detail!$G$1:$G$1001,0))</f>
        <v>38007</v>
      </c>
      <c r="Q927" s="3" t="str">
        <f>INDEX(Detail!$F$1:$F$1001,MATCH(Main!B927,Detail!$G$1:$G$1001,0))</f>
        <v>Bekasi</v>
      </c>
      <c r="R927" s="7">
        <f>INDEX(Detail!$C$1:$C$1001,MATCH(B927,Detail!$G$1:$G$1001,0),1)</f>
        <v>174</v>
      </c>
      <c r="S927" s="7">
        <f>INDEX(Detail!$D$1:$D$1001,MATCH(B927,Detail!$G$1:$G$1001,0),1)</f>
        <v>95</v>
      </c>
      <c r="T927" s="7" t="str">
        <f>INDEX(Detail!$E$1:$E$1001,MATCH(Main!B927,Detail!$G$1:$G$1001,0))</f>
        <v>Jalan Soekarno Hatta No. 91</v>
      </c>
      <c r="U927" s="7" t="str">
        <f>INDEX(Detail!$B$1:$B$1001,MATCH(B927,Detail!$G$1:$G$1001,0),1)</f>
        <v>A+</v>
      </c>
    </row>
    <row r="928" spans="1:21" ht="15.75" x14ac:dyDescent="0.25">
      <c r="A928">
        <v>496</v>
      </c>
      <c r="B928" s="3" t="str">
        <f t="shared" si="43"/>
        <v>F0496</v>
      </c>
      <c r="C928" t="s">
        <v>1011</v>
      </c>
      <c r="D928" s="3" t="str">
        <f>VLOOKUP(B928,Detail!$G$1:$H$1001,2,FALSE)</f>
        <v>Kasusra Nurdiyanti</v>
      </c>
      <c r="E928">
        <v>78</v>
      </c>
      <c r="F928">
        <v>62</v>
      </c>
      <c r="G928" s="35">
        <v>84</v>
      </c>
      <c r="H928">
        <v>68</v>
      </c>
      <c r="I928">
        <v>90</v>
      </c>
      <c r="J928">
        <v>46</v>
      </c>
      <c r="K928">
        <v>66</v>
      </c>
      <c r="L928" s="26" t="str">
        <f>IFERROR(VLOOKUP(B928,Absen!$A$1:$C$501,2,FALSE),"No")</f>
        <v>No</v>
      </c>
      <c r="M928" s="44">
        <f t="shared" si="41"/>
        <v>6.6000000000000005</v>
      </c>
      <c r="N928" s="35">
        <f t="shared" si="42"/>
        <v>69.849999999999994</v>
      </c>
      <c r="O928" t="str">
        <f>VLOOKUP(N928,Helper!$B$30:$C$35,2,TRUE)</f>
        <v>C</v>
      </c>
      <c r="P928" s="26">
        <f>INDEX(Detail!$A$1:$A$1001,MATCH(B928,Detail!$G$1:$G$1001,0))</f>
        <v>37043</v>
      </c>
      <c r="Q928" s="3" t="str">
        <f>INDEX(Detail!$F$1:$F$1001,MATCH(Main!B928,Detail!$G$1:$G$1001,0))</f>
        <v>Tanjungbalai</v>
      </c>
      <c r="R928" s="7">
        <f>INDEX(Detail!$C$1:$C$1001,MATCH(B928,Detail!$G$1:$G$1001,0),1)</f>
        <v>153</v>
      </c>
      <c r="S928" s="7">
        <f>INDEX(Detail!$D$1:$D$1001,MATCH(B928,Detail!$G$1:$G$1001,0),1)</f>
        <v>81</v>
      </c>
      <c r="T928" s="7" t="str">
        <f>INDEX(Detail!$E$1:$E$1001,MATCH(Main!B928,Detail!$G$1:$G$1001,0))</f>
        <v>Jalan Asia Afrika No. 94</v>
      </c>
      <c r="U928" s="7" t="str">
        <f>INDEX(Detail!$B$1:$B$1001,MATCH(B928,Detail!$G$1:$G$1001,0),1)</f>
        <v>A+</v>
      </c>
    </row>
    <row r="929" spans="1:21" ht="15.75" x14ac:dyDescent="0.25">
      <c r="A929">
        <v>498</v>
      </c>
      <c r="B929" s="3" t="str">
        <f t="shared" si="43"/>
        <v>F0498</v>
      </c>
      <c r="C929" t="s">
        <v>1011</v>
      </c>
      <c r="D929" s="3" t="str">
        <f>VLOOKUP(B929,Detail!$G$1:$H$1001,2,FALSE)</f>
        <v>Setya Permadi</v>
      </c>
      <c r="E929">
        <v>67</v>
      </c>
      <c r="F929">
        <v>40</v>
      </c>
      <c r="G929" s="35">
        <v>89</v>
      </c>
      <c r="H929">
        <v>67</v>
      </c>
      <c r="I929">
        <v>86</v>
      </c>
      <c r="J929">
        <v>83</v>
      </c>
      <c r="K929">
        <v>71</v>
      </c>
      <c r="L929" s="26" t="str">
        <f>IFERROR(VLOOKUP(B929,Absen!$A$1:$C$501,2,FALSE),"No")</f>
        <v>No</v>
      </c>
      <c r="M929" s="44">
        <f t="shared" si="41"/>
        <v>7.1000000000000005</v>
      </c>
      <c r="N929" s="35">
        <f t="shared" si="42"/>
        <v>74</v>
      </c>
      <c r="O929" t="str">
        <f>VLOOKUP(N929,Helper!$B$30:$C$35,2,TRUE)</f>
        <v>B</v>
      </c>
      <c r="P929" s="26">
        <f>INDEX(Detail!$A$1:$A$1001,MATCH(B929,Detail!$G$1:$G$1001,0))</f>
        <v>37321</v>
      </c>
      <c r="Q929" s="3" t="str">
        <f>INDEX(Detail!$F$1:$F$1001,MATCH(Main!B929,Detail!$G$1:$G$1001,0))</f>
        <v>Palembang</v>
      </c>
      <c r="R929" s="7">
        <f>INDEX(Detail!$C$1:$C$1001,MATCH(B929,Detail!$G$1:$G$1001,0),1)</f>
        <v>177</v>
      </c>
      <c r="S929" s="7">
        <f>INDEX(Detail!$D$1:$D$1001,MATCH(B929,Detail!$G$1:$G$1001,0),1)</f>
        <v>66</v>
      </c>
      <c r="T929" s="7" t="str">
        <f>INDEX(Detail!$E$1:$E$1001,MATCH(Main!B929,Detail!$G$1:$G$1001,0))</f>
        <v xml:space="preserve">Jl. Gedebage Selatan No. 9
</v>
      </c>
      <c r="U929" s="7" t="str">
        <f>INDEX(Detail!$B$1:$B$1001,MATCH(B929,Detail!$G$1:$G$1001,0),1)</f>
        <v>B+</v>
      </c>
    </row>
    <row r="930" spans="1:21" ht="15.75" x14ac:dyDescent="0.25">
      <c r="A930">
        <v>505</v>
      </c>
      <c r="B930" s="3" t="str">
        <f t="shared" si="43"/>
        <v>F0505</v>
      </c>
      <c r="C930" t="s">
        <v>1011</v>
      </c>
      <c r="D930" s="3" t="str">
        <f>VLOOKUP(B930,Detail!$G$1:$H$1001,2,FALSE)</f>
        <v>Bakiman Rahimah</v>
      </c>
      <c r="E930">
        <v>84</v>
      </c>
      <c r="F930">
        <v>52</v>
      </c>
      <c r="G930" s="35">
        <v>50</v>
      </c>
      <c r="H930">
        <v>63</v>
      </c>
      <c r="I930">
        <v>63</v>
      </c>
      <c r="J930">
        <v>46</v>
      </c>
      <c r="K930">
        <v>75</v>
      </c>
      <c r="L930" s="26">
        <f>IFERROR(VLOOKUP(B930,Absen!$A$1:$C$501,2,FALSE),"No")</f>
        <v>44907</v>
      </c>
      <c r="M930" s="44">
        <f t="shared" si="41"/>
        <v>6.5</v>
      </c>
      <c r="N930" s="35">
        <f t="shared" si="42"/>
        <v>58.45</v>
      </c>
      <c r="O930" t="str">
        <f>VLOOKUP(N930,Helper!$B$30:$C$35,2,TRUE)</f>
        <v>D</v>
      </c>
      <c r="P930" s="26">
        <f>INDEX(Detail!$A$1:$A$1001,MATCH(B930,Detail!$G$1:$G$1001,0))</f>
        <v>38072</v>
      </c>
      <c r="Q930" s="3" t="str">
        <f>INDEX(Detail!$F$1:$F$1001,MATCH(Main!B930,Detail!$G$1:$G$1001,0))</f>
        <v>Samarinda</v>
      </c>
      <c r="R930" s="7">
        <f>INDEX(Detail!$C$1:$C$1001,MATCH(B930,Detail!$G$1:$G$1001,0),1)</f>
        <v>179</v>
      </c>
      <c r="S930" s="7">
        <f>INDEX(Detail!$D$1:$D$1001,MATCH(B930,Detail!$G$1:$G$1001,0),1)</f>
        <v>95</v>
      </c>
      <c r="T930" s="7" t="str">
        <f>INDEX(Detail!$E$1:$E$1001,MATCH(Main!B930,Detail!$G$1:$G$1001,0))</f>
        <v>Jalan Stasiun Wonokromo No. 03</v>
      </c>
      <c r="U930" s="7" t="str">
        <f>INDEX(Detail!$B$1:$B$1001,MATCH(B930,Detail!$G$1:$G$1001,0),1)</f>
        <v>B-</v>
      </c>
    </row>
    <row r="931" spans="1:21" ht="15.75" x14ac:dyDescent="0.25">
      <c r="A931">
        <v>506</v>
      </c>
      <c r="B931" s="3" t="str">
        <f t="shared" si="43"/>
        <v>F0506</v>
      </c>
      <c r="C931" t="s">
        <v>1011</v>
      </c>
      <c r="D931" s="3" t="str">
        <f>VLOOKUP(B931,Detail!$G$1:$H$1001,2,FALSE)</f>
        <v>Mustika Budiman</v>
      </c>
      <c r="E931">
        <v>70</v>
      </c>
      <c r="F931">
        <v>59</v>
      </c>
      <c r="G931" s="35">
        <v>41</v>
      </c>
      <c r="H931">
        <v>70</v>
      </c>
      <c r="I931">
        <v>92</v>
      </c>
      <c r="J931">
        <v>59</v>
      </c>
      <c r="K931">
        <v>68</v>
      </c>
      <c r="L931" s="26" t="str">
        <f>IFERROR(VLOOKUP(B931,Absen!$A$1:$C$501,2,FALSE),"No")</f>
        <v>No</v>
      </c>
      <c r="M931" s="44">
        <f t="shared" si="41"/>
        <v>6.8000000000000007</v>
      </c>
      <c r="N931" s="35">
        <f t="shared" si="42"/>
        <v>63.174999999999997</v>
      </c>
      <c r="O931" t="str">
        <f>VLOOKUP(N931,Helper!$B$30:$C$35,2,TRUE)</f>
        <v>C</v>
      </c>
      <c r="P931" s="26">
        <f>INDEX(Detail!$A$1:$A$1001,MATCH(B931,Detail!$G$1:$G$1001,0))</f>
        <v>37539</v>
      </c>
      <c r="Q931" s="3" t="str">
        <f>INDEX(Detail!$F$1:$F$1001,MATCH(Main!B931,Detail!$G$1:$G$1001,0))</f>
        <v>Ternate</v>
      </c>
      <c r="R931" s="7">
        <f>INDEX(Detail!$C$1:$C$1001,MATCH(B931,Detail!$G$1:$G$1001,0),1)</f>
        <v>155</v>
      </c>
      <c r="S931" s="7">
        <f>INDEX(Detail!$D$1:$D$1001,MATCH(B931,Detail!$G$1:$G$1001,0),1)</f>
        <v>79</v>
      </c>
      <c r="T931" s="7" t="str">
        <f>INDEX(Detail!$E$1:$E$1001,MATCH(Main!B931,Detail!$G$1:$G$1001,0))</f>
        <v>Jalan Rumah Sakit No. 92</v>
      </c>
      <c r="U931" s="7" t="str">
        <f>INDEX(Detail!$B$1:$B$1001,MATCH(B931,Detail!$G$1:$G$1001,0),1)</f>
        <v>AB+</v>
      </c>
    </row>
    <row r="932" spans="1:21" ht="15.75" x14ac:dyDescent="0.25">
      <c r="A932">
        <v>524</v>
      </c>
      <c r="B932" s="3" t="str">
        <f t="shared" si="43"/>
        <v>F0524</v>
      </c>
      <c r="C932" t="s">
        <v>1011</v>
      </c>
      <c r="D932" s="3" t="str">
        <f>VLOOKUP(B932,Detail!$G$1:$H$1001,2,FALSE)</f>
        <v>Hilda Permadi</v>
      </c>
      <c r="E932">
        <v>68</v>
      </c>
      <c r="F932">
        <v>58</v>
      </c>
      <c r="G932" s="35">
        <v>65</v>
      </c>
      <c r="H932">
        <v>59</v>
      </c>
      <c r="I932">
        <v>74</v>
      </c>
      <c r="J932">
        <v>69</v>
      </c>
      <c r="K932">
        <v>97</v>
      </c>
      <c r="L932" s="26" t="str">
        <f>IFERROR(VLOOKUP(B932,Absen!$A$1:$C$501,2,FALSE),"No")</f>
        <v>No</v>
      </c>
      <c r="M932" s="44">
        <f t="shared" si="41"/>
        <v>9.7000000000000011</v>
      </c>
      <c r="N932" s="35">
        <f t="shared" si="42"/>
        <v>68.875</v>
      </c>
      <c r="O932" t="str">
        <f>VLOOKUP(N932,Helper!$B$30:$C$35,2,TRUE)</f>
        <v>C</v>
      </c>
      <c r="P932" s="26">
        <f>INDEX(Detail!$A$1:$A$1001,MATCH(B932,Detail!$G$1:$G$1001,0))</f>
        <v>37931</v>
      </c>
      <c r="Q932" s="3" t="str">
        <f>INDEX(Detail!$F$1:$F$1001,MATCH(Main!B932,Detail!$G$1:$G$1001,0))</f>
        <v>Padangpanjang</v>
      </c>
      <c r="R932" s="7">
        <f>INDEX(Detail!$C$1:$C$1001,MATCH(B932,Detail!$G$1:$G$1001,0),1)</f>
        <v>166</v>
      </c>
      <c r="S932" s="7">
        <f>INDEX(Detail!$D$1:$D$1001,MATCH(B932,Detail!$G$1:$G$1001,0),1)</f>
        <v>70</v>
      </c>
      <c r="T932" s="7" t="str">
        <f>INDEX(Detail!$E$1:$E$1001,MATCH(Main!B932,Detail!$G$1:$G$1001,0))</f>
        <v>Gang Merdeka No. 60</v>
      </c>
      <c r="U932" s="7" t="str">
        <f>INDEX(Detail!$B$1:$B$1001,MATCH(B932,Detail!$G$1:$G$1001,0),1)</f>
        <v>AB+</v>
      </c>
    </row>
    <row r="933" spans="1:21" ht="15.75" x14ac:dyDescent="0.25">
      <c r="A933">
        <v>538</v>
      </c>
      <c r="B933" s="3" t="str">
        <f t="shared" si="43"/>
        <v>F0538</v>
      </c>
      <c r="C933" t="s">
        <v>1011</v>
      </c>
      <c r="D933" s="3" t="str">
        <f>VLOOKUP(B933,Detail!$G$1:$H$1001,2,FALSE)</f>
        <v>Kasusra Sudiati</v>
      </c>
      <c r="E933">
        <v>70</v>
      </c>
      <c r="F933">
        <v>56</v>
      </c>
      <c r="G933" s="35">
        <v>53</v>
      </c>
      <c r="H933">
        <v>68</v>
      </c>
      <c r="I933">
        <v>56</v>
      </c>
      <c r="J933">
        <v>47</v>
      </c>
      <c r="K933">
        <v>87</v>
      </c>
      <c r="L933" s="26">
        <f>IFERROR(VLOOKUP(B933,Absen!$A$1:$C$501,2,FALSE),"No")</f>
        <v>44810</v>
      </c>
      <c r="M933" s="44">
        <f t="shared" si="41"/>
        <v>7.7</v>
      </c>
      <c r="N933" s="35">
        <f t="shared" si="42"/>
        <v>58.95</v>
      </c>
      <c r="O933" t="str">
        <f>VLOOKUP(N933,Helper!$B$30:$C$35,2,TRUE)</f>
        <v>D</v>
      </c>
      <c r="P933" s="26">
        <f>INDEX(Detail!$A$1:$A$1001,MATCH(B933,Detail!$G$1:$G$1001,0))</f>
        <v>37982</v>
      </c>
      <c r="Q933" s="3" t="str">
        <f>INDEX(Detail!$F$1:$F$1001,MATCH(Main!B933,Detail!$G$1:$G$1001,0))</f>
        <v>Bengkulu</v>
      </c>
      <c r="R933" s="7">
        <f>INDEX(Detail!$C$1:$C$1001,MATCH(B933,Detail!$G$1:$G$1001,0),1)</f>
        <v>161</v>
      </c>
      <c r="S933" s="7">
        <f>INDEX(Detail!$D$1:$D$1001,MATCH(B933,Detail!$G$1:$G$1001,0),1)</f>
        <v>77</v>
      </c>
      <c r="T933" s="7" t="str">
        <f>INDEX(Detail!$E$1:$E$1001,MATCH(Main!B933,Detail!$G$1:$G$1001,0))</f>
        <v xml:space="preserve">Jalan Lembong No. 0
</v>
      </c>
      <c r="U933" s="7" t="str">
        <f>INDEX(Detail!$B$1:$B$1001,MATCH(B933,Detail!$G$1:$G$1001,0),1)</f>
        <v>B-</v>
      </c>
    </row>
    <row r="934" spans="1:21" ht="15.75" x14ac:dyDescent="0.25">
      <c r="A934">
        <v>539</v>
      </c>
      <c r="B934" s="3" t="str">
        <f t="shared" si="43"/>
        <v>F0539</v>
      </c>
      <c r="C934" t="s">
        <v>1011</v>
      </c>
      <c r="D934" s="3" t="str">
        <f>VLOOKUP(B934,Detail!$G$1:$H$1001,2,FALSE)</f>
        <v>Putri Pertiwi</v>
      </c>
      <c r="E934">
        <v>60</v>
      </c>
      <c r="F934">
        <v>46</v>
      </c>
      <c r="G934" s="35">
        <v>48</v>
      </c>
      <c r="H934">
        <v>50</v>
      </c>
      <c r="I934">
        <v>51</v>
      </c>
      <c r="J934">
        <v>87</v>
      </c>
      <c r="K934">
        <v>83</v>
      </c>
      <c r="L934" s="26" t="str">
        <f>IFERROR(VLOOKUP(B934,Absen!$A$1:$C$501,2,FALSE),"No")</f>
        <v>No</v>
      </c>
      <c r="M934" s="44">
        <f t="shared" si="41"/>
        <v>8.3000000000000007</v>
      </c>
      <c r="N934" s="35">
        <f t="shared" si="42"/>
        <v>61.174999999999997</v>
      </c>
      <c r="O934" t="str">
        <f>VLOOKUP(N934,Helper!$B$30:$C$35,2,TRUE)</f>
        <v>C</v>
      </c>
      <c r="P934" s="26">
        <f>INDEX(Detail!$A$1:$A$1001,MATCH(B934,Detail!$G$1:$G$1001,0))</f>
        <v>38086</v>
      </c>
      <c r="Q934" s="3" t="str">
        <f>INDEX(Detail!$F$1:$F$1001,MATCH(Main!B934,Detail!$G$1:$G$1001,0))</f>
        <v>Bima</v>
      </c>
      <c r="R934" s="7">
        <f>INDEX(Detail!$C$1:$C$1001,MATCH(B934,Detail!$G$1:$G$1001,0),1)</f>
        <v>162</v>
      </c>
      <c r="S934" s="7">
        <f>INDEX(Detail!$D$1:$D$1001,MATCH(B934,Detail!$G$1:$G$1001,0),1)</f>
        <v>79</v>
      </c>
      <c r="T934" s="7" t="str">
        <f>INDEX(Detail!$E$1:$E$1001,MATCH(Main!B934,Detail!$G$1:$G$1001,0))</f>
        <v>Gang Erlangga No. 11</v>
      </c>
      <c r="U934" s="7" t="str">
        <f>INDEX(Detail!$B$1:$B$1001,MATCH(B934,Detail!$G$1:$G$1001,0),1)</f>
        <v>B-</v>
      </c>
    </row>
    <row r="935" spans="1:21" ht="15.75" x14ac:dyDescent="0.25">
      <c r="A935">
        <v>579</v>
      </c>
      <c r="B935" s="3" t="str">
        <f t="shared" si="43"/>
        <v>F0579</v>
      </c>
      <c r="C935" t="s">
        <v>1011</v>
      </c>
      <c r="D935" s="3" t="str">
        <f>VLOOKUP(B935,Detail!$G$1:$H$1001,2,FALSE)</f>
        <v>Jamalia Waluyo</v>
      </c>
      <c r="E935">
        <v>89</v>
      </c>
      <c r="F935">
        <v>68</v>
      </c>
      <c r="G935" s="35">
        <v>62</v>
      </c>
      <c r="H935">
        <v>69</v>
      </c>
      <c r="I935">
        <v>54</v>
      </c>
      <c r="J935">
        <v>41</v>
      </c>
      <c r="K935">
        <v>92</v>
      </c>
      <c r="L935" s="26">
        <f>IFERROR(VLOOKUP(B935,Absen!$A$1:$C$501,2,FALSE),"No")</f>
        <v>44773</v>
      </c>
      <c r="M935" s="44">
        <f t="shared" si="41"/>
        <v>8.2000000000000011</v>
      </c>
      <c r="N935" s="35">
        <f t="shared" si="42"/>
        <v>63.800000000000004</v>
      </c>
      <c r="O935" t="str">
        <f>VLOOKUP(N935,Helper!$B$30:$C$35,2,TRUE)</f>
        <v>C</v>
      </c>
      <c r="P935" s="26">
        <f>INDEX(Detail!$A$1:$A$1001,MATCH(B935,Detail!$G$1:$G$1001,0))</f>
        <v>37611</v>
      </c>
      <c r="Q935" s="3" t="str">
        <f>INDEX(Detail!$F$1:$F$1001,MATCH(Main!B935,Detail!$G$1:$G$1001,0))</f>
        <v>Tual</v>
      </c>
      <c r="R935" s="7">
        <f>INDEX(Detail!$C$1:$C$1001,MATCH(B935,Detail!$G$1:$G$1001,0),1)</f>
        <v>166</v>
      </c>
      <c r="S935" s="7">
        <f>INDEX(Detail!$D$1:$D$1001,MATCH(B935,Detail!$G$1:$G$1001,0),1)</f>
        <v>57</v>
      </c>
      <c r="T935" s="7" t="str">
        <f>INDEX(Detail!$E$1:$E$1001,MATCH(Main!B935,Detail!$G$1:$G$1001,0))</f>
        <v>Jalan Erlangga No. 58</v>
      </c>
      <c r="U935" s="7" t="str">
        <f>INDEX(Detail!$B$1:$B$1001,MATCH(B935,Detail!$G$1:$G$1001,0),1)</f>
        <v>A-</v>
      </c>
    </row>
    <row r="936" spans="1:21" ht="15.75" x14ac:dyDescent="0.25">
      <c r="A936">
        <v>585</v>
      </c>
      <c r="B936" s="3" t="str">
        <f t="shared" si="43"/>
        <v>F0585</v>
      </c>
      <c r="C936" t="s">
        <v>1011</v>
      </c>
      <c r="D936" s="3" t="str">
        <f>VLOOKUP(B936,Detail!$G$1:$H$1001,2,FALSE)</f>
        <v>Pandu Sihotang</v>
      </c>
      <c r="E936">
        <v>86</v>
      </c>
      <c r="F936">
        <v>49</v>
      </c>
      <c r="G936" s="35">
        <v>30</v>
      </c>
      <c r="H936">
        <v>57</v>
      </c>
      <c r="I936">
        <v>58</v>
      </c>
      <c r="J936">
        <v>54</v>
      </c>
      <c r="K936">
        <v>63</v>
      </c>
      <c r="L936" s="26" t="str">
        <f>IFERROR(VLOOKUP(B936,Absen!$A$1:$C$501,2,FALSE),"No")</f>
        <v>No</v>
      </c>
      <c r="M936" s="44">
        <f t="shared" si="41"/>
        <v>6.3000000000000007</v>
      </c>
      <c r="N936" s="35">
        <f t="shared" si="42"/>
        <v>54.349999999999994</v>
      </c>
      <c r="O936" t="str">
        <f>VLOOKUP(N936,Helper!$B$30:$C$35,2,TRUE)</f>
        <v>D</v>
      </c>
      <c r="P936" s="26">
        <f>INDEX(Detail!$A$1:$A$1001,MATCH(B936,Detail!$G$1:$G$1001,0))</f>
        <v>37637</v>
      </c>
      <c r="Q936" s="3" t="str">
        <f>INDEX(Detail!$F$1:$F$1001,MATCH(Main!B936,Detail!$G$1:$G$1001,0))</f>
        <v>Blitar</v>
      </c>
      <c r="R936" s="7">
        <f>INDEX(Detail!$C$1:$C$1001,MATCH(B936,Detail!$G$1:$G$1001,0),1)</f>
        <v>173</v>
      </c>
      <c r="S936" s="7">
        <f>INDEX(Detail!$D$1:$D$1001,MATCH(B936,Detail!$G$1:$G$1001,0),1)</f>
        <v>64</v>
      </c>
      <c r="T936" s="7" t="str">
        <f>INDEX(Detail!$E$1:$E$1001,MATCH(Main!B936,Detail!$G$1:$G$1001,0))</f>
        <v>Jl. Ciumbuleuit No. 10</v>
      </c>
      <c r="U936" s="7" t="str">
        <f>INDEX(Detail!$B$1:$B$1001,MATCH(B936,Detail!$G$1:$G$1001,0),1)</f>
        <v>B+</v>
      </c>
    </row>
    <row r="937" spans="1:21" ht="15.75" x14ac:dyDescent="0.25">
      <c r="A937">
        <v>592</v>
      </c>
      <c r="B937" s="3" t="str">
        <f t="shared" si="43"/>
        <v>F0592</v>
      </c>
      <c r="C937" t="s">
        <v>1011</v>
      </c>
      <c r="D937" s="3" t="str">
        <f>VLOOKUP(B937,Detail!$G$1:$H$1001,2,FALSE)</f>
        <v>Vivi Suwarno</v>
      </c>
      <c r="E937">
        <v>79</v>
      </c>
      <c r="F937">
        <v>58</v>
      </c>
      <c r="G937" s="35">
        <v>79</v>
      </c>
      <c r="H937">
        <v>65</v>
      </c>
      <c r="I937">
        <v>67</v>
      </c>
      <c r="J937">
        <v>45</v>
      </c>
      <c r="K937">
        <v>89</v>
      </c>
      <c r="L937" s="26">
        <f>IFERROR(VLOOKUP(B937,Absen!$A$1:$C$501,2,FALSE),"No")</f>
        <v>44770</v>
      </c>
      <c r="M937" s="44">
        <f t="shared" si="41"/>
        <v>7.9</v>
      </c>
      <c r="N937" s="35">
        <f t="shared" si="42"/>
        <v>66.325000000000003</v>
      </c>
      <c r="O937" t="str">
        <f>VLOOKUP(N937,Helper!$B$30:$C$35,2,TRUE)</f>
        <v>C</v>
      </c>
      <c r="P937" s="26">
        <f>INDEX(Detail!$A$1:$A$1001,MATCH(B937,Detail!$G$1:$G$1001,0))</f>
        <v>37323</v>
      </c>
      <c r="Q937" s="3" t="str">
        <f>INDEX(Detail!$F$1:$F$1001,MATCH(Main!B937,Detail!$G$1:$G$1001,0))</f>
        <v>Bekasi</v>
      </c>
      <c r="R937" s="7">
        <f>INDEX(Detail!$C$1:$C$1001,MATCH(B937,Detail!$G$1:$G$1001,0),1)</f>
        <v>156</v>
      </c>
      <c r="S937" s="7">
        <f>INDEX(Detail!$D$1:$D$1001,MATCH(B937,Detail!$G$1:$G$1001,0),1)</f>
        <v>95</v>
      </c>
      <c r="T937" s="7" t="str">
        <f>INDEX(Detail!$E$1:$E$1001,MATCH(Main!B937,Detail!$G$1:$G$1001,0))</f>
        <v>Jl. Moch. Toha No. 26</v>
      </c>
      <c r="U937" s="7" t="str">
        <f>INDEX(Detail!$B$1:$B$1001,MATCH(B937,Detail!$G$1:$G$1001,0),1)</f>
        <v>A+</v>
      </c>
    </row>
    <row r="938" spans="1:21" ht="15.75" x14ac:dyDescent="0.25">
      <c r="A938">
        <v>593</v>
      </c>
      <c r="B938" s="3" t="str">
        <f t="shared" si="43"/>
        <v>F0593</v>
      </c>
      <c r="C938" t="s">
        <v>1011</v>
      </c>
      <c r="D938" s="3" t="str">
        <f>VLOOKUP(B938,Detail!$G$1:$H$1001,2,FALSE)</f>
        <v>Kamidin Wacana</v>
      </c>
      <c r="E938">
        <v>60</v>
      </c>
      <c r="F938">
        <v>70</v>
      </c>
      <c r="G938" s="35">
        <v>33</v>
      </c>
      <c r="H938">
        <v>57</v>
      </c>
      <c r="I938">
        <v>81</v>
      </c>
      <c r="J938">
        <v>43</v>
      </c>
      <c r="K938">
        <v>66</v>
      </c>
      <c r="L938" s="26" t="str">
        <f>IFERROR(VLOOKUP(B938,Absen!$A$1:$C$501,2,FALSE),"No")</f>
        <v>No</v>
      </c>
      <c r="M938" s="44">
        <f t="shared" si="41"/>
        <v>6.6000000000000005</v>
      </c>
      <c r="N938" s="35">
        <f t="shared" si="42"/>
        <v>55.300000000000004</v>
      </c>
      <c r="O938" t="str">
        <f>VLOOKUP(N938,Helper!$B$30:$C$35,2,TRUE)</f>
        <v>D</v>
      </c>
      <c r="P938" s="26">
        <f>INDEX(Detail!$A$1:$A$1001,MATCH(B938,Detail!$G$1:$G$1001,0))</f>
        <v>37741</v>
      </c>
      <c r="Q938" s="3" t="str">
        <f>INDEX(Detail!$F$1:$F$1001,MATCH(Main!B938,Detail!$G$1:$G$1001,0))</f>
        <v>Medan</v>
      </c>
      <c r="R938" s="7">
        <f>INDEX(Detail!$C$1:$C$1001,MATCH(B938,Detail!$G$1:$G$1001,0),1)</f>
        <v>177</v>
      </c>
      <c r="S938" s="7">
        <f>INDEX(Detail!$D$1:$D$1001,MATCH(B938,Detail!$G$1:$G$1001,0),1)</f>
        <v>57</v>
      </c>
      <c r="T938" s="7" t="str">
        <f>INDEX(Detail!$E$1:$E$1001,MATCH(Main!B938,Detail!$G$1:$G$1001,0))</f>
        <v xml:space="preserve">Jalan Gedebage Selatan No. 8
</v>
      </c>
      <c r="U938" s="7" t="str">
        <f>INDEX(Detail!$B$1:$B$1001,MATCH(B938,Detail!$G$1:$G$1001,0),1)</f>
        <v>AB-</v>
      </c>
    </row>
    <row r="939" spans="1:21" ht="15.75" x14ac:dyDescent="0.25">
      <c r="A939">
        <v>597</v>
      </c>
      <c r="B939" s="3" t="str">
        <f t="shared" si="43"/>
        <v>F0597</v>
      </c>
      <c r="C939" t="s">
        <v>1011</v>
      </c>
      <c r="D939" s="3" t="str">
        <f>VLOOKUP(B939,Detail!$G$1:$H$1001,2,FALSE)</f>
        <v>Vicky Pratama</v>
      </c>
      <c r="E939">
        <v>95</v>
      </c>
      <c r="F939">
        <v>64</v>
      </c>
      <c r="G939" s="35">
        <v>67</v>
      </c>
      <c r="H939">
        <v>70</v>
      </c>
      <c r="I939">
        <v>62</v>
      </c>
      <c r="J939">
        <v>97</v>
      </c>
      <c r="K939">
        <v>88</v>
      </c>
      <c r="L939" s="26">
        <f>IFERROR(VLOOKUP(B939,Absen!$A$1:$C$501,2,FALSE),"No")</f>
        <v>44874</v>
      </c>
      <c r="M939" s="44">
        <f t="shared" si="41"/>
        <v>7.8000000000000007</v>
      </c>
      <c r="N939" s="35">
        <f t="shared" si="42"/>
        <v>76.974999999999994</v>
      </c>
      <c r="O939" t="str">
        <f>VLOOKUP(N939,Helper!$B$30:$C$35,2,TRUE)</f>
        <v>B</v>
      </c>
      <c r="P939" s="26">
        <f>INDEX(Detail!$A$1:$A$1001,MATCH(B939,Detail!$G$1:$G$1001,0))</f>
        <v>37050</v>
      </c>
      <c r="Q939" s="3" t="str">
        <f>INDEX(Detail!$F$1:$F$1001,MATCH(Main!B939,Detail!$G$1:$G$1001,0))</f>
        <v>Sorong</v>
      </c>
      <c r="R939" s="7">
        <f>INDEX(Detail!$C$1:$C$1001,MATCH(B939,Detail!$G$1:$G$1001,0),1)</f>
        <v>168</v>
      </c>
      <c r="S939" s="7">
        <f>INDEX(Detail!$D$1:$D$1001,MATCH(B939,Detail!$G$1:$G$1001,0),1)</f>
        <v>73</v>
      </c>
      <c r="T939" s="7" t="str">
        <f>INDEX(Detail!$E$1:$E$1001,MATCH(Main!B939,Detail!$G$1:$G$1001,0))</f>
        <v xml:space="preserve">Jl. S. Parman No. 2
</v>
      </c>
      <c r="U939" s="7" t="str">
        <f>INDEX(Detail!$B$1:$B$1001,MATCH(B939,Detail!$G$1:$G$1001,0),1)</f>
        <v>AB+</v>
      </c>
    </row>
    <row r="940" spans="1:21" ht="15.75" x14ac:dyDescent="0.25">
      <c r="A940">
        <v>598</v>
      </c>
      <c r="B940" s="3" t="str">
        <f t="shared" si="43"/>
        <v>F0598</v>
      </c>
      <c r="C940" t="s">
        <v>1011</v>
      </c>
      <c r="D940" s="3" t="str">
        <f>VLOOKUP(B940,Detail!$G$1:$H$1001,2,FALSE)</f>
        <v>Dipa Setiawan</v>
      </c>
      <c r="E940">
        <v>74</v>
      </c>
      <c r="F940">
        <v>61</v>
      </c>
      <c r="G940" s="35">
        <v>65</v>
      </c>
      <c r="H940">
        <v>51</v>
      </c>
      <c r="I940">
        <v>79</v>
      </c>
      <c r="J940">
        <v>74</v>
      </c>
      <c r="K940">
        <v>70</v>
      </c>
      <c r="L940" s="26" t="str">
        <f>IFERROR(VLOOKUP(B940,Absen!$A$1:$C$501,2,FALSE),"No")</f>
        <v>No</v>
      </c>
      <c r="M940" s="44">
        <f t="shared" si="41"/>
        <v>7</v>
      </c>
      <c r="N940" s="35">
        <f t="shared" si="42"/>
        <v>67.924999999999997</v>
      </c>
      <c r="O940" t="str">
        <f>VLOOKUP(N940,Helper!$B$30:$C$35,2,TRUE)</f>
        <v>C</v>
      </c>
      <c r="P940" s="26">
        <f>INDEX(Detail!$A$1:$A$1001,MATCH(B940,Detail!$G$1:$G$1001,0))</f>
        <v>38226</v>
      </c>
      <c r="Q940" s="3" t="str">
        <f>INDEX(Detail!$F$1:$F$1001,MATCH(Main!B940,Detail!$G$1:$G$1001,0))</f>
        <v>Sorong</v>
      </c>
      <c r="R940" s="7">
        <f>INDEX(Detail!$C$1:$C$1001,MATCH(B940,Detail!$G$1:$G$1001,0),1)</f>
        <v>158</v>
      </c>
      <c r="S940" s="7">
        <f>INDEX(Detail!$D$1:$D$1001,MATCH(B940,Detail!$G$1:$G$1001,0),1)</f>
        <v>84</v>
      </c>
      <c r="T940" s="7" t="str">
        <f>INDEX(Detail!$E$1:$E$1001,MATCH(Main!B940,Detail!$G$1:$G$1001,0))</f>
        <v>Jl. Sukabumi No. 07</v>
      </c>
      <c r="U940" s="7" t="str">
        <f>INDEX(Detail!$B$1:$B$1001,MATCH(B940,Detail!$G$1:$G$1001,0),1)</f>
        <v>A-</v>
      </c>
    </row>
    <row r="941" spans="1:21" ht="15.75" x14ac:dyDescent="0.25">
      <c r="A941">
        <v>599</v>
      </c>
      <c r="B941" s="3" t="str">
        <f t="shared" si="43"/>
        <v>F0599</v>
      </c>
      <c r="C941" t="s">
        <v>1011</v>
      </c>
      <c r="D941" s="3" t="str">
        <f>VLOOKUP(B941,Detail!$G$1:$H$1001,2,FALSE)</f>
        <v>Lili Widiastuti</v>
      </c>
      <c r="E941">
        <v>56</v>
      </c>
      <c r="F941">
        <v>44</v>
      </c>
      <c r="G941" s="35">
        <v>37</v>
      </c>
      <c r="H941">
        <v>75</v>
      </c>
      <c r="I941">
        <v>50</v>
      </c>
      <c r="J941">
        <v>66</v>
      </c>
      <c r="K941">
        <v>83</v>
      </c>
      <c r="L941" s="26" t="str">
        <f>IFERROR(VLOOKUP(B941,Absen!$A$1:$C$501,2,FALSE),"No")</f>
        <v>No</v>
      </c>
      <c r="M941" s="44">
        <f t="shared" si="41"/>
        <v>8.3000000000000007</v>
      </c>
      <c r="N941" s="35">
        <f t="shared" si="42"/>
        <v>57.025000000000006</v>
      </c>
      <c r="O941" t="str">
        <f>VLOOKUP(N941,Helper!$B$30:$C$35,2,TRUE)</f>
        <v>D</v>
      </c>
      <c r="P941" s="26">
        <f>INDEX(Detail!$A$1:$A$1001,MATCH(B941,Detail!$G$1:$G$1001,0))</f>
        <v>37827</v>
      </c>
      <c r="Q941" s="3" t="str">
        <f>INDEX(Detail!$F$1:$F$1001,MATCH(Main!B941,Detail!$G$1:$G$1001,0))</f>
        <v>Pekalongan</v>
      </c>
      <c r="R941" s="7">
        <f>INDEX(Detail!$C$1:$C$1001,MATCH(B941,Detail!$G$1:$G$1001,0),1)</f>
        <v>180</v>
      </c>
      <c r="S941" s="7">
        <f>INDEX(Detail!$D$1:$D$1001,MATCH(B941,Detail!$G$1:$G$1001,0),1)</f>
        <v>68</v>
      </c>
      <c r="T941" s="7" t="str">
        <f>INDEX(Detail!$E$1:$E$1001,MATCH(Main!B941,Detail!$G$1:$G$1001,0))</f>
        <v xml:space="preserve">Gang Ir. H. Djuanda No. 0
</v>
      </c>
      <c r="U941" s="7" t="str">
        <f>INDEX(Detail!$B$1:$B$1001,MATCH(B941,Detail!$G$1:$G$1001,0),1)</f>
        <v>B-</v>
      </c>
    </row>
    <row r="942" spans="1:21" ht="15.75" x14ac:dyDescent="0.25">
      <c r="A942">
        <v>611</v>
      </c>
      <c r="B942" s="3" t="str">
        <f t="shared" si="43"/>
        <v>F0611</v>
      </c>
      <c r="C942" t="s">
        <v>1011</v>
      </c>
      <c r="D942" s="3" t="str">
        <f>VLOOKUP(B942,Detail!$G$1:$H$1001,2,FALSE)</f>
        <v>Ellis Rajata</v>
      </c>
      <c r="E942">
        <v>91</v>
      </c>
      <c r="F942">
        <v>62</v>
      </c>
      <c r="G942" s="35">
        <v>40</v>
      </c>
      <c r="H942">
        <v>72</v>
      </c>
      <c r="I942">
        <v>63</v>
      </c>
      <c r="J942">
        <v>64</v>
      </c>
      <c r="K942">
        <v>93</v>
      </c>
      <c r="L942" s="26" t="str">
        <f>IFERROR(VLOOKUP(B942,Absen!$A$1:$C$501,2,FALSE),"No")</f>
        <v>No</v>
      </c>
      <c r="M942" s="44">
        <f t="shared" si="41"/>
        <v>9.3000000000000007</v>
      </c>
      <c r="N942" s="35">
        <f t="shared" si="42"/>
        <v>66.099999999999994</v>
      </c>
      <c r="O942" t="str">
        <f>VLOOKUP(N942,Helper!$B$30:$C$35,2,TRUE)</f>
        <v>C</v>
      </c>
      <c r="P942" s="26">
        <f>INDEX(Detail!$A$1:$A$1001,MATCH(B942,Detail!$G$1:$G$1001,0))</f>
        <v>38002</v>
      </c>
      <c r="Q942" s="3" t="str">
        <f>INDEX(Detail!$F$1:$F$1001,MATCH(Main!B942,Detail!$G$1:$G$1001,0))</f>
        <v>Malang</v>
      </c>
      <c r="R942" s="7">
        <f>INDEX(Detail!$C$1:$C$1001,MATCH(B942,Detail!$G$1:$G$1001,0),1)</f>
        <v>165</v>
      </c>
      <c r="S942" s="7">
        <f>INDEX(Detail!$D$1:$D$1001,MATCH(B942,Detail!$G$1:$G$1001,0),1)</f>
        <v>93</v>
      </c>
      <c r="T942" s="7" t="str">
        <f>INDEX(Detail!$E$1:$E$1001,MATCH(Main!B942,Detail!$G$1:$G$1001,0))</f>
        <v>Gg. Astana Anyar No. 05</v>
      </c>
      <c r="U942" s="7" t="str">
        <f>INDEX(Detail!$B$1:$B$1001,MATCH(B942,Detail!$G$1:$G$1001,0),1)</f>
        <v>O-</v>
      </c>
    </row>
    <row r="943" spans="1:21" ht="15.75" x14ac:dyDescent="0.25">
      <c r="A943">
        <v>615</v>
      </c>
      <c r="B943" s="3" t="str">
        <f t="shared" si="43"/>
        <v>F0615</v>
      </c>
      <c r="C943" t="s">
        <v>1011</v>
      </c>
      <c r="D943" s="3" t="str">
        <f>VLOOKUP(B943,Detail!$G$1:$H$1001,2,FALSE)</f>
        <v>Prabu Halim</v>
      </c>
      <c r="E943">
        <v>91</v>
      </c>
      <c r="F943">
        <v>63</v>
      </c>
      <c r="G943" s="35">
        <v>46</v>
      </c>
      <c r="H943">
        <v>51</v>
      </c>
      <c r="I943">
        <v>87</v>
      </c>
      <c r="J943">
        <v>49</v>
      </c>
      <c r="K943">
        <v>76</v>
      </c>
      <c r="L943" s="26">
        <f>IFERROR(VLOOKUP(B943,Absen!$A$1:$C$501,2,FALSE),"No")</f>
        <v>44807</v>
      </c>
      <c r="M943" s="44">
        <f t="shared" si="41"/>
        <v>6.6000000000000005</v>
      </c>
      <c r="N943" s="35">
        <f t="shared" si="42"/>
        <v>62.1</v>
      </c>
      <c r="O943" t="str">
        <f>VLOOKUP(N943,Helper!$B$30:$C$35,2,TRUE)</f>
        <v>C</v>
      </c>
      <c r="P943" s="26">
        <f>INDEX(Detail!$A$1:$A$1001,MATCH(B943,Detail!$G$1:$G$1001,0))</f>
        <v>37325</v>
      </c>
      <c r="Q943" s="3" t="str">
        <f>INDEX(Detail!$F$1:$F$1001,MATCH(Main!B943,Detail!$G$1:$G$1001,0))</f>
        <v>Makassar</v>
      </c>
      <c r="R943" s="7">
        <f>INDEX(Detail!$C$1:$C$1001,MATCH(B943,Detail!$G$1:$G$1001,0),1)</f>
        <v>171</v>
      </c>
      <c r="S943" s="7">
        <f>INDEX(Detail!$D$1:$D$1001,MATCH(B943,Detail!$G$1:$G$1001,0),1)</f>
        <v>58</v>
      </c>
      <c r="T943" s="7" t="str">
        <f>INDEX(Detail!$E$1:$E$1001,MATCH(Main!B943,Detail!$G$1:$G$1001,0))</f>
        <v xml:space="preserve">Gang Jayawijaya No. 7
</v>
      </c>
      <c r="U943" s="7" t="str">
        <f>INDEX(Detail!$B$1:$B$1001,MATCH(B943,Detail!$G$1:$G$1001,0),1)</f>
        <v>B-</v>
      </c>
    </row>
    <row r="944" spans="1:21" ht="15.75" x14ac:dyDescent="0.25">
      <c r="A944">
        <v>627</v>
      </c>
      <c r="B944" s="3" t="str">
        <f t="shared" si="43"/>
        <v>F0627</v>
      </c>
      <c r="C944" t="s">
        <v>1011</v>
      </c>
      <c r="D944" s="3" t="str">
        <f>VLOOKUP(B944,Detail!$G$1:$H$1001,2,FALSE)</f>
        <v>Jaswadi Jailani</v>
      </c>
      <c r="E944">
        <v>81</v>
      </c>
      <c r="F944">
        <v>53</v>
      </c>
      <c r="G944" s="35">
        <v>58</v>
      </c>
      <c r="H944">
        <v>50</v>
      </c>
      <c r="I944">
        <v>81</v>
      </c>
      <c r="J944">
        <v>60</v>
      </c>
      <c r="K944">
        <v>81</v>
      </c>
      <c r="L944" s="26" t="str">
        <f>IFERROR(VLOOKUP(B944,Absen!$A$1:$C$501,2,FALSE),"No")</f>
        <v>No</v>
      </c>
      <c r="M944" s="44">
        <f t="shared" si="41"/>
        <v>8.1</v>
      </c>
      <c r="N944" s="35">
        <f t="shared" si="42"/>
        <v>64.825000000000003</v>
      </c>
      <c r="O944" t="str">
        <f>VLOOKUP(N944,Helper!$B$30:$C$35,2,TRUE)</f>
        <v>C</v>
      </c>
      <c r="P944" s="26">
        <f>INDEX(Detail!$A$1:$A$1001,MATCH(B944,Detail!$G$1:$G$1001,0))</f>
        <v>37290</v>
      </c>
      <c r="Q944" s="3" t="str">
        <f>INDEX(Detail!$F$1:$F$1001,MATCH(Main!B944,Detail!$G$1:$G$1001,0))</f>
        <v>Solok</v>
      </c>
      <c r="R944" s="7">
        <f>INDEX(Detail!$C$1:$C$1001,MATCH(B944,Detail!$G$1:$G$1001,0),1)</f>
        <v>156</v>
      </c>
      <c r="S944" s="7">
        <f>INDEX(Detail!$D$1:$D$1001,MATCH(B944,Detail!$G$1:$G$1001,0),1)</f>
        <v>76</v>
      </c>
      <c r="T944" s="7" t="str">
        <f>INDEX(Detail!$E$1:$E$1001,MATCH(Main!B944,Detail!$G$1:$G$1001,0))</f>
        <v xml:space="preserve">Jl. Pasir Koja No. 6
</v>
      </c>
      <c r="U944" s="7" t="str">
        <f>INDEX(Detail!$B$1:$B$1001,MATCH(B944,Detail!$G$1:$G$1001,0),1)</f>
        <v>AB-</v>
      </c>
    </row>
    <row r="945" spans="1:21" ht="15.75" x14ac:dyDescent="0.25">
      <c r="A945">
        <v>640</v>
      </c>
      <c r="B945" s="3" t="str">
        <f t="shared" si="43"/>
        <v>F0640</v>
      </c>
      <c r="C945" t="s">
        <v>1011</v>
      </c>
      <c r="D945" s="3" t="str">
        <f>VLOOKUP(B945,Detail!$G$1:$H$1001,2,FALSE)</f>
        <v>Bagas Laksmiwati</v>
      </c>
      <c r="E945">
        <v>68</v>
      </c>
      <c r="F945">
        <v>64</v>
      </c>
      <c r="G945" s="35">
        <v>51</v>
      </c>
      <c r="H945">
        <v>62</v>
      </c>
      <c r="I945">
        <v>78</v>
      </c>
      <c r="J945">
        <v>58</v>
      </c>
      <c r="K945">
        <v>81</v>
      </c>
      <c r="L945" s="26">
        <f>IFERROR(VLOOKUP(B945,Absen!$A$1:$C$501,2,FALSE),"No")</f>
        <v>44915</v>
      </c>
      <c r="M945" s="44">
        <f t="shared" si="41"/>
        <v>7.1000000000000005</v>
      </c>
      <c r="N945" s="35">
        <f t="shared" si="42"/>
        <v>62.900000000000006</v>
      </c>
      <c r="O945" t="str">
        <f>VLOOKUP(N945,Helper!$B$30:$C$35,2,TRUE)</f>
        <v>C</v>
      </c>
      <c r="P945" s="26">
        <f>INDEX(Detail!$A$1:$A$1001,MATCH(B945,Detail!$G$1:$G$1001,0))</f>
        <v>37459</v>
      </c>
      <c r="Q945" s="3" t="str">
        <f>INDEX(Detail!$F$1:$F$1001,MATCH(Main!B945,Detail!$G$1:$G$1001,0))</f>
        <v>Yogyakarta</v>
      </c>
      <c r="R945" s="7">
        <f>INDEX(Detail!$C$1:$C$1001,MATCH(B945,Detail!$G$1:$G$1001,0),1)</f>
        <v>155</v>
      </c>
      <c r="S945" s="7">
        <f>INDEX(Detail!$D$1:$D$1001,MATCH(B945,Detail!$G$1:$G$1001,0),1)</f>
        <v>67</v>
      </c>
      <c r="T945" s="7" t="str">
        <f>INDEX(Detail!$E$1:$E$1001,MATCH(Main!B945,Detail!$G$1:$G$1001,0))</f>
        <v xml:space="preserve">Gang Otto Iskandardinata No. 9
</v>
      </c>
      <c r="U945" s="7" t="str">
        <f>INDEX(Detail!$B$1:$B$1001,MATCH(B945,Detail!$G$1:$G$1001,0),1)</f>
        <v>B-</v>
      </c>
    </row>
    <row r="946" spans="1:21" ht="15.75" x14ac:dyDescent="0.25">
      <c r="A946">
        <v>642</v>
      </c>
      <c r="B946" s="3" t="str">
        <f t="shared" si="43"/>
        <v>F0642</v>
      </c>
      <c r="C946" t="s">
        <v>1011</v>
      </c>
      <c r="D946" s="3" t="str">
        <f>VLOOKUP(B946,Detail!$G$1:$H$1001,2,FALSE)</f>
        <v>Jaeman Safitri</v>
      </c>
      <c r="E946">
        <v>65</v>
      </c>
      <c r="F946">
        <v>73</v>
      </c>
      <c r="G946" s="35">
        <v>85</v>
      </c>
      <c r="H946">
        <v>57</v>
      </c>
      <c r="I946">
        <v>59</v>
      </c>
      <c r="J946">
        <v>53</v>
      </c>
      <c r="K946">
        <v>94</v>
      </c>
      <c r="L946" s="26" t="str">
        <f>IFERROR(VLOOKUP(B946,Absen!$A$1:$C$501,2,FALSE),"No")</f>
        <v>No</v>
      </c>
      <c r="M946" s="44">
        <f t="shared" si="41"/>
        <v>9.4</v>
      </c>
      <c r="N946" s="35">
        <f t="shared" si="42"/>
        <v>68.75</v>
      </c>
      <c r="O946" t="str">
        <f>VLOOKUP(N946,Helper!$B$30:$C$35,2,TRUE)</f>
        <v>C</v>
      </c>
      <c r="P946" s="26">
        <f>INDEX(Detail!$A$1:$A$1001,MATCH(B946,Detail!$G$1:$G$1001,0))</f>
        <v>37312</v>
      </c>
      <c r="Q946" s="3" t="str">
        <f>INDEX(Detail!$F$1:$F$1001,MATCH(Main!B946,Detail!$G$1:$G$1001,0))</f>
        <v>Palu</v>
      </c>
      <c r="R946" s="7">
        <f>INDEX(Detail!$C$1:$C$1001,MATCH(B946,Detail!$G$1:$G$1001,0),1)</f>
        <v>171</v>
      </c>
      <c r="S946" s="7">
        <f>INDEX(Detail!$D$1:$D$1001,MATCH(B946,Detail!$G$1:$G$1001,0),1)</f>
        <v>66</v>
      </c>
      <c r="T946" s="7" t="str">
        <f>INDEX(Detail!$E$1:$E$1001,MATCH(Main!B946,Detail!$G$1:$G$1001,0))</f>
        <v>Gang Medokan Ayu No. 60</v>
      </c>
      <c r="U946" s="7" t="str">
        <f>INDEX(Detail!$B$1:$B$1001,MATCH(B946,Detail!$G$1:$G$1001,0),1)</f>
        <v>AB+</v>
      </c>
    </row>
    <row r="947" spans="1:21" ht="15.75" x14ac:dyDescent="0.25">
      <c r="A947">
        <v>657</v>
      </c>
      <c r="B947" s="3" t="str">
        <f t="shared" si="43"/>
        <v>F0657</v>
      </c>
      <c r="C947" t="s">
        <v>1011</v>
      </c>
      <c r="D947" s="3" t="str">
        <f>VLOOKUP(B947,Detail!$G$1:$H$1001,2,FALSE)</f>
        <v>Asmianto Farida</v>
      </c>
      <c r="E947">
        <v>94</v>
      </c>
      <c r="F947">
        <v>75</v>
      </c>
      <c r="G947" s="35">
        <v>65</v>
      </c>
      <c r="H947">
        <v>52</v>
      </c>
      <c r="I947">
        <v>88</v>
      </c>
      <c r="J947">
        <v>51</v>
      </c>
      <c r="K947">
        <v>85</v>
      </c>
      <c r="L947" s="26" t="str">
        <f>IFERROR(VLOOKUP(B947,Absen!$A$1:$C$501,2,FALSE),"No")</f>
        <v>No</v>
      </c>
      <c r="M947" s="44">
        <f t="shared" si="41"/>
        <v>8.5</v>
      </c>
      <c r="N947" s="35">
        <f t="shared" si="42"/>
        <v>70.325000000000003</v>
      </c>
      <c r="O947" t="str">
        <f>VLOOKUP(N947,Helper!$B$30:$C$35,2,TRUE)</f>
        <v>B</v>
      </c>
      <c r="P947" s="26">
        <f>INDEX(Detail!$A$1:$A$1001,MATCH(B947,Detail!$G$1:$G$1001,0))</f>
        <v>38171</v>
      </c>
      <c r="Q947" s="3" t="str">
        <f>INDEX(Detail!$F$1:$F$1001,MATCH(Main!B947,Detail!$G$1:$G$1001,0))</f>
        <v>Banjarbaru</v>
      </c>
      <c r="R947" s="7">
        <f>INDEX(Detail!$C$1:$C$1001,MATCH(B947,Detail!$G$1:$G$1001,0),1)</f>
        <v>177</v>
      </c>
      <c r="S947" s="7">
        <f>INDEX(Detail!$D$1:$D$1001,MATCH(B947,Detail!$G$1:$G$1001,0),1)</f>
        <v>74</v>
      </c>
      <c r="T947" s="7" t="str">
        <f>INDEX(Detail!$E$1:$E$1001,MATCH(Main!B947,Detail!$G$1:$G$1001,0))</f>
        <v xml:space="preserve">Gg. Rajiman No. 2
</v>
      </c>
      <c r="U947" s="7" t="str">
        <f>INDEX(Detail!$B$1:$B$1001,MATCH(B947,Detail!$G$1:$G$1001,0),1)</f>
        <v>B-</v>
      </c>
    </row>
    <row r="948" spans="1:21" ht="15.75" x14ac:dyDescent="0.25">
      <c r="A948">
        <v>670</v>
      </c>
      <c r="B948" s="3" t="str">
        <f t="shared" si="43"/>
        <v>F0670</v>
      </c>
      <c r="C948" t="s">
        <v>1011</v>
      </c>
      <c r="D948" s="3" t="str">
        <f>VLOOKUP(B948,Detail!$G$1:$H$1001,2,FALSE)</f>
        <v>Irnanto Irawan</v>
      </c>
      <c r="E948">
        <v>81</v>
      </c>
      <c r="F948">
        <v>40</v>
      </c>
      <c r="G948" s="35">
        <v>85</v>
      </c>
      <c r="H948">
        <v>71</v>
      </c>
      <c r="I948">
        <v>65</v>
      </c>
      <c r="J948">
        <v>44</v>
      </c>
      <c r="K948">
        <v>90</v>
      </c>
      <c r="L948" s="26">
        <f>IFERROR(VLOOKUP(B948,Absen!$A$1:$C$501,2,FALSE),"No")</f>
        <v>44835</v>
      </c>
      <c r="M948" s="44">
        <f t="shared" si="41"/>
        <v>8</v>
      </c>
      <c r="N948" s="35">
        <f t="shared" si="42"/>
        <v>65.924999999999997</v>
      </c>
      <c r="O948" t="str">
        <f>VLOOKUP(N948,Helper!$B$30:$C$35,2,TRUE)</f>
        <v>C</v>
      </c>
      <c r="P948" s="26">
        <f>INDEX(Detail!$A$1:$A$1001,MATCH(B948,Detail!$G$1:$G$1001,0))</f>
        <v>37018</v>
      </c>
      <c r="Q948" s="3" t="str">
        <f>INDEX(Detail!$F$1:$F$1001,MATCH(Main!B948,Detail!$G$1:$G$1001,0))</f>
        <v>Ambon</v>
      </c>
      <c r="R948" s="7">
        <f>INDEX(Detail!$C$1:$C$1001,MATCH(B948,Detail!$G$1:$G$1001,0),1)</f>
        <v>178</v>
      </c>
      <c r="S948" s="7">
        <f>INDEX(Detail!$D$1:$D$1001,MATCH(B948,Detail!$G$1:$G$1001,0),1)</f>
        <v>82</v>
      </c>
      <c r="T948" s="7" t="str">
        <f>INDEX(Detail!$E$1:$E$1001,MATCH(Main!B948,Detail!$G$1:$G$1001,0))</f>
        <v xml:space="preserve">Jl. Sukajadi No. 6
</v>
      </c>
      <c r="U948" s="7" t="str">
        <f>INDEX(Detail!$B$1:$B$1001,MATCH(B948,Detail!$G$1:$G$1001,0),1)</f>
        <v>O-</v>
      </c>
    </row>
    <row r="949" spans="1:21" ht="15.75" x14ac:dyDescent="0.25">
      <c r="A949">
        <v>673</v>
      </c>
      <c r="B949" s="3" t="str">
        <f t="shared" si="43"/>
        <v>F0673</v>
      </c>
      <c r="C949" t="s">
        <v>1011</v>
      </c>
      <c r="D949" s="3" t="str">
        <f>VLOOKUP(B949,Detail!$G$1:$H$1001,2,FALSE)</f>
        <v>Lantar Puspita</v>
      </c>
      <c r="E949">
        <v>52</v>
      </c>
      <c r="F949">
        <v>44</v>
      </c>
      <c r="G949" s="35">
        <v>31</v>
      </c>
      <c r="H949">
        <v>55</v>
      </c>
      <c r="I949">
        <v>63</v>
      </c>
      <c r="J949">
        <v>54</v>
      </c>
      <c r="K949">
        <v>84</v>
      </c>
      <c r="L949" s="26" t="str">
        <f>IFERROR(VLOOKUP(B949,Absen!$A$1:$C$501,2,FALSE),"No")</f>
        <v>No</v>
      </c>
      <c r="M949" s="44">
        <f t="shared" si="41"/>
        <v>8.4</v>
      </c>
      <c r="N949" s="35">
        <f t="shared" si="42"/>
        <v>52.15</v>
      </c>
      <c r="O949" t="str">
        <f>VLOOKUP(N949,Helper!$B$30:$C$35,2,TRUE)</f>
        <v>D</v>
      </c>
      <c r="P949" s="26">
        <f>INDEX(Detail!$A$1:$A$1001,MATCH(B949,Detail!$G$1:$G$1001,0))</f>
        <v>37726</v>
      </c>
      <c r="Q949" s="3" t="str">
        <f>INDEX(Detail!$F$1:$F$1001,MATCH(Main!B949,Detail!$G$1:$G$1001,0))</f>
        <v>Lubuklinggau</v>
      </c>
      <c r="R949" s="7">
        <f>INDEX(Detail!$C$1:$C$1001,MATCH(B949,Detail!$G$1:$G$1001,0),1)</f>
        <v>179</v>
      </c>
      <c r="S949" s="7">
        <f>INDEX(Detail!$D$1:$D$1001,MATCH(B949,Detail!$G$1:$G$1001,0),1)</f>
        <v>45</v>
      </c>
      <c r="T949" s="7" t="str">
        <f>INDEX(Detail!$E$1:$E$1001,MATCH(Main!B949,Detail!$G$1:$G$1001,0))</f>
        <v>Jl. Rajiman No. 46</v>
      </c>
      <c r="U949" s="7" t="str">
        <f>INDEX(Detail!$B$1:$B$1001,MATCH(B949,Detail!$G$1:$G$1001,0),1)</f>
        <v>O+</v>
      </c>
    </row>
    <row r="950" spans="1:21" ht="15.75" x14ac:dyDescent="0.25">
      <c r="A950">
        <v>679</v>
      </c>
      <c r="B950" s="3" t="str">
        <f t="shared" si="43"/>
        <v>F0679</v>
      </c>
      <c r="C950" t="s">
        <v>1011</v>
      </c>
      <c r="D950" s="3" t="str">
        <f>VLOOKUP(B950,Detail!$G$1:$H$1001,2,FALSE)</f>
        <v>Raisa Situmorang</v>
      </c>
      <c r="E950">
        <v>72</v>
      </c>
      <c r="F950">
        <v>53</v>
      </c>
      <c r="G950" s="35">
        <v>88</v>
      </c>
      <c r="H950">
        <v>51</v>
      </c>
      <c r="I950">
        <v>75</v>
      </c>
      <c r="J950">
        <v>95</v>
      </c>
      <c r="K950">
        <v>82</v>
      </c>
      <c r="L950" s="26">
        <f>IFERROR(VLOOKUP(B950,Absen!$A$1:$C$501,2,FALSE),"No")</f>
        <v>44780</v>
      </c>
      <c r="M950" s="44">
        <f t="shared" si="41"/>
        <v>7.2</v>
      </c>
      <c r="N950" s="35">
        <f t="shared" si="42"/>
        <v>75.174999999999997</v>
      </c>
      <c r="O950" t="str">
        <f>VLOOKUP(N950,Helper!$B$30:$C$35,2,TRUE)</f>
        <v>B</v>
      </c>
      <c r="P950" s="26">
        <f>INDEX(Detail!$A$1:$A$1001,MATCH(B950,Detail!$G$1:$G$1001,0))</f>
        <v>37986</v>
      </c>
      <c r="Q950" s="3" t="str">
        <f>INDEX(Detail!$F$1:$F$1001,MATCH(Main!B950,Detail!$G$1:$G$1001,0))</f>
        <v>Malang</v>
      </c>
      <c r="R950" s="7">
        <f>INDEX(Detail!$C$1:$C$1001,MATCH(B950,Detail!$G$1:$G$1001,0),1)</f>
        <v>176</v>
      </c>
      <c r="S950" s="7">
        <f>INDEX(Detail!$D$1:$D$1001,MATCH(B950,Detail!$G$1:$G$1001,0),1)</f>
        <v>49</v>
      </c>
      <c r="T950" s="7" t="str">
        <f>INDEX(Detail!$E$1:$E$1001,MATCH(Main!B950,Detail!$G$1:$G$1001,0))</f>
        <v>Jl. Raya Setiabudhi No. 98</v>
      </c>
      <c r="U950" s="7" t="str">
        <f>INDEX(Detail!$B$1:$B$1001,MATCH(B950,Detail!$G$1:$G$1001,0),1)</f>
        <v>O+</v>
      </c>
    </row>
    <row r="951" spans="1:21" ht="15.75" x14ac:dyDescent="0.25">
      <c r="A951">
        <v>689</v>
      </c>
      <c r="B951" s="3" t="str">
        <f t="shared" si="43"/>
        <v>F0689</v>
      </c>
      <c r="C951" t="s">
        <v>1011</v>
      </c>
      <c r="D951" s="3" t="str">
        <f>VLOOKUP(B951,Detail!$G$1:$H$1001,2,FALSE)</f>
        <v>Dadi Manullang</v>
      </c>
      <c r="E951">
        <v>72</v>
      </c>
      <c r="F951">
        <v>67</v>
      </c>
      <c r="G951" s="35">
        <v>48</v>
      </c>
      <c r="H951">
        <v>52</v>
      </c>
      <c r="I951">
        <v>57</v>
      </c>
      <c r="J951">
        <v>52</v>
      </c>
      <c r="K951">
        <v>60</v>
      </c>
      <c r="L951" s="26">
        <f>IFERROR(VLOOKUP(B951,Absen!$A$1:$C$501,2,FALSE),"No")</f>
        <v>44822</v>
      </c>
      <c r="M951" s="44">
        <f t="shared" si="41"/>
        <v>5</v>
      </c>
      <c r="N951" s="35">
        <f t="shared" si="42"/>
        <v>56</v>
      </c>
      <c r="O951" t="str">
        <f>VLOOKUP(N951,Helper!$B$30:$C$35,2,TRUE)</f>
        <v>D</v>
      </c>
      <c r="P951" s="26">
        <f>INDEX(Detail!$A$1:$A$1001,MATCH(B951,Detail!$G$1:$G$1001,0))</f>
        <v>38389</v>
      </c>
      <c r="Q951" s="3" t="str">
        <f>INDEX(Detail!$F$1:$F$1001,MATCH(Main!B951,Detail!$G$1:$G$1001,0))</f>
        <v>Langsa</v>
      </c>
      <c r="R951" s="7">
        <f>INDEX(Detail!$C$1:$C$1001,MATCH(B951,Detail!$G$1:$G$1001,0),1)</f>
        <v>154</v>
      </c>
      <c r="S951" s="7">
        <f>INDEX(Detail!$D$1:$D$1001,MATCH(B951,Detail!$G$1:$G$1001,0),1)</f>
        <v>69</v>
      </c>
      <c r="T951" s="7" t="str">
        <f>INDEX(Detail!$E$1:$E$1001,MATCH(Main!B951,Detail!$G$1:$G$1001,0))</f>
        <v>Gang Moch. Toha No. 86</v>
      </c>
      <c r="U951" s="7" t="str">
        <f>INDEX(Detail!$B$1:$B$1001,MATCH(B951,Detail!$G$1:$G$1001,0),1)</f>
        <v>A+</v>
      </c>
    </row>
    <row r="952" spans="1:21" ht="15.75" x14ac:dyDescent="0.25">
      <c r="A952">
        <v>699</v>
      </c>
      <c r="B952" s="3" t="str">
        <f t="shared" si="43"/>
        <v>F0699</v>
      </c>
      <c r="C952" t="s">
        <v>1011</v>
      </c>
      <c r="D952" s="3" t="str">
        <f>VLOOKUP(B952,Detail!$G$1:$H$1001,2,FALSE)</f>
        <v>Abyasa Hastuti</v>
      </c>
      <c r="E952">
        <v>92</v>
      </c>
      <c r="F952">
        <v>60</v>
      </c>
      <c r="G952" s="35">
        <v>42</v>
      </c>
      <c r="H952">
        <v>69</v>
      </c>
      <c r="I952">
        <v>91</v>
      </c>
      <c r="J952">
        <v>67</v>
      </c>
      <c r="K952">
        <v>68</v>
      </c>
      <c r="L952" s="26">
        <f>IFERROR(VLOOKUP(B952,Absen!$A$1:$C$501,2,FALSE),"No")</f>
        <v>44782</v>
      </c>
      <c r="M952" s="44">
        <f t="shared" si="41"/>
        <v>5.8000000000000007</v>
      </c>
      <c r="N952" s="35">
        <f t="shared" si="42"/>
        <v>66.599999999999994</v>
      </c>
      <c r="O952" t="str">
        <f>VLOOKUP(N952,Helper!$B$30:$C$35,2,TRUE)</f>
        <v>C</v>
      </c>
      <c r="P952" s="26">
        <f>INDEX(Detail!$A$1:$A$1001,MATCH(B952,Detail!$G$1:$G$1001,0))</f>
        <v>37493</v>
      </c>
      <c r="Q952" s="3" t="str">
        <f>INDEX(Detail!$F$1:$F$1001,MATCH(Main!B952,Detail!$G$1:$G$1001,0))</f>
        <v>Tarakan</v>
      </c>
      <c r="R952" s="7">
        <f>INDEX(Detail!$C$1:$C$1001,MATCH(B952,Detail!$G$1:$G$1001,0),1)</f>
        <v>155</v>
      </c>
      <c r="S952" s="7">
        <f>INDEX(Detail!$D$1:$D$1001,MATCH(B952,Detail!$G$1:$G$1001,0),1)</f>
        <v>45</v>
      </c>
      <c r="T952" s="7" t="str">
        <f>INDEX(Detail!$E$1:$E$1001,MATCH(Main!B952,Detail!$G$1:$G$1001,0))</f>
        <v>Gg. Erlangga No. 43</v>
      </c>
      <c r="U952" s="7" t="str">
        <f>INDEX(Detail!$B$1:$B$1001,MATCH(B952,Detail!$G$1:$G$1001,0),1)</f>
        <v>A+</v>
      </c>
    </row>
    <row r="953" spans="1:21" ht="15.75" x14ac:dyDescent="0.25">
      <c r="A953">
        <v>701</v>
      </c>
      <c r="B953" s="3" t="str">
        <f t="shared" si="43"/>
        <v>F0701</v>
      </c>
      <c r="C953" t="s">
        <v>1011</v>
      </c>
      <c r="D953" s="3" t="str">
        <f>VLOOKUP(B953,Detail!$G$1:$H$1001,2,FALSE)</f>
        <v>Emas Tampubolon</v>
      </c>
      <c r="E953">
        <v>66</v>
      </c>
      <c r="F953">
        <v>49</v>
      </c>
      <c r="G953" s="35">
        <v>86</v>
      </c>
      <c r="H953">
        <v>60</v>
      </c>
      <c r="I953">
        <v>72</v>
      </c>
      <c r="J953">
        <v>87</v>
      </c>
      <c r="K953">
        <v>90</v>
      </c>
      <c r="L953" s="26">
        <f>IFERROR(VLOOKUP(B953,Absen!$A$1:$C$501,2,FALSE),"No")</f>
        <v>44873</v>
      </c>
      <c r="M953" s="44">
        <f t="shared" si="41"/>
        <v>8</v>
      </c>
      <c r="N953" s="35">
        <f t="shared" si="42"/>
        <v>73.475000000000009</v>
      </c>
      <c r="O953" t="str">
        <f>VLOOKUP(N953,Helper!$B$30:$C$35,2,TRUE)</f>
        <v>B</v>
      </c>
      <c r="P953" s="26">
        <f>INDEX(Detail!$A$1:$A$1001,MATCH(B953,Detail!$G$1:$G$1001,0))</f>
        <v>37102</v>
      </c>
      <c r="Q953" s="3" t="str">
        <f>INDEX(Detail!$F$1:$F$1001,MATCH(Main!B953,Detail!$G$1:$G$1001,0))</f>
        <v>Denpasar</v>
      </c>
      <c r="R953" s="7">
        <f>INDEX(Detail!$C$1:$C$1001,MATCH(B953,Detail!$G$1:$G$1001,0),1)</f>
        <v>157</v>
      </c>
      <c r="S953" s="7">
        <f>INDEX(Detail!$D$1:$D$1001,MATCH(B953,Detail!$G$1:$G$1001,0),1)</f>
        <v>90</v>
      </c>
      <c r="T953" s="7" t="str">
        <f>INDEX(Detail!$E$1:$E$1001,MATCH(Main!B953,Detail!$G$1:$G$1001,0))</f>
        <v xml:space="preserve">Gang Sentot Alibasa No. 4
</v>
      </c>
      <c r="U953" s="7" t="str">
        <f>INDEX(Detail!$B$1:$B$1001,MATCH(B953,Detail!$G$1:$G$1001,0),1)</f>
        <v>AB-</v>
      </c>
    </row>
    <row r="954" spans="1:21" ht="15.75" x14ac:dyDescent="0.25">
      <c r="A954">
        <v>719</v>
      </c>
      <c r="B954" s="3" t="str">
        <f t="shared" si="43"/>
        <v>F0719</v>
      </c>
      <c r="C954" t="s">
        <v>1011</v>
      </c>
      <c r="D954" s="3" t="str">
        <f>VLOOKUP(B954,Detail!$G$1:$H$1001,2,FALSE)</f>
        <v>Warsa Sudiati</v>
      </c>
      <c r="E954">
        <v>68</v>
      </c>
      <c r="F954">
        <v>58</v>
      </c>
      <c r="G954" s="35">
        <v>52</v>
      </c>
      <c r="H954">
        <v>64</v>
      </c>
      <c r="I954">
        <v>87</v>
      </c>
      <c r="J954">
        <v>53</v>
      </c>
      <c r="K954">
        <v>63</v>
      </c>
      <c r="L954" s="26">
        <f>IFERROR(VLOOKUP(B954,Absen!$A$1:$C$501,2,FALSE),"No")</f>
        <v>44842</v>
      </c>
      <c r="M954" s="44">
        <f t="shared" si="41"/>
        <v>5.3000000000000007</v>
      </c>
      <c r="N954" s="35">
        <f t="shared" si="42"/>
        <v>60.924999999999997</v>
      </c>
      <c r="O954" t="str">
        <f>VLOOKUP(N954,Helper!$B$30:$C$35,2,TRUE)</f>
        <v>C</v>
      </c>
      <c r="P954" s="26">
        <f>INDEX(Detail!$A$1:$A$1001,MATCH(B954,Detail!$G$1:$G$1001,0))</f>
        <v>37653</v>
      </c>
      <c r="Q954" s="3" t="str">
        <f>INDEX(Detail!$F$1:$F$1001,MATCH(Main!B954,Detail!$G$1:$G$1001,0))</f>
        <v>Bau-Bau</v>
      </c>
      <c r="R954" s="7">
        <f>INDEX(Detail!$C$1:$C$1001,MATCH(B954,Detail!$G$1:$G$1001,0),1)</f>
        <v>163</v>
      </c>
      <c r="S954" s="7">
        <f>INDEX(Detail!$D$1:$D$1001,MATCH(B954,Detail!$G$1:$G$1001,0),1)</f>
        <v>56</v>
      </c>
      <c r="T954" s="7" t="str">
        <f>INDEX(Detail!$E$1:$E$1001,MATCH(Main!B954,Detail!$G$1:$G$1001,0))</f>
        <v>Jalan Moch. Ramdan No. 07</v>
      </c>
      <c r="U954" s="7" t="str">
        <f>INDEX(Detail!$B$1:$B$1001,MATCH(B954,Detail!$G$1:$G$1001,0),1)</f>
        <v>O-</v>
      </c>
    </row>
    <row r="955" spans="1:21" ht="15.75" x14ac:dyDescent="0.25">
      <c r="A955">
        <v>723</v>
      </c>
      <c r="B955" s="3" t="str">
        <f t="shared" si="43"/>
        <v>F0723</v>
      </c>
      <c r="C955" t="s">
        <v>1011</v>
      </c>
      <c r="D955" s="3" t="str">
        <f>VLOOKUP(B955,Detail!$G$1:$H$1001,2,FALSE)</f>
        <v>Kajen Prabowo</v>
      </c>
      <c r="E955">
        <v>85</v>
      </c>
      <c r="F955">
        <v>56</v>
      </c>
      <c r="G955" s="35">
        <v>51</v>
      </c>
      <c r="H955">
        <v>56</v>
      </c>
      <c r="I955">
        <v>88</v>
      </c>
      <c r="J955">
        <v>94</v>
      </c>
      <c r="K955">
        <v>97</v>
      </c>
      <c r="L955" s="26" t="str">
        <f>IFERROR(VLOOKUP(B955,Absen!$A$1:$C$501,2,FALSE),"No")</f>
        <v>No</v>
      </c>
      <c r="M955" s="44">
        <f t="shared" si="41"/>
        <v>9.7000000000000011</v>
      </c>
      <c r="N955" s="35">
        <f t="shared" si="42"/>
        <v>74.325000000000003</v>
      </c>
      <c r="O955" t="str">
        <f>VLOOKUP(N955,Helper!$B$30:$C$35,2,TRUE)</f>
        <v>B</v>
      </c>
      <c r="P955" s="26">
        <f>INDEX(Detail!$A$1:$A$1001,MATCH(B955,Detail!$G$1:$G$1001,0))</f>
        <v>38302</v>
      </c>
      <c r="Q955" s="3" t="str">
        <f>INDEX(Detail!$F$1:$F$1001,MATCH(Main!B955,Detail!$G$1:$G$1001,0))</f>
        <v>Mojokerto</v>
      </c>
      <c r="R955" s="7">
        <f>INDEX(Detail!$C$1:$C$1001,MATCH(B955,Detail!$G$1:$G$1001,0),1)</f>
        <v>179</v>
      </c>
      <c r="S955" s="7">
        <f>INDEX(Detail!$D$1:$D$1001,MATCH(B955,Detail!$G$1:$G$1001,0),1)</f>
        <v>66</v>
      </c>
      <c r="T955" s="7" t="str">
        <f>INDEX(Detail!$E$1:$E$1001,MATCH(Main!B955,Detail!$G$1:$G$1001,0))</f>
        <v>Jalan Sukajadi No. 92</v>
      </c>
      <c r="U955" s="7" t="str">
        <f>INDEX(Detail!$B$1:$B$1001,MATCH(B955,Detail!$G$1:$G$1001,0),1)</f>
        <v>B-</v>
      </c>
    </row>
    <row r="956" spans="1:21" ht="15.75" x14ac:dyDescent="0.25">
      <c r="A956">
        <v>727</v>
      </c>
      <c r="B956" s="3" t="str">
        <f t="shared" si="43"/>
        <v>F0727</v>
      </c>
      <c r="C956" t="s">
        <v>1011</v>
      </c>
      <c r="D956" s="3" t="str">
        <f>VLOOKUP(B956,Detail!$G$1:$H$1001,2,FALSE)</f>
        <v>Yoga Hartati</v>
      </c>
      <c r="E956">
        <v>91</v>
      </c>
      <c r="F956">
        <v>71</v>
      </c>
      <c r="G956" s="35">
        <v>50</v>
      </c>
      <c r="H956">
        <v>53</v>
      </c>
      <c r="I956">
        <v>79</v>
      </c>
      <c r="J956">
        <v>96</v>
      </c>
      <c r="K956">
        <v>85</v>
      </c>
      <c r="L956" s="26" t="str">
        <f>IFERROR(VLOOKUP(B956,Absen!$A$1:$C$501,2,FALSE),"No")</f>
        <v>No</v>
      </c>
      <c r="M956" s="44">
        <f t="shared" si="41"/>
        <v>8.5</v>
      </c>
      <c r="N956" s="35">
        <f t="shared" si="42"/>
        <v>74.45</v>
      </c>
      <c r="O956" t="str">
        <f>VLOOKUP(N956,Helper!$B$30:$C$35,2,TRUE)</f>
        <v>B</v>
      </c>
      <c r="P956" s="26">
        <f>INDEX(Detail!$A$1:$A$1001,MATCH(B956,Detail!$G$1:$G$1001,0))</f>
        <v>37641</v>
      </c>
      <c r="Q956" s="3" t="str">
        <f>INDEX(Detail!$F$1:$F$1001,MATCH(Main!B956,Detail!$G$1:$G$1001,0))</f>
        <v>Sorong</v>
      </c>
      <c r="R956" s="7">
        <f>INDEX(Detail!$C$1:$C$1001,MATCH(B956,Detail!$G$1:$G$1001,0),1)</f>
        <v>159</v>
      </c>
      <c r="S956" s="7">
        <f>INDEX(Detail!$D$1:$D$1001,MATCH(B956,Detail!$G$1:$G$1001,0),1)</f>
        <v>73</v>
      </c>
      <c r="T956" s="7" t="str">
        <f>INDEX(Detail!$E$1:$E$1001,MATCH(Main!B956,Detail!$G$1:$G$1001,0))</f>
        <v>Jl. Monginsidi No. 07</v>
      </c>
      <c r="U956" s="7" t="str">
        <f>INDEX(Detail!$B$1:$B$1001,MATCH(B956,Detail!$G$1:$G$1001,0),1)</f>
        <v>AB+</v>
      </c>
    </row>
    <row r="957" spans="1:21" ht="15.75" x14ac:dyDescent="0.25">
      <c r="A957">
        <v>732</v>
      </c>
      <c r="B957" s="3" t="str">
        <f t="shared" si="43"/>
        <v>F0732</v>
      </c>
      <c r="C957" t="s">
        <v>1011</v>
      </c>
      <c r="D957" s="3" t="str">
        <f>VLOOKUP(B957,Detail!$G$1:$H$1001,2,FALSE)</f>
        <v>Aris Anggraini</v>
      </c>
      <c r="E957">
        <v>66</v>
      </c>
      <c r="F957">
        <v>59</v>
      </c>
      <c r="G957" s="35">
        <v>46</v>
      </c>
      <c r="H957">
        <v>63</v>
      </c>
      <c r="I957">
        <v>85</v>
      </c>
      <c r="J957">
        <v>44</v>
      </c>
      <c r="K957">
        <v>90</v>
      </c>
      <c r="L957" s="26">
        <f>IFERROR(VLOOKUP(B957,Absen!$A$1:$C$501,2,FALSE),"No")</f>
        <v>44832</v>
      </c>
      <c r="M957" s="44">
        <f t="shared" si="41"/>
        <v>8</v>
      </c>
      <c r="N957" s="35">
        <f t="shared" si="42"/>
        <v>60.125</v>
      </c>
      <c r="O957" t="str">
        <f>VLOOKUP(N957,Helper!$B$30:$C$35,2,TRUE)</f>
        <v>C</v>
      </c>
      <c r="P957" s="26">
        <f>INDEX(Detail!$A$1:$A$1001,MATCH(B957,Detail!$G$1:$G$1001,0))</f>
        <v>37728</v>
      </c>
      <c r="Q957" s="3" t="str">
        <f>INDEX(Detail!$F$1:$F$1001,MATCH(Main!B957,Detail!$G$1:$G$1001,0))</f>
        <v>Surakarta</v>
      </c>
      <c r="R957" s="7">
        <f>INDEX(Detail!$C$1:$C$1001,MATCH(B957,Detail!$G$1:$G$1001,0),1)</f>
        <v>175</v>
      </c>
      <c r="S957" s="7">
        <f>INDEX(Detail!$D$1:$D$1001,MATCH(B957,Detail!$G$1:$G$1001,0),1)</f>
        <v>77</v>
      </c>
      <c r="T957" s="7" t="str">
        <f>INDEX(Detail!$E$1:$E$1001,MATCH(Main!B957,Detail!$G$1:$G$1001,0))</f>
        <v xml:space="preserve">Jalan Wonoayu No. 2
</v>
      </c>
      <c r="U957" s="7" t="str">
        <f>INDEX(Detail!$B$1:$B$1001,MATCH(B957,Detail!$G$1:$G$1001,0),1)</f>
        <v>B+</v>
      </c>
    </row>
    <row r="958" spans="1:21" ht="15.75" x14ac:dyDescent="0.25">
      <c r="A958">
        <v>735</v>
      </c>
      <c r="B958" s="3" t="str">
        <f t="shared" si="43"/>
        <v>F0735</v>
      </c>
      <c r="C958" t="s">
        <v>1011</v>
      </c>
      <c r="D958" s="3" t="str">
        <f>VLOOKUP(B958,Detail!$G$1:$H$1001,2,FALSE)</f>
        <v>Rafi Namaga</v>
      </c>
      <c r="E958">
        <v>55</v>
      </c>
      <c r="F958">
        <v>56</v>
      </c>
      <c r="G958" s="35">
        <v>85</v>
      </c>
      <c r="H958">
        <v>50</v>
      </c>
      <c r="I958">
        <v>57</v>
      </c>
      <c r="J958">
        <v>70</v>
      </c>
      <c r="K958">
        <v>80</v>
      </c>
      <c r="L958" s="26">
        <f>IFERROR(VLOOKUP(B958,Absen!$A$1:$C$501,2,FALSE),"No")</f>
        <v>44750</v>
      </c>
      <c r="M958" s="44">
        <f t="shared" si="41"/>
        <v>7</v>
      </c>
      <c r="N958" s="35">
        <f t="shared" si="42"/>
        <v>65.25</v>
      </c>
      <c r="O958" t="str">
        <f>VLOOKUP(N958,Helper!$B$30:$C$35,2,TRUE)</f>
        <v>C</v>
      </c>
      <c r="P958" s="26">
        <f>INDEX(Detail!$A$1:$A$1001,MATCH(B958,Detail!$G$1:$G$1001,0))</f>
        <v>37936</v>
      </c>
      <c r="Q958" s="3" t="str">
        <f>INDEX(Detail!$F$1:$F$1001,MATCH(Main!B958,Detail!$G$1:$G$1001,0))</f>
        <v>Batu</v>
      </c>
      <c r="R958" s="7">
        <f>INDEX(Detail!$C$1:$C$1001,MATCH(B958,Detail!$G$1:$G$1001,0),1)</f>
        <v>174</v>
      </c>
      <c r="S958" s="7">
        <f>INDEX(Detail!$D$1:$D$1001,MATCH(B958,Detail!$G$1:$G$1001,0),1)</f>
        <v>89</v>
      </c>
      <c r="T958" s="7" t="str">
        <f>INDEX(Detail!$E$1:$E$1001,MATCH(Main!B958,Detail!$G$1:$G$1001,0))</f>
        <v>Gang Cikutra Timur No. 64</v>
      </c>
      <c r="U958" s="7" t="str">
        <f>INDEX(Detail!$B$1:$B$1001,MATCH(B958,Detail!$G$1:$G$1001,0),1)</f>
        <v>AB+</v>
      </c>
    </row>
    <row r="959" spans="1:21" ht="15.75" x14ac:dyDescent="0.25">
      <c r="A959">
        <v>736</v>
      </c>
      <c r="B959" s="3" t="str">
        <f t="shared" si="43"/>
        <v>F0736</v>
      </c>
      <c r="C959" t="s">
        <v>1011</v>
      </c>
      <c r="D959" s="3" t="str">
        <f>VLOOKUP(B959,Detail!$G$1:$H$1001,2,FALSE)</f>
        <v>Martani Pudjiastuti</v>
      </c>
      <c r="E959">
        <v>59</v>
      </c>
      <c r="F959">
        <v>53</v>
      </c>
      <c r="G959" s="35">
        <v>95</v>
      </c>
      <c r="H959">
        <v>64</v>
      </c>
      <c r="I959">
        <v>81</v>
      </c>
      <c r="J959">
        <v>55</v>
      </c>
      <c r="K959">
        <v>79</v>
      </c>
      <c r="L959" s="26">
        <f>IFERROR(VLOOKUP(B959,Absen!$A$1:$C$501,2,FALSE),"No")</f>
        <v>44897</v>
      </c>
      <c r="M959" s="44">
        <f t="shared" si="41"/>
        <v>6.9</v>
      </c>
      <c r="N959" s="35">
        <f t="shared" si="42"/>
        <v>69.025000000000006</v>
      </c>
      <c r="O959" t="str">
        <f>VLOOKUP(N959,Helper!$B$30:$C$35,2,TRUE)</f>
        <v>C</v>
      </c>
      <c r="P959" s="26">
        <f>INDEX(Detail!$A$1:$A$1001,MATCH(B959,Detail!$G$1:$G$1001,0))</f>
        <v>37719</v>
      </c>
      <c r="Q959" s="3" t="str">
        <f>INDEX(Detail!$F$1:$F$1001,MATCH(Main!B959,Detail!$G$1:$G$1001,0))</f>
        <v>Prabumulih</v>
      </c>
      <c r="R959" s="7">
        <f>INDEX(Detail!$C$1:$C$1001,MATCH(B959,Detail!$G$1:$G$1001,0),1)</f>
        <v>179</v>
      </c>
      <c r="S959" s="7">
        <f>INDEX(Detail!$D$1:$D$1001,MATCH(B959,Detail!$G$1:$G$1001,0),1)</f>
        <v>47</v>
      </c>
      <c r="T959" s="7" t="str">
        <f>INDEX(Detail!$E$1:$E$1001,MATCH(Main!B959,Detail!$G$1:$G$1001,0))</f>
        <v>Gang Rawamangun No. 30</v>
      </c>
      <c r="U959" s="7" t="str">
        <f>INDEX(Detail!$B$1:$B$1001,MATCH(B959,Detail!$G$1:$G$1001,0),1)</f>
        <v>A+</v>
      </c>
    </row>
    <row r="960" spans="1:21" ht="15.75" x14ac:dyDescent="0.25">
      <c r="A960">
        <v>738</v>
      </c>
      <c r="B960" s="3" t="str">
        <f t="shared" si="43"/>
        <v>F0738</v>
      </c>
      <c r="C960" t="s">
        <v>1011</v>
      </c>
      <c r="D960" s="3" t="str">
        <f>VLOOKUP(B960,Detail!$G$1:$H$1001,2,FALSE)</f>
        <v>Ciaobella Wibisono</v>
      </c>
      <c r="E960">
        <v>69</v>
      </c>
      <c r="F960">
        <v>68</v>
      </c>
      <c r="G960" s="35">
        <v>73</v>
      </c>
      <c r="H960">
        <v>72</v>
      </c>
      <c r="I960">
        <v>78</v>
      </c>
      <c r="J960">
        <v>99</v>
      </c>
      <c r="K960">
        <v>72</v>
      </c>
      <c r="L960" s="26" t="str">
        <f>IFERROR(VLOOKUP(B960,Absen!$A$1:$C$501,2,FALSE),"No")</f>
        <v>No</v>
      </c>
      <c r="M960" s="44">
        <f t="shared" si="41"/>
        <v>7.2</v>
      </c>
      <c r="N960" s="35">
        <f t="shared" si="42"/>
        <v>77.475000000000009</v>
      </c>
      <c r="O960" t="str">
        <f>VLOOKUP(N960,Helper!$B$30:$C$35,2,TRUE)</f>
        <v>B</v>
      </c>
      <c r="P960" s="26">
        <f>INDEX(Detail!$A$1:$A$1001,MATCH(B960,Detail!$G$1:$G$1001,0))</f>
        <v>37867</v>
      </c>
      <c r="Q960" s="3" t="str">
        <f>INDEX(Detail!$F$1:$F$1001,MATCH(Main!B960,Detail!$G$1:$G$1001,0))</f>
        <v>Pariaman</v>
      </c>
      <c r="R960" s="7">
        <f>INDEX(Detail!$C$1:$C$1001,MATCH(B960,Detail!$G$1:$G$1001,0),1)</f>
        <v>174</v>
      </c>
      <c r="S960" s="7">
        <f>INDEX(Detail!$D$1:$D$1001,MATCH(B960,Detail!$G$1:$G$1001,0),1)</f>
        <v>86</v>
      </c>
      <c r="T960" s="7" t="str">
        <f>INDEX(Detail!$E$1:$E$1001,MATCH(Main!B960,Detail!$G$1:$G$1001,0))</f>
        <v>Gang Wonoayu No. 62</v>
      </c>
      <c r="U960" s="7" t="str">
        <f>INDEX(Detail!$B$1:$B$1001,MATCH(B960,Detail!$G$1:$G$1001,0),1)</f>
        <v>AB+</v>
      </c>
    </row>
    <row r="961" spans="1:21" ht="15.75" x14ac:dyDescent="0.25">
      <c r="A961">
        <v>742</v>
      </c>
      <c r="B961" s="3" t="str">
        <f t="shared" si="43"/>
        <v>F0742</v>
      </c>
      <c r="C961" t="s">
        <v>1011</v>
      </c>
      <c r="D961" s="3" t="str">
        <f>VLOOKUP(B961,Detail!$G$1:$H$1001,2,FALSE)</f>
        <v>Salman Irawan</v>
      </c>
      <c r="E961">
        <v>75</v>
      </c>
      <c r="F961">
        <v>44</v>
      </c>
      <c r="G961" s="35">
        <v>40</v>
      </c>
      <c r="H961">
        <v>52</v>
      </c>
      <c r="I961">
        <v>59</v>
      </c>
      <c r="J961">
        <v>65</v>
      </c>
      <c r="K961">
        <v>86</v>
      </c>
      <c r="L961" s="26">
        <f>IFERROR(VLOOKUP(B961,Absen!$A$1:$C$501,2,FALSE),"No")</f>
        <v>44902</v>
      </c>
      <c r="M961" s="44">
        <f t="shared" si="41"/>
        <v>7.6000000000000005</v>
      </c>
      <c r="N961" s="35">
        <f t="shared" si="42"/>
        <v>57.35</v>
      </c>
      <c r="O961" t="str">
        <f>VLOOKUP(N961,Helper!$B$30:$C$35,2,TRUE)</f>
        <v>D</v>
      </c>
      <c r="P961" s="26">
        <f>INDEX(Detail!$A$1:$A$1001,MATCH(B961,Detail!$G$1:$G$1001,0))</f>
        <v>37711</v>
      </c>
      <c r="Q961" s="3" t="str">
        <f>INDEX(Detail!$F$1:$F$1001,MATCH(Main!B961,Detail!$G$1:$G$1001,0))</f>
        <v>Langsa</v>
      </c>
      <c r="R961" s="7">
        <f>INDEX(Detail!$C$1:$C$1001,MATCH(B961,Detail!$G$1:$G$1001,0),1)</f>
        <v>175</v>
      </c>
      <c r="S961" s="7">
        <f>INDEX(Detail!$D$1:$D$1001,MATCH(B961,Detail!$G$1:$G$1001,0),1)</f>
        <v>84</v>
      </c>
      <c r="T961" s="7" t="str">
        <f>INDEX(Detail!$E$1:$E$1001,MATCH(Main!B961,Detail!$G$1:$G$1001,0))</f>
        <v xml:space="preserve">Jl. KH Amin Jasuta No. 9
</v>
      </c>
      <c r="U961" s="7" t="str">
        <f>INDEX(Detail!$B$1:$B$1001,MATCH(B961,Detail!$G$1:$G$1001,0),1)</f>
        <v>O-</v>
      </c>
    </row>
    <row r="962" spans="1:21" ht="15.75" x14ac:dyDescent="0.25">
      <c r="A962">
        <v>750</v>
      </c>
      <c r="B962" s="3" t="str">
        <f t="shared" si="43"/>
        <v>F0750</v>
      </c>
      <c r="C962" t="s">
        <v>1011</v>
      </c>
      <c r="D962" s="3" t="str">
        <f>VLOOKUP(B962,Detail!$G$1:$H$1001,2,FALSE)</f>
        <v>Mahdi Permadi</v>
      </c>
      <c r="E962">
        <v>88</v>
      </c>
      <c r="F962">
        <v>68</v>
      </c>
      <c r="G962" s="35">
        <v>88</v>
      </c>
      <c r="H962">
        <v>58</v>
      </c>
      <c r="I962">
        <v>94</v>
      </c>
      <c r="J962">
        <v>56</v>
      </c>
      <c r="K962">
        <v>83</v>
      </c>
      <c r="L962" s="26" t="str">
        <f>IFERROR(VLOOKUP(B962,Absen!$A$1:$C$501,2,FALSE),"No")</f>
        <v>No</v>
      </c>
      <c r="M962" s="44">
        <f t="shared" ref="M962:M1001" si="44">IF(L962="no",K962,K962-10)*10%</f>
        <v>8.3000000000000007</v>
      </c>
      <c r="N962" s="35">
        <f t="shared" ref="N962:N1001" si="45">SUM(E962*12.5%,F962*12.5%,H962*12.5%,I962*12.5%,G962*20%,J962*20%,M962)</f>
        <v>75.599999999999994</v>
      </c>
      <c r="O962" t="str">
        <f>VLOOKUP(N962,Helper!$B$30:$C$35,2,TRUE)</f>
        <v>B</v>
      </c>
      <c r="P962" s="26">
        <f>INDEX(Detail!$A$1:$A$1001,MATCH(B962,Detail!$G$1:$G$1001,0))</f>
        <v>38292</v>
      </c>
      <c r="Q962" s="3" t="str">
        <f>INDEX(Detail!$F$1:$F$1001,MATCH(Main!B962,Detail!$G$1:$G$1001,0))</f>
        <v>Mojokerto</v>
      </c>
      <c r="R962" s="7">
        <f>INDEX(Detail!$C$1:$C$1001,MATCH(B962,Detail!$G$1:$G$1001,0),1)</f>
        <v>150</v>
      </c>
      <c r="S962" s="7">
        <f>INDEX(Detail!$D$1:$D$1001,MATCH(B962,Detail!$G$1:$G$1001,0),1)</f>
        <v>83</v>
      </c>
      <c r="T962" s="7" t="str">
        <f>INDEX(Detail!$E$1:$E$1001,MATCH(Main!B962,Detail!$G$1:$G$1001,0))</f>
        <v>Jalan Abdul Muis No. 75</v>
      </c>
      <c r="U962" s="7" t="str">
        <f>INDEX(Detail!$B$1:$B$1001,MATCH(B962,Detail!$G$1:$G$1001,0),1)</f>
        <v>AB-</v>
      </c>
    </row>
    <row r="963" spans="1:21" ht="15.75" x14ac:dyDescent="0.25">
      <c r="A963">
        <v>755</v>
      </c>
      <c r="B963" s="3" t="str">
        <f t="shared" si="43"/>
        <v>F0755</v>
      </c>
      <c r="C963" t="s">
        <v>1011</v>
      </c>
      <c r="D963" s="3" t="str">
        <f>VLOOKUP(B963,Detail!$G$1:$H$1001,2,FALSE)</f>
        <v>Perkasa Wahyuni</v>
      </c>
      <c r="E963">
        <v>81</v>
      </c>
      <c r="F963">
        <v>53</v>
      </c>
      <c r="G963" s="35">
        <v>77</v>
      </c>
      <c r="H963">
        <v>54</v>
      </c>
      <c r="I963">
        <v>87</v>
      </c>
      <c r="J963">
        <v>43</v>
      </c>
      <c r="K963">
        <v>69</v>
      </c>
      <c r="L963" s="26">
        <f>IFERROR(VLOOKUP(B963,Absen!$A$1:$C$501,2,FALSE),"No")</f>
        <v>44789</v>
      </c>
      <c r="M963" s="44">
        <f t="shared" si="44"/>
        <v>5.9</v>
      </c>
      <c r="N963" s="35">
        <f t="shared" si="45"/>
        <v>64.275000000000006</v>
      </c>
      <c r="O963" t="str">
        <f>VLOOKUP(N963,Helper!$B$30:$C$35,2,TRUE)</f>
        <v>C</v>
      </c>
      <c r="P963" s="26">
        <f>INDEX(Detail!$A$1:$A$1001,MATCH(B963,Detail!$G$1:$G$1001,0))</f>
        <v>38454</v>
      </c>
      <c r="Q963" s="3" t="str">
        <f>INDEX(Detail!$F$1:$F$1001,MATCH(Main!B963,Detail!$G$1:$G$1001,0))</f>
        <v>Ambon</v>
      </c>
      <c r="R963" s="7">
        <f>INDEX(Detail!$C$1:$C$1001,MATCH(B963,Detail!$G$1:$G$1001,0),1)</f>
        <v>180</v>
      </c>
      <c r="S963" s="7">
        <f>INDEX(Detail!$D$1:$D$1001,MATCH(B963,Detail!$G$1:$G$1001,0),1)</f>
        <v>58</v>
      </c>
      <c r="T963" s="7" t="str">
        <f>INDEX(Detail!$E$1:$E$1001,MATCH(Main!B963,Detail!$G$1:$G$1001,0))</f>
        <v>Gg. Antapani Lama No. 68</v>
      </c>
      <c r="U963" s="7" t="str">
        <f>INDEX(Detail!$B$1:$B$1001,MATCH(B963,Detail!$G$1:$G$1001,0),1)</f>
        <v>AB-</v>
      </c>
    </row>
    <row r="964" spans="1:21" ht="15.75" x14ac:dyDescent="0.25">
      <c r="A964">
        <v>760</v>
      </c>
      <c r="B964" s="3" t="str">
        <f t="shared" si="43"/>
        <v>F0760</v>
      </c>
      <c r="C964" t="s">
        <v>1011</v>
      </c>
      <c r="D964" s="3" t="str">
        <f>VLOOKUP(B964,Detail!$G$1:$H$1001,2,FALSE)</f>
        <v>Amelia Nasyiah</v>
      </c>
      <c r="E964">
        <v>89</v>
      </c>
      <c r="F964">
        <v>60</v>
      </c>
      <c r="G964" s="35">
        <v>71</v>
      </c>
      <c r="H964">
        <v>58</v>
      </c>
      <c r="I964">
        <v>92</v>
      </c>
      <c r="J964">
        <v>57</v>
      </c>
      <c r="K964">
        <v>90</v>
      </c>
      <c r="L964" s="26" t="str">
        <f>IFERROR(VLOOKUP(B964,Absen!$A$1:$C$501,2,FALSE),"No")</f>
        <v>No</v>
      </c>
      <c r="M964" s="44">
        <f t="shared" si="44"/>
        <v>9</v>
      </c>
      <c r="N964" s="35">
        <f t="shared" si="45"/>
        <v>71.974999999999994</v>
      </c>
      <c r="O964" t="str">
        <f>VLOOKUP(N964,Helper!$B$30:$C$35,2,TRUE)</f>
        <v>B</v>
      </c>
      <c r="P964" s="26">
        <f>INDEX(Detail!$A$1:$A$1001,MATCH(B964,Detail!$G$1:$G$1001,0))</f>
        <v>37682</v>
      </c>
      <c r="Q964" s="3" t="str">
        <f>INDEX(Detail!$F$1:$F$1001,MATCH(Main!B964,Detail!$G$1:$G$1001,0))</f>
        <v>Singkawang</v>
      </c>
      <c r="R964" s="7">
        <f>INDEX(Detail!$C$1:$C$1001,MATCH(B964,Detail!$G$1:$G$1001,0),1)</f>
        <v>180</v>
      </c>
      <c r="S964" s="7">
        <f>INDEX(Detail!$D$1:$D$1001,MATCH(B964,Detail!$G$1:$G$1001,0),1)</f>
        <v>74</v>
      </c>
      <c r="T964" s="7" t="str">
        <f>INDEX(Detail!$E$1:$E$1001,MATCH(Main!B964,Detail!$G$1:$G$1001,0))</f>
        <v>Gang Ronggowarsito No. 18</v>
      </c>
      <c r="U964" s="7" t="str">
        <f>INDEX(Detail!$B$1:$B$1001,MATCH(B964,Detail!$G$1:$G$1001,0),1)</f>
        <v>B+</v>
      </c>
    </row>
    <row r="965" spans="1:21" ht="15.75" x14ac:dyDescent="0.25">
      <c r="A965">
        <v>769</v>
      </c>
      <c r="B965" s="3" t="str">
        <f t="shared" si="43"/>
        <v>F0769</v>
      </c>
      <c r="C965" t="s">
        <v>1011</v>
      </c>
      <c r="D965" s="3" t="str">
        <f>VLOOKUP(B965,Detail!$G$1:$H$1001,2,FALSE)</f>
        <v>Lalita Wibisono</v>
      </c>
      <c r="E965">
        <v>91</v>
      </c>
      <c r="F965">
        <v>52</v>
      </c>
      <c r="G965" s="35">
        <v>69</v>
      </c>
      <c r="H965">
        <v>59</v>
      </c>
      <c r="I965">
        <v>89</v>
      </c>
      <c r="J965">
        <v>99</v>
      </c>
      <c r="K965">
        <v>100</v>
      </c>
      <c r="L965" s="26" t="str">
        <f>IFERROR(VLOOKUP(B965,Absen!$A$1:$C$501,2,FALSE),"No")</f>
        <v>No</v>
      </c>
      <c r="M965" s="44">
        <f t="shared" si="44"/>
        <v>10</v>
      </c>
      <c r="N965" s="35">
        <f t="shared" si="45"/>
        <v>79.974999999999994</v>
      </c>
      <c r="O965" t="str">
        <f>VLOOKUP(N965,Helper!$B$30:$C$35,2,TRUE)</f>
        <v>B</v>
      </c>
      <c r="P965" s="26">
        <f>INDEX(Detail!$A$1:$A$1001,MATCH(B965,Detail!$G$1:$G$1001,0))</f>
        <v>38118</v>
      </c>
      <c r="Q965" s="3" t="str">
        <f>INDEX(Detail!$F$1:$F$1001,MATCH(Main!B965,Detail!$G$1:$G$1001,0))</f>
        <v>Surabaya</v>
      </c>
      <c r="R965" s="7">
        <f>INDEX(Detail!$C$1:$C$1001,MATCH(B965,Detail!$G$1:$G$1001,0),1)</f>
        <v>167</v>
      </c>
      <c r="S965" s="7">
        <f>INDEX(Detail!$D$1:$D$1001,MATCH(B965,Detail!$G$1:$G$1001,0),1)</f>
        <v>46</v>
      </c>
      <c r="T965" s="7" t="str">
        <f>INDEX(Detail!$E$1:$E$1001,MATCH(Main!B965,Detail!$G$1:$G$1001,0))</f>
        <v>Jl. Rawamangun No. 82</v>
      </c>
      <c r="U965" s="7" t="str">
        <f>INDEX(Detail!$B$1:$B$1001,MATCH(B965,Detail!$G$1:$G$1001,0),1)</f>
        <v>AB+</v>
      </c>
    </row>
    <row r="966" spans="1:21" ht="15.75" x14ac:dyDescent="0.25">
      <c r="A966">
        <v>785</v>
      </c>
      <c r="B966" s="3" t="str">
        <f t="shared" ref="B966:B1000" si="46">CONCATENATE("F",TEXT(A966,"0000"))</f>
        <v>F0785</v>
      </c>
      <c r="C966" t="s">
        <v>1011</v>
      </c>
      <c r="D966" s="3" t="str">
        <f>VLOOKUP(B966,Detail!$G$1:$H$1001,2,FALSE)</f>
        <v>Gangsa Yuniar</v>
      </c>
      <c r="E966">
        <v>78</v>
      </c>
      <c r="F966">
        <v>61</v>
      </c>
      <c r="G966" s="35">
        <v>43</v>
      </c>
      <c r="H966">
        <v>54</v>
      </c>
      <c r="I966">
        <v>69</v>
      </c>
      <c r="J966">
        <v>85</v>
      </c>
      <c r="K966">
        <v>64</v>
      </c>
      <c r="L966" s="26" t="str">
        <f>IFERROR(VLOOKUP(B966,Absen!$A$1:$C$501,2,FALSE),"No")</f>
        <v>No</v>
      </c>
      <c r="M966" s="44">
        <f t="shared" si="44"/>
        <v>6.4</v>
      </c>
      <c r="N966" s="35">
        <f t="shared" si="45"/>
        <v>64.75</v>
      </c>
      <c r="O966" t="str">
        <f>VLOOKUP(N966,Helper!$B$30:$C$35,2,TRUE)</f>
        <v>C</v>
      </c>
      <c r="P966" s="26">
        <f>INDEX(Detail!$A$1:$A$1001,MATCH(B966,Detail!$G$1:$G$1001,0))</f>
        <v>37131</v>
      </c>
      <c r="Q966" s="3" t="str">
        <f>INDEX(Detail!$F$1:$F$1001,MATCH(Main!B966,Detail!$G$1:$G$1001,0))</f>
        <v>Cimahi</v>
      </c>
      <c r="R966" s="7">
        <f>INDEX(Detail!$C$1:$C$1001,MATCH(B966,Detail!$G$1:$G$1001,0),1)</f>
        <v>172</v>
      </c>
      <c r="S966" s="7">
        <f>INDEX(Detail!$D$1:$D$1001,MATCH(B966,Detail!$G$1:$G$1001,0),1)</f>
        <v>95</v>
      </c>
      <c r="T966" s="7" t="str">
        <f>INDEX(Detail!$E$1:$E$1001,MATCH(Main!B966,Detail!$G$1:$G$1001,0))</f>
        <v>Gang Gegerkalong Hilir No. 40</v>
      </c>
      <c r="U966" s="7" t="str">
        <f>INDEX(Detail!$B$1:$B$1001,MATCH(B966,Detail!$G$1:$G$1001,0),1)</f>
        <v>O-</v>
      </c>
    </row>
    <row r="967" spans="1:21" ht="15.75" x14ac:dyDescent="0.25">
      <c r="A967">
        <v>802</v>
      </c>
      <c r="B967" s="3" t="str">
        <f t="shared" si="46"/>
        <v>F0802</v>
      </c>
      <c r="C967" t="s">
        <v>1011</v>
      </c>
      <c r="D967" s="3" t="str">
        <f>VLOOKUP(B967,Detail!$G$1:$H$1001,2,FALSE)</f>
        <v>Sabar Pratiwi</v>
      </c>
      <c r="E967">
        <v>67</v>
      </c>
      <c r="F967">
        <v>54</v>
      </c>
      <c r="G967" s="35">
        <v>85</v>
      </c>
      <c r="H967">
        <v>58</v>
      </c>
      <c r="I967">
        <v>87</v>
      </c>
      <c r="J967">
        <v>68</v>
      </c>
      <c r="K967">
        <v>89</v>
      </c>
      <c r="L967" s="26">
        <f>IFERROR(VLOOKUP(B967,Absen!$A$1:$C$501,2,FALSE),"No")</f>
        <v>44871</v>
      </c>
      <c r="M967" s="44">
        <f t="shared" si="44"/>
        <v>7.9</v>
      </c>
      <c r="N967" s="35">
        <f t="shared" si="45"/>
        <v>71.75</v>
      </c>
      <c r="O967" t="str">
        <f>VLOOKUP(N967,Helper!$B$30:$C$35,2,TRUE)</f>
        <v>B</v>
      </c>
      <c r="P967" s="26">
        <f>INDEX(Detail!$A$1:$A$1001,MATCH(B967,Detail!$G$1:$G$1001,0))</f>
        <v>38034</v>
      </c>
      <c r="Q967" s="3" t="str">
        <f>INDEX(Detail!$F$1:$F$1001,MATCH(Main!B967,Detail!$G$1:$G$1001,0))</f>
        <v>Malang</v>
      </c>
      <c r="R967" s="7">
        <f>INDEX(Detail!$C$1:$C$1001,MATCH(B967,Detail!$G$1:$G$1001,0),1)</f>
        <v>165</v>
      </c>
      <c r="S967" s="7">
        <f>INDEX(Detail!$D$1:$D$1001,MATCH(B967,Detail!$G$1:$G$1001,0),1)</f>
        <v>92</v>
      </c>
      <c r="T967" s="7" t="str">
        <f>INDEX(Detail!$E$1:$E$1001,MATCH(Main!B967,Detail!$G$1:$G$1001,0))</f>
        <v>Gang Asia Afrika No. 97</v>
      </c>
      <c r="U967" s="7" t="str">
        <f>INDEX(Detail!$B$1:$B$1001,MATCH(B967,Detail!$G$1:$G$1001,0),1)</f>
        <v>AB+</v>
      </c>
    </row>
    <row r="968" spans="1:21" ht="15.75" x14ac:dyDescent="0.25">
      <c r="A968">
        <v>811</v>
      </c>
      <c r="B968" s="3" t="str">
        <f t="shared" si="46"/>
        <v>F0811</v>
      </c>
      <c r="C968" t="s">
        <v>1011</v>
      </c>
      <c r="D968" s="3" t="str">
        <f>VLOOKUP(B968,Detail!$G$1:$H$1001,2,FALSE)</f>
        <v>Ifa Namaga</v>
      </c>
      <c r="E968">
        <v>93</v>
      </c>
      <c r="F968">
        <v>58</v>
      </c>
      <c r="G968" s="35">
        <v>55</v>
      </c>
      <c r="H968">
        <v>65</v>
      </c>
      <c r="I968">
        <v>50</v>
      </c>
      <c r="J968">
        <v>99</v>
      </c>
      <c r="K968">
        <v>61</v>
      </c>
      <c r="L968" s="26">
        <f>IFERROR(VLOOKUP(B968,Absen!$A$1:$C$501,2,FALSE),"No")</f>
        <v>44905</v>
      </c>
      <c r="M968" s="44">
        <f t="shared" si="44"/>
        <v>5.1000000000000005</v>
      </c>
      <c r="N968" s="35">
        <f t="shared" si="45"/>
        <v>69.149999999999991</v>
      </c>
      <c r="O968" t="str">
        <f>VLOOKUP(N968,Helper!$B$30:$C$35,2,TRUE)</f>
        <v>C</v>
      </c>
      <c r="P968" s="26">
        <f>INDEX(Detail!$A$1:$A$1001,MATCH(B968,Detail!$G$1:$G$1001,0))</f>
        <v>37118</v>
      </c>
      <c r="Q968" s="3" t="str">
        <f>INDEX(Detail!$F$1:$F$1001,MATCH(Main!B968,Detail!$G$1:$G$1001,0))</f>
        <v>Magelang</v>
      </c>
      <c r="R968" s="7">
        <f>INDEX(Detail!$C$1:$C$1001,MATCH(B968,Detail!$G$1:$G$1001,0),1)</f>
        <v>154</v>
      </c>
      <c r="S968" s="7">
        <f>INDEX(Detail!$D$1:$D$1001,MATCH(B968,Detail!$G$1:$G$1001,0),1)</f>
        <v>72</v>
      </c>
      <c r="T968" s="7" t="str">
        <f>INDEX(Detail!$E$1:$E$1001,MATCH(Main!B968,Detail!$G$1:$G$1001,0))</f>
        <v>Gg. Kiaracondong No. 19</v>
      </c>
      <c r="U968" s="7" t="str">
        <f>INDEX(Detail!$B$1:$B$1001,MATCH(B968,Detail!$G$1:$G$1001,0),1)</f>
        <v>AB+</v>
      </c>
    </row>
    <row r="969" spans="1:21" ht="15.75" x14ac:dyDescent="0.25">
      <c r="A969">
        <v>823</v>
      </c>
      <c r="B969" s="3" t="str">
        <f t="shared" si="46"/>
        <v>F0823</v>
      </c>
      <c r="C969" t="s">
        <v>1011</v>
      </c>
      <c r="D969" s="3" t="str">
        <f>VLOOKUP(B969,Detail!$G$1:$H$1001,2,FALSE)</f>
        <v>Tiara Palastri</v>
      </c>
      <c r="E969">
        <v>60</v>
      </c>
      <c r="F969">
        <v>47</v>
      </c>
      <c r="G969" s="35">
        <v>55</v>
      </c>
      <c r="H969">
        <v>60</v>
      </c>
      <c r="I969">
        <v>52</v>
      </c>
      <c r="J969">
        <v>44</v>
      </c>
      <c r="K969">
        <v>82</v>
      </c>
      <c r="L969" s="26">
        <f>IFERROR(VLOOKUP(B969,Absen!$A$1:$C$501,2,FALSE),"No")</f>
        <v>44804</v>
      </c>
      <c r="M969" s="44">
        <f t="shared" si="44"/>
        <v>7.2</v>
      </c>
      <c r="N969" s="35">
        <f t="shared" si="45"/>
        <v>54.375</v>
      </c>
      <c r="O969" t="str">
        <f>VLOOKUP(N969,Helper!$B$30:$C$35,2,TRUE)</f>
        <v>D</v>
      </c>
      <c r="P969" s="26">
        <f>INDEX(Detail!$A$1:$A$1001,MATCH(B969,Detail!$G$1:$G$1001,0))</f>
        <v>38168</v>
      </c>
      <c r="Q969" s="3" t="str">
        <f>INDEX(Detail!$F$1:$F$1001,MATCH(Main!B969,Detail!$G$1:$G$1001,0))</f>
        <v>Pasuruan</v>
      </c>
      <c r="R969" s="7">
        <f>INDEX(Detail!$C$1:$C$1001,MATCH(B969,Detail!$G$1:$G$1001,0),1)</f>
        <v>162</v>
      </c>
      <c r="S969" s="7">
        <f>INDEX(Detail!$D$1:$D$1001,MATCH(B969,Detail!$G$1:$G$1001,0),1)</f>
        <v>47</v>
      </c>
      <c r="T969" s="7" t="str">
        <f>INDEX(Detail!$E$1:$E$1001,MATCH(Main!B969,Detail!$G$1:$G$1001,0))</f>
        <v>Jl. H.J Maemunah No. 30</v>
      </c>
      <c r="U969" s="7" t="str">
        <f>INDEX(Detail!$B$1:$B$1001,MATCH(B969,Detail!$G$1:$G$1001,0),1)</f>
        <v>AB+</v>
      </c>
    </row>
    <row r="970" spans="1:21" ht="15.75" x14ac:dyDescent="0.25">
      <c r="A970">
        <v>828</v>
      </c>
      <c r="B970" s="3" t="str">
        <f t="shared" si="46"/>
        <v>F0828</v>
      </c>
      <c r="C970" t="s">
        <v>1011</v>
      </c>
      <c r="D970" s="3" t="str">
        <f>VLOOKUP(B970,Detail!$G$1:$H$1001,2,FALSE)</f>
        <v>Teguh Uyainah</v>
      </c>
      <c r="E970">
        <v>70</v>
      </c>
      <c r="F970">
        <v>71</v>
      </c>
      <c r="G970" s="35">
        <v>58</v>
      </c>
      <c r="H970">
        <v>73</v>
      </c>
      <c r="I970">
        <v>67</v>
      </c>
      <c r="J970">
        <v>93</v>
      </c>
      <c r="K970">
        <v>82</v>
      </c>
      <c r="L970" s="26" t="str">
        <f>IFERROR(VLOOKUP(B970,Absen!$A$1:$C$501,2,FALSE),"No")</f>
        <v>No</v>
      </c>
      <c r="M970" s="44">
        <f t="shared" si="44"/>
        <v>8.2000000000000011</v>
      </c>
      <c r="N970" s="35">
        <f t="shared" si="45"/>
        <v>73.525000000000006</v>
      </c>
      <c r="O970" t="str">
        <f>VLOOKUP(N970,Helper!$B$30:$C$35,2,TRUE)</f>
        <v>B</v>
      </c>
      <c r="P970" s="26">
        <f>INDEX(Detail!$A$1:$A$1001,MATCH(B970,Detail!$G$1:$G$1001,0))</f>
        <v>37274</v>
      </c>
      <c r="Q970" s="3" t="str">
        <f>INDEX(Detail!$F$1:$F$1001,MATCH(Main!B970,Detail!$G$1:$G$1001,0))</f>
        <v>Parepare</v>
      </c>
      <c r="R970" s="7">
        <f>INDEX(Detail!$C$1:$C$1001,MATCH(B970,Detail!$G$1:$G$1001,0),1)</f>
        <v>164</v>
      </c>
      <c r="S970" s="7">
        <f>INDEX(Detail!$D$1:$D$1001,MATCH(B970,Detail!$G$1:$G$1001,0),1)</f>
        <v>75</v>
      </c>
      <c r="T970" s="7" t="str">
        <f>INDEX(Detail!$E$1:$E$1001,MATCH(Main!B970,Detail!$G$1:$G$1001,0))</f>
        <v>Jl. Sukajadi No. 73</v>
      </c>
      <c r="U970" s="7" t="str">
        <f>INDEX(Detail!$B$1:$B$1001,MATCH(B970,Detail!$G$1:$G$1001,0),1)</f>
        <v>AB+</v>
      </c>
    </row>
    <row r="971" spans="1:21" ht="15.75" x14ac:dyDescent="0.25">
      <c r="A971">
        <v>838</v>
      </c>
      <c r="B971" s="3" t="str">
        <f t="shared" si="46"/>
        <v>F0838</v>
      </c>
      <c r="C971" t="s">
        <v>1011</v>
      </c>
      <c r="D971" s="3" t="str">
        <f>VLOOKUP(B971,Detail!$G$1:$H$1001,2,FALSE)</f>
        <v>Raditya Mangunsong</v>
      </c>
      <c r="E971">
        <v>82</v>
      </c>
      <c r="F971">
        <v>64</v>
      </c>
      <c r="G971" s="35">
        <v>69</v>
      </c>
      <c r="H971">
        <v>72</v>
      </c>
      <c r="I971">
        <v>64</v>
      </c>
      <c r="J971">
        <v>53</v>
      </c>
      <c r="K971">
        <v>92</v>
      </c>
      <c r="L971" s="26">
        <f>IFERROR(VLOOKUP(B971,Absen!$A$1:$C$501,2,FALSE),"No")</f>
        <v>44863</v>
      </c>
      <c r="M971" s="44">
        <f t="shared" si="44"/>
        <v>8.2000000000000011</v>
      </c>
      <c r="N971" s="35">
        <f t="shared" si="45"/>
        <v>67.849999999999994</v>
      </c>
      <c r="O971" t="str">
        <f>VLOOKUP(N971,Helper!$B$30:$C$35,2,TRUE)</f>
        <v>C</v>
      </c>
      <c r="P971" s="26">
        <f>INDEX(Detail!$A$1:$A$1001,MATCH(B971,Detail!$G$1:$G$1001,0))</f>
        <v>37424</v>
      </c>
      <c r="Q971" s="3" t="str">
        <f>INDEX(Detail!$F$1:$F$1001,MATCH(Main!B971,Detail!$G$1:$G$1001,0))</f>
        <v>Solok</v>
      </c>
      <c r="R971" s="7">
        <f>INDEX(Detail!$C$1:$C$1001,MATCH(B971,Detail!$G$1:$G$1001,0),1)</f>
        <v>180</v>
      </c>
      <c r="S971" s="7">
        <f>INDEX(Detail!$D$1:$D$1001,MATCH(B971,Detail!$G$1:$G$1001,0),1)</f>
        <v>81</v>
      </c>
      <c r="T971" s="7" t="str">
        <f>INDEX(Detail!$E$1:$E$1001,MATCH(Main!B971,Detail!$G$1:$G$1001,0))</f>
        <v xml:space="preserve">Gg. Abdul Muis No. 4
</v>
      </c>
      <c r="U971" s="7" t="str">
        <f>INDEX(Detail!$B$1:$B$1001,MATCH(B971,Detail!$G$1:$G$1001,0),1)</f>
        <v>O-</v>
      </c>
    </row>
    <row r="972" spans="1:21" ht="15.75" x14ac:dyDescent="0.25">
      <c r="A972">
        <v>845</v>
      </c>
      <c r="B972" s="3" t="str">
        <f t="shared" si="46"/>
        <v>F0845</v>
      </c>
      <c r="C972" t="s">
        <v>1011</v>
      </c>
      <c r="D972" s="3" t="str">
        <f>VLOOKUP(B972,Detail!$G$1:$H$1001,2,FALSE)</f>
        <v>Imam Palastri</v>
      </c>
      <c r="E972">
        <v>57</v>
      </c>
      <c r="F972">
        <v>71</v>
      </c>
      <c r="G972" s="35">
        <v>92</v>
      </c>
      <c r="H972">
        <v>55</v>
      </c>
      <c r="I972">
        <v>77</v>
      </c>
      <c r="J972">
        <v>73</v>
      </c>
      <c r="K972">
        <v>99</v>
      </c>
      <c r="L972" s="26">
        <f>IFERROR(VLOOKUP(B972,Absen!$A$1:$C$501,2,FALSE),"No")</f>
        <v>44847</v>
      </c>
      <c r="M972" s="44">
        <f t="shared" si="44"/>
        <v>8.9</v>
      </c>
      <c r="N972" s="35">
        <f t="shared" si="45"/>
        <v>74.400000000000006</v>
      </c>
      <c r="O972" t="str">
        <f>VLOOKUP(N972,Helper!$B$30:$C$35,2,TRUE)</f>
        <v>B</v>
      </c>
      <c r="P972" s="26">
        <f>INDEX(Detail!$A$1:$A$1001,MATCH(B972,Detail!$G$1:$G$1001,0))</f>
        <v>38285</v>
      </c>
      <c r="Q972" s="3" t="str">
        <f>INDEX(Detail!$F$1:$F$1001,MATCH(Main!B972,Detail!$G$1:$G$1001,0))</f>
        <v>Yogyakarta</v>
      </c>
      <c r="R972" s="7">
        <f>INDEX(Detail!$C$1:$C$1001,MATCH(B972,Detail!$G$1:$G$1001,0),1)</f>
        <v>155</v>
      </c>
      <c r="S972" s="7">
        <f>INDEX(Detail!$D$1:$D$1001,MATCH(B972,Detail!$G$1:$G$1001,0),1)</f>
        <v>61</v>
      </c>
      <c r="T972" s="7" t="str">
        <f>INDEX(Detail!$E$1:$E$1001,MATCH(Main!B972,Detail!$G$1:$G$1001,0))</f>
        <v>Gg. Rungkut Industri No. 00</v>
      </c>
      <c r="U972" s="7" t="str">
        <f>INDEX(Detail!$B$1:$B$1001,MATCH(B972,Detail!$G$1:$G$1001,0),1)</f>
        <v>A-</v>
      </c>
    </row>
    <row r="973" spans="1:21" ht="15.75" x14ac:dyDescent="0.25">
      <c r="A973">
        <v>853</v>
      </c>
      <c r="B973" s="3" t="str">
        <f t="shared" si="46"/>
        <v>F0853</v>
      </c>
      <c r="C973" t="s">
        <v>1011</v>
      </c>
      <c r="D973" s="3" t="str">
        <f>VLOOKUP(B973,Detail!$G$1:$H$1001,2,FALSE)</f>
        <v>Leo Halim</v>
      </c>
      <c r="E973">
        <v>80</v>
      </c>
      <c r="F973">
        <v>74</v>
      </c>
      <c r="G973" s="35">
        <v>95</v>
      </c>
      <c r="H973">
        <v>54</v>
      </c>
      <c r="I973">
        <v>88</v>
      </c>
      <c r="J973">
        <v>94</v>
      </c>
      <c r="K973">
        <v>61</v>
      </c>
      <c r="L973" s="26">
        <f>IFERROR(VLOOKUP(B973,Absen!$A$1:$C$501,2,FALSE),"No")</f>
        <v>44783</v>
      </c>
      <c r="M973" s="44">
        <f t="shared" si="44"/>
        <v>5.1000000000000005</v>
      </c>
      <c r="N973" s="35">
        <f t="shared" si="45"/>
        <v>79.899999999999991</v>
      </c>
      <c r="O973" t="str">
        <f>VLOOKUP(N973,Helper!$B$30:$C$35,2,TRUE)</f>
        <v>B</v>
      </c>
      <c r="P973" s="26">
        <f>INDEX(Detail!$A$1:$A$1001,MATCH(B973,Detail!$G$1:$G$1001,0))</f>
        <v>37886</v>
      </c>
      <c r="Q973" s="3" t="str">
        <f>INDEX(Detail!$F$1:$F$1001,MATCH(Main!B973,Detail!$G$1:$G$1001,0))</f>
        <v>Palopo</v>
      </c>
      <c r="R973" s="7">
        <f>INDEX(Detail!$C$1:$C$1001,MATCH(B973,Detail!$G$1:$G$1001,0),1)</f>
        <v>174</v>
      </c>
      <c r="S973" s="7">
        <f>INDEX(Detail!$D$1:$D$1001,MATCH(B973,Detail!$G$1:$G$1001,0),1)</f>
        <v>53</v>
      </c>
      <c r="T973" s="7" t="str">
        <f>INDEX(Detail!$E$1:$E$1001,MATCH(Main!B973,Detail!$G$1:$G$1001,0))</f>
        <v>Jalan Sukajadi No. 48</v>
      </c>
      <c r="U973" s="7" t="str">
        <f>INDEX(Detail!$B$1:$B$1001,MATCH(B973,Detail!$G$1:$G$1001,0),1)</f>
        <v>A+</v>
      </c>
    </row>
    <row r="974" spans="1:21" ht="15.75" x14ac:dyDescent="0.25">
      <c r="A974">
        <v>856</v>
      </c>
      <c r="B974" s="3" t="str">
        <f t="shared" si="46"/>
        <v>F0856</v>
      </c>
      <c r="C974" t="s">
        <v>1011</v>
      </c>
      <c r="D974" s="3" t="str">
        <f>VLOOKUP(B974,Detail!$G$1:$H$1001,2,FALSE)</f>
        <v>Maryadi Natsir</v>
      </c>
      <c r="E974">
        <v>76</v>
      </c>
      <c r="F974">
        <v>62</v>
      </c>
      <c r="G974" s="35">
        <v>79</v>
      </c>
      <c r="H974">
        <v>64</v>
      </c>
      <c r="I974">
        <v>95</v>
      </c>
      <c r="J974">
        <v>71</v>
      </c>
      <c r="K974">
        <v>91</v>
      </c>
      <c r="L974" s="26">
        <f>IFERROR(VLOOKUP(B974,Absen!$A$1:$C$501,2,FALSE),"No")</f>
        <v>44832</v>
      </c>
      <c r="M974" s="44">
        <f t="shared" si="44"/>
        <v>8.1</v>
      </c>
      <c r="N974" s="35">
        <f t="shared" si="45"/>
        <v>75.224999999999994</v>
      </c>
      <c r="O974" t="str">
        <f>VLOOKUP(N974,Helper!$B$30:$C$35,2,TRUE)</f>
        <v>B</v>
      </c>
      <c r="P974" s="26">
        <f>INDEX(Detail!$A$1:$A$1001,MATCH(B974,Detail!$G$1:$G$1001,0))</f>
        <v>37912</v>
      </c>
      <c r="Q974" s="3" t="str">
        <f>INDEX(Detail!$F$1:$F$1001,MATCH(Main!B974,Detail!$G$1:$G$1001,0))</f>
        <v>Pematangsiantar</v>
      </c>
      <c r="R974" s="7">
        <f>INDEX(Detail!$C$1:$C$1001,MATCH(B974,Detail!$G$1:$G$1001,0),1)</f>
        <v>178</v>
      </c>
      <c r="S974" s="7">
        <f>INDEX(Detail!$D$1:$D$1001,MATCH(B974,Detail!$G$1:$G$1001,0),1)</f>
        <v>81</v>
      </c>
      <c r="T974" s="7" t="str">
        <f>INDEX(Detail!$E$1:$E$1001,MATCH(Main!B974,Detail!$G$1:$G$1001,0))</f>
        <v xml:space="preserve">Jl. Merdeka No. 4
</v>
      </c>
      <c r="U974" s="7" t="str">
        <f>INDEX(Detail!$B$1:$B$1001,MATCH(B974,Detail!$G$1:$G$1001,0),1)</f>
        <v>O+</v>
      </c>
    </row>
    <row r="975" spans="1:21" ht="15.75" x14ac:dyDescent="0.25">
      <c r="A975">
        <v>866</v>
      </c>
      <c r="B975" s="3" t="str">
        <f t="shared" si="46"/>
        <v>F0866</v>
      </c>
      <c r="C975" t="s">
        <v>1011</v>
      </c>
      <c r="D975" s="3" t="str">
        <f>VLOOKUP(B975,Detail!$G$1:$H$1001,2,FALSE)</f>
        <v>Hesti Saptono</v>
      </c>
      <c r="E975">
        <v>70</v>
      </c>
      <c r="F975">
        <v>58</v>
      </c>
      <c r="G975" s="35">
        <v>48</v>
      </c>
      <c r="H975">
        <v>58</v>
      </c>
      <c r="I975">
        <v>79</v>
      </c>
      <c r="J975">
        <v>55</v>
      </c>
      <c r="K975">
        <v>88</v>
      </c>
      <c r="L975" s="26">
        <f>IFERROR(VLOOKUP(B975,Absen!$A$1:$C$501,2,FALSE),"No")</f>
        <v>44754</v>
      </c>
      <c r="M975" s="44">
        <f t="shared" si="44"/>
        <v>7.8000000000000007</v>
      </c>
      <c r="N975" s="35">
        <f t="shared" si="45"/>
        <v>61.525000000000006</v>
      </c>
      <c r="O975" t="str">
        <f>VLOOKUP(N975,Helper!$B$30:$C$35,2,TRUE)</f>
        <v>C</v>
      </c>
      <c r="P975" s="26">
        <f>INDEX(Detail!$A$1:$A$1001,MATCH(B975,Detail!$G$1:$G$1001,0))</f>
        <v>38461</v>
      </c>
      <c r="Q975" s="3" t="str">
        <f>INDEX(Detail!$F$1:$F$1001,MATCH(Main!B975,Detail!$G$1:$G$1001,0))</f>
        <v>Gorontalo</v>
      </c>
      <c r="R975" s="7">
        <f>INDEX(Detail!$C$1:$C$1001,MATCH(B975,Detail!$G$1:$G$1001,0),1)</f>
        <v>168</v>
      </c>
      <c r="S975" s="7">
        <f>INDEX(Detail!$D$1:$D$1001,MATCH(B975,Detail!$G$1:$G$1001,0),1)</f>
        <v>74</v>
      </c>
      <c r="T975" s="7" t="str">
        <f>INDEX(Detail!$E$1:$E$1001,MATCH(Main!B975,Detail!$G$1:$G$1001,0))</f>
        <v>Jalan Ahmad Dahlan No. 26</v>
      </c>
      <c r="U975" s="7" t="str">
        <f>INDEX(Detail!$B$1:$B$1001,MATCH(B975,Detail!$G$1:$G$1001,0),1)</f>
        <v>AB-</v>
      </c>
    </row>
    <row r="976" spans="1:21" ht="15.75" x14ac:dyDescent="0.25">
      <c r="A976">
        <v>867</v>
      </c>
      <c r="B976" s="3" t="str">
        <f t="shared" si="46"/>
        <v>F0867</v>
      </c>
      <c r="C976" t="s">
        <v>1011</v>
      </c>
      <c r="D976" s="3" t="str">
        <f>VLOOKUP(B976,Detail!$G$1:$H$1001,2,FALSE)</f>
        <v>Aditya Pangestu</v>
      </c>
      <c r="E976">
        <v>69</v>
      </c>
      <c r="F976">
        <v>67</v>
      </c>
      <c r="G976" s="35">
        <v>51</v>
      </c>
      <c r="H976">
        <v>71</v>
      </c>
      <c r="I976">
        <v>64</v>
      </c>
      <c r="J976">
        <v>53</v>
      </c>
      <c r="K976">
        <v>86</v>
      </c>
      <c r="L976" s="26" t="str">
        <f>IFERROR(VLOOKUP(B976,Absen!$A$1:$C$501,2,FALSE),"No")</f>
        <v>No</v>
      </c>
      <c r="M976" s="44">
        <f t="shared" si="44"/>
        <v>8.6</v>
      </c>
      <c r="N976" s="35">
        <f t="shared" si="45"/>
        <v>63.275000000000006</v>
      </c>
      <c r="O976" t="str">
        <f>VLOOKUP(N976,Helper!$B$30:$C$35,2,TRUE)</f>
        <v>C</v>
      </c>
      <c r="P976" s="26">
        <f>INDEX(Detail!$A$1:$A$1001,MATCH(B976,Detail!$G$1:$G$1001,0))</f>
        <v>37596</v>
      </c>
      <c r="Q976" s="3" t="str">
        <f>INDEX(Detail!$F$1:$F$1001,MATCH(Main!B976,Detail!$G$1:$G$1001,0))</f>
        <v>Salatiga</v>
      </c>
      <c r="R976" s="7">
        <f>INDEX(Detail!$C$1:$C$1001,MATCH(B976,Detail!$G$1:$G$1001,0),1)</f>
        <v>176</v>
      </c>
      <c r="S976" s="7">
        <f>INDEX(Detail!$D$1:$D$1001,MATCH(B976,Detail!$G$1:$G$1001,0),1)</f>
        <v>90</v>
      </c>
      <c r="T976" s="7" t="str">
        <f>INDEX(Detail!$E$1:$E$1001,MATCH(Main!B976,Detail!$G$1:$G$1001,0))</f>
        <v>Jl. Sadang Serang No. 14</v>
      </c>
      <c r="U976" s="7" t="str">
        <f>INDEX(Detail!$B$1:$B$1001,MATCH(B976,Detail!$G$1:$G$1001,0),1)</f>
        <v>A-</v>
      </c>
    </row>
    <row r="977" spans="1:21" ht="15.75" x14ac:dyDescent="0.25">
      <c r="A977">
        <v>878</v>
      </c>
      <c r="B977" s="3" t="str">
        <f t="shared" si="46"/>
        <v>F0878</v>
      </c>
      <c r="C977" t="s">
        <v>1011</v>
      </c>
      <c r="D977" s="3" t="str">
        <f>VLOOKUP(B977,Detail!$G$1:$H$1001,2,FALSE)</f>
        <v>Salimah Wijaya</v>
      </c>
      <c r="E977">
        <v>55</v>
      </c>
      <c r="F977">
        <v>43</v>
      </c>
      <c r="G977" s="35">
        <v>60</v>
      </c>
      <c r="H977">
        <v>72</v>
      </c>
      <c r="I977">
        <v>67</v>
      </c>
      <c r="J977">
        <v>41</v>
      </c>
      <c r="K977">
        <v>75</v>
      </c>
      <c r="L977" s="26">
        <f>IFERROR(VLOOKUP(B977,Absen!$A$1:$C$501,2,FALSE),"No")</f>
        <v>44791</v>
      </c>
      <c r="M977" s="44">
        <f t="shared" si="44"/>
        <v>6.5</v>
      </c>
      <c r="N977" s="35">
        <f t="shared" si="45"/>
        <v>56.325000000000003</v>
      </c>
      <c r="O977" t="str">
        <f>VLOOKUP(N977,Helper!$B$30:$C$35,2,TRUE)</f>
        <v>D</v>
      </c>
      <c r="P977" s="26">
        <f>INDEX(Detail!$A$1:$A$1001,MATCH(B977,Detail!$G$1:$G$1001,0))</f>
        <v>38299</v>
      </c>
      <c r="Q977" s="3" t="str">
        <f>INDEX(Detail!$F$1:$F$1001,MATCH(Main!B977,Detail!$G$1:$G$1001,0))</f>
        <v>Denpasar</v>
      </c>
      <c r="R977" s="7">
        <f>INDEX(Detail!$C$1:$C$1001,MATCH(B977,Detail!$G$1:$G$1001,0),1)</f>
        <v>172</v>
      </c>
      <c r="S977" s="7">
        <f>INDEX(Detail!$D$1:$D$1001,MATCH(B977,Detail!$G$1:$G$1001,0),1)</f>
        <v>51</v>
      </c>
      <c r="T977" s="7" t="str">
        <f>INDEX(Detail!$E$1:$E$1001,MATCH(Main!B977,Detail!$G$1:$G$1001,0))</f>
        <v>Gang Moch. Toha No. 06</v>
      </c>
      <c r="U977" s="7" t="str">
        <f>INDEX(Detail!$B$1:$B$1001,MATCH(B977,Detail!$G$1:$G$1001,0),1)</f>
        <v>A+</v>
      </c>
    </row>
    <row r="978" spans="1:21" ht="15.75" x14ac:dyDescent="0.25">
      <c r="A978">
        <v>888</v>
      </c>
      <c r="B978" s="3" t="str">
        <f t="shared" si="46"/>
        <v>F0888</v>
      </c>
      <c r="C978" t="s">
        <v>1011</v>
      </c>
      <c r="D978" s="3" t="str">
        <f>VLOOKUP(B978,Detail!$G$1:$H$1001,2,FALSE)</f>
        <v>Hartaka Utami</v>
      </c>
      <c r="E978">
        <v>83</v>
      </c>
      <c r="F978">
        <v>74</v>
      </c>
      <c r="G978" s="35">
        <v>39</v>
      </c>
      <c r="H978">
        <v>75</v>
      </c>
      <c r="I978">
        <v>92</v>
      </c>
      <c r="J978">
        <v>44</v>
      </c>
      <c r="K978">
        <v>78</v>
      </c>
      <c r="L978" s="26" t="str">
        <f>IFERROR(VLOOKUP(B978,Absen!$A$1:$C$501,2,FALSE),"No")</f>
        <v>No</v>
      </c>
      <c r="M978" s="44">
        <f t="shared" si="44"/>
        <v>7.8000000000000007</v>
      </c>
      <c r="N978" s="35">
        <f t="shared" si="45"/>
        <v>64.899999999999991</v>
      </c>
      <c r="O978" t="str">
        <f>VLOOKUP(N978,Helper!$B$30:$C$35,2,TRUE)</f>
        <v>C</v>
      </c>
      <c r="P978" s="26">
        <f>INDEX(Detail!$A$1:$A$1001,MATCH(B978,Detail!$G$1:$G$1001,0))</f>
        <v>37530</v>
      </c>
      <c r="Q978" s="3" t="str">
        <f>INDEX(Detail!$F$1:$F$1001,MATCH(Main!B978,Detail!$G$1:$G$1001,0))</f>
        <v>Bontang</v>
      </c>
      <c r="R978" s="7">
        <f>INDEX(Detail!$C$1:$C$1001,MATCH(B978,Detail!$G$1:$G$1001,0),1)</f>
        <v>174</v>
      </c>
      <c r="S978" s="7">
        <f>INDEX(Detail!$D$1:$D$1001,MATCH(B978,Detail!$G$1:$G$1001,0),1)</f>
        <v>59</v>
      </c>
      <c r="T978" s="7" t="str">
        <f>INDEX(Detail!$E$1:$E$1001,MATCH(Main!B978,Detail!$G$1:$G$1001,0))</f>
        <v>Jalan Monginsidi No. 10</v>
      </c>
      <c r="U978" s="7" t="str">
        <f>INDEX(Detail!$B$1:$B$1001,MATCH(B978,Detail!$G$1:$G$1001,0),1)</f>
        <v>B+</v>
      </c>
    </row>
    <row r="979" spans="1:21" ht="15.75" x14ac:dyDescent="0.25">
      <c r="A979">
        <v>889</v>
      </c>
      <c r="B979" s="3" t="str">
        <f t="shared" si="46"/>
        <v>F0889</v>
      </c>
      <c r="C979" t="s">
        <v>1011</v>
      </c>
      <c r="D979" s="3" t="str">
        <f>VLOOKUP(B979,Detail!$G$1:$H$1001,2,FALSE)</f>
        <v>Radit Kuswandari</v>
      </c>
      <c r="E979">
        <v>94</v>
      </c>
      <c r="F979">
        <v>54</v>
      </c>
      <c r="G979" s="35">
        <v>45</v>
      </c>
      <c r="H979">
        <v>67</v>
      </c>
      <c r="I979">
        <v>62</v>
      </c>
      <c r="J979">
        <v>72</v>
      </c>
      <c r="K979">
        <v>70</v>
      </c>
      <c r="L979" s="26" t="str">
        <f>IFERROR(VLOOKUP(B979,Absen!$A$1:$C$501,2,FALSE),"No")</f>
        <v>No</v>
      </c>
      <c r="M979" s="44">
        <f t="shared" si="44"/>
        <v>7</v>
      </c>
      <c r="N979" s="35">
        <f t="shared" si="45"/>
        <v>65.025000000000006</v>
      </c>
      <c r="O979" t="str">
        <f>VLOOKUP(N979,Helper!$B$30:$C$35,2,TRUE)</f>
        <v>C</v>
      </c>
      <c r="P979" s="26">
        <f>INDEX(Detail!$A$1:$A$1001,MATCH(B979,Detail!$G$1:$G$1001,0))</f>
        <v>37273</v>
      </c>
      <c r="Q979" s="3" t="str">
        <f>INDEX(Detail!$F$1:$F$1001,MATCH(Main!B979,Detail!$G$1:$G$1001,0))</f>
        <v>Ambon</v>
      </c>
      <c r="R979" s="7">
        <f>INDEX(Detail!$C$1:$C$1001,MATCH(B979,Detail!$G$1:$G$1001,0),1)</f>
        <v>159</v>
      </c>
      <c r="S979" s="7">
        <f>INDEX(Detail!$D$1:$D$1001,MATCH(B979,Detail!$G$1:$G$1001,0),1)</f>
        <v>53</v>
      </c>
      <c r="T979" s="7" t="str">
        <f>INDEX(Detail!$E$1:$E$1001,MATCH(Main!B979,Detail!$G$1:$G$1001,0))</f>
        <v xml:space="preserve">Gg. Stasiun Wonokromo No. 8
</v>
      </c>
      <c r="U979" s="7" t="str">
        <f>INDEX(Detail!$B$1:$B$1001,MATCH(B979,Detail!$G$1:$G$1001,0),1)</f>
        <v>AB-</v>
      </c>
    </row>
    <row r="980" spans="1:21" ht="15.75" x14ac:dyDescent="0.25">
      <c r="A980">
        <v>890</v>
      </c>
      <c r="B980" s="3" t="str">
        <f t="shared" si="46"/>
        <v>F0890</v>
      </c>
      <c r="C980" t="s">
        <v>1011</v>
      </c>
      <c r="D980" s="3" t="str">
        <f>VLOOKUP(B980,Detail!$G$1:$H$1001,2,FALSE)</f>
        <v>Asmadi Prabowo</v>
      </c>
      <c r="E980">
        <v>64</v>
      </c>
      <c r="F980">
        <v>66</v>
      </c>
      <c r="G980" s="35">
        <v>87</v>
      </c>
      <c r="H980">
        <v>65</v>
      </c>
      <c r="I980">
        <v>94</v>
      </c>
      <c r="J980">
        <v>78</v>
      </c>
      <c r="K980">
        <v>77</v>
      </c>
      <c r="L980" s="26" t="str">
        <f>IFERROR(VLOOKUP(B980,Absen!$A$1:$C$501,2,FALSE),"No")</f>
        <v>No</v>
      </c>
      <c r="M980" s="44">
        <f t="shared" si="44"/>
        <v>7.7</v>
      </c>
      <c r="N980" s="35">
        <f t="shared" si="45"/>
        <v>76.825000000000003</v>
      </c>
      <c r="O980" t="str">
        <f>VLOOKUP(N980,Helper!$B$30:$C$35,2,TRUE)</f>
        <v>B</v>
      </c>
      <c r="P980" s="26">
        <f>INDEX(Detail!$A$1:$A$1001,MATCH(B980,Detail!$G$1:$G$1001,0))</f>
        <v>37222</v>
      </c>
      <c r="Q980" s="3" t="str">
        <f>INDEX(Detail!$F$1:$F$1001,MATCH(Main!B980,Detail!$G$1:$G$1001,0))</f>
        <v>Lubuklinggau</v>
      </c>
      <c r="R980" s="7">
        <f>INDEX(Detail!$C$1:$C$1001,MATCH(B980,Detail!$G$1:$G$1001,0),1)</f>
        <v>178</v>
      </c>
      <c r="S980" s="7">
        <f>INDEX(Detail!$D$1:$D$1001,MATCH(B980,Detail!$G$1:$G$1001,0),1)</f>
        <v>91</v>
      </c>
      <c r="T980" s="7" t="str">
        <f>INDEX(Detail!$E$1:$E$1001,MATCH(Main!B980,Detail!$G$1:$G$1001,0))</f>
        <v>Gang Raya Setiabudhi No. 60</v>
      </c>
      <c r="U980" s="7" t="str">
        <f>INDEX(Detail!$B$1:$B$1001,MATCH(B980,Detail!$G$1:$G$1001,0),1)</f>
        <v>B+</v>
      </c>
    </row>
    <row r="981" spans="1:21" ht="15.75" x14ac:dyDescent="0.25">
      <c r="A981">
        <v>895</v>
      </c>
      <c r="B981" s="3" t="str">
        <f t="shared" si="46"/>
        <v>F0895</v>
      </c>
      <c r="C981" t="s">
        <v>1011</v>
      </c>
      <c r="D981" s="3" t="str">
        <f>VLOOKUP(B981,Detail!$G$1:$H$1001,2,FALSE)</f>
        <v>Ian Prasetya</v>
      </c>
      <c r="E981">
        <v>54</v>
      </c>
      <c r="F981">
        <v>58</v>
      </c>
      <c r="G981" s="35">
        <v>76</v>
      </c>
      <c r="H981">
        <v>59</v>
      </c>
      <c r="I981">
        <v>51</v>
      </c>
      <c r="J981">
        <v>66</v>
      </c>
      <c r="K981">
        <v>73</v>
      </c>
      <c r="L981" s="26">
        <f>IFERROR(VLOOKUP(B981,Absen!$A$1:$C$501,2,FALSE),"No")</f>
        <v>44842</v>
      </c>
      <c r="M981" s="44">
        <f t="shared" si="44"/>
        <v>6.3000000000000007</v>
      </c>
      <c r="N981" s="35">
        <f t="shared" si="45"/>
        <v>62.45</v>
      </c>
      <c r="O981" t="str">
        <f>VLOOKUP(N981,Helper!$B$30:$C$35,2,TRUE)</f>
        <v>C</v>
      </c>
      <c r="P981" s="26">
        <f>INDEX(Detail!$A$1:$A$1001,MATCH(B981,Detail!$G$1:$G$1001,0))</f>
        <v>38419</v>
      </c>
      <c r="Q981" s="3" t="str">
        <f>INDEX(Detail!$F$1:$F$1001,MATCH(Main!B981,Detail!$G$1:$G$1001,0))</f>
        <v>Cimahi</v>
      </c>
      <c r="R981" s="7">
        <f>INDEX(Detail!$C$1:$C$1001,MATCH(B981,Detail!$G$1:$G$1001,0),1)</f>
        <v>158</v>
      </c>
      <c r="S981" s="7">
        <f>INDEX(Detail!$D$1:$D$1001,MATCH(B981,Detail!$G$1:$G$1001,0),1)</f>
        <v>56</v>
      </c>
      <c r="T981" s="7" t="str">
        <f>INDEX(Detail!$E$1:$E$1001,MATCH(Main!B981,Detail!$G$1:$G$1001,0))</f>
        <v>Gg. Kiaracondong No. 32</v>
      </c>
      <c r="U981" s="7" t="str">
        <f>INDEX(Detail!$B$1:$B$1001,MATCH(B981,Detail!$G$1:$G$1001,0),1)</f>
        <v>A-</v>
      </c>
    </row>
    <row r="982" spans="1:21" ht="15.75" x14ac:dyDescent="0.25">
      <c r="A982">
        <v>901</v>
      </c>
      <c r="B982" s="3" t="str">
        <f t="shared" si="46"/>
        <v>F0901</v>
      </c>
      <c r="C982" t="s">
        <v>1011</v>
      </c>
      <c r="D982" s="3" t="str">
        <f>VLOOKUP(B982,Detail!$G$1:$H$1001,2,FALSE)</f>
        <v>Adika Prastuti</v>
      </c>
      <c r="E982">
        <v>91</v>
      </c>
      <c r="F982">
        <v>68</v>
      </c>
      <c r="G982" s="35">
        <v>53</v>
      </c>
      <c r="H982">
        <v>65</v>
      </c>
      <c r="I982">
        <v>80</v>
      </c>
      <c r="J982">
        <v>76</v>
      </c>
      <c r="K982">
        <v>93</v>
      </c>
      <c r="L982" s="26" t="str">
        <f>IFERROR(VLOOKUP(B982,Absen!$A$1:$C$501,2,FALSE),"No")</f>
        <v>No</v>
      </c>
      <c r="M982" s="44">
        <f t="shared" si="44"/>
        <v>9.3000000000000007</v>
      </c>
      <c r="N982" s="35">
        <f t="shared" si="45"/>
        <v>73.100000000000009</v>
      </c>
      <c r="O982" t="str">
        <f>VLOOKUP(N982,Helper!$B$30:$C$35,2,TRUE)</f>
        <v>B</v>
      </c>
      <c r="P982" s="26">
        <f>INDEX(Detail!$A$1:$A$1001,MATCH(B982,Detail!$G$1:$G$1001,0))</f>
        <v>37684</v>
      </c>
      <c r="Q982" s="3" t="str">
        <f>INDEX(Detail!$F$1:$F$1001,MATCH(Main!B982,Detail!$G$1:$G$1001,0))</f>
        <v>Padang</v>
      </c>
      <c r="R982" s="7">
        <f>INDEX(Detail!$C$1:$C$1001,MATCH(B982,Detail!$G$1:$G$1001,0),1)</f>
        <v>150</v>
      </c>
      <c r="S982" s="7">
        <f>INDEX(Detail!$D$1:$D$1001,MATCH(B982,Detail!$G$1:$G$1001,0),1)</f>
        <v>47</v>
      </c>
      <c r="T982" s="7" t="str">
        <f>INDEX(Detail!$E$1:$E$1001,MATCH(Main!B982,Detail!$G$1:$G$1001,0))</f>
        <v>Gang Rajawali Timur No. 36</v>
      </c>
      <c r="U982" s="7" t="str">
        <f>INDEX(Detail!$B$1:$B$1001,MATCH(B982,Detail!$G$1:$G$1001,0),1)</f>
        <v>A-</v>
      </c>
    </row>
    <row r="983" spans="1:21" ht="15.75" x14ac:dyDescent="0.25">
      <c r="A983">
        <v>912</v>
      </c>
      <c r="B983" s="3" t="str">
        <f t="shared" si="46"/>
        <v>F0912</v>
      </c>
      <c r="C983" t="s">
        <v>1011</v>
      </c>
      <c r="D983" s="3" t="str">
        <f>VLOOKUP(B983,Detail!$G$1:$H$1001,2,FALSE)</f>
        <v>Kayla Rajata</v>
      </c>
      <c r="E983">
        <v>92</v>
      </c>
      <c r="F983">
        <v>75</v>
      </c>
      <c r="G983" s="35">
        <v>69</v>
      </c>
      <c r="H983">
        <v>53</v>
      </c>
      <c r="I983">
        <v>52</v>
      </c>
      <c r="J983">
        <v>54</v>
      </c>
      <c r="K983">
        <v>97</v>
      </c>
      <c r="L983" s="26">
        <f>IFERROR(VLOOKUP(B983,Absen!$A$1:$C$501,2,FALSE),"No")</f>
        <v>44816</v>
      </c>
      <c r="M983" s="44">
        <f t="shared" si="44"/>
        <v>8.7000000000000011</v>
      </c>
      <c r="N983" s="35">
        <f t="shared" si="45"/>
        <v>67.3</v>
      </c>
      <c r="O983" t="str">
        <f>VLOOKUP(N983,Helper!$B$30:$C$35,2,TRUE)</f>
        <v>C</v>
      </c>
      <c r="P983" s="26">
        <f>INDEX(Detail!$A$1:$A$1001,MATCH(B983,Detail!$G$1:$G$1001,0))</f>
        <v>37671</v>
      </c>
      <c r="Q983" s="3" t="str">
        <f>INDEX(Detail!$F$1:$F$1001,MATCH(Main!B983,Detail!$G$1:$G$1001,0))</f>
        <v>Batu</v>
      </c>
      <c r="R983" s="7">
        <f>INDEX(Detail!$C$1:$C$1001,MATCH(B983,Detail!$G$1:$G$1001,0),1)</f>
        <v>178</v>
      </c>
      <c r="S983" s="7">
        <f>INDEX(Detail!$D$1:$D$1001,MATCH(B983,Detail!$G$1:$G$1001,0),1)</f>
        <v>47</v>
      </c>
      <c r="T983" s="7" t="str">
        <f>INDEX(Detail!$E$1:$E$1001,MATCH(Main!B983,Detail!$G$1:$G$1001,0))</f>
        <v>Gang Dipenogoro No. 04</v>
      </c>
      <c r="U983" s="7" t="str">
        <f>INDEX(Detail!$B$1:$B$1001,MATCH(B983,Detail!$G$1:$G$1001,0),1)</f>
        <v>A+</v>
      </c>
    </row>
    <row r="984" spans="1:21" ht="15.75" x14ac:dyDescent="0.25">
      <c r="A984">
        <v>913</v>
      </c>
      <c r="B984" s="3" t="str">
        <f t="shared" si="46"/>
        <v>F0913</v>
      </c>
      <c r="C984" t="s">
        <v>1011</v>
      </c>
      <c r="D984" s="3" t="str">
        <f>VLOOKUP(B984,Detail!$G$1:$H$1001,2,FALSE)</f>
        <v>Jatmiko Uwais</v>
      </c>
      <c r="E984">
        <v>57</v>
      </c>
      <c r="F984">
        <v>71</v>
      </c>
      <c r="G984" s="35">
        <v>77</v>
      </c>
      <c r="H984">
        <v>71</v>
      </c>
      <c r="I984">
        <v>59</v>
      </c>
      <c r="J984">
        <v>94</v>
      </c>
      <c r="K984">
        <v>77</v>
      </c>
      <c r="L984" s="26">
        <f>IFERROR(VLOOKUP(B984,Absen!$A$1:$C$501,2,FALSE),"No")</f>
        <v>44761</v>
      </c>
      <c r="M984" s="44">
        <f t="shared" si="44"/>
        <v>6.7</v>
      </c>
      <c r="N984" s="35">
        <f t="shared" si="45"/>
        <v>73.150000000000006</v>
      </c>
      <c r="O984" t="str">
        <f>VLOOKUP(N984,Helper!$B$30:$C$35,2,TRUE)</f>
        <v>B</v>
      </c>
      <c r="P984" s="26">
        <f>INDEX(Detail!$A$1:$A$1001,MATCH(B984,Detail!$G$1:$G$1001,0))</f>
        <v>38373</v>
      </c>
      <c r="Q984" s="3" t="str">
        <f>INDEX(Detail!$F$1:$F$1001,MATCH(Main!B984,Detail!$G$1:$G$1001,0))</f>
        <v>Malang</v>
      </c>
      <c r="R984" s="7">
        <f>INDEX(Detail!$C$1:$C$1001,MATCH(B984,Detail!$G$1:$G$1001,0),1)</f>
        <v>151</v>
      </c>
      <c r="S984" s="7">
        <f>INDEX(Detail!$D$1:$D$1001,MATCH(B984,Detail!$G$1:$G$1001,0),1)</f>
        <v>78</v>
      </c>
      <c r="T984" s="7" t="str">
        <f>INDEX(Detail!$E$1:$E$1001,MATCH(Main!B984,Detail!$G$1:$G$1001,0))</f>
        <v>Gg. Kutai No. 84</v>
      </c>
      <c r="U984" s="7" t="str">
        <f>INDEX(Detail!$B$1:$B$1001,MATCH(B984,Detail!$G$1:$G$1001,0),1)</f>
        <v>B-</v>
      </c>
    </row>
    <row r="985" spans="1:21" ht="15.75" x14ac:dyDescent="0.25">
      <c r="A985">
        <v>914</v>
      </c>
      <c r="B985" s="3" t="str">
        <f t="shared" si="46"/>
        <v>F0914</v>
      </c>
      <c r="C985" t="s">
        <v>1011</v>
      </c>
      <c r="D985" s="3" t="str">
        <f>VLOOKUP(B985,Detail!$G$1:$H$1001,2,FALSE)</f>
        <v>Eja Yulianti</v>
      </c>
      <c r="E985">
        <v>84</v>
      </c>
      <c r="F985">
        <v>46</v>
      </c>
      <c r="G985" s="35">
        <v>47</v>
      </c>
      <c r="H985">
        <v>60</v>
      </c>
      <c r="I985">
        <v>70</v>
      </c>
      <c r="J985">
        <v>59</v>
      </c>
      <c r="K985">
        <v>60</v>
      </c>
      <c r="L985" s="26">
        <f>IFERROR(VLOOKUP(B985,Absen!$A$1:$C$501,2,FALSE),"No")</f>
        <v>44788</v>
      </c>
      <c r="M985" s="44">
        <f t="shared" si="44"/>
        <v>5</v>
      </c>
      <c r="N985" s="35">
        <f t="shared" si="45"/>
        <v>58.7</v>
      </c>
      <c r="O985" t="str">
        <f>VLOOKUP(N985,Helper!$B$30:$C$35,2,TRUE)</f>
        <v>D</v>
      </c>
      <c r="P985" s="26">
        <f>INDEX(Detail!$A$1:$A$1001,MATCH(B985,Detail!$G$1:$G$1001,0))</f>
        <v>37125</v>
      </c>
      <c r="Q985" s="3" t="str">
        <f>INDEX(Detail!$F$1:$F$1001,MATCH(Main!B985,Detail!$G$1:$G$1001,0))</f>
        <v>Tual</v>
      </c>
      <c r="R985" s="7">
        <f>INDEX(Detail!$C$1:$C$1001,MATCH(B985,Detail!$G$1:$G$1001,0),1)</f>
        <v>164</v>
      </c>
      <c r="S985" s="7">
        <f>INDEX(Detail!$D$1:$D$1001,MATCH(B985,Detail!$G$1:$G$1001,0),1)</f>
        <v>76</v>
      </c>
      <c r="T985" s="7" t="str">
        <f>INDEX(Detail!$E$1:$E$1001,MATCH(Main!B985,Detail!$G$1:$G$1001,0))</f>
        <v>Gg. K.H. Wahid Hasyim No. 78</v>
      </c>
      <c r="U985" s="7" t="str">
        <f>INDEX(Detail!$B$1:$B$1001,MATCH(B985,Detail!$G$1:$G$1001,0),1)</f>
        <v>O-</v>
      </c>
    </row>
    <row r="986" spans="1:21" ht="15.75" x14ac:dyDescent="0.25">
      <c r="A986">
        <v>917</v>
      </c>
      <c r="B986" s="3" t="str">
        <f t="shared" si="46"/>
        <v>F0917</v>
      </c>
      <c r="C986" t="s">
        <v>1011</v>
      </c>
      <c r="D986" s="3" t="str">
        <f>VLOOKUP(B986,Detail!$G$1:$H$1001,2,FALSE)</f>
        <v>Marsudi Haryanti</v>
      </c>
      <c r="E986">
        <v>82</v>
      </c>
      <c r="F986">
        <v>46</v>
      </c>
      <c r="G986" s="35">
        <v>94</v>
      </c>
      <c r="H986">
        <v>71</v>
      </c>
      <c r="I986">
        <v>76</v>
      </c>
      <c r="J986">
        <v>88</v>
      </c>
      <c r="K986">
        <v>62</v>
      </c>
      <c r="L986" s="26">
        <f>IFERROR(VLOOKUP(B986,Absen!$A$1:$C$501,2,FALSE),"No")</f>
        <v>44879</v>
      </c>
      <c r="M986" s="44">
        <f t="shared" si="44"/>
        <v>5.2</v>
      </c>
      <c r="N986" s="35">
        <f t="shared" si="45"/>
        <v>75.975000000000009</v>
      </c>
      <c r="O986" t="str">
        <f>VLOOKUP(N986,Helper!$B$30:$C$35,2,TRUE)</f>
        <v>B</v>
      </c>
      <c r="P986" s="26">
        <f>INDEX(Detail!$A$1:$A$1001,MATCH(B986,Detail!$G$1:$G$1001,0))</f>
        <v>37341</v>
      </c>
      <c r="Q986" s="3" t="str">
        <f>INDEX(Detail!$F$1:$F$1001,MATCH(Main!B986,Detail!$G$1:$G$1001,0))</f>
        <v>Mojokerto</v>
      </c>
      <c r="R986" s="7">
        <f>INDEX(Detail!$C$1:$C$1001,MATCH(B986,Detail!$G$1:$G$1001,0),1)</f>
        <v>159</v>
      </c>
      <c r="S986" s="7">
        <f>INDEX(Detail!$D$1:$D$1001,MATCH(B986,Detail!$G$1:$G$1001,0),1)</f>
        <v>47</v>
      </c>
      <c r="T986" s="7" t="str">
        <f>INDEX(Detail!$E$1:$E$1001,MATCH(Main!B986,Detail!$G$1:$G$1001,0))</f>
        <v>Jalan Dipenogoro No. 30</v>
      </c>
      <c r="U986" s="7" t="str">
        <f>INDEX(Detail!$B$1:$B$1001,MATCH(B986,Detail!$G$1:$G$1001,0),1)</f>
        <v>AB+</v>
      </c>
    </row>
    <row r="987" spans="1:21" ht="15.75" x14ac:dyDescent="0.25">
      <c r="A987">
        <v>930</v>
      </c>
      <c r="B987" s="3" t="str">
        <f t="shared" si="46"/>
        <v>F0930</v>
      </c>
      <c r="C987" t="s">
        <v>1011</v>
      </c>
      <c r="D987" s="3" t="str">
        <f>VLOOKUP(B987,Detail!$G$1:$H$1001,2,FALSE)</f>
        <v>Irfan Usamah</v>
      </c>
      <c r="E987">
        <v>66</v>
      </c>
      <c r="F987">
        <v>74</v>
      </c>
      <c r="G987" s="35">
        <v>81</v>
      </c>
      <c r="H987">
        <v>71</v>
      </c>
      <c r="I987">
        <v>67</v>
      </c>
      <c r="J987">
        <v>50</v>
      </c>
      <c r="K987">
        <v>83</v>
      </c>
      <c r="L987" s="26" t="str">
        <f>IFERROR(VLOOKUP(B987,Absen!$A$1:$C$501,2,FALSE),"No")</f>
        <v>No</v>
      </c>
      <c r="M987" s="44">
        <f t="shared" si="44"/>
        <v>8.3000000000000007</v>
      </c>
      <c r="N987" s="35">
        <f t="shared" si="45"/>
        <v>69.25</v>
      </c>
      <c r="O987" t="str">
        <f>VLOOKUP(N987,Helper!$B$30:$C$35,2,TRUE)</f>
        <v>C</v>
      </c>
      <c r="P987" s="26">
        <f>INDEX(Detail!$A$1:$A$1001,MATCH(B987,Detail!$G$1:$G$1001,0))</f>
        <v>37517</v>
      </c>
      <c r="Q987" s="3" t="str">
        <f>INDEX(Detail!$F$1:$F$1001,MATCH(Main!B987,Detail!$G$1:$G$1001,0))</f>
        <v>Solok</v>
      </c>
      <c r="R987" s="7">
        <f>INDEX(Detail!$C$1:$C$1001,MATCH(B987,Detail!$G$1:$G$1001,0),1)</f>
        <v>172</v>
      </c>
      <c r="S987" s="7">
        <f>INDEX(Detail!$D$1:$D$1001,MATCH(B987,Detail!$G$1:$G$1001,0),1)</f>
        <v>55</v>
      </c>
      <c r="T987" s="7" t="str">
        <f>INDEX(Detail!$E$1:$E$1001,MATCH(Main!B987,Detail!$G$1:$G$1001,0))</f>
        <v xml:space="preserve">Gg. Rajawali Barat No. 5
</v>
      </c>
      <c r="U987" s="7" t="str">
        <f>INDEX(Detail!$B$1:$B$1001,MATCH(B987,Detail!$G$1:$G$1001,0),1)</f>
        <v>O+</v>
      </c>
    </row>
    <row r="988" spans="1:21" ht="15.75" x14ac:dyDescent="0.25">
      <c r="A988">
        <v>936</v>
      </c>
      <c r="B988" s="3" t="str">
        <f t="shared" si="46"/>
        <v>F0936</v>
      </c>
      <c r="C988" t="s">
        <v>1011</v>
      </c>
      <c r="D988" s="3" t="str">
        <f>VLOOKUP(B988,Detail!$G$1:$H$1001,2,FALSE)</f>
        <v>Vicky Widiastuti</v>
      </c>
      <c r="E988">
        <v>85</v>
      </c>
      <c r="F988">
        <v>62</v>
      </c>
      <c r="G988" s="35">
        <v>92</v>
      </c>
      <c r="H988">
        <v>72</v>
      </c>
      <c r="I988">
        <v>88</v>
      </c>
      <c r="J988">
        <v>86</v>
      </c>
      <c r="K988">
        <v>64</v>
      </c>
      <c r="L988" s="26">
        <f>IFERROR(VLOOKUP(B988,Absen!$A$1:$C$501,2,FALSE),"No")</f>
        <v>44814</v>
      </c>
      <c r="M988" s="44">
        <f t="shared" si="44"/>
        <v>5.4</v>
      </c>
      <c r="N988" s="35">
        <f t="shared" si="45"/>
        <v>79.375000000000014</v>
      </c>
      <c r="O988" t="str">
        <f>VLOOKUP(N988,Helper!$B$30:$C$35,2,TRUE)</f>
        <v>B</v>
      </c>
      <c r="P988" s="26">
        <f>INDEX(Detail!$A$1:$A$1001,MATCH(B988,Detail!$G$1:$G$1001,0))</f>
        <v>37455</v>
      </c>
      <c r="Q988" s="3" t="str">
        <f>INDEX(Detail!$F$1:$F$1001,MATCH(Main!B988,Detail!$G$1:$G$1001,0))</f>
        <v>Ambon</v>
      </c>
      <c r="R988" s="7">
        <f>INDEX(Detail!$C$1:$C$1001,MATCH(B988,Detail!$G$1:$G$1001,0),1)</f>
        <v>172</v>
      </c>
      <c r="S988" s="7">
        <f>INDEX(Detail!$D$1:$D$1001,MATCH(B988,Detail!$G$1:$G$1001,0),1)</f>
        <v>77</v>
      </c>
      <c r="T988" s="7" t="str">
        <f>INDEX(Detail!$E$1:$E$1001,MATCH(Main!B988,Detail!$G$1:$G$1001,0))</f>
        <v xml:space="preserve">Gang Joyoboyo No. 8
</v>
      </c>
      <c r="U988" s="7" t="str">
        <f>INDEX(Detail!$B$1:$B$1001,MATCH(B988,Detail!$G$1:$G$1001,0),1)</f>
        <v>B+</v>
      </c>
    </row>
    <row r="989" spans="1:21" ht="15.75" x14ac:dyDescent="0.25">
      <c r="A989">
        <v>937</v>
      </c>
      <c r="B989" s="3" t="str">
        <f t="shared" si="46"/>
        <v>F0937</v>
      </c>
      <c r="C989" t="s">
        <v>1011</v>
      </c>
      <c r="D989" s="3" t="str">
        <f>VLOOKUP(B989,Detail!$G$1:$H$1001,2,FALSE)</f>
        <v>Hasan Laksmiwati</v>
      </c>
      <c r="E989">
        <v>70</v>
      </c>
      <c r="F989">
        <v>46</v>
      </c>
      <c r="G989" s="35">
        <v>87</v>
      </c>
      <c r="H989">
        <v>72</v>
      </c>
      <c r="I989">
        <v>93</v>
      </c>
      <c r="J989">
        <v>61</v>
      </c>
      <c r="K989">
        <v>74</v>
      </c>
      <c r="L989" s="26" t="str">
        <f>IFERROR(VLOOKUP(B989,Absen!$A$1:$C$501,2,FALSE),"No")</f>
        <v>No</v>
      </c>
      <c r="M989" s="44">
        <f t="shared" si="44"/>
        <v>7.4</v>
      </c>
      <c r="N989" s="35">
        <f t="shared" si="45"/>
        <v>72.125000000000014</v>
      </c>
      <c r="O989" t="str">
        <f>VLOOKUP(N989,Helper!$B$30:$C$35,2,TRUE)</f>
        <v>B</v>
      </c>
      <c r="P989" s="26">
        <f>INDEX(Detail!$A$1:$A$1001,MATCH(B989,Detail!$G$1:$G$1001,0))</f>
        <v>38325</v>
      </c>
      <c r="Q989" s="3" t="str">
        <f>INDEX(Detail!$F$1:$F$1001,MATCH(Main!B989,Detail!$G$1:$G$1001,0))</f>
        <v>Pasuruan</v>
      </c>
      <c r="R989" s="7">
        <f>INDEX(Detail!$C$1:$C$1001,MATCH(B989,Detail!$G$1:$G$1001,0),1)</f>
        <v>169</v>
      </c>
      <c r="S989" s="7">
        <f>INDEX(Detail!$D$1:$D$1001,MATCH(B989,Detail!$G$1:$G$1001,0),1)</f>
        <v>53</v>
      </c>
      <c r="T989" s="7" t="str">
        <f>INDEX(Detail!$E$1:$E$1001,MATCH(Main!B989,Detail!$G$1:$G$1001,0))</f>
        <v>Jl. Tubagus Ismail No. 55</v>
      </c>
      <c r="U989" s="7" t="str">
        <f>INDEX(Detail!$B$1:$B$1001,MATCH(B989,Detail!$G$1:$G$1001,0),1)</f>
        <v>B-</v>
      </c>
    </row>
    <row r="990" spans="1:21" ht="15.75" x14ac:dyDescent="0.25">
      <c r="A990">
        <v>946</v>
      </c>
      <c r="B990" s="3" t="str">
        <f t="shared" si="46"/>
        <v>F0946</v>
      </c>
      <c r="C990" t="s">
        <v>1011</v>
      </c>
      <c r="D990" s="3" t="str">
        <f>VLOOKUP(B990,Detail!$G$1:$H$1001,2,FALSE)</f>
        <v>Gandewa Sihombing</v>
      </c>
      <c r="E990">
        <v>56</v>
      </c>
      <c r="F990">
        <v>47</v>
      </c>
      <c r="G990" s="35">
        <v>88</v>
      </c>
      <c r="H990">
        <v>70</v>
      </c>
      <c r="I990">
        <v>84</v>
      </c>
      <c r="J990">
        <v>75</v>
      </c>
      <c r="K990">
        <v>95</v>
      </c>
      <c r="L990" s="26" t="str">
        <f>IFERROR(VLOOKUP(B990,Absen!$A$1:$C$501,2,FALSE),"No")</f>
        <v>No</v>
      </c>
      <c r="M990" s="44">
        <f t="shared" si="44"/>
        <v>9.5</v>
      </c>
      <c r="N990" s="35">
        <f t="shared" si="45"/>
        <v>74.224999999999994</v>
      </c>
      <c r="O990" t="str">
        <f>VLOOKUP(N990,Helper!$B$30:$C$35,2,TRUE)</f>
        <v>B</v>
      </c>
      <c r="P990" s="26">
        <f>INDEX(Detail!$A$1:$A$1001,MATCH(B990,Detail!$G$1:$G$1001,0))</f>
        <v>37800</v>
      </c>
      <c r="Q990" s="3" t="str">
        <f>INDEX(Detail!$F$1:$F$1001,MATCH(Main!B990,Detail!$G$1:$G$1001,0))</f>
        <v>Batam</v>
      </c>
      <c r="R990" s="7">
        <f>INDEX(Detail!$C$1:$C$1001,MATCH(B990,Detail!$G$1:$G$1001,0),1)</f>
        <v>175</v>
      </c>
      <c r="S990" s="7">
        <f>INDEX(Detail!$D$1:$D$1001,MATCH(B990,Detail!$G$1:$G$1001,0),1)</f>
        <v>70</v>
      </c>
      <c r="T990" s="7" t="str">
        <f>INDEX(Detail!$E$1:$E$1001,MATCH(Main!B990,Detail!$G$1:$G$1001,0))</f>
        <v xml:space="preserve">Gg. Ahmad Yani No. 8
</v>
      </c>
      <c r="U990" s="7" t="str">
        <f>INDEX(Detail!$B$1:$B$1001,MATCH(B990,Detail!$G$1:$G$1001,0),1)</f>
        <v>B+</v>
      </c>
    </row>
    <row r="991" spans="1:21" ht="15.75" x14ac:dyDescent="0.25">
      <c r="A991">
        <v>953</v>
      </c>
      <c r="B991" s="3" t="str">
        <f t="shared" si="46"/>
        <v>F0953</v>
      </c>
      <c r="C991" t="s">
        <v>1011</v>
      </c>
      <c r="D991" s="3" t="str">
        <f>VLOOKUP(B991,Detail!$G$1:$H$1001,2,FALSE)</f>
        <v>Sakti Prasetya</v>
      </c>
      <c r="E991">
        <v>52</v>
      </c>
      <c r="F991">
        <v>41</v>
      </c>
      <c r="G991" s="35">
        <v>57</v>
      </c>
      <c r="H991">
        <v>65</v>
      </c>
      <c r="I991">
        <v>85</v>
      </c>
      <c r="J991">
        <v>92</v>
      </c>
      <c r="K991">
        <v>97</v>
      </c>
      <c r="L991" s="26" t="str">
        <f>IFERROR(VLOOKUP(B991,Absen!$A$1:$C$501,2,FALSE),"No")</f>
        <v>No</v>
      </c>
      <c r="M991" s="44">
        <f t="shared" si="44"/>
        <v>9.7000000000000011</v>
      </c>
      <c r="N991" s="35">
        <f t="shared" si="45"/>
        <v>69.875</v>
      </c>
      <c r="O991" t="str">
        <f>VLOOKUP(N991,Helper!$B$30:$C$35,2,TRUE)</f>
        <v>C</v>
      </c>
      <c r="P991" s="26">
        <f>INDEX(Detail!$A$1:$A$1001,MATCH(B991,Detail!$G$1:$G$1001,0))</f>
        <v>38408</v>
      </c>
      <c r="Q991" s="3" t="str">
        <f>INDEX(Detail!$F$1:$F$1001,MATCH(Main!B991,Detail!$G$1:$G$1001,0))</f>
        <v>Tanjungbalai</v>
      </c>
      <c r="R991" s="7">
        <f>INDEX(Detail!$C$1:$C$1001,MATCH(B991,Detail!$G$1:$G$1001,0),1)</f>
        <v>157</v>
      </c>
      <c r="S991" s="7">
        <f>INDEX(Detail!$D$1:$D$1001,MATCH(B991,Detail!$G$1:$G$1001,0),1)</f>
        <v>65</v>
      </c>
      <c r="T991" s="7" t="str">
        <f>INDEX(Detail!$E$1:$E$1001,MATCH(Main!B991,Detail!$G$1:$G$1001,0))</f>
        <v>Jalan Asia Afrika No. 36</v>
      </c>
      <c r="U991" s="7" t="str">
        <f>INDEX(Detail!$B$1:$B$1001,MATCH(B991,Detail!$G$1:$G$1001,0),1)</f>
        <v>O+</v>
      </c>
    </row>
    <row r="992" spans="1:21" ht="15.75" x14ac:dyDescent="0.25">
      <c r="A992">
        <v>957</v>
      </c>
      <c r="B992" s="3" t="str">
        <f t="shared" si="46"/>
        <v>F0957</v>
      </c>
      <c r="C992" t="s">
        <v>1011</v>
      </c>
      <c r="D992" s="3" t="str">
        <f>VLOOKUP(B992,Detail!$G$1:$H$1001,2,FALSE)</f>
        <v>Taufan Widiastuti</v>
      </c>
      <c r="E992">
        <v>86</v>
      </c>
      <c r="F992">
        <v>61</v>
      </c>
      <c r="G992" s="35">
        <v>36</v>
      </c>
      <c r="H992">
        <v>53</v>
      </c>
      <c r="I992">
        <v>58</v>
      </c>
      <c r="J992">
        <v>53</v>
      </c>
      <c r="K992">
        <v>93</v>
      </c>
      <c r="L992" s="26">
        <f>IFERROR(VLOOKUP(B992,Absen!$A$1:$C$501,2,FALSE),"No")</f>
        <v>44864</v>
      </c>
      <c r="M992" s="44">
        <f t="shared" si="44"/>
        <v>8.3000000000000007</v>
      </c>
      <c r="N992" s="35">
        <f t="shared" si="45"/>
        <v>58.350000000000009</v>
      </c>
      <c r="O992" t="str">
        <f>VLOOKUP(N992,Helper!$B$30:$C$35,2,TRUE)</f>
        <v>D</v>
      </c>
      <c r="P992" s="26">
        <f>INDEX(Detail!$A$1:$A$1001,MATCH(B992,Detail!$G$1:$G$1001,0))</f>
        <v>38176</v>
      </c>
      <c r="Q992" s="3" t="str">
        <f>INDEX(Detail!$F$1:$F$1001,MATCH(Main!B992,Detail!$G$1:$G$1001,0))</f>
        <v>Bontang</v>
      </c>
      <c r="R992" s="7">
        <f>INDEX(Detail!$C$1:$C$1001,MATCH(B992,Detail!$G$1:$G$1001,0),1)</f>
        <v>154</v>
      </c>
      <c r="S992" s="7">
        <f>INDEX(Detail!$D$1:$D$1001,MATCH(B992,Detail!$G$1:$G$1001,0),1)</f>
        <v>47</v>
      </c>
      <c r="T992" s="7" t="str">
        <f>INDEX(Detail!$E$1:$E$1001,MATCH(Main!B992,Detail!$G$1:$G$1001,0))</f>
        <v xml:space="preserve">Jalan Kutisari Selatan No. 3
</v>
      </c>
      <c r="U992" s="7" t="str">
        <f>INDEX(Detail!$B$1:$B$1001,MATCH(B992,Detail!$G$1:$G$1001,0),1)</f>
        <v>B-</v>
      </c>
    </row>
    <row r="993" spans="1:21" ht="15.75" x14ac:dyDescent="0.25">
      <c r="A993">
        <v>958</v>
      </c>
      <c r="B993" s="3" t="str">
        <f t="shared" si="46"/>
        <v>F0958</v>
      </c>
      <c r="C993" t="s">
        <v>1011</v>
      </c>
      <c r="D993" s="3" t="str">
        <f>VLOOKUP(B993,Detail!$G$1:$H$1001,2,FALSE)</f>
        <v>Warsita Putra</v>
      </c>
      <c r="E993">
        <v>67</v>
      </c>
      <c r="F993">
        <v>58</v>
      </c>
      <c r="G993" s="35">
        <v>86</v>
      </c>
      <c r="H993">
        <v>71</v>
      </c>
      <c r="I993">
        <v>83</v>
      </c>
      <c r="J993">
        <v>95</v>
      </c>
      <c r="K993">
        <v>61</v>
      </c>
      <c r="L993" s="26">
        <f>IFERROR(VLOOKUP(B993,Absen!$A$1:$C$501,2,FALSE),"No")</f>
        <v>44839</v>
      </c>
      <c r="M993" s="44">
        <f t="shared" si="44"/>
        <v>5.1000000000000005</v>
      </c>
      <c r="N993" s="35">
        <f t="shared" si="45"/>
        <v>76.174999999999997</v>
      </c>
      <c r="O993" t="str">
        <f>VLOOKUP(N993,Helper!$B$30:$C$35,2,TRUE)</f>
        <v>B</v>
      </c>
      <c r="P993" s="26">
        <f>INDEX(Detail!$A$1:$A$1001,MATCH(B993,Detail!$G$1:$G$1001,0))</f>
        <v>37153</v>
      </c>
      <c r="Q993" s="3" t="str">
        <f>INDEX(Detail!$F$1:$F$1001,MATCH(Main!B993,Detail!$G$1:$G$1001,0))</f>
        <v>Sukabumi</v>
      </c>
      <c r="R993" s="7">
        <f>INDEX(Detail!$C$1:$C$1001,MATCH(B993,Detail!$G$1:$G$1001,0),1)</f>
        <v>180</v>
      </c>
      <c r="S993" s="7">
        <f>INDEX(Detail!$D$1:$D$1001,MATCH(B993,Detail!$G$1:$G$1001,0),1)</f>
        <v>73</v>
      </c>
      <c r="T993" s="7" t="str">
        <f>INDEX(Detail!$E$1:$E$1001,MATCH(Main!B993,Detail!$G$1:$G$1001,0))</f>
        <v>Jalan Jamika No. 37</v>
      </c>
      <c r="U993" s="7" t="str">
        <f>INDEX(Detail!$B$1:$B$1001,MATCH(B993,Detail!$G$1:$G$1001,0),1)</f>
        <v>B+</v>
      </c>
    </row>
    <row r="994" spans="1:21" ht="15.75" x14ac:dyDescent="0.25">
      <c r="A994">
        <v>971</v>
      </c>
      <c r="B994" s="3" t="str">
        <f t="shared" si="46"/>
        <v>F0971</v>
      </c>
      <c r="C994" t="s">
        <v>1011</v>
      </c>
      <c r="D994" s="3" t="str">
        <f>VLOOKUP(B994,Detail!$G$1:$H$1001,2,FALSE)</f>
        <v>Dimas Rajasa</v>
      </c>
      <c r="E994">
        <v>94</v>
      </c>
      <c r="F994">
        <v>46</v>
      </c>
      <c r="G994" s="35">
        <v>93</v>
      </c>
      <c r="H994">
        <v>66</v>
      </c>
      <c r="I994">
        <v>57</v>
      </c>
      <c r="J994">
        <v>86</v>
      </c>
      <c r="K994">
        <v>69</v>
      </c>
      <c r="L994" s="26" t="str">
        <f>IFERROR(VLOOKUP(B994,Absen!$A$1:$C$501,2,FALSE),"No")</f>
        <v>No</v>
      </c>
      <c r="M994" s="44">
        <f t="shared" si="44"/>
        <v>6.9</v>
      </c>
      <c r="N994" s="35">
        <f t="shared" si="45"/>
        <v>75.575000000000003</v>
      </c>
      <c r="O994" t="str">
        <f>VLOOKUP(N994,Helper!$B$30:$C$35,2,TRUE)</f>
        <v>B</v>
      </c>
      <c r="P994" s="26">
        <f>INDEX(Detail!$A$1:$A$1001,MATCH(B994,Detail!$G$1:$G$1001,0))</f>
        <v>37802</v>
      </c>
      <c r="Q994" s="3" t="str">
        <f>INDEX(Detail!$F$1:$F$1001,MATCH(Main!B994,Detail!$G$1:$G$1001,0))</f>
        <v>Manado</v>
      </c>
      <c r="R994" s="7">
        <f>INDEX(Detail!$C$1:$C$1001,MATCH(B994,Detail!$G$1:$G$1001,0),1)</f>
        <v>154</v>
      </c>
      <c r="S994" s="7">
        <f>INDEX(Detail!$D$1:$D$1001,MATCH(B994,Detail!$G$1:$G$1001,0),1)</f>
        <v>60</v>
      </c>
      <c r="T994" s="7" t="str">
        <f>INDEX(Detail!$E$1:$E$1001,MATCH(Main!B994,Detail!$G$1:$G$1001,0))</f>
        <v>Jl. Peta No. 76</v>
      </c>
      <c r="U994" s="7" t="str">
        <f>INDEX(Detail!$B$1:$B$1001,MATCH(B994,Detail!$G$1:$G$1001,0),1)</f>
        <v>B-</v>
      </c>
    </row>
    <row r="995" spans="1:21" ht="15.75" x14ac:dyDescent="0.25">
      <c r="A995">
        <v>974</v>
      </c>
      <c r="B995" s="3" t="str">
        <f t="shared" si="46"/>
        <v>F0974</v>
      </c>
      <c r="C995" t="s">
        <v>1011</v>
      </c>
      <c r="D995" s="3" t="str">
        <f>VLOOKUP(B995,Detail!$G$1:$H$1001,2,FALSE)</f>
        <v>Bakianto Marpaung</v>
      </c>
      <c r="E995">
        <v>70</v>
      </c>
      <c r="F995">
        <v>68</v>
      </c>
      <c r="G995" s="35">
        <v>42</v>
      </c>
      <c r="H995">
        <v>59</v>
      </c>
      <c r="I995">
        <v>93</v>
      </c>
      <c r="J995">
        <v>61</v>
      </c>
      <c r="K995">
        <v>60</v>
      </c>
      <c r="L995" s="26" t="str">
        <f>IFERROR(VLOOKUP(B995,Absen!$A$1:$C$501,2,FALSE),"No")</f>
        <v>No</v>
      </c>
      <c r="M995" s="44">
        <f t="shared" si="44"/>
        <v>6</v>
      </c>
      <c r="N995" s="35">
        <f t="shared" si="45"/>
        <v>62.85</v>
      </c>
      <c r="O995" t="str">
        <f>VLOOKUP(N995,Helper!$B$30:$C$35,2,TRUE)</f>
        <v>C</v>
      </c>
      <c r="P995" s="26">
        <f>INDEX(Detail!$A$1:$A$1001,MATCH(B995,Detail!$G$1:$G$1001,0))</f>
        <v>37195</v>
      </c>
      <c r="Q995" s="3" t="str">
        <f>INDEX(Detail!$F$1:$F$1001,MATCH(Main!B995,Detail!$G$1:$G$1001,0))</f>
        <v>Bontang</v>
      </c>
      <c r="R995" s="7">
        <f>INDEX(Detail!$C$1:$C$1001,MATCH(B995,Detail!$G$1:$G$1001,0),1)</f>
        <v>153</v>
      </c>
      <c r="S995" s="7">
        <f>INDEX(Detail!$D$1:$D$1001,MATCH(B995,Detail!$G$1:$G$1001,0),1)</f>
        <v>91</v>
      </c>
      <c r="T995" s="7" t="str">
        <f>INDEX(Detail!$E$1:$E$1001,MATCH(Main!B995,Detail!$G$1:$G$1001,0))</f>
        <v>Gang Kutai No. 21</v>
      </c>
      <c r="U995" s="7" t="str">
        <f>INDEX(Detail!$B$1:$B$1001,MATCH(B995,Detail!$G$1:$G$1001,0),1)</f>
        <v>AB-</v>
      </c>
    </row>
    <row r="996" spans="1:21" ht="15.75" x14ac:dyDescent="0.25">
      <c r="A996">
        <v>976</v>
      </c>
      <c r="B996" s="3" t="str">
        <f t="shared" si="46"/>
        <v>F0976</v>
      </c>
      <c r="C996" t="s">
        <v>1011</v>
      </c>
      <c r="D996" s="3" t="str">
        <f>VLOOKUP(B996,Detail!$G$1:$H$1001,2,FALSE)</f>
        <v>Jono Lazuardi</v>
      </c>
      <c r="E996">
        <v>92</v>
      </c>
      <c r="F996">
        <v>43</v>
      </c>
      <c r="G996" s="35">
        <v>34</v>
      </c>
      <c r="H996">
        <v>64</v>
      </c>
      <c r="I996">
        <v>92</v>
      </c>
      <c r="J996">
        <v>69</v>
      </c>
      <c r="K996">
        <v>83</v>
      </c>
      <c r="L996" s="26">
        <f>IFERROR(VLOOKUP(B996,Absen!$A$1:$C$501,2,FALSE),"No")</f>
        <v>44912</v>
      </c>
      <c r="M996" s="44">
        <f t="shared" si="44"/>
        <v>7.3000000000000007</v>
      </c>
      <c r="N996" s="35">
        <f t="shared" si="45"/>
        <v>64.274999999999991</v>
      </c>
      <c r="O996" t="str">
        <f>VLOOKUP(N996,Helper!$B$30:$C$35,2,TRUE)</f>
        <v>C</v>
      </c>
      <c r="P996" s="26">
        <f>INDEX(Detail!$A$1:$A$1001,MATCH(B996,Detail!$G$1:$G$1001,0))</f>
        <v>37545</v>
      </c>
      <c r="Q996" s="3" t="str">
        <f>INDEX(Detail!$F$1:$F$1001,MATCH(Main!B996,Detail!$G$1:$G$1001,0))</f>
        <v>Banda Aceh</v>
      </c>
      <c r="R996" s="7">
        <f>INDEX(Detail!$C$1:$C$1001,MATCH(B996,Detail!$G$1:$G$1001,0),1)</f>
        <v>152</v>
      </c>
      <c r="S996" s="7">
        <f>INDEX(Detail!$D$1:$D$1001,MATCH(B996,Detail!$G$1:$G$1001,0),1)</f>
        <v>55</v>
      </c>
      <c r="T996" s="7" t="str">
        <f>INDEX(Detail!$E$1:$E$1001,MATCH(Main!B996,Detail!$G$1:$G$1001,0))</f>
        <v>Jl. Cikapayang No. 81</v>
      </c>
      <c r="U996" s="7" t="str">
        <f>INDEX(Detail!$B$1:$B$1001,MATCH(B996,Detail!$G$1:$G$1001,0),1)</f>
        <v>AB+</v>
      </c>
    </row>
    <row r="997" spans="1:21" ht="15.75" x14ac:dyDescent="0.25">
      <c r="A997">
        <v>986</v>
      </c>
      <c r="B997" s="3" t="str">
        <f t="shared" si="46"/>
        <v>F0986</v>
      </c>
      <c r="C997" t="s">
        <v>1011</v>
      </c>
      <c r="D997" s="3" t="str">
        <f>VLOOKUP(B997,Detail!$G$1:$H$1001,2,FALSE)</f>
        <v>Hasta Usada</v>
      </c>
      <c r="E997">
        <v>82</v>
      </c>
      <c r="F997">
        <v>61</v>
      </c>
      <c r="G997" s="35">
        <v>54</v>
      </c>
      <c r="H997">
        <v>68</v>
      </c>
      <c r="I997">
        <v>73</v>
      </c>
      <c r="J997">
        <v>92</v>
      </c>
      <c r="K997">
        <v>86</v>
      </c>
      <c r="L997" s="26">
        <f>IFERROR(VLOOKUP(B997,Absen!$A$1:$C$501,2,FALSE),"No")</f>
        <v>44781</v>
      </c>
      <c r="M997" s="44">
        <f t="shared" si="44"/>
        <v>7.6000000000000005</v>
      </c>
      <c r="N997" s="35">
        <f t="shared" si="45"/>
        <v>72.3</v>
      </c>
      <c r="O997" t="str">
        <f>VLOOKUP(N997,Helper!$B$30:$C$35,2,TRUE)</f>
        <v>B</v>
      </c>
      <c r="P997" s="26">
        <f>INDEX(Detail!$A$1:$A$1001,MATCH(B997,Detail!$G$1:$G$1001,0))</f>
        <v>37222</v>
      </c>
      <c r="Q997" s="3" t="str">
        <f>INDEX(Detail!$F$1:$F$1001,MATCH(Main!B997,Detail!$G$1:$G$1001,0))</f>
        <v>Samarinda</v>
      </c>
      <c r="R997" s="7">
        <f>INDEX(Detail!$C$1:$C$1001,MATCH(B997,Detail!$G$1:$G$1001,0),1)</f>
        <v>153</v>
      </c>
      <c r="S997" s="7">
        <f>INDEX(Detail!$D$1:$D$1001,MATCH(B997,Detail!$G$1:$G$1001,0),1)</f>
        <v>58</v>
      </c>
      <c r="T997" s="7" t="str">
        <f>INDEX(Detail!$E$1:$E$1001,MATCH(Main!B997,Detail!$G$1:$G$1001,0))</f>
        <v xml:space="preserve">Jalan Astana Anyar No. 5
</v>
      </c>
      <c r="U997" s="7" t="str">
        <f>INDEX(Detail!$B$1:$B$1001,MATCH(B997,Detail!$G$1:$G$1001,0),1)</f>
        <v>AB+</v>
      </c>
    </row>
    <row r="998" spans="1:21" ht="15.75" x14ac:dyDescent="0.25">
      <c r="A998">
        <v>990</v>
      </c>
      <c r="B998" s="3" t="str">
        <f t="shared" si="46"/>
        <v>F0990</v>
      </c>
      <c r="C998" t="s">
        <v>1011</v>
      </c>
      <c r="D998" s="3" t="str">
        <f>VLOOKUP(B998,Detail!$G$1:$H$1001,2,FALSE)</f>
        <v>Karen Budiyanto</v>
      </c>
      <c r="E998">
        <v>75</v>
      </c>
      <c r="F998">
        <v>70</v>
      </c>
      <c r="G998" s="35">
        <v>62</v>
      </c>
      <c r="H998">
        <v>62</v>
      </c>
      <c r="I998">
        <v>57</v>
      </c>
      <c r="J998">
        <v>51</v>
      </c>
      <c r="K998">
        <v>72</v>
      </c>
      <c r="L998" s="26" t="str">
        <f>IFERROR(VLOOKUP(B998,Absen!$A$1:$C$501,2,FALSE),"No")</f>
        <v>No</v>
      </c>
      <c r="M998" s="44">
        <f t="shared" si="44"/>
        <v>7.2</v>
      </c>
      <c r="N998" s="35">
        <f t="shared" si="45"/>
        <v>62.800000000000004</v>
      </c>
      <c r="O998" t="str">
        <f>VLOOKUP(N998,Helper!$B$30:$C$35,2,TRUE)</f>
        <v>C</v>
      </c>
      <c r="P998" s="26">
        <f>INDEX(Detail!$A$1:$A$1001,MATCH(B998,Detail!$G$1:$G$1001,0))</f>
        <v>37467</v>
      </c>
      <c r="Q998" s="3" t="str">
        <f>INDEX(Detail!$F$1:$F$1001,MATCH(Main!B998,Detail!$G$1:$G$1001,0))</f>
        <v>Tangerang Selatan</v>
      </c>
      <c r="R998" s="7">
        <f>INDEX(Detail!$C$1:$C$1001,MATCH(B998,Detail!$G$1:$G$1001,0),1)</f>
        <v>180</v>
      </c>
      <c r="S998" s="7">
        <f>INDEX(Detail!$D$1:$D$1001,MATCH(B998,Detail!$G$1:$G$1001,0),1)</f>
        <v>90</v>
      </c>
      <c r="T998" s="7" t="str">
        <f>INDEX(Detail!$E$1:$E$1001,MATCH(Main!B998,Detail!$G$1:$G$1001,0))</f>
        <v>Gang Tubagus Ismail No. 27</v>
      </c>
      <c r="U998" s="7" t="str">
        <f>INDEX(Detail!$B$1:$B$1001,MATCH(B998,Detail!$G$1:$G$1001,0),1)</f>
        <v>B-</v>
      </c>
    </row>
    <row r="999" spans="1:21" ht="15.75" x14ac:dyDescent="0.25">
      <c r="A999">
        <v>996</v>
      </c>
      <c r="B999" s="3" t="str">
        <f t="shared" si="46"/>
        <v>F0996</v>
      </c>
      <c r="C999" t="s">
        <v>1011</v>
      </c>
      <c r="D999" s="3" t="str">
        <f>VLOOKUP(B999,Detail!$G$1:$H$1001,2,FALSE)</f>
        <v>Kasim Nasyidah</v>
      </c>
      <c r="E999">
        <v>52</v>
      </c>
      <c r="F999">
        <v>54</v>
      </c>
      <c r="G999" s="35">
        <v>72</v>
      </c>
      <c r="H999">
        <v>58</v>
      </c>
      <c r="I999">
        <v>81</v>
      </c>
      <c r="J999">
        <v>63</v>
      </c>
      <c r="K999">
        <v>73</v>
      </c>
      <c r="L999" s="26" t="str">
        <f>IFERROR(VLOOKUP(B999,Absen!$A$1:$C$501,2,FALSE),"No")</f>
        <v>No</v>
      </c>
      <c r="M999" s="44">
        <f t="shared" si="44"/>
        <v>7.3000000000000007</v>
      </c>
      <c r="N999" s="35">
        <f t="shared" si="45"/>
        <v>64.924999999999997</v>
      </c>
      <c r="O999" t="str">
        <f>VLOOKUP(N999,Helper!$B$30:$C$35,2,TRUE)</f>
        <v>C</v>
      </c>
      <c r="P999" s="26">
        <f>INDEX(Detail!$A$1:$A$1001,MATCH(B999,Detail!$G$1:$G$1001,0))</f>
        <v>37589</v>
      </c>
      <c r="Q999" s="3" t="str">
        <f>INDEX(Detail!$F$1:$F$1001,MATCH(Main!B999,Detail!$G$1:$G$1001,0))</f>
        <v>Medan</v>
      </c>
      <c r="R999" s="7">
        <f>INDEX(Detail!$C$1:$C$1001,MATCH(B999,Detail!$G$1:$G$1001,0),1)</f>
        <v>150</v>
      </c>
      <c r="S999" s="7">
        <f>INDEX(Detail!$D$1:$D$1001,MATCH(B999,Detail!$G$1:$G$1001,0),1)</f>
        <v>67</v>
      </c>
      <c r="T999" s="7" t="str">
        <f>INDEX(Detail!$E$1:$E$1001,MATCH(Main!B999,Detail!$G$1:$G$1001,0))</f>
        <v>Gang HOS. Cokroaminoto No. 57</v>
      </c>
      <c r="U999" s="7" t="str">
        <f>INDEX(Detail!$B$1:$B$1001,MATCH(B999,Detail!$G$1:$G$1001,0),1)</f>
        <v>A+</v>
      </c>
    </row>
    <row r="1000" spans="1:21" ht="15.75" x14ac:dyDescent="0.25">
      <c r="A1000">
        <v>999</v>
      </c>
      <c r="B1000" s="3" t="str">
        <f t="shared" si="46"/>
        <v>F0999</v>
      </c>
      <c r="C1000" t="s">
        <v>1011</v>
      </c>
      <c r="D1000" s="3" t="str">
        <f>VLOOKUP(B1000,Detail!$G$1:$H$1001,2,FALSE)</f>
        <v>Michelle Nuraini</v>
      </c>
      <c r="E1000">
        <v>63</v>
      </c>
      <c r="F1000">
        <v>46</v>
      </c>
      <c r="G1000" s="35">
        <v>89</v>
      </c>
      <c r="H1000">
        <v>69</v>
      </c>
      <c r="I1000">
        <v>86</v>
      </c>
      <c r="J1000">
        <v>50</v>
      </c>
      <c r="K1000">
        <v>71</v>
      </c>
      <c r="L1000" s="26">
        <f>IFERROR(VLOOKUP(B1000,Absen!$A$1:$C$501,2,FALSE),"No")</f>
        <v>44746</v>
      </c>
      <c r="M1000" s="44">
        <f t="shared" si="44"/>
        <v>6.1000000000000005</v>
      </c>
      <c r="N1000" s="35">
        <f t="shared" si="45"/>
        <v>66.899999999999991</v>
      </c>
      <c r="O1000" t="str">
        <f>VLOOKUP(N1000,Helper!$B$30:$C$35,2,TRUE)</f>
        <v>C</v>
      </c>
      <c r="P1000" s="26">
        <f>INDEX(Detail!$A$1:$A$1001,MATCH(B1000,Detail!$G$1:$G$1001,0))</f>
        <v>37574</v>
      </c>
      <c r="Q1000" s="3" t="str">
        <f>INDEX(Detail!$F$1:$F$1001,MATCH(Main!B1000,Detail!$G$1:$G$1001,0))</f>
        <v>Tidore Kepulauan</v>
      </c>
      <c r="R1000" s="7">
        <f>INDEX(Detail!$C$1:$C$1001,MATCH(B1000,Detail!$G$1:$G$1001,0),1)</f>
        <v>165</v>
      </c>
      <c r="S1000" s="7">
        <f>INDEX(Detail!$D$1:$D$1001,MATCH(B1000,Detail!$G$1:$G$1001,0),1)</f>
        <v>57</v>
      </c>
      <c r="T1000" s="7" t="str">
        <f>INDEX(Detail!$E$1:$E$1001,MATCH(Main!B1000,Detail!$G$1:$G$1001,0))</f>
        <v>Jl. Dipatiukur No. 23</v>
      </c>
      <c r="U1000" s="7" t="str">
        <f>INDEX(Detail!$B$1:$B$1001,MATCH(B1000,Detail!$G$1:$G$1001,0),1)</f>
        <v>AB+</v>
      </c>
    </row>
    <row r="1001" spans="1:21" ht="15.75" x14ac:dyDescent="0.25">
      <c r="A1001">
        <v>1000</v>
      </c>
      <c r="B1001" s="3" t="str">
        <f>CONCATENATE("E",TEXT(A1001,"0000"))</f>
        <v>E1000</v>
      </c>
      <c r="C1001" t="s">
        <v>1010</v>
      </c>
      <c r="D1001" s="3" t="str">
        <f>VLOOKUP(B1001,Detail!G1:H1001,2,FALSE)</f>
        <v>Omar Sihombing</v>
      </c>
      <c r="E1001">
        <v>60</v>
      </c>
      <c r="F1001">
        <v>55</v>
      </c>
      <c r="G1001" s="35">
        <v>67</v>
      </c>
      <c r="H1001">
        <v>61</v>
      </c>
      <c r="I1001">
        <v>63</v>
      </c>
      <c r="J1001">
        <v>73</v>
      </c>
      <c r="K1001">
        <v>89</v>
      </c>
      <c r="L1001" s="26">
        <f>IFERROR(VLOOKUP(B1001,Absen!$A$1:$C$501,2,FALSE),"No")</f>
        <v>44867</v>
      </c>
      <c r="M1001" s="44">
        <f t="shared" si="44"/>
        <v>7.9</v>
      </c>
      <c r="N1001" s="35">
        <f t="shared" si="45"/>
        <v>65.775000000000006</v>
      </c>
      <c r="O1001" t="str">
        <f>VLOOKUP(N1001,Helper!$B$30:$C$35,2,TRUE)</f>
        <v>C</v>
      </c>
      <c r="P1001" s="26">
        <f>INDEX(Detail!$A$1:$A$1001,MATCH(B1001,Detail!$G$1:$G$1001,0))</f>
        <v>37615</v>
      </c>
      <c r="Q1001" s="3" t="str">
        <f>INDEX(Detail!$F$1:$F$1001,MATCH(Main!B1001,Detail!$G$1:$G$1001,0))</f>
        <v>Palopo</v>
      </c>
      <c r="R1001" s="7">
        <f>INDEX(Detail!$C$1:$C$1001,MATCH(B1001,Detail!$G$1:$G$1001,0),1)</f>
        <v>179</v>
      </c>
      <c r="S1001" s="7">
        <f>INDEX(Detail!$D$1:$D$1001,MATCH(B1001,Detail!$G$1:$G$1001,0),1)</f>
        <v>62</v>
      </c>
      <c r="T1001" s="7" t="str">
        <f>INDEX(Detail!$E$1:$E$1001,MATCH(Main!B1001,Detail!$G$1:$G$1001,0))</f>
        <v xml:space="preserve">Jalan Gedebage Selatan No. 2
</v>
      </c>
      <c r="U1001" s="7" t="str">
        <f>INDEX(Detail!$B$1:$B$1001,MATCH(B1001,Detail!$G$1:$G$1001,0),1)</f>
        <v>A+</v>
      </c>
    </row>
  </sheetData>
  <conditionalFormatting sqref="O2:O1001">
    <cfRule type="expression" dxfId="3" priority="4">
      <formula>$O2="D"</formula>
    </cfRule>
  </conditionalFormatting>
  <conditionalFormatting sqref="L2">
    <cfRule type="expression" dxfId="2" priority="3">
      <formula>$L2="No"</formula>
    </cfRule>
  </conditionalFormatting>
  <conditionalFormatting sqref="L2:L1001">
    <cfRule type="expression" dxfId="1" priority="2">
      <formula>$L2="no"</formula>
    </cfRule>
  </conditionalFormatting>
  <conditionalFormatting sqref="A2:U1001">
    <cfRule type="expression" dxfId="0" priority="1">
      <formula>AND($L2="No", $N2&gt;80)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4C44EB3-E66F-4667-90DF-F963FC720D5D}">
          <x14:formula1>
            <xm:f>Helper!$A$14:$A$19</xm:f>
          </x14:formula1>
          <xm:sqref>C2:C1001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DEFD-341E-414D-B589-AB505F599E50}">
  <dimension ref="A2:K15"/>
  <sheetViews>
    <sheetView workbookViewId="0">
      <selection activeCell="F5" sqref="F5"/>
    </sheetView>
  </sheetViews>
  <sheetFormatPr defaultRowHeight="15" x14ac:dyDescent="0.25"/>
  <cols>
    <col min="1" max="1" width="12.85546875" customWidth="1"/>
    <col min="2" max="2" width="12.42578125" customWidth="1"/>
    <col min="3" max="3" width="10.42578125" customWidth="1"/>
    <col min="4" max="4" width="10" bestFit="1" customWidth="1"/>
    <col min="7" max="7" width="12.28515625" customWidth="1"/>
  </cols>
  <sheetData>
    <row r="2" spans="1:11" x14ac:dyDescent="0.25">
      <c r="A2" s="7"/>
      <c r="B2" s="7" t="s">
        <v>3201</v>
      </c>
      <c r="C2" s="7" t="s">
        <v>3202</v>
      </c>
      <c r="D2" s="7" t="s">
        <v>3203</v>
      </c>
      <c r="E2" s="7" t="s">
        <v>3204</v>
      </c>
      <c r="G2" s="7" t="s">
        <v>1009</v>
      </c>
      <c r="H2" s="7">
        <v>1</v>
      </c>
      <c r="I2" s="7">
        <v>501</v>
      </c>
      <c r="J2" s="7">
        <v>751</v>
      </c>
      <c r="K2" s="7">
        <v>1000</v>
      </c>
    </row>
    <row r="3" spans="1:11" x14ac:dyDescent="0.25">
      <c r="A3" s="7" t="s">
        <v>1015</v>
      </c>
      <c r="B3" s="7" t="s">
        <v>3205</v>
      </c>
      <c r="C3" s="7" t="s">
        <v>3207</v>
      </c>
      <c r="D3" s="7" t="s">
        <v>3209</v>
      </c>
      <c r="E3" s="7" t="s">
        <v>3206</v>
      </c>
      <c r="G3" s="7" t="s">
        <v>1015</v>
      </c>
      <c r="H3" s="7" t="s">
        <v>3205</v>
      </c>
      <c r="I3" s="7" t="s">
        <v>3207</v>
      </c>
      <c r="J3" s="7" t="s">
        <v>3209</v>
      </c>
      <c r="K3" s="7" t="s">
        <v>3206</v>
      </c>
    </row>
    <row r="4" spans="1:11" x14ac:dyDescent="0.25">
      <c r="A4" s="7" t="s">
        <v>1014</v>
      </c>
      <c r="B4" s="7" t="s">
        <v>3206</v>
      </c>
      <c r="C4" s="7" t="s">
        <v>3208</v>
      </c>
      <c r="D4" s="7" t="s">
        <v>3210</v>
      </c>
      <c r="E4" s="7" t="s">
        <v>3207</v>
      </c>
    </row>
    <row r="5" spans="1:11" x14ac:dyDescent="0.25">
      <c r="A5" s="7" t="s">
        <v>1012</v>
      </c>
      <c r="B5" s="7" t="s">
        <v>3207</v>
      </c>
      <c r="C5" s="7" t="s">
        <v>3209</v>
      </c>
      <c r="D5" s="7" t="s">
        <v>3205</v>
      </c>
      <c r="E5" s="7" t="s">
        <v>3210</v>
      </c>
    </row>
    <row r="6" spans="1:11" x14ac:dyDescent="0.25">
      <c r="A6" s="7" t="s">
        <v>1013</v>
      </c>
      <c r="B6" s="7" t="s">
        <v>3208</v>
      </c>
      <c r="C6" s="7" t="s">
        <v>3210</v>
      </c>
      <c r="D6" s="7" t="s">
        <v>3206</v>
      </c>
      <c r="E6" s="7" t="s">
        <v>3209</v>
      </c>
    </row>
    <row r="7" spans="1:11" x14ac:dyDescent="0.25">
      <c r="A7" s="7" t="s">
        <v>1010</v>
      </c>
      <c r="B7" s="7" t="s">
        <v>3209</v>
      </c>
      <c r="C7" s="7" t="s">
        <v>3205</v>
      </c>
      <c r="D7" s="7" t="s">
        <v>3207</v>
      </c>
      <c r="E7" s="7" t="s">
        <v>3208</v>
      </c>
    </row>
    <row r="8" spans="1:11" x14ac:dyDescent="0.25">
      <c r="A8" s="7" t="s">
        <v>1011</v>
      </c>
      <c r="B8" s="7" t="s">
        <v>3210</v>
      </c>
      <c r="C8" s="7" t="s">
        <v>3206</v>
      </c>
      <c r="D8" s="7" t="s">
        <v>3208</v>
      </c>
      <c r="E8" s="7" t="s">
        <v>3205</v>
      </c>
    </row>
    <row r="10" spans="1:11" x14ac:dyDescent="0.25">
      <c r="A10" s="7" t="s">
        <v>3205</v>
      </c>
      <c r="B10" s="62">
        <f>COUNTIF(Main!V2:V1001,B3)</f>
        <v>160</v>
      </c>
    </row>
    <row r="11" spans="1:11" x14ac:dyDescent="0.25">
      <c r="A11" s="7" t="s">
        <v>3206</v>
      </c>
      <c r="B11" s="62">
        <f>COUNTIF(Main!V3:V1002,B4)</f>
        <v>163</v>
      </c>
    </row>
    <row r="12" spans="1:11" x14ac:dyDescent="0.25">
      <c r="A12" s="7" t="s">
        <v>3207</v>
      </c>
      <c r="B12" s="62">
        <f>COUNTIF(Main!V4:V1003,B5)</f>
        <v>147</v>
      </c>
    </row>
    <row r="13" spans="1:11" x14ac:dyDescent="0.25">
      <c r="A13" s="7" t="s">
        <v>3208</v>
      </c>
      <c r="B13" s="62">
        <f>COUNTIF(Main!V5:V1004,B6)</f>
        <v>140</v>
      </c>
    </row>
    <row r="14" spans="1:11" x14ac:dyDescent="0.25">
      <c r="A14" s="7" t="s">
        <v>3209</v>
      </c>
      <c r="B14" s="62">
        <f>COUNTIF(Main!V6:V1005,B7)</f>
        <v>198</v>
      </c>
    </row>
    <row r="15" spans="1:11" x14ac:dyDescent="0.25">
      <c r="A15" s="7" t="s">
        <v>3210</v>
      </c>
      <c r="B15" s="62">
        <f>COUNTIF(Main!V7:V1006,B8)</f>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Cara</vt:lpstr>
      <vt:lpstr>Main</vt:lpstr>
      <vt:lpstr>Detail</vt:lpstr>
      <vt:lpstr>Helper</vt:lpstr>
      <vt:lpstr>Soal</vt:lpstr>
      <vt:lpstr>Absen</vt:lpstr>
      <vt:lpstr>Golongan darah dan alamat</vt:lpstr>
      <vt:lpstr>Dosen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rizkyfaul</dc:creator>
  <cp:lastModifiedBy>hp</cp:lastModifiedBy>
  <dcterms:created xsi:type="dcterms:W3CDTF">2023-04-27T08:51:04Z</dcterms:created>
  <dcterms:modified xsi:type="dcterms:W3CDTF">2024-06-11T09:51:16Z</dcterms:modified>
</cp:coreProperties>
</file>